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ruenorth\Desktop\"/>
    </mc:Choice>
  </mc:AlternateContent>
  <xr:revisionPtr revIDLastSave="0" documentId="13_ncr:1_{7F50C856-1052-4F0D-8ADD-CF4955518CE2}" xr6:coauthVersionLast="47" xr6:coauthVersionMax="47" xr10:uidLastSave="{00000000-0000-0000-0000-000000000000}"/>
  <bookViews>
    <workbookView xWindow="-28920" yWindow="-270" windowWidth="29040" windowHeight="15720" activeTab="3" xr2:uid="{00000000-000D-0000-FFFF-FFFF00000000}"/>
  </bookViews>
  <sheets>
    <sheet name="RAW_INPUT" sheetId="1" r:id="rId1"/>
    <sheet name="PIPELINE_READY" sheetId="2" r:id="rId2"/>
    <sheet name="QB_COLUMN_MAP" sheetId="3" r:id="rId3"/>
    <sheet name="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9" i="4" l="1"/>
  <c r="K220" i="4"/>
  <c r="B228" i="4"/>
  <c r="B227" i="4"/>
  <c r="B226" i="4"/>
  <c r="L223" i="4"/>
  <c r="K223" i="4"/>
  <c r="I223" i="4"/>
  <c r="G223" i="4"/>
  <c r="E223" i="4"/>
  <c r="C223" i="4"/>
  <c r="A223" i="4"/>
  <c r="I220" i="4"/>
  <c r="G220" i="4"/>
  <c r="E220" i="4"/>
  <c r="C220" i="4"/>
  <c r="A220" i="4"/>
  <c r="E212" i="4" a="1"/>
  <c r="E212" i="4" s="1"/>
  <c r="E211" i="4" a="1"/>
  <c r="E211" i="4" s="1"/>
  <c r="B213" i="4"/>
  <c r="B212" i="4"/>
  <c r="B211" i="4"/>
  <c r="I209" i="4"/>
  <c r="H209" i="4"/>
  <c r="G209" i="4"/>
  <c r="F209" i="4"/>
  <c r="E209" i="4" a="1"/>
  <c r="E209" i="4" s="1"/>
  <c r="D209" i="4" a="1"/>
  <c r="D209" i="4" s="1"/>
  <c r="C209" i="4"/>
  <c r="B209" i="4"/>
  <c r="I208" i="4"/>
  <c r="H208" i="4"/>
  <c r="G208" i="4"/>
  <c r="F208" i="4"/>
  <c r="E208" i="4" a="1"/>
  <c r="E208" i="4" s="1"/>
  <c r="D208" i="4" a="1"/>
  <c r="D208" i="4" s="1"/>
  <c r="C208" i="4"/>
  <c r="B208" i="4"/>
  <c r="I207" i="4"/>
  <c r="H207" i="4"/>
  <c r="G207" i="4"/>
  <c r="F207" i="4"/>
  <c r="E207" i="4" a="1"/>
  <c r="E207" i="4" s="1"/>
  <c r="D207" i="4" a="1"/>
  <c r="D207" i="4" s="1"/>
  <c r="C207" i="4"/>
  <c r="B207" i="4"/>
  <c r="I206" i="4"/>
  <c r="H206" i="4"/>
  <c r="G206" i="4"/>
  <c r="F206" i="4"/>
  <c r="E206" i="4" a="1"/>
  <c r="E206" i="4" s="1"/>
  <c r="D206" i="4" a="1"/>
  <c r="D206" i="4" s="1"/>
  <c r="C206" i="4"/>
  <c r="B206" i="4"/>
  <c r="I205" i="4"/>
  <c r="H205" i="4"/>
  <c r="G205" i="4"/>
  <c r="F205" i="4"/>
  <c r="E205" i="4" a="1"/>
  <c r="E205" i="4" s="1"/>
  <c r="D205" i="4" a="1"/>
  <c r="D205" i="4" s="1"/>
  <c r="C205" i="4"/>
  <c r="B205" i="4"/>
  <c r="I204" i="4"/>
  <c r="H204" i="4"/>
  <c r="G204" i="4"/>
  <c r="F204" i="4"/>
  <c r="E204" i="4" a="1"/>
  <c r="E204" i="4" s="1"/>
  <c r="D204" i="4" a="1"/>
  <c r="D204" i="4" s="1"/>
  <c r="C204" i="4"/>
  <c r="B204" i="4"/>
  <c r="I203" i="4"/>
  <c r="H203" i="4"/>
  <c r="G203" i="4"/>
  <c r="F203" i="4"/>
  <c r="E203" i="4" a="1"/>
  <c r="E203" i="4" s="1"/>
  <c r="D203" i="4" a="1"/>
  <c r="D203" i="4" s="1"/>
  <c r="C203" i="4"/>
  <c r="B203" i="4"/>
  <c r="I202" i="4"/>
  <c r="H202" i="4"/>
  <c r="G202" i="4"/>
  <c r="F202" i="4"/>
  <c r="E202" i="4" a="1"/>
  <c r="E202" i="4" s="1"/>
  <c r="D202" i="4" a="1"/>
  <c r="D202" i="4" s="1"/>
  <c r="C202" i="4"/>
  <c r="B202" i="4"/>
  <c r="I201" i="4"/>
  <c r="H201" i="4"/>
  <c r="G201" i="4"/>
  <c r="F201" i="4"/>
  <c r="E201" i="4" a="1"/>
  <c r="E201" i="4" s="1"/>
  <c r="D201" i="4" a="1"/>
  <c r="D201" i="4" s="1"/>
  <c r="C201" i="4"/>
  <c r="B201" i="4"/>
  <c r="I200" i="4"/>
  <c r="H200" i="4"/>
  <c r="G200" i="4"/>
  <c r="F200" i="4"/>
  <c r="E200" i="4" a="1"/>
  <c r="E200" i="4" s="1"/>
  <c r="D200" i="4" a="1"/>
  <c r="D200" i="4" s="1"/>
  <c r="C200" i="4"/>
  <c r="B200" i="4"/>
  <c r="I199" i="4"/>
  <c r="H199" i="4"/>
  <c r="G199" i="4"/>
  <c r="F199" i="4"/>
  <c r="E199" i="4" a="1"/>
  <c r="E199" i="4" s="1"/>
  <c r="D199" i="4" a="1"/>
  <c r="D199" i="4" s="1"/>
  <c r="C199" i="4"/>
  <c r="B199" i="4"/>
  <c r="I198" i="4"/>
  <c r="H198" i="4"/>
  <c r="G198" i="4"/>
  <c r="F198" i="4"/>
  <c r="E198" i="4" a="1"/>
  <c r="E198" i="4" s="1"/>
  <c r="D198" i="4" a="1"/>
  <c r="D198" i="4" s="1"/>
  <c r="C198" i="4"/>
  <c r="B198" i="4"/>
  <c r="I197" i="4"/>
  <c r="H197" i="4"/>
  <c r="G197" i="4"/>
  <c r="F197" i="4"/>
  <c r="E197" i="4" a="1"/>
  <c r="E197" i="4" s="1"/>
  <c r="D197" i="4" a="1"/>
  <c r="D197" i="4" s="1"/>
  <c r="C197" i="4"/>
  <c r="B197" i="4"/>
  <c r="I196" i="4"/>
  <c r="H196" i="4"/>
  <c r="G196" i="4"/>
  <c r="F196" i="4"/>
  <c r="E196" i="4" a="1"/>
  <c r="E196" i="4" s="1"/>
  <c r="D196" i="4" a="1"/>
  <c r="D196" i="4" s="1"/>
  <c r="C196" i="4"/>
  <c r="B196" i="4"/>
  <c r="I195" i="4"/>
  <c r="H195" i="4"/>
  <c r="G195" i="4"/>
  <c r="F195" i="4"/>
  <c r="E195" i="4" a="1"/>
  <c r="E195" i="4" s="1"/>
  <c r="D195" i="4" a="1"/>
  <c r="D195" i="4" s="1"/>
  <c r="C195" i="4"/>
  <c r="B195" i="4"/>
  <c r="B188" i="4"/>
  <c r="B187" i="4"/>
  <c r="E186" i="4"/>
  <c r="D186" i="4"/>
  <c r="C186" i="4"/>
  <c r="B186" i="4"/>
  <c r="A186" i="4"/>
  <c r="E185" i="4"/>
  <c r="D185" i="4"/>
  <c r="C185" i="4"/>
  <c r="B185" i="4"/>
  <c r="A185" i="4"/>
  <c r="E184" i="4"/>
  <c r="D184" i="4"/>
  <c r="C184" i="4"/>
  <c r="B184" i="4"/>
  <c r="A184" i="4"/>
  <c r="E183" i="4"/>
  <c r="D183" i="4"/>
  <c r="C183" i="4"/>
  <c r="B183" i="4"/>
  <c r="A183" i="4"/>
  <c r="E182" i="4"/>
  <c r="D182" i="4"/>
  <c r="C182" i="4"/>
  <c r="B182" i="4"/>
  <c r="A182" i="4"/>
  <c r="E181" i="4"/>
  <c r="D181" i="4"/>
  <c r="C181" i="4"/>
  <c r="B181" i="4"/>
  <c r="A181" i="4"/>
  <c r="B177" i="4"/>
  <c r="B176" i="4"/>
  <c r="B175" i="4"/>
  <c r="B174" i="4"/>
  <c r="B169" i="4"/>
  <c r="B168" i="4"/>
  <c r="B167" i="4"/>
  <c r="F165" i="4"/>
  <c r="E165" i="4"/>
  <c r="D165" i="4"/>
  <c r="C165" i="4" a="1"/>
  <c r="C165" i="4" s="1"/>
  <c r="B165" i="4" a="1"/>
  <c r="B165" i="4" s="1"/>
  <c r="F164" i="4"/>
  <c r="E164" i="4"/>
  <c r="D164" i="4"/>
  <c r="C164" i="4" a="1"/>
  <c r="C164" i="4" s="1"/>
  <c r="B164" i="4" a="1"/>
  <c r="B164" i="4" s="1"/>
  <c r="F163" i="4"/>
  <c r="E163" i="4"/>
  <c r="D163" i="4"/>
  <c r="C163" i="4" a="1"/>
  <c r="C163" i="4" s="1"/>
  <c r="B163" i="4" a="1"/>
  <c r="B163" i="4" s="1"/>
  <c r="F162" i="4"/>
  <c r="E162" i="4"/>
  <c r="D162" i="4"/>
  <c r="C162" i="4" a="1"/>
  <c r="C162" i="4" s="1"/>
  <c r="B162" i="4" a="1"/>
  <c r="B162" i="4" s="1"/>
  <c r="F161" i="4"/>
  <c r="E161" i="4"/>
  <c r="D161" i="4"/>
  <c r="C161" i="4" a="1"/>
  <c r="C161" i="4"/>
  <c r="B161" i="4" a="1"/>
  <c r="B161" i="4"/>
  <c r="F160" i="4"/>
  <c r="E160" i="4"/>
  <c r="D160" i="4"/>
  <c r="C160" i="4" a="1"/>
  <c r="C160" i="4" s="1"/>
  <c r="B160" i="4" a="1"/>
  <c r="B160" i="4" s="1"/>
  <c r="F159" i="4"/>
  <c r="E159" i="4"/>
  <c r="D159" i="4"/>
  <c r="C159" i="4" a="1"/>
  <c r="C159" i="4" s="1"/>
  <c r="B159" i="4" a="1"/>
  <c r="B159" i="4" s="1"/>
  <c r="F158" i="4"/>
  <c r="E158" i="4"/>
  <c r="D158" i="4"/>
  <c r="C158" i="4" a="1"/>
  <c r="C158" i="4" s="1"/>
  <c r="B158" i="4" a="1"/>
  <c r="B158" i="4" s="1"/>
  <c r="F157" i="4"/>
  <c r="E157" i="4"/>
  <c r="D157" i="4"/>
  <c r="C157" i="4" a="1"/>
  <c r="C157" i="4"/>
  <c r="B157" i="4" a="1"/>
  <c r="B157" i="4" s="1"/>
  <c r="F156" i="4"/>
  <c r="E156" i="4"/>
  <c r="D156" i="4"/>
  <c r="C156" i="4" a="1"/>
  <c r="C156" i="4" s="1"/>
  <c r="B156" i="4" a="1"/>
  <c r="B156" i="4" s="1"/>
  <c r="F155" i="4"/>
  <c r="E155" i="4"/>
  <c r="D155" i="4"/>
  <c r="C155" i="4" a="1"/>
  <c r="C155" i="4" s="1"/>
  <c r="B155" i="4" a="1"/>
  <c r="B155" i="4" s="1"/>
  <c r="F154" i="4"/>
  <c r="E154" i="4"/>
  <c r="D154" i="4"/>
  <c r="C154" i="4" a="1"/>
  <c r="C154" i="4" s="1"/>
  <c r="B154" i="4" a="1"/>
  <c r="B154" i="4"/>
  <c r="F153" i="4"/>
  <c r="E153" i="4"/>
  <c r="D153" i="4"/>
  <c r="C153" i="4" a="1"/>
  <c r="C153" i="4" s="1"/>
  <c r="B153" i="4" a="1"/>
  <c r="B153" i="4" s="1"/>
  <c r="F152" i="4"/>
  <c r="E152" i="4"/>
  <c r="D152" i="4"/>
  <c r="C152" i="4" a="1"/>
  <c r="C152" i="4" s="1"/>
  <c r="B152" i="4" a="1"/>
  <c r="B152" i="4" s="1"/>
  <c r="F151" i="4"/>
  <c r="E151" i="4"/>
  <c r="D151" i="4"/>
  <c r="C151" i="4" a="1"/>
  <c r="C151" i="4" s="1"/>
  <c r="B151" i="4" a="1"/>
  <c r="B151" i="4" s="1"/>
  <c r="I147" i="4" a="1"/>
  <c r="I147" i="4" s="1"/>
  <c r="H147" i="4" a="1"/>
  <c r="H147" i="4" s="1"/>
  <c r="G147" i="4" a="1"/>
  <c r="G147" i="4" s="1"/>
  <c r="F147" i="4" a="1"/>
  <c r="F147" i="4" s="1"/>
  <c r="E147" i="4" a="1"/>
  <c r="E147" i="4" s="1"/>
  <c r="D147" i="4" a="1"/>
  <c r="D147" i="4" s="1"/>
  <c r="C147" i="4" a="1"/>
  <c r="C147" i="4" s="1"/>
  <c r="B147" i="4" a="1"/>
  <c r="B147" i="4" s="1"/>
  <c r="I146" i="4" a="1"/>
  <c r="I146" i="4" s="1"/>
  <c r="H146" i="4" a="1"/>
  <c r="H146" i="4" s="1"/>
  <c r="G146" i="4" a="1"/>
  <c r="G146" i="4" s="1"/>
  <c r="F146" i="4" a="1"/>
  <c r="F146" i="4" s="1"/>
  <c r="E146" i="4" a="1"/>
  <c r="E146" i="4" s="1"/>
  <c r="D146" i="4" a="1"/>
  <c r="D146" i="4" s="1"/>
  <c r="C146" i="4" a="1"/>
  <c r="C146" i="4" s="1"/>
  <c r="B146" i="4" a="1"/>
  <c r="B146" i="4" s="1"/>
  <c r="I145" i="4" a="1"/>
  <c r="I145" i="4" s="1"/>
  <c r="H145" i="4" a="1"/>
  <c r="H145" i="4" s="1"/>
  <c r="G145" i="4" a="1"/>
  <c r="G145" i="4" s="1"/>
  <c r="F145" i="4" a="1"/>
  <c r="F145" i="4" s="1"/>
  <c r="E145" i="4" a="1"/>
  <c r="E145" i="4" s="1"/>
  <c r="D145" i="4" a="1"/>
  <c r="D145" i="4" s="1"/>
  <c r="C145" i="4" a="1"/>
  <c r="C145" i="4" s="1"/>
  <c r="B145" i="4" a="1"/>
  <c r="B145" i="4" s="1"/>
  <c r="I144" i="4" a="1"/>
  <c r="I144" i="4" s="1"/>
  <c r="H144" i="4" a="1"/>
  <c r="H144" i="4" s="1"/>
  <c r="G144" i="4" a="1"/>
  <c r="G144" i="4" s="1"/>
  <c r="F144" i="4" a="1"/>
  <c r="F144" i="4" s="1"/>
  <c r="E144" i="4" a="1"/>
  <c r="E144" i="4" s="1"/>
  <c r="D144" i="4" a="1"/>
  <c r="D144" i="4" s="1"/>
  <c r="C144" i="4" a="1"/>
  <c r="C144" i="4" s="1"/>
  <c r="B144" i="4" a="1"/>
  <c r="B144" i="4" s="1"/>
  <c r="I143" i="4" a="1"/>
  <c r="I143" i="4" s="1"/>
  <c r="H143" i="4" a="1"/>
  <c r="H143" i="4" s="1"/>
  <c r="G143" i="4" a="1"/>
  <c r="G143" i="4" s="1"/>
  <c r="F143" i="4" a="1"/>
  <c r="F143" i="4" s="1"/>
  <c r="E143" i="4" a="1"/>
  <c r="E143" i="4" s="1"/>
  <c r="D143" i="4" a="1"/>
  <c r="D143" i="4" s="1"/>
  <c r="C143" i="4" a="1"/>
  <c r="C143" i="4" s="1"/>
  <c r="B143" i="4" a="1"/>
  <c r="B143" i="4" s="1"/>
  <c r="I142" i="4" a="1"/>
  <c r="I142" i="4" s="1"/>
  <c r="H142" i="4" a="1"/>
  <c r="H142" i="4" s="1"/>
  <c r="G142" i="4" a="1"/>
  <c r="G142" i="4" s="1"/>
  <c r="F142" i="4" a="1"/>
  <c r="F142" i="4" s="1"/>
  <c r="E142" i="4" a="1"/>
  <c r="E142" i="4" s="1"/>
  <c r="D142" i="4" a="1"/>
  <c r="D142" i="4" s="1"/>
  <c r="C142" i="4" a="1"/>
  <c r="C142" i="4" s="1"/>
  <c r="B142" i="4" a="1"/>
  <c r="B142" i="4" s="1"/>
  <c r="I141" i="4" a="1"/>
  <c r="I141" i="4" s="1"/>
  <c r="H141" i="4" a="1"/>
  <c r="H141" i="4" s="1"/>
  <c r="G141" i="4" a="1"/>
  <c r="G141" i="4" s="1"/>
  <c r="F141" i="4" a="1"/>
  <c r="F141" i="4" s="1"/>
  <c r="E141" i="4" a="1"/>
  <c r="E141" i="4" s="1"/>
  <c r="D141" i="4" a="1"/>
  <c r="D141" i="4" s="1"/>
  <c r="C141" i="4" a="1"/>
  <c r="C141" i="4" s="1"/>
  <c r="B141" i="4" a="1"/>
  <c r="B141" i="4" s="1"/>
  <c r="I140" i="4" a="1"/>
  <c r="I140" i="4" s="1"/>
  <c r="H140" i="4" a="1"/>
  <c r="H140" i="4" s="1"/>
  <c r="G140" i="4" a="1"/>
  <c r="G140" i="4" s="1"/>
  <c r="F140" i="4" a="1"/>
  <c r="F140" i="4" s="1"/>
  <c r="E140" i="4" a="1"/>
  <c r="E140" i="4" s="1"/>
  <c r="D140" i="4" a="1"/>
  <c r="D140" i="4" s="1"/>
  <c r="C140" i="4" a="1"/>
  <c r="C140" i="4" s="1"/>
  <c r="B140" i="4" a="1"/>
  <c r="B140" i="4" s="1"/>
  <c r="I139" i="4" a="1"/>
  <c r="I139" i="4" s="1"/>
  <c r="H139" i="4" a="1"/>
  <c r="H139" i="4" s="1"/>
  <c r="G139" i="4" a="1"/>
  <c r="G139" i="4" s="1"/>
  <c r="F139" i="4" a="1"/>
  <c r="F139" i="4" s="1"/>
  <c r="E139" i="4" a="1"/>
  <c r="E139" i="4" s="1"/>
  <c r="D139" i="4" a="1"/>
  <c r="D139" i="4" s="1"/>
  <c r="C139" i="4" a="1"/>
  <c r="C139" i="4" s="1"/>
  <c r="B139" i="4" a="1"/>
  <c r="B139" i="4" s="1"/>
  <c r="I138" i="4" a="1"/>
  <c r="I138" i="4" s="1"/>
  <c r="H138" i="4" a="1"/>
  <c r="H138" i="4" s="1"/>
  <c r="G138" i="4" a="1"/>
  <c r="G138" i="4" s="1"/>
  <c r="F138" i="4" a="1"/>
  <c r="F138" i="4" s="1"/>
  <c r="E138" i="4" a="1"/>
  <c r="E138" i="4" s="1"/>
  <c r="D138" i="4" a="1"/>
  <c r="D138" i="4" s="1"/>
  <c r="C138" i="4" a="1"/>
  <c r="C138" i="4" s="1"/>
  <c r="B138" i="4" a="1"/>
  <c r="B138" i="4" s="1"/>
  <c r="I137" i="4" a="1"/>
  <c r="I137" i="4" s="1"/>
  <c r="H137" i="4" a="1"/>
  <c r="H137" i="4" s="1"/>
  <c r="G137" i="4" a="1"/>
  <c r="G137" i="4" s="1"/>
  <c r="F137" i="4" a="1"/>
  <c r="F137" i="4" s="1"/>
  <c r="E137" i="4" a="1"/>
  <c r="E137" i="4" s="1"/>
  <c r="D137" i="4" a="1"/>
  <c r="D137" i="4" s="1"/>
  <c r="C137" i="4" a="1"/>
  <c r="C137" i="4" s="1"/>
  <c r="B137" i="4" a="1"/>
  <c r="B137" i="4" s="1"/>
  <c r="I136" i="4" a="1"/>
  <c r="I136" i="4" s="1"/>
  <c r="H136" i="4" a="1"/>
  <c r="H136" i="4" s="1"/>
  <c r="G136" i="4" a="1"/>
  <c r="G136" i="4" s="1"/>
  <c r="F136" i="4" a="1"/>
  <c r="F136" i="4" s="1"/>
  <c r="E136" i="4" a="1"/>
  <c r="E136" i="4" s="1"/>
  <c r="D136" i="4" a="1"/>
  <c r="D136" i="4" s="1"/>
  <c r="C136" i="4" a="1"/>
  <c r="C136" i="4" s="1"/>
  <c r="B136" i="4" a="1"/>
  <c r="B136" i="4" s="1"/>
  <c r="I135" i="4" a="1"/>
  <c r="I135" i="4" s="1"/>
  <c r="H135" i="4" a="1"/>
  <c r="H135" i="4" s="1"/>
  <c r="G135" i="4" a="1"/>
  <c r="G135" i="4" s="1"/>
  <c r="F135" i="4" a="1"/>
  <c r="F135" i="4" s="1"/>
  <c r="E135" i="4" a="1"/>
  <c r="E135" i="4" s="1"/>
  <c r="D135" i="4" a="1"/>
  <c r="D135" i="4" s="1"/>
  <c r="C135" i="4" a="1"/>
  <c r="C135" i="4" s="1"/>
  <c r="B135" i="4" a="1"/>
  <c r="B135" i="4" s="1"/>
  <c r="I134" i="4" a="1"/>
  <c r="I134" i="4" s="1"/>
  <c r="H134" i="4" a="1"/>
  <c r="H134" i="4" s="1"/>
  <c r="G134" i="4" a="1"/>
  <c r="G134" i="4" s="1"/>
  <c r="F134" i="4" a="1"/>
  <c r="F134" i="4" s="1"/>
  <c r="E134" i="4" a="1"/>
  <c r="E134" i="4" s="1"/>
  <c r="D134" i="4" a="1"/>
  <c r="D134" i="4" s="1"/>
  <c r="C134" i="4" a="1"/>
  <c r="C134" i="4" s="1"/>
  <c r="B134" i="4" a="1"/>
  <c r="B134" i="4" s="1"/>
  <c r="I133" i="4" a="1"/>
  <c r="I133" i="4" s="1"/>
  <c r="H133" i="4" a="1"/>
  <c r="H133" i="4" s="1"/>
  <c r="G133" i="4" a="1"/>
  <c r="G133" i="4" s="1"/>
  <c r="F133" i="4" a="1"/>
  <c r="F133" i="4" s="1"/>
  <c r="E133" i="4" a="1"/>
  <c r="E133" i="4" s="1"/>
  <c r="D133" i="4" a="1"/>
  <c r="D133" i="4" s="1"/>
  <c r="C133" i="4" a="1"/>
  <c r="C133" i="4" s="1"/>
  <c r="B133" i="4" a="1"/>
  <c r="B133" i="4" s="1"/>
  <c r="F126" i="4"/>
  <c r="E126" i="4" a="1"/>
  <c r="E126" i="4" s="1"/>
  <c r="D126" i="4" a="1"/>
  <c r="D126" i="4" s="1"/>
  <c r="C126" i="4" a="1"/>
  <c r="C126" i="4" s="1"/>
  <c r="B126" i="4" a="1"/>
  <c r="B126" i="4" s="1"/>
  <c r="F125" i="4"/>
  <c r="E125" i="4" a="1"/>
  <c r="E125" i="4" s="1"/>
  <c r="D125" i="4" a="1"/>
  <c r="D125" i="4" s="1"/>
  <c r="C125" i="4" a="1"/>
  <c r="C125" i="4" s="1"/>
  <c r="B125" i="4" a="1"/>
  <c r="B125" i="4" s="1"/>
  <c r="F124" i="4"/>
  <c r="E124" i="4" a="1"/>
  <c r="E124" i="4" s="1"/>
  <c r="D124" i="4" a="1"/>
  <c r="D124" i="4" s="1"/>
  <c r="C124" i="4" a="1"/>
  <c r="C124" i="4" s="1"/>
  <c r="B124" i="4" a="1"/>
  <c r="B124" i="4" s="1"/>
  <c r="F123" i="4"/>
  <c r="E123" i="4" a="1"/>
  <c r="E123" i="4" s="1"/>
  <c r="D123" i="4" a="1"/>
  <c r="D123" i="4" s="1"/>
  <c r="C123" i="4" a="1"/>
  <c r="C123" i="4" s="1"/>
  <c r="B123" i="4" a="1"/>
  <c r="B123" i="4" s="1"/>
  <c r="F122" i="4"/>
  <c r="E122" i="4" a="1"/>
  <c r="E122" i="4" s="1"/>
  <c r="D122" i="4" a="1"/>
  <c r="D122" i="4" s="1"/>
  <c r="C122" i="4" a="1"/>
  <c r="C122" i="4" s="1"/>
  <c r="B122" i="4" a="1"/>
  <c r="B122" i="4" s="1"/>
  <c r="F121" i="4"/>
  <c r="E121" i="4" a="1"/>
  <c r="E121" i="4" s="1"/>
  <c r="D121" i="4" a="1"/>
  <c r="D121" i="4" s="1"/>
  <c r="C121" i="4" a="1"/>
  <c r="C121" i="4" s="1"/>
  <c r="B121" i="4" a="1"/>
  <c r="B121" i="4" s="1"/>
  <c r="F120" i="4"/>
  <c r="E120" i="4" a="1"/>
  <c r="E120" i="4" s="1"/>
  <c r="D120" i="4" a="1"/>
  <c r="D120" i="4" s="1"/>
  <c r="C120" i="4" a="1"/>
  <c r="C120" i="4" s="1"/>
  <c r="B120" i="4" a="1"/>
  <c r="B120" i="4" s="1"/>
  <c r="F119" i="4"/>
  <c r="E119" i="4" a="1"/>
  <c r="E119" i="4" s="1"/>
  <c r="D119" i="4" a="1"/>
  <c r="D119" i="4" s="1"/>
  <c r="C119" i="4" a="1"/>
  <c r="C119" i="4" s="1"/>
  <c r="B119" i="4" a="1"/>
  <c r="B119" i="4" s="1"/>
  <c r="E115" i="4"/>
  <c r="D115" i="4"/>
  <c r="C115" i="4" a="1"/>
  <c r="C115" i="4" s="1"/>
  <c r="B115" i="4" a="1"/>
  <c r="B115" i="4" s="1"/>
  <c r="E114" i="4" s="1"/>
  <c r="D114" i="4"/>
  <c r="C114" i="4" a="1"/>
  <c r="C114" i="4" s="1"/>
  <c r="B114" i="4" a="1"/>
  <c r="B114" i="4" s="1"/>
  <c r="D113" i="4"/>
  <c r="C113" i="4" a="1"/>
  <c r="C113" i="4" s="1"/>
  <c r="B113" i="4" a="1"/>
  <c r="B113" i="4" s="1"/>
  <c r="D112" i="4"/>
  <c r="C112" i="4" a="1"/>
  <c r="C112" i="4" s="1"/>
  <c r="B112" i="4" a="1"/>
  <c r="B112" i="4" s="1"/>
  <c r="D111" i="4"/>
  <c r="C111" i="4" a="1"/>
  <c r="C111" i="4" s="1"/>
  <c r="B111" i="4" a="1"/>
  <c r="B111" i="4" s="1"/>
  <c r="B104" i="4"/>
  <c r="B103" i="4"/>
  <c r="B102" i="4"/>
  <c r="H100" i="4"/>
  <c r="G100" i="4"/>
  <c r="F100" i="4" a="1"/>
  <c r="F100" i="4" s="1"/>
  <c r="E100" i="4" a="1"/>
  <c r="E100" i="4" s="1"/>
  <c r="D100" i="4" a="1"/>
  <c r="D100" i="4" s="1"/>
  <c r="C100" i="4" a="1"/>
  <c r="C100" i="4" s="1"/>
  <c r="B100" i="4" a="1"/>
  <c r="B100" i="4" s="1"/>
  <c r="A100" i="4"/>
  <c r="H99" i="4"/>
  <c r="G99" i="4"/>
  <c r="F99" i="4" a="1"/>
  <c r="F99" i="4" s="1"/>
  <c r="E99" i="4" a="1"/>
  <c r="E99" i="4" s="1"/>
  <c r="D99" i="4" a="1"/>
  <c r="D99" i="4" s="1"/>
  <c r="C99" i="4" a="1"/>
  <c r="C99" i="4" s="1"/>
  <c r="B99" i="4" a="1"/>
  <c r="B99" i="4" s="1"/>
  <c r="A99" i="4"/>
  <c r="H98" i="4"/>
  <c r="G98" i="4"/>
  <c r="F98" i="4" a="1"/>
  <c r="F98" i="4" s="1"/>
  <c r="E98" i="4" a="1"/>
  <c r="E98" i="4" s="1"/>
  <c r="D98" i="4" a="1"/>
  <c r="D98" i="4" s="1"/>
  <c r="C98" i="4" a="1"/>
  <c r="C98" i="4" s="1"/>
  <c r="B98" i="4" a="1"/>
  <c r="B98" i="4" s="1"/>
  <c r="A98" i="4"/>
  <c r="H97" i="4"/>
  <c r="G97" i="4"/>
  <c r="F97" i="4" a="1"/>
  <c r="F97" i="4" s="1"/>
  <c r="E97" i="4" a="1"/>
  <c r="E97" i="4" s="1"/>
  <c r="D97" i="4" a="1"/>
  <c r="D97" i="4" s="1"/>
  <c r="C97" i="4" a="1"/>
  <c r="C97" i="4" s="1"/>
  <c r="B97" i="4" a="1"/>
  <c r="B97" i="4" s="1"/>
  <c r="A97" i="4"/>
  <c r="H96" i="4"/>
  <c r="G96" i="4"/>
  <c r="F96" i="4" a="1"/>
  <c r="F96" i="4" s="1"/>
  <c r="E96" i="4" a="1"/>
  <c r="E96" i="4" s="1"/>
  <c r="D96" i="4" a="1"/>
  <c r="D96" i="4" s="1"/>
  <c r="C96" i="4" a="1"/>
  <c r="C96" i="4" s="1"/>
  <c r="B96" i="4" a="1"/>
  <c r="B96" i="4" s="1"/>
  <c r="A96" i="4"/>
  <c r="H95" i="4"/>
  <c r="G95" i="4"/>
  <c r="F95" i="4" a="1"/>
  <c r="F95" i="4" s="1"/>
  <c r="E95" i="4" a="1"/>
  <c r="E95" i="4" s="1"/>
  <c r="D95" i="4" a="1"/>
  <c r="D95" i="4" s="1"/>
  <c r="C95" i="4" a="1"/>
  <c r="C95" i="4" s="1"/>
  <c r="B95" i="4" a="1"/>
  <c r="B95" i="4" s="1"/>
  <c r="A95" i="4"/>
  <c r="H94" i="4"/>
  <c r="G94" i="4"/>
  <c r="F94" i="4" a="1"/>
  <c r="F94" i="4" s="1"/>
  <c r="E94" i="4" a="1"/>
  <c r="E94" i="4" s="1"/>
  <c r="D94" i="4" a="1"/>
  <c r="D94" i="4" s="1"/>
  <c r="C94" i="4" a="1"/>
  <c r="C94" i="4" s="1"/>
  <c r="B94" i="4" a="1"/>
  <c r="B94" i="4" s="1"/>
  <c r="A94" i="4"/>
  <c r="H93" i="4"/>
  <c r="G93" i="4"/>
  <c r="F93" i="4" a="1"/>
  <c r="F93" i="4" s="1"/>
  <c r="E93" i="4" a="1"/>
  <c r="E93" i="4" s="1"/>
  <c r="D93" i="4" a="1"/>
  <c r="D93" i="4" s="1"/>
  <c r="C93" i="4" a="1"/>
  <c r="C93" i="4" s="1"/>
  <c r="B93" i="4" a="1"/>
  <c r="B93" i="4" s="1"/>
  <c r="A93" i="4"/>
  <c r="H92" i="4"/>
  <c r="G92" i="4"/>
  <c r="F92" i="4" a="1"/>
  <c r="F92" i="4" s="1"/>
  <c r="E92" i="4" a="1"/>
  <c r="E92" i="4" s="1"/>
  <c r="D92" i="4" a="1"/>
  <c r="D92" i="4" s="1"/>
  <c r="C92" i="4" a="1"/>
  <c r="C92" i="4" s="1"/>
  <c r="B92" i="4" a="1"/>
  <c r="B92" i="4" s="1"/>
  <c r="A92" i="4"/>
  <c r="H91" i="4"/>
  <c r="G91" i="4"/>
  <c r="F91" i="4" a="1"/>
  <c r="F91" i="4" s="1"/>
  <c r="E91" i="4" a="1"/>
  <c r="E91" i="4" s="1"/>
  <c r="D91" i="4" a="1"/>
  <c r="D91" i="4" s="1"/>
  <c r="C91" i="4" a="1"/>
  <c r="C91" i="4" s="1"/>
  <c r="B91" i="4" a="1"/>
  <c r="B91" i="4" s="1"/>
  <c r="A91" i="4"/>
  <c r="H90" i="4"/>
  <c r="G90" i="4"/>
  <c r="F90" i="4" a="1"/>
  <c r="F90" i="4" s="1"/>
  <c r="E90" i="4" a="1"/>
  <c r="E90" i="4" s="1"/>
  <c r="D90" i="4" a="1"/>
  <c r="D90" i="4" s="1"/>
  <c r="C90" i="4" a="1"/>
  <c r="C90" i="4" s="1"/>
  <c r="B90" i="4" a="1"/>
  <c r="B90" i="4" s="1"/>
  <c r="A90" i="4"/>
  <c r="H89" i="4"/>
  <c r="G89" i="4"/>
  <c r="F89" i="4" a="1"/>
  <c r="F89" i="4" s="1"/>
  <c r="E89" i="4" a="1"/>
  <c r="E89" i="4" s="1"/>
  <c r="D89" i="4" a="1"/>
  <c r="D89" i="4" s="1"/>
  <c r="C89" i="4" a="1"/>
  <c r="C89" i="4" s="1"/>
  <c r="B89" i="4" a="1"/>
  <c r="B89" i="4" s="1"/>
  <c r="A89" i="4"/>
  <c r="H88" i="4"/>
  <c r="G88" i="4"/>
  <c r="F88" i="4" a="1"/>
  <c r="F88" i="4" s="1"/>
  <c r="E88" i="4" a="1"/>
  <c r="E88" i="4" s="1"/>
  <c r="D88" i="4" a="1"/>
  <c r="D88" i="4" s="1"/>
  <c r="C88" i="4" a="1"/>
  <c r="C88" i="4" s="1"/>
  <c r="B88" i="4" a="1"/>
  <c r="B88" i="4" s="1"/>
  <c r="A88" i="4"/>
  <c r="H87" i="4"/>
  <c r="G87" i="4"/>
  <c r="F87" i="4" a="1"/>
  <c r="F87" i="4" s="1"/>
  <c r="E87" i="4" a="1"/>
  <c r="E87" i="4" s="1"/>
  <c r="D87" i="4" a="1"/>
  <c r="D87" i="4" s="1"/>
  <c r="C87" i="4" a="1"/>
  <c r="C87" i="4" s="1"/>
  <c r="B87" i="4" a="1"/>
  <c r="B87" i="4" s="1"/>
  <c r="A87" i="4"/>
  <c r="H86" i="4"/>
  <c r="G86" i="4"/>
  <c r="F86" i="4" a="1"/>
  <c r="F86" i="4" s="1"/>
  <c r="E86" i="4" a="1"/>
  <c r="E86" i="4" s="1"/>
  <c r="D86" i="4" a="1"/>
  <c r="D86" i="4" s="1"/>
  <c r="C86" i="4" a="1"/>
  <c r="C86" i="4" s="1"/>
  <c r="B86" i="4" a="1"/>
  <c r="B86" i="4" s="1"/>
  <c r="A86" i="4"/>
  <c r="H85" i="4"/>
  <c r="G85" i="4"/>
  <c r="F85" i="4" a="1"/>
  <c r="F85" i="4" s="1"/>
  <c r="E85" i="4" a="1"/>
  <c r="E85" i="4" s="1"/>
  <c r="D85" i="4" a="1"/>
  <c r="D85" i="4" s="1"/>
  <c r="C85" i="4" a="1"/>
  <c r="C85" i="4" s="1"/>
  <c r="B85" i="4" a="1"/>
  <c r="B85" i="4" s="1"/>
  <c r="A85" i="4"/>
  <c r="H84" i="4"/>
  <c r="G84" i="4"/>
  <c r="F84" i="4" a="1"/>
  <c r="F84" i="4" s="1"/>
  <c r="E84" i="4" a="1"/>
  <c r="E84" i="4" s="1"/>
  <c r="D84" i="4" a="1"/>
  <c r="D84" i="4" s="1"/>
  <c r="C84" i="4" a="1"/>
  <c r="C84" i="4" s="1"/>
  <c r="B84" i="4" a="1"/>
  <c r="B84" i="4" s="1"/>
  <c r="A84" i="4"/>
  <c r="H83" i="4"/>
  <c r="G83" i="4"/>
  <c r="F83" i="4" a="1"/>
  <c r="F83" i="4" s="1"/>
  <c r="E83" i="4" a="1"/>
  <c r="E83" i="4" s="1"/>
  <c r="D83" i="4" a="1"/>
  <c r="D83" i="4" s="1"/>
  <c r="C83" i="4" a="1"/>
  <c r="C83" i="4" s="1"/>
  <c r="B83" i="4" a="1"/>
  <c r="B83" i="4" s="1"/>
  <c r="A83" i="4"/>
  <c r="H82" i="4"/>
  <c r="G82" i="4"/>
  <c r="F82" i="4" a="1"/>
  <c r="F82" i="4" s="1"/>
  <c r="E82" i="4" a="1"/>
  <c r="E82" i="4" s="1"/>
  <c r="D82" i="4" a="1"/>
  <c r="D82" i="4" s="1"/>
  <c r="C82" i="4" a="1"/>
  <c r="C82" i="4" s="1"/>
  <c r="B82" i="4" a="1"/>
  <c r="B82" i="4" s="1"/>
  <c r="A82" i="4"/>
  <c r="H81" i="4"/>
  <c r="G81" i="4"/>
  <c r="F81" i="4" a="1"/>
  <c r="F81" i="4" s="1"/>
  <c r="E81" i="4" a="1"/>
  <c r="E81" i="4" s="1"/>
  <c r="D81" i="4" a="1"/>
  <c r="D81" i="4" s="1"/>
  <c r="C81" i="4" a="1"/>
  <c r="C81" i="4" s="1"/>
  <c r="B81" i="4" a="1"/>
  <c r="B81" i="4" s="1"/>
  <c r="A81" i="4"/>
  <c r="G80" i="4"/>
  <c r="F80" i="4" a="1"/>
  <c r="F80" i="4" s="1"/>
  <c r="E80" i="4" a="1"/>
  <c r="E80" i="4" s="1"/>
  <c r="D80" i="4" a="1"/>
  <c r="D80" i="4" s="1"/>
  <c r="C80" i="4" a="1"/>
  <c r="C80" i="4" s="1"/>
  <c r="B80" i="4" a="1"/>
  <c r="B80" i="4" s="1"/>
  <c r="A80" i="4"/>
  <c r="I59" i="4"/>
  <c r="I58" i="4"/>
  <c r="C73" i="4"/>
  <c r="C74" i="4"/>
  <c r="C75" i="4"/>
  <c r="B75" i="4" a="1"/>
  <c r="B75" i="4" s="1"/>
  <c r="B74" i="4" a="1"/>
  <c r="B74" i="4" s="1"/>
  <c r="B73" i="4" a="1"/>
  <c r="B73" i="4" s="1"/>
  <c r="F70" i="4"/>
  <c r="E70" i="4"/>
  <c r="D70" i="4"/>
  <c r="C70" i="4"/>
  <c r="B70" i="4"/>
  <c r="F69" i="4"/>
  <c r="E69" i="4"/>
  <c r="D69" i="4"/>
  <c r="C69" i="4"/>
  <c r="B69" i="4"/>
  <c r="F68" i="4"/>
  <c r="E68" i="4"/>
  <c r="D68" i="4"/>
  <c r="C68" i="4"/>
  <c r="B68" i="4"/>
  <c r="F67" i="4"/>
  <c r="E67" i="4"/>
  <c r="D67" i="4"/>
  <c r="C67" i="4"/>
  <c r="B67" i="4"/>
  <c r="F66" i="4"/>
  <c r="E66" i="4"/>
  <c r="D66" i="4"/>
  <c r="C66" i="4"/>
  <c r="B66" i="4"/>
  <c r="F65" i="4"/>
  <c r="E65" i="4"/>
  <c r="D65" i="4"/>
  <c r="C65" i="4"/>
  <c r="B65" i="4"/>
  <c r="F64" i="4"/>
  <c r="E64" i="4"/>
  <c r="D64" i="4"/>
  <c r="C64" i="4"/>
  <c r="B64" i="4"/>
  <c r="F63" i="4"/>
  <c r="E63" i="4"/>
  <c r="D63" i="4"/>
  <c r="C63" i="4"/>
  <c r="B63" i="4"/>
  <c r="F62" i="4"/>
  <c r="E62" i="4"/>
  <c r="D62" i="4"/>
  <c r="C62" i="4"/>
  <c r="B62" i="4"/>
  <c r="F61" i="4"/>
  <c r="E61" i="4"/>
  <c r="D61" i="4"/>
  <c r="C61" i="4"/>
  <c r="B61" i="4"/>
  <c r="F60" i="4"/>
  <c r="E60" i="4"/>
  <c r="D60" i="4"/>
  <c r="C60" i="4"/>
  <c r="B60" i="4"/>
  <c r="F59" i="4"/>
  <c r="E59" i="4"/>
  <c r="D59" i="4"/>
  <c r="C59" i="4"/>
  <c r="B59" i="4"/>
  <c r="B55" i="4"/>
  <c r="B54" i="4"/>
  <c r="B53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F32" i="4"/>
  <c r="E32" i="4" a="1"/>
  <c r="E32" i="4" s="1"/>
  <c r="D32" i="4" a="1"/>
  <c r="D32" i="4" s="1"/>
  <c r="C32" i="4" a="1"/>
  <c r="C32" i="4" s="1"/>
  <c r="B32" i="4" a="1"/>
  <c r="B32" i="4" s="1"/>
  <c r="F31" i="4"/>
  <c r="E31" i="4" a="1"/>
  <c r="E31" i="4" s="1"/>
  <c r="D31" i="4" a="1"/>
  <c r="D31" i="4" s="1"/>
  <c r="C31" i="4" a="1"/>
  <c r="C31" i="4" s="1"/>
  <c r="B31" i="4" a="1"/>
  <c r="B31" i="4" s="1"/>
  <c r="F30" i="4"/>
  <c r="E30" i="4" a="1"/>
  <c r="E30" i="4" s="1"/>
  <c r="D30" i="4" a="1"/>
  <c r="D30" i="4" s="1"/>
  <c r="C30" i="4" a="1"/>
  <c r="C30" i="4" s="1"/>
  <c r="B30" i="4" a="1"/>
  <c r="B30" i="4" s="1"/>
  <c r="F29" i="4"/>
  <c r="E29" i="4" a="1"/>
  <c r="E29" i="4" s="1"/>
  <c r="D29" i="4" a="1"/>
  <c r="D29" i="4" s="1"/>
  <c r="C29" i="4" a="1"/>
  <c r="C29" i="4" s="1"/>
  <c r="B29" i="4" a="1"/>
  <c r="B29" i="4" s="1"/>
  <c r="F28" i="4"/>
  <c r="E28" i="4" a="1"/>
  <c r="E28" i="4" s="1"/>
  <c r="D28" i="4" a="1"/>
  <c r="D28" i="4" s="1"/>
  <c r="C28" i="4" a="1"/>
  <c r="C28" i="4" s="1"/>
  <c r="B28" i="4" a="1"/>
  <c r="B28" i="4" s="1"/>
  <c r="F27" i="4"/>
  <c r="E27" i="4" a="1"/>
  <c r="E27" i="4" s="1"/>
  <c r="D27" i="4" a="1"/>
  <c r="D27" i="4" s="1"/>
  <c r="C27" i="4" a="1"/>
  <c r="C27" i="4" s="1"/>
  <c r="B27" i="4" a="1"/>
  <c r="B27" i="4" s="1"/>
  <c r="F26" i="4"/>
  <c r="E26" i="4" a="1"/>
  <c r="E26" i="4" s="1"/>
  <c r="D26" i="4" a="1"/>
  <c r="D26" i="4" s="1"/>
  <c r="C26" i="4" a="1"/>
  <c r="C26" i="4" s="1"/>
  <c r="B26" i="4" a="1"/>
  <c r="B26" i="4" s="1"/>
  <c r="F25" i="4"/>
  <c r="E25" i="4" a="1"/>
  <c r="E25" i="4" s="1"/>
  <c r="D25" i="4" a="1"/>
  <c r="D25" i="4" s="1"/>
  <c r="C25" i="4" a="1"/>
  <c r="C25" i="4" s="1"/>
  <c r="B25" i="4" a="1"/>
  <c r="B25" i="4" s="1"/>
  <c r="F24" i="4"/>
  <c r="E24" i="4" a="1"/>
  <c r="E24" i="4" s="1"/>
  <c r="D24" i="4" a="1"/>
  <c r="D24" i="4" s="1"/>
  <c r="C24" i="4" a="1"/>
  <c r="C24" i="4" s="1"/>
  <c r="B24" i="4" a="1"/>
  <c r="B24" i="4" s="1"/>
  <c r="F23" i="4"/>
  <c r="E23" i="4" a="1"/>
  <c r="E23" i="4" s="1"/>
  <c r="D23" i="4" a="1"/>
  <c r="D23" i="4" s="1"/>
  <c r="C23" i="4" a="1"/>
  <c r="C23" i="4" s="1"/>
  <c r="B23" i="4" a="1"/>
  <c r="B23" i="4" s="1"/>
  <c r="F22" i="4"/>
  <c r="E22" i="4" a="1"/>
  <c r="E22" i="4" s="1"/>
  <c r="D22" i="4" a="1"/>
  <c r="D22" i="4" s="1"/>
  <c r="C22" i="4" a="1"/>
  <c r="C22" i="4" s="1"/>
  <c r="B22" i="4" a="1"/>
  <c r="B22" i="4" s="1"/>
  <c r="F21" i="4"/>
  <c r="E21" i="4" a="1"/>
  <c r="E21" i="4" s="1"/>
  <c r="D21" i="4" a="1"/>
  <c r="D21" i="4" s="1"/>
  <c r="C21" i="4" a="1"/>
  <c r="C21" i="4" s="1"/>
  <c r="B21" i="4" a="1"/>
  <c r="B21" i="4" s="1"/>
  <c r="F20" i="4"/>
  <c r="E20" i="4" a="1"/>
  <c r="E20" i="4" s="1"/>
  <c r="D20" i="4" a="1"/>
  <c r="D20" i="4" s="1"/>
  <c r="C20" i="4" a="1"/>
  <c r="C20" i="4" s="1"/>
  <c r="B20" i="4" a="1"/>
  <c r="B20" i="4" s="1"/>
  <c r="F19" i="4"/>
  <c r="E19" i="4" a="1"/>
  <c r="E19" i="4" s="1"/>
  <c r="D19" i="4" a="1"/>
  <c r="D19" i="4" s="1"/>
  <c r="C19" i="4" a="1"/>
  <c r="C19" i="4" s="1"/>
  <c r="B19" i="4" a="1"/>
  <c r="B19" i="4" s="1"/>
  <c r="F18" i="4"/>
  <c r="E18" i="4" a="1"/>
  <c r="E18" i="4" s="1"/>
  <c r="D18" i="4" a="1"/>
  <c r="D18" i="4" s="1"/>
  <c r="C18" i="4" a="1"/>
  <c r="C18" i="4" s="1"/>
  <c r="B18" i="4" a="1"/>
  <c r="B18" i="4" s="1"/>
  <c r="F17" i="4"/>
  <c r="E17" i="4" a="1"/>
  <c r="E17" i="4" s="1"/>
  <c r="D17" i="4" a="1"/>
  <c r="D17" i="4" s="1"/>
  <c r="C17" i="4" a="1"/>
  <c r="C17" i="4" s="1"/>
  <c r="B17" i="4" a="1"/>
  <c r="B17" i="4" s="1"/>
  <c r="F16" i="4"/>
  <c r="E16" i="4" a="1"/>
  <c r="E16" i="4" s="1"/>
  <c r="D16" i="4" a="1"/>
  <c r="D16" i="4" s="1"/>
  <c r="C16" i="4" a="1"/>
  <c r="C16" i="4" s="1"/>
  <c r="B16" i="4" a="1"/>
  <c r="B16" i="4" s="1"/>
  <c r="F15" i="4"/>
  <c r="E15" i="4" a="1"/>
  <c r="E15" i="4" s="1"/>
  <c r="D15" i="4" a="1"/>
  <c r="D15" i="4" s="1"/>
  <c r="C15" i="4" a="1"/>
  <c r="C15" i="4" s="1"/>
  <c r="B15" i="4" a="1"/>
  <c r="B15" i="4" s="1"/>
  <c r="F14" i="4"/>
  <c r="E14" i="4" a="1"/>
  <c r="E14" i="4" s="1"/>
  <c r="D14" i="4" a="1"/>
  <c r="D14" i="4" s="1"/>
  <c r="C14" i="4" a="1"/>
  <c r="C14" i="4" s="1"/>
  <c r="B14" i="4" a="1"/>
  <c r="B14" i="4" s="1"/>
  <c r="F13" i="4"/>
  <c r="E13" i="4" a="1"/>
  <c r="E13" i="4" s="1"/>
  <c r="D13" i="4" a="1"/>
  <c r="D13" i="4" s="1"/>
  <c r="C13" i="4" a="1"/>
  <c r="C13" i="4" s="1"/>
  <c r="B13" i="4" a="1"/>
  <c r="B13" i="4" s="1"/>
  <c r="F12" i="4"/>
  <c r="E12" i="4" a="1"/>
  <c r="E12" i="4" s="1"/>
  <c r="D12" i="4" a="1"/>
  <c r="D12" i="4" s="1"/>
  <c r="C12" i="4" a="1"/>
  <c r="C12" i="4" s="1"/>
  <c r="B12" i="4" a="1"/>
  <c r="B12" i="4" s="1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H6" i="4"/>
  <c r="H7" i="4"/>
  <c r="H8" i="4" a="1"/>
  <c r="H8" i="4" s="1"/>
  <c r="E6" i="4"/>
  <c r="E7" i="4" a="1"/>
  <c r="E7" i="4" s="1"/>
  <c r="E8" i="4" a="1"/>
  <c r="E8" i="4" s="1"/>
  <c r="B6" i="4"/>
  <c r="B7" i="4"/>
  <c r="B8" i="4" a="1"/>
  <c r="B8" i="4" s="1"/>
  <c r="C2003" i="2"/>
  <c r="B2003" i="2"/>
  <c r="A2003" i="2"/>
  <c r="C2002" i="2"/>
  <c r="B2002" i="2"/>
  <c r="A2002" i="2"/>
  <c r="C2001" i="2"/>
  <c r="B2001" i="2"/>
  <c r="A2001" i="2"/>
  <c r="C2000" i="2"/>
  <c r="B2000" i="2"/>
  <c r="A2000" i="2"/>
  <c r="C1999" i="2"/>
  <c r="B1999" i="2"/>
  <c r="A1999" i="2"/>
  <c r="C1998" i="2"/>
  <c r="B1998" i="2"/>
  <c r="A1998" i="2"/>
  <c r="C1997" i="2"/>
  <c r="B1997" i="2"/>
  <c r="A1997" i="2"/>
  <c r="C1996" i="2"/>
  <c r="B1996" i="2"/>
  <c r="A1996" i="2"/>
  <c r="C1995" i="2"/>
  <c r="B1995" i="2"/>
  <c r="A1995" i="2"/>
  <c r="C1994" i="2"/>
  <c r="B1994" i="2"/>
  <c r="A1994" i="2"/>
  <c r="C1993" i="2"/>
  <c r="B1993" i="2"/>
  <c r="A1993" i="2"/>
  <c r="C1992" i="2"/>
  <c r="B1992" i="2"/>
  <c r="A1992" i="2"/>
  <c r="C1991" i="2"/>
  <c r="B1991" i="2"/>
  <c r="A1991" i="2"/>
  <c r="C1990" i="2"/>
  <c r="B1990" i="2"/>
  <c r="A1990" i="2"/>
  <c r="C1989" i="2"/>
  <c r="B1989" i="2"/>
  <c r="A1989" i="2"/>
  <c r="C1988" i="2"/>
  <c r="B1988" i="2"/>
  <c r="A1988" i="2"/>
  <c r="C1987" i="2"/>
  <c r="B1987" i="2"/>
  <c r="A1987" i="2"/>
  <c r="C1986" i="2"/>
  <c r="B1986" i="2"/>
  <c r="A1986" i="2"/>
  <c r="C1985" i="2"/>
  <c r="B1985" i="2"/>
  <c r="A1985" i="2"/>
  <c r="C1984" i="2"/>
  <c r="B1984" i="2"/>
  <c r="A1984" i="2"/>
  <c r="C1983" i="2"/>
  <c r="B1983" i="2"/>
  <c r="A1983" i="2"/>
  <c r="C1982" i="2"/>
  <c r="B1982" i="2"/>
  <c r="A1982" i="2"/>
  <c r="C1981" i="2"/>
  <c r="B1981" i="2"/>
  <c r="A1981" i="2"/>
  <c r="C1980" i="2"/>
  <c r="B1980" i="2"/>
  <c r="A1980" i="2"/>
  <c r="C1979" i="2"/>
  <c r="B1979" i="2"/>
  <c r="A1979" i="2"/>
  <c r="C1978" i="2"/>
  <c r="B1978" i="2"/>
  <c r="A1978" i="2"/>
  <c r="C1977" i="2"/>
  <c r="B1977" i="2"/>
  <c r="A1977" i="2"/>
  <c r="C1976" i="2"/>
  <c r="B1976" i="2"/>
  <c r="A1976" i="2"/>
  <c r="C1975" i="2"/>
  <c r="B1975" i="2"/>
  <c r="A1975" i="2"/>
  <c r="C1974" i="2"/>
  <c r="B1974" i="2"/>
  <c r="A1974" i="2"/>
  <c r="C1973" i="2"/>
  <c r="B1973" i="2"/>
  <c r="A1973" i="2"/>
  <c r="C1972" i="2"/>
  <c r="B1972" i="2"/>
  <c r="A1972" i="2"/>
  <c r="C1971" i="2"/>
  <c r="B1971" i="2"/>
  <c r="A1971" i="2"/>
  <c r="C1970" i="2"/>
  <c r="B1970" i="2"/>
  <c r="A1970" i="2"/>
  <c r="C1969" i="2"/>
  <c r="B1969" i="2"/>
  <c r="A1969" i="2"/>
  <c r="C1968" i="2"/>
  <c r="B1968" i="2"/>
  <c r="A1968" i="2"/>
  <c r="C1967" i="2"/>
  <c r="B1967" i="2"/>
  <c r="A1967" i="2"/>
  <c r="C1966" i="2"/>
  <c r="B1966" i="2"/>
  <c r="A1966" i="2"/>
  <c r="C1965" i="2"/>
  <c r="B1965" i="2"/>
  <c r="A1965" i="2"/>
  <c r="C1964" i="2"/>
  <c r="B1964" i="2"/>
  <c r="A1964" i="2"/>
  <c r="C1963" i="2"/>
  <c r="B1963" i="2"/>
  <c r="A1963" i="2"/>
  <c r="C1962" i="2"/>
  <c r="B1962" i="2"/>
  <c r="A1962" i="2"/>
  <c r="C1961" i="2"/>
  <c r="B1961" i="2"/>
  <c r="A1961" i="2"/>
  <c r="C1960" i="2"/>
  <c r="B1960" i="2"/>
  <c r="A1960" i="2"/>
  <c r="C1959" i="2"/>
  <c r="B1959" i="2"/>
  <c r="A1959" i="2"/>
  <c r="C1958" i="2"/>
  <c r="B1958" i="2"/>
  <c r="A1958" i="2"/>
  <c r="C1957" i="2"/>
  <c r="B1957" i="2"/>
  <c r="A1957" i="2"/>
  <c r="C1956" i="2"/>
  <c r="B1956" i="2"/>
  <c r="A1956" i="2"/>
  <c r="C1955" i="2"/>
  <c r="B1955" i="2"/>
  <c r="A1955" i="2"/>
  <c r="C1954" i="2"/>
  <c r="B1954" i="2"/>
  <c r="A1954" i="2"/>
  <c r="C1953" i="2"/>
  <c r="B1953" i="2"/>
  <c r="A1953" i="2"/>
  <c r="C1952" i="2"/>
  <c r="B1952" i="2"/>
  <c r="A1952" i="2"/>
  <c r="C1951" i="2"/>
  <c r="B1951" i="2"/>
  <c r="A1951" i="2"/>
  <c r="C1950" i="2"/>
  <c r="B1950" i="2"/>
  <c r="A1950" i="2"/>
  <c r="C1949" i="2"/>
  <c r="B1949" i="2"/>
  <c r="A1949" i="2"/>
  <c r="C1948" i="2"/>
  <c r="B1948" i="2"/>
  <c r="A1948" i="2"/>
  <c r="C1947" i="2"/>
  <c r="B1947" i="2"/>
  <c r="A1947" i="2"/>
  <c r="C1946" i="2"/>
  <c r="B1946" i="2"/>
  <c r="A1946" i="2"/>
  <c r="C1945" i="2"/>
  <c r="B1945" i="2"/>
  <c r="A1945" i="2"/>
  <c r="C1944" i="2"/>
  <c r="B1944" i="2"/>
  <c r="A1944" i="2"/>
  <c r="C1943" i="2"/>
  <c r="B1943" i="2"/>
  <c r="A1943" i="2"/>
  <c r="C1942" i="2"/>
  <c r="B1942" i="2"/>
  <c r="A1942" i="2"/>
  <c r="C1941" i="2"/>
  <c r="B1941" i="2"/>
  <c r="A1941" i="2"/>
  <c r="C1940" i="2"/>
  <c r="B1940" i="2"/>
  <c r="A1940" i="2"/>
  <c r="C1939" i="2"/>
  <c r="B1939" i="2"/>
  <c r="A1939" i="2"/>
  <c r="C1938" i="2"/>
  <c r="B1938" i="2"/>
  <c r="A1938" i="2"/>
  <c r="C1937" i="2"/>
  <c r="B1937" i="2"/>
  <c r="A1937" i="2"/>
  <c r="C1936" i="2"/>
  <c r="B1936" i="2"/>
  <c r="A1936" i="2"/>
  <c r="C1935" i="2"/>
  <c r="B1935" i="2"/>
  <c r="A1935" i="2"/>
  <c r="C1934" i="2"/>
  <c r="B1934" i="2"/>
  <c r="A1934" i="2"/>
  <c r="C1933" i="2"/>
  <c r="B1933" i="2"/>
  <c r="A1933" i="2"/>
  <c r="C1932" i="2"/>
  <c r="B1932" i="2"/>
  <c r="A1932" i="2"/>
  <c r="C1931" i="2"/>
  <c r="B1931" i="2"/>
  <c r="A1931" i="2"/>
  <c r="C1930" i="2"/>
  <c r="B1930" i="2"/>
  <c r="A1930" i="2"/>
  <c r="C1929" i="2"/>
  <c r="B1929" i="2"/>
  <c r="A1929" i="2"/>
  <c r="C1928" i="2"/>
  <c r="B1928" i="2"/>
  <c r="A1928" i="2"/>
  <c r="C1927" i="2"/>
  <c r="B1927" i="2"/>
  <c r="A1927" i="2"/>
  <c r="C1926" i="2"/>
  <c r="B1926" i="2"/>
  <c r="A1926" i="2"/>
  <c r="C1925" i="2"/>
  <c r="B1925" i="2"/>
  <c r="A1925" i="2"/>
  <c r="C1924" i="2"/>
  <c r="B1924" i="2"/>
  <c r="A1924" i="2"/>
  <c r="C1923" i="2"/>
  <c r="B1923" i="2"/>
  <c r="A1923" i="2"/>
  <c r="C1922" i="2"/>
  <c r="B1922" i="2"/>
  <c r="A1922" i="2"/>
  <c r="C1921" i="2"/>
  <c r="B1921" i="2"/>
  <c r="A1921" i="2"/>
  <c r="C1920" i="2"/>
  <c r="B1920" i="2"/>
  <c r="A1920" i="2"/>
  <c r="C1919" i="2"/>
  <c r="B1919" i="2"/>
  <c r="A1919" i="2"/>
  <c r="C1918" i="2"/>
  <c r="B1918" i="2"/>
  <c r="A1918" i="2"/>
  <c r="C1917" i="2"/>
  <c r="B1917" i="2"/>
  <c r="A1917" i="2"/>
  <c r="C1916" i="2"/>
  <c r="B1916" i="2"/>
  <c r="A1916" i="2"/>
  <c r="C1915" i="2"/>
  <c r="B1915" i="2"/>
  <c r="A1915" i="2"/>
  <c r="C1914" i="2"/>
  <c r="B1914" i="2"/>
  <c r="A1914" i="2"/>
  <c r="C1913" i="2"/>
  <c r="B1913" i="2"/>
  <c r="A1913" i="2"/>
  <c r="C1912" i="2"/>
  <c r="B1912" i="2"/>
  <c r="A1912" i="2"/>
  <c r="C1911" i="2"/>
  <c r="B1911" i="2"/>
  <c r="A1911" i="2"/>
  <c r="C1910" i="2"/>
  <c r="B1910" i="2"/>
  <c r="A1910" i="2"/>
  <c r="C1909" i="2"/>
  <c r="B1909" i="2"/>
  <c r="A1909" i="2"/>
  <c r="C1908" i="2"/>
  <c r="B1908" i="2"/>
  <c r="A1908" i="2"/>
  <c r="C1907" i="2"/>
  <c r="B1907" i="2"/>
  <c r="A1907" i="2"/>
  <c r="C1906" i="2"/>
  <c r="B1906" i="2"/>
  <c r="A1906" i="2"/>
  <c r="C1905" i="2"/>
  <c r="B1905" i="2"/>
  <c r="A1905" i="2"/>
  <c r="C1904" i="2"/>
  <c r="B1904" i="2"/>
  <c r="A1904" i="2"/>
  <c r="C1903" i="2"/>
  <c r="B1903" i="2"/>
  <c r="A1903" i="2"/>
  <c r="C1902" i="2"/>
  <c r="B1902" i="2"/>
  <c r="A1902" i="2"/>
  <c r="C1901" i="2"/>
  <c r="B1901" i="2"/>
  <c r="A1901" i="2"/>
  <c r="C1900" i="2"/>
  <c r="B1900" i="2"/>
  <c r="A1900" i="2"/>
  <c r="C1899" i="2"/>
  <c r="B1899" i="2"/>
  <c r="A1899" i="2"/>
  <c r="C1898" i="2"/>
  <c r="B1898" i="2"/>
  <c r="A1898" i="2"/>
  <c r="C1897" i="2"/>
  <c r="B1897" i="2"/>
  <c r="A1897" i="2"/>
  <c r="C1896" i="2"/>
  <c r="B1896" i="2"/>
  <c r="A1896" i="2"/>
  <c r="C1895" i="2"/>
  <c r="B1895" i="2"/>
  <c r="A1895" i="2"/>
  <c r="C1894" i="2"/>
  <c r="B1894" i="2"/>
  <c r="A1894" i="2"/>
  <c r="C1893" i="2"/>
  <c r="B1893" i="2"/>
  <c r="A1893" i="2"/>
  <c r="C1892" i="2"/>
  <c r="B1892" i="2"/>
  <c r="A1892" i="2"/>
  <c r="C1891" i="2"/>
  <c r="B1891" i="2"/>
  <c r="A1891" i="2"/>
  <c r="C1890" i="2"/>
  <c r="B1890" i="2"/>
  <c r="A1890" i="2"/>
  <c r="C1889" i="2"/>
  <c r="B1889" i="2"/>
  <c r="A1889" i="2"/>
  <c r="C1888" i="2"/>
  <c r="B1888" i="2"/>
  <c r="A1888" i="2"/>
  <c r="C1887" i="2"/>
  <c r="B1887" i="2"/>
  <c r="A1887" i="2"/>
  <c r="C1886" i="2"/>
  <c r="B1886" i="2"/>
  <c r="A1886" i="2"/>
  <c r="C1885" i="2"/>
  <c r="B1885" i="2"/>
  <c r="A1885" i="2"/>
  <c r="C1884" i="2"/>
  <c r="B1884" i="2"/>
  <c r="A1884" i="2"/>
  <c r="C1883" i="2"/>
  <c r="B1883" i="2"/>
  <c r="A1883" i="2"/>
  <c r="C1882" i="2"/>
  <c r="B1882" i="2"/>
  <c r="A1882" i="2"/>
  <c r="C1881" i="2"/>
  <c r="B1881" i="2"/>
  <c r="A1881" i="2"/>
  <c r="C1880" i="2"/>
  <c r="B1880" i="2"/>
  <c r="A1880" i="2"/>
  <c r="C1879" i="2"/>
  <c r="B1879" i="2"/>
  <c r="A1879" i="2"/>
  <c r="C1878" i="2"/>
  <c r="B1878" i="2"/>
  <c r="A1878" i="2"/>
  <c r="C1877" i="2"/>
  <c r="B1877" i="2"/>
  <c r="A1877" i="2"/>
  <c r="C1876" i="2"/>
  <c r="B1876" i="2"/>
  <c r="A1876" i="2"/>
  <c r="C1875" i="2"/>
  <c r="B1875" i="2"/>
  <c r="A1875" i="2"/>
  <c r="C1874" i="2"/>
  <c r="B1874" i="2"/>
  <c r="A1874" i="2"/>
  <c r="C1873" i="2"/>
  <c r="B1873" i="2"/>
  <c r="A1873" i="2"/>
  <c r="C1872" i="2"/>
  <c r="B1872" i="2"/>
  <c r="A1872" i="2"/>
  <c r="C1871" i="2"/>
  <c r="B1871" i="2"/>
  <c r="A1871" i="2"/>
  <c r="C1870" i="2"/>
  <c r="B1870" i="2"/>
  <c r="A1870" i="2"/>
  <c r="C1869" i="2"/>
  <c r="B1869" i="2"/>
  <c r="A1869" i="2"/>
  <c r="C1868" i="2"/>
  <c r="B1868" i="2"/>
  <c r="A1868" i="2"/>
  <c r="C1867" i="2"/>
  <c r="B1867" i="2"/>
  <c r="A1867" i="2"/>
  <c r="C1866" i="2"/>
  <c r="B1866" i="2"/>
  <c r="A1866" i="2"/>
  <c r="C1865" i="2"/>
  <c r="B1865" i="2"/>
  <c r="A1865" i="2"/>
  <c r="C1864" i="2"/>
  <c r="B1864" i="2"/>
  <c r="A1864" i="2"/>
  <c r="C1863" i="2"/>
  <c r="B1863" i="2"/>
  <c r="A1863" i="2"/>
  <c r="C1862" i="2"/>
  <c r="B1862" i="2"/>
  <c r="A1862" i="2"/>
  <c r="C1861" i="2"/>
  <c r="B1861" i="2"/>
  <c r="A1861" i="2"/>
  <c r="C1860" i="2"/>
  <c r="B1860" i="2"/>
  <c r="A1860" i="2"/>
  <c r="C1859" i="2"/>
  <c r="B1859" i="2"/>
  <c r="A1859" i="2"/>
  <c r="C1858" i="2"/>
  <c r="B1858" i="2"/>
  <c r="A1858" i="2"/>
  <c r="C1857" i="2"/>
  <c r="B1857" i="2"/>
  <c r="A1857" i="2"/>
  <c r="C1856" i="2"/>
  <c r="B1856" i="2"/>
  <c r="A1856" i="2"/>
  <c r="C1855" i="2"/>
  <c r="B1855" i="2"/>
  <c r="A1855" i="2"/>
  <c r="C1854" i="2"/>
  <c r="B1854" i="2"/>
  <c r="A1854" i="2"/>
  <c r="C1853" i="2"/>
  <c r="B1853" i="2"/>
  <c r="A1853" i="2"/>
  <c r="C1852" i="2"/>
  <c r="B1852" i="2"/>
  <c r="A1852" i="2"/>
  <c r="C1851" i="2"/>
  <c r="B1851" i="2"/>
  <c r="A1851" i="2"/>
  <c r="C1850" i="2"/>
  <c r="B1850" i="2"/>
  <c r="A1850" i="2"/>
  <c r="C1849" i="2"/>
  <c r="B1849" i="2"/>
  <c r="A1849" i="2"/>
  <c r="C1848" i="2"/>
  <c r="B1848" i="2"/>
  <c r="A1848" i="2"/>
  <c r="C1847" i="2"/>
  <c r="B1847" i="2"/>
  <c r="A1847" i="2"/>
  <c r="C1846" i="2"/>
  <c r="B1846" i="2"/>
  <c r="A1846" i="2"/>
  <c r="C1845" i="2"/>
  <c r="B1845" i="2"/>
  <c r="A1845" i="2"/>
  <c r="C1844" i="2"/>
  <c r="B1844" i="2"/>
  <c r="A1844" i="2"/>
  <c r="C1843" i="2"/>
  <c r="B1843" i="2"/>
  <c r="A1843" i="2"/>
  <c r="C1842" i="2"/>
  <c r="B1842" i="2"/>
  <c r="A1842" i="2"/>
  <c r="C1841" i="2"/>
  <c r="B1841" i="2"/>
  <c r="A1841" i="2"/>
  <c r="C1840" i="2"/>
  <c r="B1840" i="2"/>
  <c r="A1840" i="2"/>
  <c r="C1839" i="2"/>
  <c r="B1839" i="2"/>
  <c r="A1839" i="2"/>
  <c r="C1838" i="2"/>
  <c r="B1838" i="2"/>
  <c r="A1838" i="2"/>
  <c r="C1837" i="2"/>
  <c r="B1837" i="2"/>
  <c r="A1837" i="2"/>
  <c r="C1836" i="2"/>
  <c r="B1836" i="2"/>
  <c r="A1836" i="2"/>
  <c r="C1835" i="2"/>
  <c r="B1835" i="2"/>
  <c r="A1835" i="2"/>
  <c r="C1834" i="2"/>
  <c r="B1834" i="2"/>
  <c r="A1834" i="2"/>
  <c r="C1833" i="2"/>
  <c r="B1833" i="2"/>
  <c r="A1833" i="2"/>
  <c r="C1832" i="2"/>
  <c r="B1832" i="2"/>
  <c r="A1832" i="2"/>
  <c r="C1831" i="2"/>
  <c r="B1831" i="2"/>
  <c r="A1831" i="2"/>
  <c r="C1830" i="2"/>
  <c r="B1830" i="2"/>
  <c r="A1830" i="2"/>
  <c r="C1829" i="2"/>
  <c r="B1829" i="2"/>
  <c r="A1829" i="2"/>
  <c r="C1828" i="2"/>
  <c r="B1828" i="2"/>
  <c r="A1828" i="2"/>
  <c r="C1827" i="2"/>
  <c r="B1827" i="2"/>
  <c r="A1827" i="2"/>
  <c r="C1826" i="2"/>
  <c r="B1826" i="2"/>
  <c r="A1826" i="2"/>
  <c r="C1825" i="2"/>
  <c r="B1825" i="2"/>
  <c r="A1825" i="2"/>
  <c r="C1824" i="2"/>
  <c r="B1824" i="2"/>
  <c r="A1824" i="2"/>
  <c r="C1823" i="2"/>
  <c r="B1823" i="2"/>
  <c r="A1823" i="2"/>
  <c r="C1822" i="2"/>
  <c r="B1822" i="2"/>
  <c r="A1822" i="2"/>
  <c r="C1821" i="2"/>
  <c r="B1821" i="2"/>
  <c r="A1821" i="2"/>
  <c r="C1820" i="2"/>
  <c r="B1820" i="2"/>
  <c r="A1820" i="2"/>
  <c r="C1819" i="2"/>
  <c r="B1819" i="2"/>
  <c r="A1819" i="2"/>
  <c r="C1818" i="2"/>
  <c r="B1818" i="2"/>
  <c r="A1818" i="2"/>
  <c r="C1817" i="2"/>
  <c r="B1817" i="2"/>
  <c r="A1817" i="2"/>
  <c r="C1816" i="2"/>
  <c r="B1816" i="2"/>
  <c r="A1816" i="2"/>
  <c r="C1815" i="2"/>
  <c r="B1815" i="2"/>
  <c r="A1815" i="2"/>
  <c r="C1814" i="2"/>
  <c r="B1814" i="2"/>
  <c r="A1814" i="2"/>
  <c r="C1813" i="2"/>
  <c r="B1813" i="2"/>
  <c r="A1813" i="2"/>
  <c r="C1812" i="2"/>
  <c r="B1812" i="2"/>
  <c r="A1812" i="2"/>
  <c r="C1811" i="2"/>
  <c r="B1811" i="2"/>
  <c r="A1811" i="2"/>
  <c r="C1810" i="2"/>
  <c r="B1810" i="2"/>
  <c r="A1810" i="2"/>
  <c r="C1809" i="2"/>
  <c r="B1809" i="2"/>
  <c r="A1809" i="2"/>
  <c r="C1808" i="2"/>
  <c r="B1808" i="2"/>
  <c r="A1808" i="2"/>
  <c r="C1807" i="2"/>
  <c r="B1807" i="2"/>
  <c r="A1807" i="2"/>
  <c r="C1806" i="2"/>
  <c r="B1806" i="2"/>
  <c r="A1806" i="2"/>
  <c r="C1805" i="2"/>
  <c r="B1805" i="2"/>
  <c r="A1805" i="2"/>
  <c r="C1804" i="2"/>
  <c r="B1804" i="2"/>
  <c r="A1804" i="2"/>
  <c r="C1803" i="2"/>
  <c r="B1803" i="2"/>
  <c r="A1803" i="2"/>
  <c r="C1802" i="2"/>
  <c r="B1802" i="2"/>
  <c r="A1802" i="2"/>
  <c r="C1801" i="2"/>
  <c r="B1801" i="2"/>
  <c r="A1801" i="2"/>
  <c r="C1800" i="2"/>
  <c r="B1800" i="2"/>
  <c r="A1800" i="2"/>
  <c r="C1799" i="2"/>
  <c r="B1799" i="2"/>
  <c r="A1799" i="2"/>
  <c r="C1798" i="2"/>
  <c r="B1798" i="2"/>
  <c r="A1798" i="2"/>
  <c r="C1797" i="2"/>
  <c r="B1797" i="2"/>
  <c r="A1797" i="2"/>
  <c r="C1796" i="2"/>
  <c r="B1796" i="2"/>
  <c r="A1796" i="2"/>
  <c r="C1795" i="2"/>
  <c r="B1795" i="2"/>
  <c r="A1795" i="2"/>
  <c r="C1794" i="2"/>
  <c r="B1794" i="2"/>
  <c r="A1794" i="2"/>
  <c r="C1793" i="2"/>
  <c r="B1793" i="2"/>
  <c r="A1793" i="2"/>
  <c r="C1792" i="2"/>
  <c r="B1792" i="2"/>
  <c r="A1792" i="2"/>
  <c r="C1791" i="2"/>
  <c r="B1791" i="2"/>
  <c r="A1791" i="2"/>
  <c r="C1790" i="2"/>
  <c r="B1790" i="2"/>
  <c r="A1790" i="2"/>
  <c r="C1789" i="2"/>
  <c r="B1789" i="2"/>
  <c r="A1789" i="2"/>
  <c r="C1788" i="2"/>
  <c r="B1788" i="2"/>
  <c r="A1788" i="2"/>
  <c r="C1787" i="2"/>
  <c r="B1787" i="2"/>
  <c r="A1787" i="2"/>
  <c r="C1786" i="2"/>
  <c r="B1786" i="2"/>
  <c r="A1786" i="2"/>
  <c r="C1785" i="2"/>
  <c r="B1785" i="2"/>
  <c r="A1785" i="2"/>
  <c r="C1784" i="2"/>
  <c r="B1784" i="2"/>
  <c r="A1784" i="2"/>
  <c r="C1783" i="2"/>
  <c r="B1783" i="2"/>
  <c r="A1783" i="2"/>
  <c r="C1782" i="2"/>
  <c r="B1782" i="2"/>
  <c r="A1782" i="2"/>
  <c r="C1781" i="2"/>
  <c r="B1781" i="2"/>
  <c r="A1781" i="2"/>
  <c r="C1780" i="2"/>
  <c r="B1780" i="2"/>
  <c r="A1780" i="2"/>
  <c r="C1779" i="2"/>
  <c r="B1779" i="2"/>
  <c r="A1779" i="2"/>
  <c r="C1778" i="2"/>
  <c r="B1778" i="2"/>
  <c r="A1778" i="2"/>
  <c r="C1777" i="2"/>
  <c r="B1777" i="2"/>
  <c r="A1777" i="2"/>
  <c r="C1776" i="2"/>
  <c r="B1776" i="2"/>
  <c r="A1776" i="2"/>
  <c r="C1775" i="2"/>
  <c r="B1775" i="2"/>
  <c r="A1775" i="2"/>
  <c r="C1774" i="2"/>
  <c r="B1774" i="2"/>
  <c r="A1774" i="2"/>
  <c r="C1773" i="2"/>
  <c r="B1773" i="2"/>
  <c r="A1773" i="2"/>
  <c r="C1772" i="2"/>
  <c r="B1772" i="2"/>
  <c r="A1772" i="2"/>
  <c r="C1771" i="2"/>
  <c r="B1771" i="2"/>
  <c r="A1771" i="2"/>
  <c r="C1770" i="2"/>
  <c r="B1770" i="2"/>
  <c r="A1770" i="2"/>
  <c r="C1769" i="2"/>
  <c r="B1769" i="2"/>
  <c r="A1769" i="2"/>
  <c r="C1768" i="2"/>
  <c r="B1768" i="2"/>
  <c r="A1768" i="2"/>
  <c r="C1767" i="2"/>
  <c r="B1767" i="2"/>
  <c r="A1767" i="2"/>
  <c r="C1766" i="2"/>
  <c r="B1766" i="2"/>
  <c r="A1766" i="2"/>
  <c r="C1765" i="2"/>
  <c r="B1765" i="2"/>
  <c r="A1765" i="2"/>
  <c r="C1764" i="2"/>
  <c r="B1764" i="2"/>
  <c r="A1764" i="2"/>
  <c r="C1763" i="2"/>
  <c r="B1763" i="2"/>
  <c r="A1763" i="2"/>
  <c r="C1762" i="2"/>
  <c r="B1762" i="2"/>
  <c r="A1762" i="2"/>
  <c r="C1761" i="2"/>
  <c r="B1761" i="2"/>
  <c r="A1761" i="2"/>
  <c r="C1760" i="2"/>
  <c r="B1760" i="2"/>
  <c r="A1760" i="2"/>
  <c r="C1759" i="2"/>
  <c r="B1759" i="2"/>
  <c r="A1759" i="2"/>
  <c r="C1758" i="2"/>
  <c r="B1758" i="2"/>
  <c r="A1758" i="2"/>
  <c r="C1757" i="2"/>
  <c r="B1757" i="2"/>
  <c r="A1757" i="2"/>
  <c r="C1756" i="2"/>
  <c r="B1756" i="2"/>
  <c r="A1756" i="2"/>
  <c r="C1755" i="2"/>
  <c r="B1755" i="2"/>
  <c r="A1755" i="2"/>
  <c r="C1754" i="2"/>
  <c r="B1754" i="2"/>
  <c r="A1754" i="2"/>
  <c r="C1753" i="2"/>
  <c r="B1753" i="2"/>
  <c r="A1753" i="2"/>
  <c r="C1752" i="2"/>
  <c r="B1752" i="2"/>
  <c r="A1752" i="2"/>
  <c r="C1751" i="2"/>
  <c r="B1751" i="2"/>
  <c r="A1751" i="2"/>
  <c r="C1750" i="2"/>
  <c r="B1750" i="2"/>
  <c r="A1750" i="2"/>
  <c r="C1749" i="2"/>
  <c r="B1749" i="2"/>
  <c r="A1749" i="2"/>
  <c r="C1748" i="2"/>
  <c r="B1748" i="2"/>
  <c r="A1748" i="2"/>
  <c r="C1747" i="2"/>
  <c r="B1747" i="2"/>
  <c r="A1747" i="2"/>
  <c r="C1746" i="2"/>
  <c r="B1746" i="2"/>
  <c r="A1746" i="2"/>
  <c r="C1745" i="2"/>
  <c r="B1745" i="2"/>
  <c r="A1745" i="2"/>
  <c r="C1744" i="2"/>
  <c r="B1744" i="2"/>
  <c r="A1744" i="2"/>
  <c r="C1743" i="2"/>
  <c r="B1743" i="2"/>
  <c r="A1743" i="2"/>
  <c r="C1742" i="2"/>
  <c r="B1742" i="2"/>
  <c r="A1742" i="2"/>
  <c r="C1741" i="2"/>
  <c r="B1741" i="2"/>
  <c r="A1741" i="2"/>
  <c r="C1740" i="2"/>
  <c r="B1740" i="2"/>
  <c r="A1740" i="2"/>
  <c r="C1739" i="2"/>
  <c r="B1739" i="2"/>
  <c r="A1739" i="2"/>
  <c r="C1738" i="2"/>
  <c r="B1738" i="2"/>
  <c r="A1738" i="2"/>
  <c r="C1737" i="2"/>
  <c r="B1737" i="2"/>
  <c r="A1737" i="2"/>
  <c r="C1736" i="2"/>
  <c r="B1736" i="2"/>
  <c r="A1736" i="2"/>
  <c r="C1735" i="2"/>
  <c r="B1735" i="2"/>
  <c r="A1735" i="2"/>
  <c r="C1734" i="2"/>
  <c r="B1734" i="2"/>
  <c r="A1734" i="2"/>
  <c r="C1733" i="2"/>
  <c r="B1733" i="2"/>
  <c r="A1733" i="2"/>
  <c r="C1732" i="2"/>
  <c r="B1732" i="2"/>
  <c r="A1732" i="2"/>
  <c r="C1731" i="2"/>
  <c r="B1731" i="2"/>
  <c r="A1731" i="2"/>
  <c r="C1730" i="2"/>
  <c r="B1730" i="2"/>
  <c r="A1730" i="2"/>
  <c r="C1729" i="2"/>
  <c r="B1729" i="2"/>
  <c r="A1729" i="2"/>
  <c r="C1728" i="2"/>
  <c r="B1728" i="2"/>
  <c r="A1728" i="2"/>
  <c r="C1727" i="2"/>
  <c r="B1727" i="2"/>
  <c r="A1727" i="2"/>
  <c r="C1726" i="2"/>
  <c r="B1726" i="2"/>
  <c r="A1726" i="2"/>
  <c r="C1725" i="2"/>
  <c r="B1725" i="2"/>
  <c r="A1725" i="2"/>
  <c r="C1724" i="2"/>
  <c r="B1724" i="2"/>
  <c r="A1724" i="2"/>
  <c r="C1723" i="2"/>
  <c r="B1723" i="2"/>
  <c r="A1723" i="2"/>
  <c r="C1722" i="2"/>
  <c r="B1722" i="2"/>
  <c r="A1722" i="2"/>
  <c r="C1721" i="2"/>
  <c r="B1721" i="2"/>
  <c r="A1721" i="2"/>
  <c r="C1720" i="2"/>
  <c r="B1720" i="2"/>
  <c r="A1720" i="2"/>
  <c r="C1719" i="2"/>
  <c r="B1719" i="2"/>
  <c r="A1719" i="2"/>
  <c r="C1718" i="2"/>
  <c r="B1718" i="2"/>
  <c r="A1718" i="2"/>
  <c r="C1717" i="2"/>
  <c r="B1717" i="2"/>
  <c r="A1717" i="2"/>
  <c r="C1716" i="2"/>
  <c r="B1716" i="2"/>
  <c r="A1716" i="2"/>
  <c r="C1715" i="2"/>
  <c r="B1715" i="2"/>
  <c r="A1715" i="2"/>
  <c r="C1714" i="2"/>
  <c r="B1714" i="2"/>
  <c r="A1714" i="2"/>
  <c r="C1713" i="2"/>
  <c r="B1713" i="2"/>
  <c r="A1713" i="2"/>
  <c r="C1712" i="2"/>
  <c r="B1712" i="2"/>
  <c r="A1712" i="2"/>
  <c r="C1711" i="2"/>
  <c r="B1711" i="2"/>
  <c r="A1711" i="2"/>
  <c r="C1710" i="2"/>
  <c r="B1710" i="2"/>
  <c r="A1710" i="2"/>
  <c r="C1709" i="2"/>
  <c r="B1709" i="2"/>
  <c r="A1709" i="2"/>
  <c r="C1708" i="2"/>
  <c r="B1708" i="2"/>
  <c r="A1708" i="2"/>
  <c r="C1707" i="2"/>
  <c r="B1707" i="2"/>
  <c r="A1707" i="2"/>
  <c r="C1706" i="2"/>
  <c r="B1706" i="2"/>
  <c r="A1706" i="2"/>
  <c r="C1705" i="2"/>
  <c r="B1705" i="2"/>
  <c r="A1705" i="2"/>
  <c r="C1704" i="2"/>
  <c r="B1704" i="2"/>
  <c r="A1704" i="2"/>
  <c r="C1703" i="2"/>
  <c r="B1703" i="2"/>
  <c r="A1703" i="2"/>
  <c r="C1702" i="2"/>
  <c r="B1702" i="2"/>
  <c r="A1702" i="2"/>
  <c r="C1701" i="2"/>
  <c r="B1701" i="2"/>
  <c r="A1701" i="2"/>
  <c r="C1700" i="2"/>
  <c r="B1700" i="2"/>
  <c r="A1700" i="2"/>
  <c r="C1699" i="2"/>
  <c r="B1699" i="2"/>
  <c r="A1699" i="2"/>
  <c r="C1698" i="2"/>
  <c r="B1698" i="2"/>
  <c r="A1698" i="2"/>
  <c r="C1697" i="2"/>
  <c r="B1697" i="2"/>
  <c r="A1697" i="2"/>
  <c r="C1696" i="2"/>
  <c r="B1696" i="2"/>
  <c r="A1696" i="2"/>
  <c r="C1695" i="2"/>
  <c r="B1695" i="2"/>
  <c r="A1695" i="2"/>
  <c r="C1694" i="2"/>
  <c r="B1694" i="2"/>
  <c r="A1694" i="2"/>
  <c r="C1693" i="2"/>
  <c r="B1693" i="2"/>
  <c r="A1693" i="2"/>
  <c r="C1692" i="2"/>
  <c r="B1692" i="2"/>
  <c r="A1692" i="2"/>
  <c r="C1691" i="2"/>
  <c r="B1691" i="2"/>
  <c r="A1691" i="2"/>
  <c r="C1690" i="2"/>
  <c r="B1690" i="2"/>
  <c r="A1690" i="2"/>
  <c r="C1689" i="2"/>
  <c r="B1689" i="2"/>
  <c r="A1689" i="2"/>
  <c r="C1688" i="2"/>
  <c r="B1688" i="2"/>
  <c r="A1688" i="2"/>
  <c r="C1687" i="2"/>
  <c r="B1687" i="2"/>
  <c r="A1687" i="2"/>
  <c r="C1686" i="2"/>
  <c r="B1686" i="2"/>
  <c r="A1686" i="2"/>
  <c r="C1685" i="2"/>
  <c r="B1685" i="2"/>
  <c r="A1685" i="2"/>
  <c r="C1684" i="2"/>
  <c r="B1684" i="2"/>
  <c r="A1684" i="2"/>
  <c r="C1683" i="2"/>
  <c r="B1683" i="2"/>
  <c r="A1683" i="2"/>
  <c r="C1682" i="2"/>
  <c r="B1682" i="2"/>
  <c r="A1682" i="2"/>
  <c r="C1681" i="2"/>
  <c r="B1681" i="2"/>
  <c r="A1681" i="2"/>
  <c r="C1680" i="2"/>
  <c r="B1680" i="2"/>
  <c r="A1680" i="2"/>
  <c r="C1679" i="2"/>
  <c r="B1679" i="2"/>
  <c r="A1679" i="2"/>
  <c r="C1678" i="2"/>
  <c r="B1678" i="2"/>
  <c r="A1678" i="2"/>
  <c r="C1677" i="2"/>
  <c r="B1677" i="2"/>
  <c r="A1677" i="2"/>
  <c r="C1676" i="2"/>
  <c r="B1676" i="2"/>
  <c r="A1676" i="2"/>
  <c r="C1675" i="2"/>
  <c r="B1675" i="2"/>
  <c r="A1675" i="2"/>
  <c r="C1674" i="2"/>
  <c r="B1674" i="2"/>
  <c r="A1674" i="2"/>
  <c r="C1673" i="2"/>
  <c r="B1673" i="2"/>
  <c r="A1673" i="2"/>
  <c r="C1672" i="2"/>
  <c r="B1672" i="2"/>
  <c r="A1672" i="2"/>
  <c r="C1671" i="2"/>
  <c r="B1671" i="2"/>
  <c r="A1671" i="2"/>
  <c r="C1670" i="2"/>
  <c r="B1670" i="2"/>
  <c r="A1670" i="2"/>
  <c r="C1669" i="2"/>
  <c r="B1669" i="2"/>
  <c r="A1669" i="2"/>
  <c r="C1668" i="2"/>
  <c r="B1668" i="2"/>
  <c r="A1668" i="2"/>
  <c r="C1667" i="2"/>
  <c r="B1667" i="2"/>
  <c r="A1667" i="2"/>
  <c r="C1666" i="2"/>
  <c r="B1666" i="2"/>
  <c r="A1666" i="2"/>
  <c r="C1665" i="2"/>
  <c r="B1665" i="2"/>
  <c r="A1665" i="2"/>
  <c r="C1664" i="2"/>
  <c r="B1664" i="2"/>
  <c r="A1664" i="2"/>
  <c r="C1663" i="2"/>
  <c r="B1663" i="2"/>
  <c r="A1663" i="2"/>
  <c r="C1662" i="2"/>
  <c r="B1662" i="2"/>
  <c r="A1662" i="2"/>
  <c r="C1661" i="2"/>
  <c r="B1661" i="2"/>
  <c r="A1661" i="2"/>
  <c r="C1660" i="2"/>
  <c r="B1660" i="2"/>
  <c r="A1660" i="2"/>
  <c r="C1659" i="2"/>
  <c r="B1659" i="2"/>
  <c r="A1659" i="2"/>
  <c r="C1658" i="2"/>
  <c r="B1658" i="2"/>
  <c r="A1658" i="2"/>
  <c r="C1657" i="2"/>
  <c r="B1657" i="2"/>
  <c r="A1657" i="2"/>
  <c r="C1656" i="2"/>
  <c r="B1656" i="2"/>
  <c r="A1656" i="2"/>
  <c r="C1655" i="2"/>
  <c r="B1655" i="2"/>
  <c r="A1655" i="2"/>
  <c r="C1654" i="2"/>
  <c r="B1654" i="2"/>
  <c r="A1654" i="2"/>
  <c r="C1653" i="2"/>
  <c r="B1653" i="2"/>
  <c r="A1653" i="2"/>
  <c r="C1652" i="2"/>
  <c r="B1652" i="2"/>
  <c r="A1652" i="2"/>
  <c r="C1651" i="2"/>
  <c r="B1651" i="2"/>
  <c r="A1651" i="2"/>
  <c r="C1650" i="2"/>
  <c r="B1650" i="2"/>
  <c r="A1650" i="2"/>
  <c r="C1649" i="2"/>
  <c r="B1649" i="2"/>
  <c r="A1649" i="2"/>
  <c r="C1648" i="2"/>
  <c r="B1648" i="2"/>
  <c r="A1648" i="2"/>
  <c r="C1647" i="2"/>
  <c r="B1647" i="2"/>
  <c r="A1647" i="2"/>
  <c r="C1646" i="2"/>
  <c r="B1646" i="2"/>
  <c r="A1646" i="2"/>
  <c r="C1645" i="2"/>
  <c r="B1645" i="2"/>
  <c r="A1645" i="2"/>
  <c r="C1644" i="2"/>
  <c r="B1644" i="2"/>
  <c r="A1644" i="2"/>
  <c r="C1643" i="2"/>
  <c r="B1643" i="2"/>
  <c r="A1643" i="2"/>
  <c r="C1642" i="2"/>
  <c r="B1642" i="2"/>
  <c r="A1642" i="2"/>
  <c r="C1641" i="2"/>
  <c r="B1641" i="2"/>
  <c r="A1641" i="2"/>
  <c r="C1640" i="2"/>
  <c r="B1640" i="2"/>
  <c r="A1640" i="2"/>
  <c r="C1639" i="2"/>
  <c r="B1639" i="2"/>
  <c r="A1639" i="2"/>
  <c r="C1638" i="2"/>
  <c r="B1638" i="2"/>
  <c r="A1638" i="2"/>
  <c r="C1637" i="2"/>
  <c r="B1637" i="2"/>
  <c r="A1637" i="2"/>
  <c r="C1636" i="2"/>
  <c r="B1636" i="2"/>
  <c r="A1636" i="2"/>
  <c r="C1635" i="2"/>
  <c r="B1635" i="2"/>
  <c r="A1635" i="2"/>
  <c r="C1634" i="2"/>
  <c r="B1634" i="2"/>
  <c r="A1634" i="2"/>
  <c r="C1633" i="2"/>
  <c r="B1633" i="2"/>
  <c r="A1633" i="2"/>
  <c r="C1632" i="2"/>
  <c r="B1632" i="2"/>
  <c r="A1632" i="2"/>
  <c r="C1631" i="2"/>
  <c r="B1631" i="2"/>
  <c r="A1631" i="2"/>
  <c r="C1630" i="2"/>
  <c r="B1630" i="2"/>
  <c r="A1630" i="2"/>
  <c r="C1629" i="2"/>
  <c r="B1629" i="2"/>
  <c r="A1629" i="2"/>
  <c r="C1628" i="2"/>
  <c r="B1628" i="2"/>
  <c r="A1628" i="2"/>
  <c r="C1627" i="2"/>
  <c r="B1627" i="2"/>
  <c r="A1627" i="2"/>
  <c r="C1626" i="2"/>
  <c r="B1626" i="2"/>
  <c r="A1626" i="2"/>
  <c r="C1625" i="2"/>
  <c r="B1625" i="2"/>
  <c r="A1625" i="2"/>
  <c r="C1624" i="2"/>
  <c r="B1624" i="2"/>
  <c r="A1624" i="2"/>
  <c r="C1623" i="2"/>
  <c r="B1623" i="2"/>
  <c r="A1623" i="2"/>
  <c r="C1622" i="2"/>
  <c r="B1622" i="2"/>
  <c r="A1622" i="2"/>
  <c r="C1621" i="2"/>
  <c r="B1621" i="2"/>
  <c r="A1621" i="2"/>
  <c r="C1620" i="2"/>
  <c r="B1620" i="2"/>
  <c r="A1620" i="2"/>
  <c r="C1619" i="2"/>
  <c r="B1619" i="2"/>
  <c r="A1619" i="2"/>
  <c r="C1618" i="2"/>
  <c r="B1618" i="2"/>
  <c r="A1618" i="2"/>
  <c r="C1617" i="2"/>
  <c r="B1617" i="2"/>
  <c r="A1617" i="2"/>
  <c r="C1616" i="2"/>
  <c r="B1616" i="2"/>
  <c r="A1616" i="2"/>
  <c r="C1615" i="2"/>
  <c r="B1615" i="2"/>
  <c r="A1615" i="2"/>
  <c r="C1614" i="2"/>
  <c r="B1614" i="2"/>
  <c r="A1614" i="2"/>
  <c r="C1613" i="2"/>
  <c r="B1613" i="2"/>
  <c r="A1613" i="2"/>
  <c r="C1612" i="2"/>
  <c r="B1612" i="2"/>
  <c r="A1612" i="2"/>
  <c r="C1611" i="2"/>
  <c r="B1611" i="2"/>
  <c r="A1611" i="2"/>
  <c r="C1610" i="2"/>
  <c r="B1610" i="2"/>
  <c r="A1610" i="2"/>
  <c r="C1609" i="2"/>
  <c r="B1609" i="2"/>
  <c r="A1609" i="2"/>
  <c r="C1608" i="2"/>
  <c r="B1608" i="2"/>
  <c r="A1608" i="2"/>
  <c r="C1607" i="2"/>
  <c r="B1607" i="2"/>
  <c r="A1607" i="2"/>
  <c r="C1606" i="2"/>
  <c r="B1606" i="2"/>
  <c r="A1606" i="2"/>
  <c r="C1605" i="2"/>
  <c r="B1605" i="2"/>
  <c r="A1605" i="2"/>
  <c r="C1604" i="2"/>
  <c r="B1604" i="2"/>
  <c r="A1604" i="2"/>
  <c r="C1603" i="2"/>
  <c r="B1603" i="2"/>
  <c r="A1603" i="2"/>
  <c r="C1602" i="2"/>
  <c r="B1602" i="2"/>
  <c r="A1602" i="2"/>
  <c r="C1601" i="2"/>
  <c r="B1601" i="2"/>
  <c r="A1601" i="2"/>
  <c r="C1600" i="2"/>
  <c r="B1600" i="2"/>
  <c r="A1600" i="2"/>
  <c r="C1599" i="2"/>
  <c r="B1599" i="2"/>
  <c r="A1599" i="2"/>
  <c r="C1598" i="2"/>
  <c r="B1598" i="2"/>
  <c r="A1598" i="2"/>
  <c r="C1597" i="2"/>
  <c r="B1597" i="2"/>
  <c r="A1597" i="2"/>
  <c r="C1596" i="2"/>
  <c r="B1596" i="2"/>
  <c r="A1596" i="2"/>
  <c r="C1595" i="2"/>
  <c r="B1595" i="2"/>
  <c r="A1595" i="2"/>
  <c r="C1594" i="2"/>
  <c r="B1594" i="2"/>
  <c r="A1594" i="2"/>
  <c r="C1593" i="2"/>
  <c r="B1593" i="2"/>
  <c r="A1593" i="2"/>
  <c r="C1592" i="2"/>
  <c r="B1592" i="2"/>
  <c r="A1592" i="2"/>
  <c r="C1591" i="2"/>
  <c r="B1591" i="2"/>
  <c r="A1591" i="2"/>
  <c r="C1590" i="2"/>
  <c r="B1590" i="2"/>
  <c r="A1590" i="2"/>
  <c r="C1589" i="2"/>
  <c r="B1589" i="2"/>
  <c r="A1589" i="2"/>
  <c r="C1588" i="2"/>
  <c r="B1588" i="2"/>
  <c r="A1588" i="2"/>
  <c r="C1587" i="2"/>
  <c r="B1587" i="2"/>
  <c r="A1587" i="2"/>
  <c r="C1586" i="2"/>
  <c r="B1586" i="2"/>
  <c r="A1586" i="2"/>
  <c r="C1585" i="2"/>
  <c r="B1585" i="2"/>
  <c r="A1585" i="2"/>
  <c r="C1584" i="2"/>
  <c r="B1584" i="2"/>
  <c r="A1584" i="2"/>
  <c r="C1583" i="2"/>
  <c r="B1583" i="2"/>
  <c r="A1583" i="2"/>
  <c r="C1582" i="2"/>
  <c r="B1582" i="2"/>
  <c r="A1582" i="2"/>
  <c r="C1581" i="2"/>
  <c r="B1581" i="2"/>
  <c r="A1581" i="2"/>
  <c r="C1580" i="2"/>
  <c r="B1580" i="2"/>
  <c r="A1580" i="2"/>
  <c r="C1579" i="2"/>
  <c r="B1579" i="2"/>
  <c r="A1579" i="2"/>
  <c r="C1578" i="2"/>
  <c r="B1578" i="2"/>
  <c r="A1578" i="2"/>
  <c r="C1577" i="2"/>
  <c r="B1577" i="2"/>
  <c r="A1577" i="2"/>
  <c r="C1576" i="2"/>
  <c r="B1576" i="2"/>
  <c r="A1576" i="2"/>
  <c r="C1575" i="2"/>
  <c r="B1575" i="2"/>
  <c r="A1575" i="2"/>
  <c r="C1574" i="2"/>
  <c r="B1574" i="2"/>
  <c r="A1574" i="2"/>
  <c r="C1573" i="2"/>
  <c r="B1573" i="2"/>
  <c r="A1573" i="2"/>
  <c r="C1572" i="2"/>
  <c r="B1572" i="2"/>
  <c r="A1572" i="2"/>
  <c r="C1571" i="2"/>
  <c r="B1571" i="2"/>
  <c r="A1571" i="2"/>
  <c r="C1570" i="2"/>
  <c r="B1570" i="2"/>
  <c r="A1570" i="2"/>
  <c r="C1569" i="2"/>
  <c r="B1569" i="2"/>
  <c r="A1569" i="2"/>
  <c r="C1568" i="2"/>
  <c r="B1568" i="2"/>
  <c r="A1568" i="2"/>
  <c r="C1567" i="2"/>
  <c r="B1567" i="2"/>
  <c r="A1567" i="2"/>
  <c r="C1566" i="2"/>
  <c r="B1566" i="2"/>
  <c r="A1566" i="2"/>
  <c r="C1565" i="2"/>
  <c r="B1565" i="2"/>
  <c r="A1565" i="2"/>
  <c r="C1564" i="2"/>
  <c r="B1564" i="2"/>
  <c r="A1564" i="2"/>
  <c r="C1563" i="2"/>
  <c r="B1563" i="2"/>
  <c r="A1563" i="2"/>
  <c r="C1562" i="2"/>
  <c r="B1562" i="2"/>
  <c r="A1562" i="2"/>
  <c r="C1561" i="2"/>
  <c r="B1561" i="2"/>
  <c r="A1561" i="2"/>
  <c r="C1560" i="2"/>
  <c r="B1560" i="2"/>
  <c r="A1560" i="2"/>
  <c r="C1559" i="2"/>
  <c r="B1559" i="2"/>
  <c r="A1559" i="2"/>
  <c r="C1558" i="2"/>
  <c r="B1558" i="2"/>
  <c r="A1558" i="2"/>
  <c r="C1557" i="2"/>
  <c r="B1557" i="2"/>
  <c r="A1557" i="2"/>
  <c r="C1556" i="2"/>
  <c r="B1556" i="2"/>
  <c r="A1556" i="2"/>
  <c r="C1555" i="2"/>
  <c r="B1555" i="2"/>
  <c r="A1555" i="2"/>
  <c r="C1554" i="2"/>
  <c r="B1554" i="2"/>
  <c r="A1554" i="2"/>
  <c r="C1553" i="2"/>
  <c r="B1553" i="2"/>
  <c r="A1553" i="2"/>
  <c r="C1552" i="2"/>
  <c r="B1552" i="2"/>
  <c r="A1552" i="2"/>
  <c r="C1551" i="2"/>
  <c r="B1551" i="2"/>
  <c r="A1551" i="2"/>
  <c r="C1550" i="2"/>
  <c r="B1550" i="2"/>
  <c r="A1550" i="2"/>
  <c r="C1549" i="2"/>
  <c r="B1549" i="2"/>
  <c r="A1549" i="2"/>
  <c r="C1548" i="2"/>
  <c r="B1548" i="2"/>
  <c r="A1548" i="2"/>
  <c r="C1547" i="2"/>
  <c r="B1547" i="2"/>
  <c r="A1547" i="2"/>
  <c r="C1546" i="2"/>
  <c r="B1546" i="2"/>
  <c r="A1546" i="2"/>
  <c r="C1545" i="2"/>
  <c r="B1545" i="2"/>
  <c r="A1545" i="2"/>
  <c r="C1544" i="2"/>
  <c r="B1544" i="2"/>
  <c r="A1544" i="2"/>
  <c r="C1543" i="2"/>
  <c r="B1543" i="2"/>
  <c r="A1543" i="2"/>
  <c r="C1542" i="2"/>
  <c r="B1542" i="2"/>
  <c r="A1542" i="2"/>
  <c r="C1541" i="2"/>
  <c r="B1541" i="2"/>
  <c r="A1541" i="2"/>
  <c r="C1540" i="2"/>
  <c r="B1540" i="2"/>
  <c r="A1540" i="2"/>
  <c r="C1539" i="2"/>
  <c r="B1539" i="2"/>
  <c r="A1539" i="2"/>
  <c r="C1538" i="2"/>
  <c r="B1538" i="2"/>
  <c r="A1538" i="2"/>
  <c r="C1537" i="2"/>
  <c r="B1537" i="2"/>
  <c r="A1537" i="2"/>
  <c r="C1536" i="2"/>
  <c r="B1536" i="2"/>
  <c r="A1536" i="2"/>
  <c r="C1535" i="2"/>
  <c r="B1535" i="2"/>
  <c r="A1535" i="2"/>
  <c r="C1534" i="2"/>
  <c r="B1534" i="2"/>
  <c r="A1534" i="2"/>
  <c r="C1533" i="2"/>
  <c r="B1533" i="2"/>
  <c r="A1533" i="2"/>
  <c r="C1532" i="2"/>
  <c r="B1532" i="2"/>
  <c r="A1532" i="2"/>
  <c r="C1531" i="2"/>
  <c r="B1531" i="2"/>
  <c r="A1531" i="2"/>
  <c r="C1530" i="2"/>
  <c r="B1530" i="2"/>
  <c r="A1530" i="2"/>
  <c r="C1529" i="2"/>
  <c r="B1529" i="2"/>
  <c r="A1529" i="2"/>
  <c r="C1528" i="2"/>
  <c r="B1528" i="2"/>
  <c r="A1528" i="2"/>
  <c r="C1527" i="2"/>
  <c r="B1527" i="2"/>
  <c r="A1527" i="2"/>
  <c r="C1526" i="2"/>
  <c r="B1526" i="2"/>
  <c r="A1526" i="2"/>
  <c r="C1525" i="2"/>
  <c r="B1525" i="2"/>
  <c r="A1525" i="2"/>
  <c r="C1524" i="2"/>
  <c r="B1524" i="2"/>
  <c r="A1524" i="2"/>
  <c r="C1523" i="2"/>
  <c r="B1523" i="2"/>
  <c r="A1523" i="2"/>
  <c r="C1522" i="2"/>
  <c r="B1522" i="2"/>
  <c r="A1522" i="2"/>
  <c r="C1521" i="2"/>
  <c r="B1521" i="2"/>
  <c r="A1521" i="2"/>
  <c r="C1520" i="2"/>
  <c r="B1520" i="2"/>
  <c r="A1520" i="2"/>
  <c r="C1519" i="2"/>
  <c r="B1519" i="2"/>
  <c r="A1519" i="2"/>
  <c r="C1518" i="2"/>
  <c r="B1518" i="2"/>
  <c r="A1518" i="2"/>
  <c r="C1517" i="2"/>
  <c r="B1517" i="2"/>
  <c r="A1517" i="2"/>
  <c r="C1516" i="2"/>
  <c r="B1516" i="2"/>
  <c r="A1516" i="2"/>
  <c r="C1515" i="2"/>
  <c r="B1515" i="2"/>
  <c r="A1515" i="2"/>
  <c r="C1514" i="2"/>
  <c r="B1514" i="2"/>
  <c r="A1514" i="2"/>
  <c r="C1513" i="2"/>
  <c r="B1513" i="2"/>
  <c r="A1513" i="2"/>
  <c r="C1512" i="2"/>
  <c r="B1512" i="2"/>
  <c r="A1512" i="2"/>
  <c r="C1511" i="2"/>
  <c r="B1511" i="2"/>
  <c r="A1511" i="2"/>
  <c r="C1510" i="2"/>
  <c r="B1510" i="2"/>
  <c r="A1510" i="2"/>
  <c r="C1509" i="2"/>
  <c r="B1509" i="2"/>
  <c r="A1509" i="2"/>
  <c r="C1508" i="2"/>
  <c r="B1508" i="2"/>
  <c r="A1508" i="2"/>
  <c r="C1507" i="2"/>
  <c r="B1507" i="2"/>
  <c r="A1507" i="2"/>
  <c r="C1506" i="2"/>
  <c r="B1506" i="2"/>
  <c r="A1506" i="2"/>
  <c r="C1505" i="2"/>
  <c r="B1505" i="2"/>
  <c r="A1505" i="2"/>
  <c r="C1504" i="2"/>
  <c r="B1504" i="2"/>
  <c r="A1504" i="2"/>
  <c r="C1503" i="2"/>
  <c r="B1503" i="2"/>
  <c r="A1503" i="2"/>
  <c r="C1502" i="2"/>
  <c r="B1502" i="2"/>
  <c r="A1502" i="2"/>
  <c r="C1501" i="2"/>
  <c r="B1501" i="2"/>
  <c r="A1501" i="2"/>
  <c r="C1500" i="2"/>
  <c r="B1500" i="2"/>
  <c r="A1500" i="2"/>
  <c r="C1499" i="2"/>
  <c r="B1499" i="2"/>
  <c r="A1499" i="2"/>
  <c r="C1498" i="2"/>
  <c r="B1498" i="2"/>
  <c r="A1498" i="2"/>
  <c r="C1497" i="2"/>
  <c r="B1497" i="2"/>
  <c r="A1497" i="2"/>
  <c r="C1496" i="2"/>
  <c r="B1496" i="2"/>
  <c r="A1496" i="2"/>
  <c r="C1495" i="2"/>
  <c r="B1495" i="2"/>
  <c r="A1495" i="2"/>
  <c r="C1494" i="2"/>
  <c r="B1494" i="2"/>
  <c r="A1494" i="2"/>
  <c r="C1493" i="2"/>
  <c r="B1493" i="2"/>
  <c r="A1493" i="2"/>
  <c r="C1492" i="2"/>
  <c r="B1492" i="2"/>
  <c r="A1492" i="2"/>
  <c r="C1491" i="2"/>
  <c r="B1491" i="2"/>
  <c r="A1491" i="2"/>
  <c r="C1490" i="2"/>
  <c r="B1490" i="2"/>
  <c r="A1490" i="2"/>
  <c r="C1489" i="2"/>
  <c r="B1489" i="2"/>
  <c r="A1489" i="2"/>
  <c r="C1488" i="2"/>
  <c r="B1488" i="2"/>
  <c r="A1488" i="2"/>
  <c r="C1487" i="2"/>
  <c r="B1487" i="2"/>
  <c r="A1487" i="2"/>
  <c r="C1486" i="2"/>
  <c r="B1486" i="2"/>
  <c r="A1486" i="2"/>
  <c r="C1485" i="2"/>
  <c r="B1485" i="2"/>
  <c r="A1485" i="2"/>
  <c r="C1484" i="2"/>
  <c r="B1484" i="2"/>
  <c r="A1484" i="2"/>
  <c r="C1483" i="2"/>
  <c r="B1483" i="2"/>
  <c r="A1483" i="2"/>
  <c r="C1482" i="2"/>
  <c r="B1482" i="2"/>
  <c r="A1482" i="2"/>
  <c r="C1481" i="2"/>
  <c r="B1481" i="2"/>
  <c r="A1481" i="2"/>
  <c r="C1480" i="2"/>
  <c r="B1480" i="2"/>
  <c r="A1480" i="2"/>
  <c r="C1479" i="2"/>
  <c r="B1479" i="2"/>
  <c r="A1479" i="2"/>
  <c r="C1478" i="2"/>
  <c r="B1478" i="2"/>
  <c r="A1478" i="2"/>
  <c r="C1477" i="2"/>
  <c r="B1477" i="2"/>
  <c r="A1477" i="2"/>
  <c r="C1476" i="2"/>
  <c r="B1476" i="2"/>
  <c r="A1476" i="2"/>
  <c r="C1475" i="2"/>
  <c r="B1475" i="2"/>
  <c r="A1475" i="2"/>
  <c r="C1474" i="2"/>
  <c r="B1474" i="2"/>
  <c r="A1474" i="2"/>
  <c r="C1473" i="2"/>
  <c r="B1473" i="2"/>
  <c r="A1473" i="2"/>
  <c r="C1472" i="2"/>
  <c r="B1472" i="2"/>
  <c r="A1472" i="2"/>
  <c r="C1471" i="2"/>
  <c r="B1471" i="2"/>
  <c r="A1471" i="2"/>
  <c r="C1470" i="2"/>
  <c r="B1470" i="2"/>
  <c r="A1470" i="2"/>
  <c r="C1469" i="2"/>
  <c r="B1469" i="2"/>
  <c r="A1469" i="2"/>
  <c r="C1468" i="2"/>
  <c r="B1468" i="2"/>
  <c r="A1468" i="2"/>
  <c r="C1467" i="2"/>
  <c r="B1467" i="2"/>
  <c r="A1467" i="2"/>
  <c r="C1466" i="2"/>
  <c r="B1466" i="2"/>
  <c r="A1466" i="2"/>
  <c r="C1465" i="2"/>
  <c r="B1465" i="2"/>
  <c r="A1465" i="2"/>
  <c r="C1464" i="2"/>
  <c r="B1464" i="2"/>
  <c r="A1464" i="2"/>
  <c r="C1463" i="2"/>
  <c r="B1463" i="2"/>
  <c r="A1463" i="2"/>
  <c r="C1462" i="2"/>
  <c r="B1462" i="2"/>
  <c r="A1462" i="2"/>
  <c r="C1461" i="2"/>
  <c r="B1461" i="2"/>
  <c r="A1461" i="2"/>
  <c r="C1460" i="2"/>
  <c r="B1460" i="2"/>
  <c r="A1460" i="2"/>
  <c r="C1459" i="2"/>
  <c r="B1459" i="2"/>
  <c r="A1459" i="2"/>
  <c r="C1458" i="2"/>
  <c r="B1458" i="2"/>
  <c r="A1458" i="2"/>
  <c r="C1457" i="2"/>
  <c r="B1457" i="2"/>
  <c r="A1457" i="2"/>
  <c r="C1456" i="2"/>
  <c r="B1456" i="2"/>
  <c r="A1456" i="2"/>
  <c r="C1455" i="2"/>
  <c r="B1455" i="2"/>
  <c r="A1455" i="2"/>
  <c r="C1454" i="2"/>
  <c r="B1454" i="2"/>
  <c r="A1454" i="2"/>
  <c r="C1453" i="2"/>
  <c r="B1453" i="2"/>
  <c r="A1453" i="2"/>
  <c r="C1452" i="2"/>
  <c r="B1452" i="2"/>
  <c r="A1452" i="2"/>
  <c r="C1451" i="2"/>
  <c r="B1451" i="2"/>
  <c r="A1451" i="2"/>
  <c r="C1450" i="2"/>
  <c r="B1450" i="2"/>
  <c r="A1450" i="2"/>
  <c r="C1449" i="2"/>
  <c r="B1449" i="2"/>
  <c r="A1449" i="2"/>
  <c r="C1448" i="2"/>
  <c r="B1448" i="2"/>
  <c r="A1448" i="2"/>
  <c r="C1447" i="2"/>
  <c r="B1447" i="2"/>
  <c r="A1447" i="2"/>
  <c r="C1446" i="2"/>
  <c r="B1446" i="2"/>
  <c r="A1446" i="2"/>
  <c r="C1445" i="2"/>
  <c r="B1445" i="2"/>
  <c r="A1445" i="2"/>
  <c r="C1444" i="2"/>
  <c r="B1444" i="2"/>
  <c r="A1444" i="2"/>
  <c r="C1443" i="2"/>
  <c r="B1443" i="2"/>
  <c r="A1443" i="2"/>
  <c r="C1442" i="2"/>
  <c r="B1442" i="2"/>
  <c r="A1442" i="2"/>
  <c r="C1441" i="2"/>
  <c r="B1441" i="2"/>
  <c r="A1441" i="2"/>
  <c r="C1440" i="2"/>
  <c r="B1440" i="2"/>
  <c r="A1440" i="2"/>
  <c r="C1439" i="2"/>
  <c r="B1439" i="2"/>
  <c r="A1439" i="2"/>
  <c r="C1438" i="2"/>
  <c r="B1438" i="2"/>
  <c r="A1438" i="2"/>
  <c r="C1437" i="2"/>
  <c r="B1437" i="2"/>
  <c r="A1437" i="2"/>
  <c r="C1436" i="2"/>
  <c r="B1436" i="2"/>
  <c r="A1436" i="2"/>
  <c r="C1435" i="2"/>
  <c r="B1435" i="2"/>
  <c r="A1435" i="2"/>
  <c r="C1434" i="2"/>
  <c r="B1434" i="2"/>
  <c r="A1434" i="2"/>
  <c r="C1433" i="2"/>
  <c r="B1433" i="2"/>
  <c r="A1433" i="2"/>
  <c r="C1432" i="2"/>
  <c r="B1432" i="2"/>
  <c r="A1432" i="2"/>
  <c r="C1431" i="2"/>
  <c r="B1431" i="2"/>
  <c r="A1431" i="2"/>
  <c r="C1430" i="2"/>
  <c r="B1430" i="2"/>
  <c r="A1430" i="2"/>
  <c r="C1429" i="2"/>
  <c r="B1429" i="2"/>
  <c r="A1429" i="2"/>
  <c r="C1428" i="2"/>
  <c r="B1428" i="2"/>
  <c r="A1428" i="2"/>
  <c r="C1427" i="2"/>
  <c r="B1427" i="2"/>
  <c r="A1427" i="2"/>
  <c r="C1426" i="2"/>
  <c r="B1426" i="2"/>
  <c r="A1426" i="2"/>
  <c r="C1425" i="2"/>
  <c r="B1425" i="2"/>
  <c r="A1425" i="2"/>
  <c r="C1424" i="2"/>
  <c r="B1424" i="2"/>
  <c r="A1424" i="2"/>
  <c r="C1423" i="2"/>
  <c r="B1423" i="2"/>
  <c r="A1423" i="2"/>
  <c r="C1422" i="2"/>
  <c r="B1422" i="2"/>
  <c r="A1422" i="2"/>
  <c r="C1421" i="2"/>
  <c r="B1421" i="2"/>
  <c r="A1421" i="2"/>
  <c r="C1420" i="2"/>
  <c r="B1420" i="2"/>
  <c r="A1420" i="2"/>
  <c r="C1419" i="2"/>
  <c r="B1419" i="2"/>
  <c r="A1419" i="2"/>
  <c r="C1418" i="2"/>
  <c r="B1418" i="2"/>
  <c r="A1418" i="2"/>
  <c r="C1417" i="2"/>
  <c r="B1417" i="2"/>
  <c r="A1417" i="2"/>
  <c r="C1416" i="2"/>
  <c r="B1416" i="2"/>
  <c r="A1416" i="2"/>
  <c r="C1415" i="2"/>
  <c r="B1415" i="2"/>
  <c r="A1415" i="2"/>
  <c r="C1414" i="2"/>
  <c r="B1414" i="2"/>
  <c r="A1414" i="2"/>
  <c r="C1413" i="2"/>
  <c r="B1413" i="2"/>
  <c r="A1413" i="2"/>
  <c r="C1412" i="2"/>
  <c r="B1412" i="2"/>
  <c r="A1412" i="2"/>
  <c r="C1411" i="2"/>
  <c r="B1411" i="2"/>
  <c r="A1411" i="2"/>
  <c r="C1410" i="2"/>
  <c r="B1410" i="2"/>
  <c r="A1410" i="2"/>
  <c r="C1409" i="2"/>
  <c r="B1409" i="2"/>
  <c r="A1409" i="2"/>
  <c r="C1408" i="2"/>
  <c r="B1408" i="2"/>
  <c r="A1408" i="2"/>
  <c r="C1407" i="2"/>
  <c r="B1407" i="2"/>
  <c r="A1407" i="2"/>
  <c r="C1406" i="2"/>
  <c r="B1406" i="2"/>
  <c r="A1406" i="2"/>
  <c r="C1405" i="2"/>
  <c r="B1405" i="2"/>
  <c r="A1405" i="2"/>
  <c r="C1404" i="2"/>
  <c r="B1404" i="2"/>
  <c r="A1404" i="2"/>
  <c r="C1403" i="2"/>
  <c r="B1403" i="2"/>
  <c r="A1403" i="2"/>
  <c r="C1402" i="2"/>
  <c r="B1402" i="2"/>
  <c r="A1402" i="2"/>
  <c r="C1401" i="2"/>
  <c r="B1401" i="2"/>
  <c r="A1401" i="2"/>
  <c r="C1400" i="2"/>
  <c r="B1400" i="2"/>
  <c r="A1400" i="2"/>
  <c r="C1399" i="2"/>
  <c r="B1399" i="2"/>
  <c r="A1399" i="2"/>
  <c r="C1398" i="2"/>
  <c r="B1398" i="2"/>
  <c r="A1398" i="2"/>
  <c r="C1397" i="2"/>
  <c r="B1397" i="2"/>
  <c r="A1397" i="2"/>
  <c r="C1396" i="2"/>
  <c r="B1396" i="2"/>
  <c r="A1396" i="2"/>
  <c r="C1395" i="2"/>
  <c r="B1395" i="2"/>
  <c r="A1395" i="2"/>
  <c r="C1394" i="2"/>
  <c r="B1394" i="2"/>
  <c r="A1394" i="2"/>
  <c r="C1393" i="2"/>
  <c r="B1393" i="2"/>
  <c r="A1393" i="2"/>
  <c r="C1392" i="2"/>
  <c r="B1392" i="2"/>
  <c r="A1392" i="2"/>
  <c r="C1391" i="2"/>
  <c r="B1391" i="2"/>
  <c r="A1391" i="2"/>
  <c r="C1390" i="2"/>
  <c r="B1390" i="2"/>
  <c r="A1390" i="2"/>
  <c r="C1389" i="2"/>
  <c r="B1389" i="2"/>
  <c r="A1389" i="2"/>
  <c r="C1388" i="2"/>
  <c r="B1388" i="2"/>
  <c r="A1388" i="2"/>
  <c r="C1387" i="2"/>
  <c r="B1387" i="2"/>
  <c r="A1387" i="2"/>
  <c r="C1386" i="2"/>
  <c r="B1386" i="2"/>
  <c r="A1386" i="2"/>
  <c r="C1385" i="2"/>
  <c r="B1385" i="2"/>
  <c r="A1385" i="2"/>
  <c r="C1384" i="2"/>
  <c r="B1384" i="2"/>
  <c r="A1384" i="2"/>
  <c r="C1383" i="2"/>
  <c r="B1383" i="2"/>
  <c r="A1383" i="2"/>
  <c r="C1382" i="2"/>
  <c r="B1382" i="2"/>
  <c r="A1382" i="2"/>
  <c r="C1381" i="2"/>
  <c r="B1381" i="2"/>
  <c r="A1381" i="2"/>
  <c r="C1380" i="2"/>
  <c r="B1380" i="2"/>
  <c r="A1380" i="2"/>
  <c r="C1379" i="2"/>
  <c r="B1379" i="2"/>
  <c r="A1379" i="2"/>
  <c r="C1378" i="2"/>
  <c r="B1378" i="2"/>
  <c r="A1378" i="2"/>
  <c r="C1377" i="2"/>
  <c r="B1377" i="2"/>
  <c r="A1377" i="2"/>
  <c r="C1376" i="2"/>
  <c r="B1376" i="2"/>
  <c r="A1376" i="2"/>
  <c r="C1375" i="2"/>
  <c r="B1375" i="2"/>
  <c r="A1375" i="2"/>
  <c r="C1374" i="2"/>
  <c r="B1374" i="2"/>
  <c r="A1374" i="2"/>
  <c r="C1373" i="2"/>
  <c r="B1373" i="2"/>
  <c r="A1373" i="2"/>
  <c r="C1372" i="2"/>
  <c r="B1372" i="2"/>
  <c r="A1372" i="2"/>
  <c r="C1371" i="2"/>
  <c r="B1371" i="2"/>
  <c r="A1371" i="2"/>
  <c r="C1370" i="2"/>
  <c r="B1370" i="2"/>
  <c r="A1370" i="2"/>
  <c r="C1369" i="2"/>
  <c r="B1369" i="2"/>
  <c r="A1369" i="2"/>
  <c r="C1368" i="2"/>
  <c r="B1368" i="2"/>
  <c r="A1368" i="2"/>
  <c r="C1367" i="2"/>
  <c r="B1367" i="2"/>
  <c r="A1367" i="2"/>
  <c r="C1366" i="2"/>
  <c r="B1366" i="2"/>
  <c r="A1366" i="2"/>
  <c r="C1365" i="2"/>
  <c r="B1365" i="2"/>
  <c r="A1365" i="2"/>
  <c r="C1364" i="2"/>
  <c r="B1364" i="2"/>
  <c r="A1364" i="2"/>
  <c r="C1363" i="2"/>
  <c r="B1363" i="2"/>
  <c r="A1363" i="2"/>
  <c r="C1362" i="2"/>
  <c r="B1362" i="2"/>
  <c r="A1362" i="2"/>
  <c r="C1361" i="2"/>
  <c r="B1361" i="2"/>
  <c r="A1361" i="2"/>
  <c r="C1360" i="2"/>
  <c r="B1360" i="2"/>
  <c r="A1360" i="2"/>
  <c r="C1359" i="2"/>
  <c r="B1359" i="2"/>
  <c r="A1359" i="2"/>
  <c r="C1358" i="2"/>
  <c r="B1358" i="2"/>
  <c r="A1358" i="2"/>
  <c r="C1357" i="2"/>
  <c r="B1357" i="2"/>
  <c r="A1357" i="2"/>
  <c r="C1356" i="2"/>
  <c r="B1356" i="2"/>
  <c r="A1356" i="2"/>
  <c r="C1355" i="2"/>
  <c r="B1355" i="2"/>
  <c r="A1355" i="2"/>
  <c r="C1354" i="2"/>
  <c r="B1354" i="2"/>
  <c r="A1354" i="2"/>
  <c r="C1353" i="2"/>
  <c r="B1353" i="2"/>
  <c r="A1353" i="2"/>
  <c r="C1352" i="2"/>
  <c r="B1352" i="2"/>
  <c r="A1352" i="2"/>
  <c r="C1351" i="2"/>
  <c r="B1351" i="2"/>
  <c r="A1351" i="2"/>
  <c r="C1350" i="2"/>
  <c r="B1350" i="2"/>
  <c r="A1350" i="2"/>
  <c r="C1349" i="2"/>
  <c r="B1349" i="2"/>
  <c r="A1349" i="2"/>
  <c r="C1348" i="2"/>
  <c r="B1348" i="2"/>
  <c r="A1348" i="2"/>
  <c r="C1347" i="2"/>
  <c r="B1347" i="2"/>
  <c r="A1347" i="2"/>
  <c r="C1346" i="2"/>
  <c r="B1346" i="2"/>
  <c r="A1346" i="2"/>
  <c r="C1345" i="2"/>
  <c r="B1345" i="2"/>
  <c r="A1345" i="2"/>
  <c r="C1344" i="2"/>
  <c r="B1344" i="2"/>
  <c r="A1344" i="2"/>
  <c r="C1343" i="2"/>
  <c r="B1343" i="2"/>
  <c r="A1343" i="2"/>
  <c r="C1342" i="2"/>
  <c r="B1342" i="2"/>
  <c r="A1342" i="2"/>
  <c r="C1341" i="2"/>
  <c r="B1341" i="2"/>
  <c r="A1341" i="2"/>
  <c r="C1340" i="2"/>
  <c r="B1340" i="2"/>
  <c r="A1340" i="2"/>
  <c r="C1339" i="2"/>
  <c r="B1339" i="2"/>
  <c r="A1339" i="2"/>
  <c r="C1338" i="2"/>
  <c r="B1338" i="2"/>
  <c r="A1338" i="2"/>
  <c r="C1337" i="2"/>
  <c r="B1337" i="2"/>
  <c r="A1337" i="2"/>
  <c r="C1336" i="2"/>
  <c r="B1336" i="2"/>
  <c r="A1336" i="2"/>
  <c r="C1335" i="2"/>
  <c r="B1335" i="2"/>
  <c r="A1335" i="2"/>
  <c r="C1334" i="2"/>
  <c r="B1334" i="2"/>
  <c r="A1334" i="2"/>
  <c r="C1333" i="2"/>
  <c r="B1333" i="2"/>
  <c r="A1333" i="2"/>
  <c r="C1332" i="2"/>
  <c r="B1332" i="2"/>
  <c r="A1332" i="2"/>
  <c r="C1331" i="2"/>
  <c r="B1331" i="2"/>
  <c r="A1331" i="2"/>
  <c r="C1330" i="2"/>
  <c r="B1330" i="2"/>
  <c r="A1330" i="2"/>
  <c r="C1329" i="2"/>
  <c r="B1329" i="2"/>
  <c r="A1329" i="2"/>
  <c r="C1328" i="2"/>
  <c r="B1328" i="2"/>
  <c r="A1328" i="2"/>
  <c r="C1327" i="2"/>
  <c r="B1327" i="2"/>
  <c r="A1327" i="2"/>
  <c r="C1326" i="2"/>
  <c r="B1326" i="2"/>
  <c r="A1326" i="2"/>
  <c r="C1325" i="2"/>
  <c r="B1325" i="2"/>
  <c r="A1325" i="2"/>
  <c r="C1324" i="2"/>
  <c r="B1324" i="2"/>
  <c r="A1324" i="2"/>
  <c r="C1323" i="2"/>
  <c r="B1323" i="2"/>
  <c r="A1323" i="2"/>
  <c r="C1322" i="2"/>
  <c r="B1322" i="2"/>
  <c r="A1322" i="2"/>
  <c r="C1321" i="2"/>
  <c r="B1321" i="2"/>
  <c r="A1321" i="2"/>
  <c r="C1320" i="2"/>
  <c r="B1320" i="2"/>
  <c r="A1320" i="2"/>
  <c r="C1319" i="2"/>
  <c r="B1319" i="2"/>
  <c r="A1319" i="2"/>
  <c r="C1318" i="2"/>
  <c r="B1318" i="2"/>
  <c r="A1318" i="2"/>
  <c r="C1317" i="2"/>
  <c r="B1317" i="2"/>
  <c r="A1317" i="2"/>
  <c r="C1316" i="2"/>
  <c r="B1316" i="2"/>
  <c r="A1316" i="2"/>
  <c r="C1315" i="2"/>
  <c r="B1315" i="2"/>
  <c r="A1315" i="2"/>
  <c r="C1314" i="2"/>
  <c r="B1314" i="2"/>
  <c r="A1314" i="2"/>
  <c r="C1313" i="2"/>
  <c r="B1313" i="2"/>
  <c r="A1313" i="2"/>
  <c r="C1312" i="2"/>
  <c r="B1312" i="2"/>
  <c r="A1312" i="2"/>
  <c r="C1311" i="2"/>
  <c r="B1311" i="2"/>
  <c r="A1311" i="2"/>
  <c r="C1310" i="2"/>
  <c r="B1310" i="2"/>
  <c r="A1310" i="2"/>
  <c r="C1309" i="2"/>
  <c r="B1309" i="2"/>
  <c r="A1309" i="2"/>
  <c r="C1308" i="2"/>
  <c r="B1308" i="2"/>
  <c r="A1308" i="2"/>
  <c r="C1307" i="2"/>
  <c r="B1307" i="2"/>
  <c r="A1307" i="2"/>
  <c r="C1306" i="2"/>
  <c r="B1306" i="2"/>
  <c r="A1306" i="2"/>
  <c r="C1305" i="2"/>
  <c r="B1305" i="2"/>
  <c r="A1305" i="2"/>
  <c r="C1304" i="2"/>
  <c r="B1304" i="2"/>
  <c r="A1304" i="2"/>
  <c r="C1303" i="2"/>
  <c r="B1303" i="2"/>
  <c r="A1303" i="2"/>
  <c r="C1302" i="2"/>
  <c r="B1302" i="2"/>
  <c r="A1302" i="2"/>
  <c r="C1301" i="2"/>
  <c r="B1301" i="2"/>
  <c r="A1301" i="2"/>
  <c r="C1300" i="2"/>
  <c r="B1300" i="2"/>
  <c r="A1300" i="2"/>
  <c r="C1299" i="2"/>
  <c r="B1299" i="2"/>
  <c r="A1299" i="2"/>
  <c r="C1298" i="2"/>
  <c r="B1298" i="2"/>
  <c r="A1298" i="2"/>
  <c r="C1297" i="2"/>
  <c r="B1297" i="2"/>
  <c r="A1297" i="2"/>
  <c r="C1296" i="2"/>
  <c r="B1296" i="2"/>
  <c r="A1296" i="2"/>
  <c r="C1295" i="2"/>
  <c r="B1295" i="2"/>
  <c r="A1295" i="2"/>
  <c r="C1294" i="2"/>
  <c r="B1294" i="2"/>
  <c r="A1294" i="2"/>
  <c r="C1293" i="2"/>
  <c r="B1293" i="2"/>
  <c r="A1293" i="2"/>
  <c r="C1292" i="2"/>
  <c r="B1292" i="2"/>
  <c r="A1292" i="2"/>
  <c r="C1291" i="2"/>
  <c r="B1291" i="2"/>
  <c r="A1291" i="2"/>
  <c r="C1290" i="2"/>
  <c r="B1290" i="2"/>
  <c r="A1290" i="2"/>
  <c r="C1289" i="2"/>
  <c r="B1289" i="2"/>
  <c r="A1289" i="2"/>
  <c r="C1288" i="2"/>
  <c r="B1288" i="2"/>
  <c r="A1288" i="2"/>
  <c r="C1287" i="2"/>
  <c r="B1287" i="2"/>
  <c r="A1287" i="2"/>
  <c r="C1286" i="2"/>
  <c r="B1286" i="2"/>
  <c r="A1286" i="2"/>
  <c r="C1285" i="2"/>
  <c r="B1285" i="2"/>
  <c r="A1285" i="2"/>
  <c r="C1284" i="2"/>
  <c r="B1284" i="2"/>
  <c r="A1284" i="2"/>
  <c r="C1283" i="2"/>
  <c r="B1283" i="2"/>
  <c r="A1283" i="2"/>
  <c r="C1282" i="2"/>
  <c r="B1282" i="2"/>
  <c r="A1282" i="2"/>
  <c r="C1281" i="2"/>
  <c r="B1281" i="2"/>
  <c r="A1281" i="2"/>
  <c r="C1280" i="2"/>
  <c r="B1280" i="2"/>
  <c r="A1280" i="2"/>
  <c r="C1279" i="2"/>
  <c r="B1279" i="2"/>
  <c r="A1279" i="2"/>
  <c r="C1278" i="2"/>
  <c r="B1278" i="2"/>
  <c r="A1278" i="2"/>
  <c r="C1277" i="2"/>
  <c r="B1277" i="2"/>
  <c r="A1277" i="2"/>
  <c r="C1276" i="2"/>
  <c r="B1276" i="2"/>
  <c r="A1276" i="2"/>
  <c r="C1275" i="2"/>
  <c r="B1275" i="2"/>
  <c r="A1275" i="2"/>
  <c r="C1274" i="2"/>
  <c r="B1274" i="2"/>
  <c r="A1274" i="2"/>
  <c r="C1273" i="2"/>
  <c r="B1273" i="2"/>
  <c r="A1273" i="2"/>
  <c r="C1272" i="2"/>
  <c r="B1272" i="2"/>
  <c r="A1272" i="2"/>
  <c r="C1271" i="2"/>
  <c r="B1271" i="2"/>
  <c r="A1271" i="2"/>
  <c r="C1270" i="2"/>
  <c r="B1270" i="2"/>
  <c r="A1270" i="2"/>
  <c r="C1269" i="2"/>
  <c r="B1269" i="2"/>
  <c r="A1269" i="2"/>
  <c r="C1268" i="2"/>
  <c r="B1268" i="2"/>
  <c r="A1268" i="2"/>
  <c r="C1267" i="2"/>
  <c r="B1267" i="2"/>
  <c r="A1267" i="2"/>
  <c r="C1266" i="2"/>
  <c r="B1266" i="2"/>
  <c r="A1266" i="2"/>
  <c r="C1265" i="2"/>
  <c r="B1265" i="2"/>
  <c r="A1265" i="2"/>
  <c r="C1264" i="2"/>
  <c r="B1264" i="2"/>
  <c r="A1264" i="2"/>
  <c r="C1263" i="2"/>
  <c r="B1263" i="2"/>
  <c r="A1263" i="2"/>
  <c r="C1262" i="2"/>
  <c r="B1262" i="2"/>
  <c r="A1262" i="2"/>
  <c r="C1261" i="2"/>
  <c r="B1261" i="2"/>
  <c r="A1261" i="2"/>
  <c r="C1260" i="2"/>
  <c r="B1260" i="2"/>
  <c r="A1260" i="2"/>
  <c r="C1259" i="2"/>
  <c r="B1259" i="2"/>
  <c r="A1259" i="2"/>
  <c r="C1258" i="2"/>
  <c r="B1258" i="2"/>
  <c r="A1258" i="2"/>
  <c r="C1257" i="2"/>
  <c r="B1257" i="2"/>
  <c r="A1257" i="2"/>
  <c r="C1256" i="2"/>
  <c r="B1256" i="2"/>
  <c r="A1256" i="2"/>
  <c r="C1255" i="2"/>
  <c r="B1255" i="2"/>
  <c r="A1255" i="2"/>
  <c r="C1254" i="2"/>
  <c r="B1254" i="2"/>
  <c r="A1254" i="2"/>
  <c r="C1253" i="2"/>
  <c r="B1253" i="2"/>
  <c r="A1253" i="2"/>
  <c r="C1252" i="2"/>
  <c r="B1252" i="2"/>
  <c r="A1252" i="2"/>
  <c r="C1251" i="2"/>
  <c r="B1251" i="2"/>
  <c r="A1251" i="2"/>
  <c r="C1250" i="2"/>
  <c r="B1250" i="2"/>
  <c r="A1250" i="2"/>
  <c r="C1249" i="2"/>
  <c r="B1249" i="2"/>
  <c r="A1249" i="2"/>
  <c r="C1248" i="2"/>
  <c r="B1248" i="2"/>
  <c r="A1248" i="2"/>
  <c r="C1247" i="2"/>
  <c r="B1247" i="2"/>
  <c r="A1247" i="2"/>
  <c r="C1246" i="2"/>
  <c r="B1246" i="2"/>
  <c r="A1246" i="2"/>
  <c r="C1245" i="2"/>
  <c r="B1245" i="2"/>
  <c r="A1245" i="2"/>
  <c r="C1244" i="2"/>
  <c r="B1244" i="2"/>
  <c r="A1244" i="2"/>
  <c r="C1243" i="2"/>
  <c r="B1243" i="2"/>
  <c r="A1243" i="2"/>
  <c r="C1242" i="2"/>
  <c r="B1242" i="2"/>
  <c r="A1242" i="2"/>
  <c r="C1241" i="2"/>
  <c r="B1241" i="2"/>
  <c r="A1241" i="2"/>
  <c r="C1240" i="2"/>
  <c r="B1240" i="2"/>
  <c r="A1240" i="2"/>
  <c r="C1239" i="2"/>
  <c r="B1239" i="2"/>
  <c r="A1239" i="2"/>
  <c r="C1238" i="2"/>
  <c r="B1238" i="2"/>
  <c r="A1238" i="2"/>
  <c r="C1237" i="2"/>
  <c r="B1237" i="2"/>
  <c r="A1237" i="2"/>
  <c r="C1236" i="2"/>
  <c r="B1236" i="2"/>
  <c r="A1236" i="2"/>
  <c r="C1235" i="2"/>
  <c r="B1235" i="2"/>
  <c r="A1235" i="2"/>
  <c r="C1234" i="2"/>
  <c r="B1234" i="2"/>
  <c r="A1234" i="2"/>
  <c r="C1233" i="2"/>
  <c r="B1233" i="2"/>
  <c r="A1233" i="2"/>
  <c r="C1232" i="2"/>
  <c r="B1232" i="2"/>
  <c r="A1232" i="2"/>
  <c r="C1231" i="2"/>
  <c r="B1231" i="2"/>
  <c r="A1231" i="2"/>
  <c r="C1230" i="2"/>
  <c r="B1230" i="2"/>
  <c r="A1230" i="2"/>
  <c r="C1229" i="2"/>
  <c r="B1229" i="2"/>
  <c r="A1229" i="2"/>
  <c r="C1228" i="2"/>
  <c r="B1228" i="2"/>
  <c r="A1228" i="2"/>
  <c r="C1227" i="2"/>
  <c r="B1227" i="2"/>
  <c r="A1227" i="2"/>
  <c r="C1226" i="2"/>
  <c r="B1226" i="2"/>
  <c r="A1226" i="2"/>
  <c r="C1225" i="2"/>
  <c r="B1225" i="2"/>
  <c r="A1225" i="2"/>
  <c r="C1224" i="2"/>
  <c r="B1224" i="2"/>
  <c r="A1224" i="2"/>
  <c r="C1223" i="2"/>
  <c r="B1223" i="2"/>
  <c r="A1223" i="2"/>
  <c r="C1222" i="2"/>
  <c r="B1222" i="2"/>
  <c r="A1222" i="2"/>
  <c r="C1221" i="2"/>
  <c r="B1221" i="2"/>
  <c r="A1221" i="2"/>
  <c r="C1220" i="2"/>
  <c r="B1220" i="2"/>
  <c r="A1220" i="2"/>
  <c r="C1219" i="2"/>
  <c r="B1219" i="2"/>
  <c r="A1219" i="2"/>
  <c r="C1218" i="2"/>
  <c r="B1218" i="2"/>
  <c r="A1218" i="2"/>
  <c r="C1217" i="2"/>
  <c r="B1217" i="2"/>
  <c r="A1217" i="2"/>
  <c r="C1216" i="2"/>
  <c r="B1216" i="2"/>
  <c r="A1216" i="2"/>
  <c r="C1215" i="2"/>
  <c r="B1215" i="2"/>
  <c r="A1215" i="2"/>
  <c r="C1214" i="2"/>
  <c r="B1214" i="2"/>
  <c r="A1214" i="2"/>
  <c r="C1213" i="2"/>
  <c r="B1213" i="2"/>
  <c r="A1213" i="2"/>
  <c r="C1212" i="2"/>
  <c r="B1212" i="2"/>
  <c r="A1212" i="2"/>
  <c r="C1211" i="2"/>
  <c r="B1211" i="2"/>
  <c r="A1211" i="2"/>
  <c r="C1210" i="2"/>
  <c r="B1210" i="2"/>
  <c r="A1210" i="2"/>
  <c r="C1209" i="2"/>
  <c r="B1209" i="2"/>
  <c r="A1209" i="2"/>
  <c r="C1208" i="2"/>
  <c r="B1208" i="2"/>
  <c r="A1208" i="2"/>
  <c r="C1207" i="2"/>
  <c r="B1207" i="2"/>
  <c r="A1207" i="2"/>
  <c r="C1206" i="2"/>
  <c r="B1206" i="2"/>
  <c r="A1206" i="2"/>
  <c r="C1205" i="2"/>
  <c r="B1205" i="2"/>
  <c r="A1205" i="2"/>
  <c r="C1204" i="2"/>
  <c r="B1204" i="2"/>
  <c r="A1204" i="2"/>
  <c r="C1203" i="2"/>
  <c r="B1203" i="2"/>
  <c r="A1203" i="2"/>
  <c r="C1202" i="2"/>
  <c r="B1202" i="2"/>
  <c r="A1202" i="2"/>
  <c r="C1201" i="2"/>
  <c r="B1201" i="2"/>
  <c r="A1201" i="2"/>
  <c r="C1200" i="2"/>
  <c r="B1200" i="2"/>
  <c r="A1200" i="2"/>
  <c r="C1199" i="2"/>
  <c r="B1199" i="2"/>
  <c r="A1199" i="2"/>
  <c r="C1198" i="2"/>
  <c r="B1198" i="2"/>
  <c r="A1198" i="2"/>
  <c r="C1197" i="2"/>
  <c r="B1197" i="2"/>
  <c r="A1197" i="2"/>
  <c r="C1196" i="2"/>
  <c r="B1196" i="2"/>
  <c r="A1196" i="2"/>
  <c r="C1195" i="2"/>
  <c r="B1195" i="2"/>
  <c r="A1195" i="2"/>
  <c r="C1194" i="2"/>
  <c r="B1194" i="2"/>
  <c r="A1194" i="2"/>
  <c r="C1193" i="2"/>
  <c r="B1193" i="2"/>
  <c r="A1193" i="2"/>
  <c r="C1192" i="2"/>
  <c r="B1192" i="2"/>
  <c r="A1192" i="2"/>
  <c r="C1191" i="2"/>
  <c r="B1191" i="2"/>
  <c r="A1191" i="2"/>
  <c r="C1190" i="2"/>
  <c r="B1190" i="2"/>
  <c r="A1190" i="2"/>
  <c r="C1189" i="2"/>
  <c r="B1189" i="2"/>
  <c r="A1189" i="2"/>
  <c r="C1188" i="2"/>
  <c r="B1188" i="2"/>
  <c r="A1188" i="2"/>
  <c r="C1187" i="2"/>
  <c r="B1187" i="2"/>
  <c r="A1187" i="2"/>
  <c r="C1186" i="2"/>
  <c r="B1186" i="2"/>
  <c r="A1186" i="2"/>
  <c r="C1185" i="2"/>
  <c r="B1185" i="2"/>
  <c r="A1185" i="2"/>
  <c r="C1184" i="2"/>
  <c r="B1184" i="2"/>
  <c r="A1184" i="2"/>
  <c r="C1183" i="2"/>
  <c r="B1183" i="2"/>
  <c r="A1183" i="2"/>
  <c r="C1182" i="2"/>
  <c r="B1182" i="2"/>
  <c r="A1182" i="2"/>
  <c r="C1181" i="2"/>
  <c r="B1181" i="2"/>
  <c r="A1181" i="2"/>
  <c r="C1180" i="2"/>
  <c r="B1180" i="2"/>
  <c r="A1180" i="2"/>
  <c r="C1179" i="2"/>
  <c r="B1179" i="2"/>
  <c r="A1179" i="2"/>
  <c r="C1178" i="2"/>
  <c r="B1178" i="2"/>
  <c r="A1178" i="2"/>
  <c r="C1177" i="2"/>
  <c r="B1177" i="2"/>
  <c r="A1177" i="2"/>
  <c r="C1176" i="2"/>
  <c r="B1176" i="2"/>
  <c r="A1176" i="2"/>
  <c r="C1175" i="2"/>
  <c r="B1175" i="2"/>
  <c r="A1175" i="2"/>
  <c r="C1174" i="2"/>
  <c r="B1174" i="2"/>
  <c r="A1174" i="2"/>
  <c r="C1173" i="2"/>
  <c r="B1173" i="2"/>
  <c r="A1173" i="2"/>
  <c r="C1172" i="2"/>
  <c r="B1172" i="2"/>
  <c r="A1172" i="2"/>
  <c r="C1171" i="2"/>
  <c r="B1171" i="2"/>
  <c r="A1171" i="2"/>
  <c r="C1170" i="2"/>
  <c r="B1170" i="2"/>
  <c r="A1170" i="2"/>
  <c r="C1169" i="2"/>
  <c r="B1169" i="2"/>
  <c r="A1169" i="2"/>
  <c r="C1168" i="2"/>
  <c r="B1168" i="2"/>
  <c r="A1168" i="2"/>
  <c r="C1167" i="2"/>
  <c r="B1167" i="2"/>
  <c r="A1167" i="2"/>
  <c r="C1166" i="2"/>
  <c r="B1166" i="2"/>
  <c r="A1166" i="2"/>
  <c r="C1165" i="2"/>
  <c r="B1165" i="2"/>
  <c r="A1165" i="2"/>
  <c r="C1164" i="2"/>
  <c r="B1164" i="2"/>
  <c r="A1164" i="2"/>
  <c r="C1163" i="2"/>
  <c r="B1163" i="2"/>
  <c r="A1163" i="2"/>
  <c r="C1162" i="2"/>
  <c r="B1162" i="2"/>
  <c r="A1162" i="2"/>
  <c r="C1161" i="2"/>
  <c r="B1161" i="2"/>
  <c r="A1161" i="2"/>
  <c r="C1160" i="2"/>
  <c r="B1160" i="2"/>
  <c r="A1160" i="2"/>
  <c r="C1159" i="2"/>
  <c r="B1159" i="2"/>
  <c r="A1159" i="2"/>
  <c r="C1158" i="2"/>
  <c r="B1158" i="2"/>
  <c r="A1158" i="2"/>
  <c r="C1157" i="2"/>
  <c r="B1157" i="2"/>
  <c r="A1157" i="2"/>
  <c r="C1156" i="2"/>
  <c r="B1156" i="2"/>
  <c r="A1156" i="2"/>
  <c r="C1155" i="2"/>
  <c r="B1155" i="2"/>
  <c r="A1155" i="2"/>
  <c r="C1154" i="2"/>
  <c r="B1154" i="2"/>
  <c r="A1154" i="2"/>
  <c r="C1153" i="2"/>
  <c r="B1153" i="2"/>
  <c r="A1153" i="2"/>
  <c r="C1152" i="2"/>
  <c r="B1152" i="2"/>
  <c r="A1152" i="2"/>
  <c r="C1151" i="2"/>
  <c r="B1151" i="2"/>
  <c r="A1151" i="2"/>
  <c r="C1150" i="2"/>
  <c r="B1150" i="2"/>
  <c r="A1150" i="2"/>
  <c r="C1149" i="2"/>
  <c r="B1149" i="2"/>
  <c r="A1149" i="2"/>
  <c r="C1148" i="2"/>
  <c r="B1148" i="2"/>
  <c r="A1148" i="2"/>
  <c r="C1147" i="2"/>
  <c r="B1147" i="2"/>
  <c r="A1147" i="2"/>
  <c r="C1146" i="2"/>
  <c r="B1146" i="2"/>
  <c r="A1146" i="2"/>
  <c r="C1145" i="2"/>
  <c r="B1145" i="2"/>
  <c r="A1145" i="2"/>
  <c r="C1144" i="2"/>
  <c r="B1144" i="2"/>
  <c r="A1144" i="2"/>
  <c r="C1143" i="2"/>
  <c r="B1143" i="2"/>
  <c r="A1143" i="2"/>
  <c r="C1142" i="2"/>
  <c r="B1142" i="2"/>
  <c r="A1142" i="2"/>
  <c r="C1141" i="2"/>
  <c r="B1141" i="2"/>
  <c r="A1141" i="2"/>
  <c r="C1140" i="2"/>
  <c r="B1140" i="2"/>
  <c r="A1140" i="2"/>
  <c r="C1139" i="2"/>
  <c r="B1139" i="2"/>
  <c r="A1139" i="2"/>
  <c r="C1138" i="2"/>
  <c r="B1138" i="2"/>
  <c r="A1138" i="2"/>
  <c r="C1137" i="2"/>
  <c r="B1137" i="2"/>
  <c r="A1137" i="2"/>
  <c r="C1136" i="2"/>
  <c r="B1136" i="2"/>
  <c r="A1136" i="2"/>
  <c r="C1135" i="2"/>
  <c r="B1135" i="2"/>
  <c r="A1135" i="2"/>
  <c r="C1134" i="2"/>
  <c r="B1134" i="2"/>
  <c r="A1134" i="2"/>
  <c r="C1133" i="2"/>
  <c r="B1133" i="2"/>
  <c r="A1133" i="2"/>
  <c r="C1132" i="2"/>
  <c r="B1132" i="2"/>
  <c r="A1132" i="2"/>
  <c r="C1131" i="2"/>
  <c r="B1131" i="2"/>
  <c r="A1131" i="2"/>
  <c r="C1130" i="2"/>
  <c r="B1130" i="2"/>
  <c r="A1130" i="2"/>
  <c r="C1129" i="2"/>
  <c r="B1129" i="2"/>
  <c r="A1129" i="2"/>
  <c r="C1128" i="2"/>
  <c r="B1128" i="2"/>
  <c r="A1128" i="2"/>
  <c r="C1127" i="2"/>
  <c r="B1127" i="2"/>
  <c r="A1127" i="2"/>
  <c r="C1126" i="2"/>
  <c r="B1126" i="2"/>
  <c r="A1126" i="2"/>
  <c r="C1125" i="2"/>
  <c r="B1125" i="2"/>
  <c r="A1125" i="2"/>
  <c r="C1124" i="2"/>
  <c r="B1124" i="2"/>
  <c r="A1124" i="2"/>
  <c r="C1123" i="2"/>
  <c r="B1123" i="2"/>
  <c r="A1123" i="2"/>
  <c r="C1122" i="2"/>
  <c r="B1122" i="2"/>
  <c r="A1122" i="2"/>
  <c r="C1121" i="2"/>
  <c r="B1121" i="2"/>
  <c r="A1121" i="2"/>
  <c r="C1120" i="2"/>
  <c r="B1120" i="2"/>
  <c r="A1120" i="2"/>
  <c r="C1119" i="2"/>
  <c r="B1119" i="2"/>
  <c r="A1119" i="2"/>
  <c r="C1118" i="2"/>
  <c r="B1118" i="2"/>
  <c r="A1118" i="2"/>
  <c r="C1117" i="2"/>
  <c r="B1117" i="2"/>
  <c r="A1117" i="2"/>
  <c r="C1116" i="2"/>
  <c r="B1116" i="2"/>
  <c r="A1116" i="2"/>
  <c r="C1115" i="2"/>
  <c r="B1115" i="2"/>
  <c r="A1115" i="2"/>
  <c r="C1114" i="2"/>
  <c r="B1114" i="2"/>
  <c r="A1114" i="2"/>
  <c r="C1113" i="2"/>
  <c r="B1113" i="2"/>
  <c r="A1113" i="2"/>
  <c r="C1112" i="2"/>
  <c r="B1112" i="2"/>
  <c r="A1112" i="2"/>
  <c r="C1111" i="2"/>
  <c r="B1111" i="2"/>
  <c r="A1111" i="2"/>
  <c r="C1110" i="2"/>
  <c r="B1110" i="2"/>
  <c r="A1110" i="2"/>
  <c r="C1109" i="2"/>
  <c r="B1109" i="2"/>
  <c r="A1109" i="2"/>
  <c r="C1108" i="2"/>
  <c r="B1108" i="2"/>
  <c r="A1108" i="2"/>
  <c r="C1107" i="2"/>
  <c r="B1107" i="2"/>
  <c r="A1107" i="2"/>
  <c r="C1106" i="2"/>
  <c r="B1106" i="2"/>
  <c r="A1106" i="2"/>
  <c r="C1105" i="2"/>
  <c r="B1105" i="2"/>
  <c r="A1105" i="2"/>
  <c r="C1104" i="2"/>
  <c r="B1104" i="2"/>
  <c r="A1104" i="2"/>
  <c r="C1103" i="2"/>
  <c r="B1103" i="2"/>
  <c r="A1103" i="2"/>
  <c r="C1102" i="2"/>
  <c r="B1102" i="2"/>
  <c r="A1102" i="2"/>
  <c r="C1101" i="2"/>
  <c r="B1101" i="2"/>
  <c r="A1101" i="2"/>
  <c r="C1100" i="2"/>
  <c r="B1100" i="2"/>
  <c r="A1100" i="2"/>
  <c r="C1099" i="2"/>
  <c r="B1099" i="2"/>
  <c r="A1099" i="2"/>
  <c r="C1098" i="2"/>
  <c r="B1098" i="2"/>
  <c r="A1098" i="2"/>
  <c r="C1097" i="2"/>
  <c r="B1097" i="2"/>
  <c r="A1097" i="2"/>
  <c r="C1096" i="2"/>
  <c r="B1096" i="2"/>
  <c r="A1096" i="2"/>
  <c r="C1095" i="2"/>
  <c r="B1095" i="2"/>
  <c r="A1095" i="2"/>
  <c r="C1094" i="2"/>
  <c r="B1094" i="2"/>
  <c r="A1094" i="2"/>
  <c r="C1093" i="2"/>
  <c r="B1093" i="2"/>
  <c r="A1093" i="2"/>
  <c r="C1092" i="2"/>
  <c r="B1092" i="2"/>
  <c r="A1092" i="2"/>
  <c r="C1091" i="2"/>
  <c r="B1091" i="2"/>
  <c r="A1091" i="2"/>
  <c r="C1090" i="2"/>
  <c r="B1090" i="2"/>
  <c r="A1090" i="2"/>
  <c r="C1089" i="2"/>
  <c r="B1089" i="2"/>
  <c r="A1089" i="2"/>
  <c r="C1088" i="2"/>
  <c r="B1088" i="2"/>
  <c r="A1088" i="2"/>
  <c r="C1087" i="2"/>
  <c r="B1087" i="2"/>
  <c r="A1087" i="2"/>
  <c r="C1086" i="2"/>
  <c r="B1086" i="2"/>
  <c r="A1086" i="2"/>
  <c r="C1085" i="2"/>
  <c r="B1085" i="2"/>
  <c r="A1085" i="2"/>
  <c r="C1084" i="2"/>
  <c r="B1084" i="2"/>
  <c r="A1084" i="2"/>
  <c r="C1083" i="2"/>
  <c r="B1083" i="2"/>
  <c r="A1083" i="2"/>
  <c r="C1082" i="2"/>
  <c r="B1082" i="2"/>
  <c r="A1082" i="2"/>
  <c r="C1081" i="2"/>
  <c r="B1081" i="2"/>
  <c r="A1081" i="2"/>
  <c r="C1080" i="2"/>
  <c r="B1080" i="2"/>
  <c r="A1080" i="2"/>
  <c r="C1079" i="2"/>
  <c r="B1079" i="2"/>
  <c r="A1079" i="2"/>
  <c r="C1078" i="2"/>
  <c r="B1078" i="2"/>
  <c r="A1078" i="2"/>
  <c r="C1077" i="2"/>
  <c r="B1077" i="2"/>
  <c r="A1077" i="2"/>
  <c r="C1076" i="2"/>
  <c r="B1076" i="2"/>
  <c r="A1076" i="2"/>
  <c r="C1075" i="2"/>
  <c r="B1075" i="2"/>
  <c r="A1075" i="2"/>
  <c r="C1074" i="2"/>
  <c r="B1074" i="2"/>
  <c r="A1074" i="2"/>
  <c r="C1073" i="2"/>
  <c r="B1073" i="2"/>
  <c r="A1073" i="2"/>
  <c r="C1072" i="2"/>
  <c r="B1072" i="2"/>
  <c r="A1072" i="2"/>
  <c r="C1071" i="2"/>
  <c r="B1071" i="2"/>
  <c r="A1071" i="2"/>
  <c r="C1070" i="2"/>
  <c r="B1070" i="2"/>
  <c r="A1070" i="2"/>
  <c r="C1069" i="2"/>
  <c r="B1069" i="2"/>
  <c r="A1069" i="2"/>
  <c r="C1068" i="2"/>
  <c r="B1068" i="2"/>
  <c r="A1068" i="2"/>
  <c r="C1067" i="2"/>
  <c r="B1067" i="2"/>
  <c r="A1067" i="2"/>
  <c r="C1066" i="2"/>
  <c r="B1066" i="2"/>
  <c r="A1066" i="2"/>
  <c r="C1065" i="2"/>
  <c r="B1065" i="2"/>
  <c r="A1065" i="2"/>
  <c r="C1064" i="2"/>
  <c r="B1064" i="2"/>
  <c r="A1064" i="2"/>
  <c r="C1063" i="2"/>
  <c r="B1063" i="2"/>
  <c r="A1063" i="2"/>
  <c r="C1062" i="2"/>
  <c r="B1062" i="2"/>
  <c r="A1062" i="2"/>
  <c r="C1061" i="2"/>
  <c r="B1061" i="2"/>
  <c r="A1061" i="2"/>
  <c r="C1060" i="2"/>
  <c r="B1060" i="2"/>
  <c r="A1060" i="2"/>
  <c r="C1059" i="2"/>
  <c r="B1059" i="2"/>
  <c r="A1059" i="2"/>
  <c r="C1058" i="2"/>
  <c r="B1058" i="2"/>
  <c r="A1058" i="2"/>
  <c r="C1057" i="2"/>
  <c r="B1057" i="2"/>
  <c r="A1057" i="2"/>
  <c r="C1056" i="2"/>
  <c r="B1056" i="2"/>
  <c r="A1056" i="2"/>
  <c r="C1055" i="2"/>
  <c r="B1055" i="2"/>
  <c r="A1055" i="2"/>
  <c r="C1054" i="2"/>
  <c r="B1054" i="2"/>
  <c r="A1054" i="2"/>
  <c r="C1053" i="2"/>
  <c r="B1053" i="2"/>
  <c r="A1053" i="2"/>
  <c r="C1052" i="2"/>
  <c r="B1052" i="2"/>
  <c r="A1052" i="2"/>
  <c r="C1051" i="2"/>
  <c r="B1051" i="2"/>
  <c r="A1051" i="2"/>
  <c r="C1050" i="2"/>
  <c r="B1050" i="2"/>
  <c r="A1050" i="2"/>
  <c r="C1049" i="2"/>
  <c r="B1049" i="2"/>
  <c r="A1049" i="2"/>
  <c r="C1048" i="2"/>
  <c r="B1048" i="2"/>
  <c r="A1048" i="2"/>
  <c r="C1047" i="2"/>
  <c r="B1047" i="2"/>
  <c r="A1047" i="2"/>
  <c r="C1046" i="2"/>
  <c r="B1046" i="2"/>
  <c r="A1046" i="2"/>
  <c r="C1045" i="2"/>
  <c r="B1045" i="2"/>
  <c r="A1045" i="2"/>
  <c r="C1044" i="2"/>
  <c r="B1044" i="2"/>
  <c r="A1044" i="2"/>
  <c r="C1043" i="2"/>
  <c r="B1043" i="2"/>
  <c r="A1043" i="2"/>
  <c r="C1042" i="2"/>
  <c r="B1042" i="2"/>
  <c r="A1042" i="2"/>
  <c r="C1041" i="2"/>
  <c r="B1041" i="2"/>
  <c r="A1041" i="2"/>
  <c r="C1040" i="2"/>
  <c r="B1040" i="2"/>
  <c r="A1040" i="2"/>
  <c r="C1039" i="2"/>
  <c r="B1039" i="2"/>
  <c r="A1039" i="2"/>
  <c r="C1038" i="2"/>
  <c r="B1038" i="2"/>
  <c r="A1038" i="2"/>
  <c r="C1037" i="2"/>
  <c r="B1037" i="2"/>
  <c r="A1037" i="2"/>
  <c r="C1036" i="2"/>
  <c r="B1036" i="2"/>
  <c r="A1036" i="2"/>
  <c r="C1035" i="2"/>
  <c r="B1035" i="2"/>
  <c r="A1035" i="2"/>
  <c r="C1034" i="2"/>
  <c r="B1034" i="2"/>
  <c r="A1034" i="2"/>
  <c r="C1033" i="2"/>
  <c r="B1033" i="2"/>
  <c r="A1033" i="2"/>
  <c r="C1032" i="2"/>
  <c r="B1032" i="2"/>
  <c r="A1032" i="2"/>
  <c r="C1031" i="2"/>
  <c r="B1031" i="2"/>
  <c r="A1031" i="2"/>
  <c r="C1030" i="2"/>
  <c r="B1030" i="2"/>
  <c r="A1030" i="2"/>
  <c r="C1029" i="2"/>
  <c r="B1029" i="2"/>
  <c r="A1029" i="2"/>
  <c r="C1028" i="2"/>
  <c r="B1028" i="2"/>
  <c r="A1028" i="2"/>
  <c r="C1027" i="2"/>
  <c r="B1027" i="2"/>
  <c r="A1027" i="2"/>
  <c r="C1026" i="2"/>
  <c r="B1026" i="2"/>
  <c r="A1026" i="2"/>
  <c r="C1025" i="2"/>
  <c r="B1025" i="2"/>
  <c r="A1025" i="2"/>
  <c r="C1024" i="2"/>
  <c r="B1024" i="2"/>
  <c r="A1024" i="2"/>
  <c r="C1023" i="2"/>
  <c r="B1023" i="2"/>
  <c r="A1023" i="2"/>
  <c r="C1022" i="2"/>
  <c r="B1022" i="2"/>
  <c r="A1022" i="2"/>
  <c r="C1021" i="2"/>
  <c r="B1021" i="2"/>
  <c r="A1021" i="2"/>
  <c r="C1020" i="2"/>
  <c r="B1020" i="2"/>
  <c r="A1020" i="2"/>
  <c r="C1019" i="2"/>
  <c r="B1019" i="2"/>
  <c r="A1019" i="2"/>
  <c r="C1018" i="2"/>
  <c r="B1018" i="2"/>
  <c r="A1018" i="2"/>
  <c r="C1017" i="2"/>
  <c r="B1017" i="2"/>
  <c r="A1017" i="2"/>
  <c r="C1016" i="2"/>
  <c r="B1016" i="2"/>
  <c r="A1016" i="2"/>
  <c r="C1015" i="2"/>
  <c r="B1015" i="2"/>
  <c r="A1015" i="2"/>
  <c r="C1014" i="2"/>
  <c r="B1014" i="2"/>
  <c r="A1014" i="2"/>
  <c r="C1013" i="2"/>
  <c r="B1013" i="2"/>
  <c r="A1013" i="2"/>
  <c r="C1012" i="2"/>
  <c r="B1012" i="2"/>
  <c r="A1012" i="2"/>
  <c r="C1011" i="2"/>
  <c r="B1011" i="2"/>
  <c r="A1011" i="2"/>
  <c r="C1010" i="2"/>
  <c r="B1010" i="2"/>
  <c r="A1010" i="2"/>
  <c r="C1009" i="2"/>
  <c r="B1009" i="2"/>
  <c r="A1009" i="2"/>
  <c r="C1008" i="2"/>
  <c r="B1008" i="2"/>
  <c r="A1008" i="2"/>
  <c r="C1007" i="2"/>
  <c r="B1007" i="2"/>
  <c r="A1007" i="2"/>
  <c r="C1006" i="2"/>
  <c r="B1006" i="2"/>
  <c r="A1006" i="2"/>
  <c r="C1005" i="2"/>
  <c r="B1005" i="2"/>
  <c r="A1005" i="2"/>
  <c r="C1004" i="2"/>
  <c r="B1004" i="2"/>
  <c r="A1004" i="2"/>
  <c r="C1003" i="2"/>
  <c r="B1003" i="2"/>
  <c r="A1003" i="2"/>
  <c r="C1002" i="2"/>
  <c r="B1002" i="2"/>
  <c r="A1002" i="2"/>
  <c r="C1001" i="2"/>
  <c r="B1001" i="2"/>
  <c r="A1001" i="2"/>
  <c r="C1000" i="2"/>
  <c r="B1000" i="2"/>
  <c r="A1000" i="2"/>
  <c r="C999" i="2"/>
  <c r="B999" i="2"/>
  <c r="A999" i="2"/>
  <c r="C998" i="2"/>
  <c r="B998" i="2"/>
  <c r="A998" i="2"/>
  <c r="C997" i="2"/>
  <c r="B997" i="2"/>
  <c r="A997" i="2"/>
  <c r="C996" i="2"/>
  <c r="B996" i="2"/>
  <c r="A996" i="2"/>
  <c r="C995" i="2"/>
  <c r="B995" i="2"/>
  <c r="A995" i="2"/>
  <c r="C994" i="2"/>
  <c r="B994" i="2"/>
  <c r="A994" i="2"/>
  <c r="C993" i="2"/>
  <c r="B993" i="2"/>
  <c r="A993" i="2"/>
  <c r="C992" i="2"/>
  <c r="B992" i="2"/>
  <c r="A992" i="2"/>
  <c r="C991" i="2"/>
  <c r="B991" i="2"/>
  <c r="A991" i="2"/>
  <c r="C990" i="2"/>
  <c r="B990" i="2"/>
  <c r="A990" i="2"/>
  <c r="C989" i="2"/>
  <c r="B989" i="2"/>
  <c r="A989" i="2"/>
  <c r="C988" i="2"/>
  <c r="B988" i="2"/>
  <c r="A988" i="2"/>
  <c r="C987" i="2"/>
  <c r="B987" i="2"/>
  <c r="A987" i="2"/>
  <c r="C986" i="2"/>
  <c r="B986" i="2"/>
  <c r="A986" i="2"/>
  <c r="C985" i="2"/>
  <c r="B985" i="2"/>
  <c r="A985" i="2"/>
  <c r="C984" i="2"/>
  <c r="B984" i="2"/>
  <c r="A984" i="2"/>
  <c r="C983" i="2"/>
  <c r="B983" i="2"/>
  <c r="A983" i="2"/>
  <c r="C982" i="2"/>
  <c r="B982" i="2"/>
  <c r="A982" i="2"/>
  <c r="C981" i="2"/>
  <c r="B981" i="2"/>
  <c r="A981" i="2"/>
  <c r="C980" i="2"/>
  <c r="B980" i="2"/>
  <c r="A980" i="2"/>
  <c r="C979" i="2"/>
  <c r="B979" i="2"/>
  <c r="A979" i="2"/>
  <c r="C978" i="2"/>
  <c r="B978" i="2"/>
  <c r="A978" i="2"/>
  <c r="C977" i="2"/>
  <c r="B977" i="2"/>
  <c r="A977" i="2"/>
  <c r="C976" i="2"/>
  <c r="B976" i="2"/>
  <c r="A976" i="2"/>
  <c r="C975" i="2"/>
  <c r="B975" i="2"/>
  <c r="A975" i="2"/>
  <c r="C974" i="2"/>
  <c r="B974" i="2"/>
  <c r="A974" i="2"/>
  <c r="C973" i="2"/>
  <c r="B973" i="2"/>
  <c r="A973" i="2"/>
  <c r="C972" i="2"/>
  <c r="B972" i="2"/>
  <c r="A972" i="2"/>
  <c r="C971" i="2"/>
  <c r="B971" i="2"/>
  <c r="A971" i="2"/>
  <c r="C970" i="2"/>
  <c r="B970" i="2"/>
  <c r="A970" i="2"/>
  <c r="C969" i="2"/>
  <c r="B969" i="2"/>
  <c r="A969" i="2"/>
  <c r="C968" i="2"/>
  <c r="B968" i="2"/>
  <c r="A968" i="2"/>
  <c r="C967" i="2"/>
  <c r="B967" i="2"/>
  <c r="A967" i="2"/>
  <c r="C966" i="2"/>
  <c r="B966" i="2"/>
  <c r="A966" i="2"/>
  <c r="C965" i="2"/>
  <c r="B965" i="2"/>
  <c r="A965" i="2"/>
  <c r="C964" i="2"/>
  <c r="B964" i="2"/>
  <c r="A964" i="2"/>
  <c r="C963" i="2"/>
  <c r="B963" i="2"/>
  <c r="A963" i="2"/>
  <c r="C962" i="2"/>
  <c r="B962" i="2"/>
  <c r="A962" i="2"/>
  <c r="C961" i="2"/>
  <c r="B961" i="2"/>
  <c r="A961" i="2"/>
  <c r="C960" i="2"/>
  <c r="B960" i="2"/>
  <c r="A960" i="2"/>
  <c r="C959" i="2"/>
  <c r="B959" i="2"/>
  <c r="A959" i="2"/>
  <c r="C958" i="2"/>
  <c r="B958" i="2"/>
  <c r="A958" i="2"/>
  <c r="C957" i="2"/>
  <c r="B957" i="2"/>
  <c r="A957" i="2"/>
  <c r="C956" i="2"/>
  <c r="B956" i="2"/>
  <c r="A956" i="2"/>
  <c r="C955" i="2"/>
  <c r="B955" i="2"/>
  <c r="A955" i="2"/>
  <c r="C954" i="2"/>
  <c r="B954" i="2"/>
  <c r="A954" i="2"/>
  <c r="C953" i="2"/>
  <c r="B953" i="2"/>
  <c r="A953" i="2"/>
  <c r="C952" i="2"/>
  <c r="B952" i="2"/>
  <c r="A952" i="2"/>
  <c r="C951" i="2"/>
  <c r="B951" i="2"/>
  <c r="A951" i="2"/>
  <c r="C950" i="2"/>
  <c r="B950" i="2"/>
  <c r="A950" i="2"/>
  <c r="C949" i="2"/>
  <c r="B949" i="2"/>
  <c r="A949" i="2"/>
  <c r="C948" i="2"/>
  <c r="B948" i="2"/>
  <c r="A948" i="2"/>
  <c r="C947" i="2"/>
  <c r="B947" i="2"/>
  <c r="A947" i="2"/>
  <c r="C946" i="2"/>
  <c r="B946" i="2"/>
  <c r="A946" i="2"/>
  <c r="C945" i="2"/>
  <c r="B945" i="2"/>
  <c r="A945" i="2"/>
  <c r="C944" i="2"/>
  <c r="B944" i="2"/>
  <c r="A944" i="2"/>
  <c r="C943" i="2"/>
  <c r="B943" i="2"/>
  <c r="A943" i="2"/>
  <c r="C942" i="2"/>
  <c r="B942" i="2"/>
  <c r="A942" i="2"/>
  <c r="C941" i="2"/>
  <c r="B941" i="2"/>
  <c r="A941" i="2"/>
  <c r="C940" i="2"/>
  <c r="B940" i="2"/>
  <c r="A940" i="2"/>
  <c r="C939" i="2"/>
  <c r="B939" i="2"/>
  <c r="A939" i="2"/>
  <c r="C938" i="2"/>
  <c r="B938" i="2"/>
  <c r="A938" i="2"/>
  <c r="C937" i="2"/>
  <c r="B937" i="2"/>
  <c r="A937" i="2"/>
  <c r="C936" i="2"/>
  <c r="B936" i="2"/>
  <c r="A936" i="2"/>
  <c r="C935" i="2"/>
  <c r="B935" i="2"/>
  <c r="A935" i="2"/>
  <c r="C934" i="2"/>
  <c r="B934" i="2"/>
  <c r="A934" i="2"/>
  <c r="C933" i="2"/>
  <c r="B933" i="2"/>
  <c r="A933" i="2"/>
  <c r="C932" i="2"/>
  <c r="B932" i="2"/>
  <c r="A932" i="2"/>
  <c r="C931" i="2"/>
  <c r="B931" i="2"/>
  <c r="A931" i="2"/>
  <c r="C930" i="2"/>
  <c r="B930" i="2"/>
  <c r="A930" i="2"/>
  <c r="C929" i="2"/>
  <c r="B929" i="2"/>
  <c r="A929" i="2"/>
  <c r="C928" i="2"/>
  <c r="B928" i="2"/>
  <c r="A928" i="2"/>
  <c r="C927" i="2"/>
  <c r="B927" i="2"/>
  <c r="A927" i="2"/>
  <c r="C926" i="2"/>
  <c r="B926" i="2"/>
  <c r="A926" i="2"/>
  <c r="C925" i="2"/>
  <c r="B925" i="2"/>
  <c r="A925" i="2"/>
  <c r="C924" i="2"/>
  <c r="B924" i="2"/>
  <c r="A924" i="2"/>
  <c r="C923" i="2"/>
  <c r="B923" i="2"/>
  <c r="A923" i="2"/>
  <c r="C922" i="2"/>
  <c r="B922" i="2"/>
  <c r="A922" i="2"/>
  <c r="C921" i="2"/>
  <c r="B921" i="2"/>
  <c r="A921" i="2"/>
  <c r="C920" i="2"/>
  <c r="B920" i="2"/>
  <c r="A920" i="2"/>
  <c r="C919" i="2"/>
  <c r="B919" i="2"/>
  <c r="A919" i="2"/>
  <c r="C918" i="2"/>
  <c r="B918" i="2"/>
  <c r="A918" i="2"/>
  <c r="C917" i="2"/>
  <c r="B917" i="2"/>
  <c r="A917" i="2"/>
  <c r="C916" i="2"/>
  <c r="B916" i="2"/>
  <c r="A916" i="2"/>
  <c r="C915" i="2"/>
  <c r="B915" i="2"/>
  <c r="A915" i="2"/>
  <c r="C914" i="2"/>
  <c r="B914" i="2"/>
  <c r="A914" i="2"/>
  <c r="C913" i="2"/>
  <c r="B913" i="2"/>
  <c r="A913" i="2"/>
  <c r="C912" i="2"/>
  <c r="B912" i="2"/>
  <c r="A912" i="2"/>
  <c r="C911" i="2"/>
  <c r="B911" i="2"/>
  <c r="A911" i="2"/>
  <c r="C910" i="2"/>
  <c r="B910" i="2"/>
  <c r="A910" i="2"/>
  <c r="C909" i="2"/>
  <c r="B909" i="2"/>
  <c r="A909" i="2"/>
  <c r="C908" i="2"/>
  <c r="B908" i="2"/>
  <c r="A908" i="2"/>
  <c r="C907" i="2"/>
  <c r="B907" i="2"/>
  <c r="A907" i="2"/>
  <c r="C906" i="2"/>
  <c r="B906" i="2"/>
  <c r="A906" i="2"/>
  <c r="C905" i="2"/>
  <c r="B905" i="2"/>
  <c r="A905" i="2"/>
  <c r="C904" i="2"/>
  <c r="B904" i="2"/>
  <c r="A904" i="2"/>
  <c r="C903" i="2"/>
  <c r="B903" i="2"/>
  <c r="A903" i="2"/>
  <c r="C902" i="2"/>
  <c r="B902" i="2"/>
  <c r="A902" i="2"/>
  <c r="C901" i="2"/>
  <c r="B901" i="2"/>
  <c r="A901" i="2"/>
  <c r="C900" i="2"/>
  <c r="B900" i="2"/>
  <c r="A900" i="2"/>
  <c r="C899" i="2"/>
  <c r="B899" i="2"/>
  <c r="A899" i="2"/>
  <c r="C898" i="2"/>
  <c r="B898" i="2"/>
  <c r="A898" i="2"/>
  <c r="C897" i="2"/>
  <c r="B897" i="2"/>
  <c r="A897" i="2"/>
  <c r="C896" i="2"/>
  <c r="B896" i="2"/>
  <c r="A896" i="2"/>
  <c r="C895" i="2"/>
  <c r="B895" i="2"/>
  <c r="A895" i="2"/>
  <c r="C894" i="2"/>
  <c r="B894" i="2"/>
  <c r="A894" i="2"/>
  <c r="C893" i="2"/>
  <c r="B893" i="2"/>
  <c r="A893" i="2"/>
  <c r="C892" i="2"/>
  <c r="B892" i="2"/>
  <c r="A892" i="2"/>
  <c r="C891" i="2"/>
  <c r="B891" i="2"/>
  <c r="A891" i="2"/>
  <c r="C890" i="2"/>
  <c r="B890" i="2"/>
  <c r="A890" i="2"/>
  <c r="C889" i="2"/>
  <c r="B889" i="2"/>
  <c r="A889" i="2"/>
  <c r="C888" i="2"/>
  <c r="B888" i="2"/>
  <c r="A888" i="2"/>
  <c r="C887" i="2"/>
  <c r="B887" i="2"/>
  <c r="A887" i="2"/>
  <c r="C886" i="2"/>
  <c r="B886" i="2"/>
  <c r="A886" i="2"/>
  <c r="C885" i="2"/>
  <c r="B885" i="2"/>
  <c r="A885" i="2"/>
  <c r="C884" i="2"/>
  <c r="B884" i="2"/>
  <c r="A884" i="2"/>
  <c r="C883" i="2"/>
  <c r="B883" i="2"/>
  <c r="A883" i="2"/>
  <c r="C882" i="2"/>
  <c r="B882" i="2"/>
  <c r="A882" i="2"/>
  <c r="C881" i="2"/>
  <c r="B881" i="2"/>
  <c r="A881" i="2"/>
  <c r="C880" i="2"/>
  <c r="B880" i="2"/>
  <c r="A880" i="2"/>
  <c r="C879" i="2"/>
  <c r="B879" i="2"/>
  <c r="A879" i="2"/>
  <c r="C878" i="2"/>
  <c r="B878" i="2"/>
  <c r="A878" i="2"/>
  <c r="C877" i="2"/>
  <c r="B877" i="2"/>
  <c r="A877" i="2"/>
  <c r="C876" i="2"/>
  <c r="B876" i="2"/>
  <c r="A876" i="2"/>
  <c r="C875" i="2"/>
  <c r="B875" i="2"/>
  <c r="A875" i="2"/>
  <c r="C874" i="2"/>
  <c r="B874" i="2"/>
  <c r="A874" i="2"/>
  <c r="C873" i="2"/>
  <c r="B873" i="2"/>
  <c r="A873" i="2"/>
  <c r="C872" i="2"/>
  <c r="B872" i="2"/>
  <c r="A872" i="2"/>
  <c r="C871" i="2"/>
  <c r="B871" i="2"/>
  <c r="A871" i="2"/>
  <c r="C870" i="2"/>
  <c r="B870" i="2"/>
  <c r="A870" i="2"/>
  <c r="C869" i="2"/>
  <c r="B869" i="2"/>
  <c r="A869" i="2"/>
  <c r="C868" i="2"/>
  <c r="B868" i="2"/>
  <c r="A868" i="2"/>
  <c r="C867" i="2"/>
  <c r="B867" i="2"/>
  <c r="A867" i="2"/>
  <c r="C866" i="2"/>
  <c r="B866" i="2"/>
  <c r="A866" i="2"/>
  <c r="C865" i="2"/>
  <c r="B865" i="2"/>
  <c r="A865" i="2"/>
  <c r="C864" i="2"/>
  <c r="B864" i="2"/>
  <c r="A864" i="2"/>
  <c r="C863" i="2"/>
  <c r="B863" i="2"/>
  <c r="A863" i="2"/>
  <c r="C862" i="2"/>
  <c r="B862" i="2"/>
  <c r="A862" i="2"/>
  <c r="C861" i="2"/>
  <c r="B861" i="2"/>
  <c r="A861" i="2"/>
  <c r="C860" i="2"/>
  <c r="B860" i="2"/>
  <c r="A860" i="2"/>
  <c r="C859" i="2"/>
  <c r="B859" i="2"/>
  <c r="A859" i="2"/>
  <c r="C858" i="2"/>
  <c r="B858" i="2"/>
  <c r="A858" i="2"/>
  <c r="C857" i="2"/>
  <c r="B857" i="2"/>
  <c r="A857" i="2"/>
  <c r="C856" i="2"/>
  <c r="B856" i="2"/>
  <c r="A856" i="2"/>
  <c r="C855" i="2"/>
  <c r="B855" i="2"/>
  <c r="A855" i="2"/>
  <c r="C854" i="2"/>
  <c r="B854" i="2"/>
  <c r="A854" i="2"/>
  <c r="C853" i="2"/>
  <c r="B853" i="2"/>
  <c r="A853" i="2"/>
  <c r="C852" i="2"/>
  <c r="B852" i="2"/>
  <c r="A852" i="2"/>
  <c r="C851" i="2"/>
  <c r="B851" i="2"/>
  <c r="A851" i="2"/>
  <c r="C850" i="2"/>
  <c r="B850" i="2"/>
  <c r="A850" i="2"/>
  <c r="C849" i="2"/>
  <c r="B849" i="2"/>
  <c r="A849" i="2"/>
  <c r="C848" i="2"/>
  <c r="B848" i="2"/>
  <c r="A848" i="2"/>
  <c r="C847" i="2"/>
  <c r="B847" i="2"/>
  <c r="A847" i="2"/>
  <c r="C846" i="2"/>
  <c r="B846" i="2"/>
  <c r="A846" i="2"/>
  <c r="C845" i="2"/>
  <c r="B845" i="2"/>
  <c r="A845" i="2"/>
  <c r="C844" i="2"/>
  <c r="B844" i="2"/>
  <c r="A844" i="2"/>
  <c r="C843" i="2"/>
  <c r="B843" i="2"/>
  <c r="A843" i="2"/>
  <c r="C842" i="2"/>
  <c r="B842" i="2"/>
  <c r="A842" i="2"/>
  <c r="C841" i="2"/>
  <c r="B841" i="2"/>
  <c r="A841" i="2"/>
  <c r="C840" i="2"/>
  <c r="B840" i="2"/>
  <c r="A840" i="2"/>
  <c r="C839" i="2"/>
  <c r="B839" i="2"/>
  <c r="A839" i="2"/>
  <c r="C838" i="2"/>
  <c r="B838" i="2"/>
  <c r="A838" i="2"/>
  <c r="C837" i="2"/>
  <c r="B837" i="2"/>
  <c r="A837" i="2"/>
  <c r="C836" i="2"/>
  <c r="B836" i="2"/>
  <c r="A836" i="2"/>
  <c r="C835" i="2"/>
  <c r="B835" i="2"/>
  <c r="A835" i="2"/>
  <c r="C834" i="2"/>
  <c r="B834" i="2"/>
  <c r="A834" i="2"/>
  <c r="C833" i="2"/>
  <c r="B833" i="2"/>
  <c r="A833" i="2"/>
  <c r="C832" i="2"/>
  <c r="B832" i="2"/>
  <c r="A832" i="2"/>
  <c r="C831" i="2"/>
  <c r="B831" i="2"/>
  <c r="A831" i="2"/>
  <c r="C830" i="2"/>
  <c r="B830" i="2"/>
  <c r="A830" i="2"/>
  <c r="C829" i="2"/>
  <c r="B829" i="2"/>
  <c r="A829" i="2"/>
  <c r="C828" i="2"/>
  <c r="B828" i="2"/>
  <c r="A828" i="2"/>
  <c r="C827" i="2"/>
  <c r="B827" i="2"/>
  <c r="A827" i="2"/>
  <c r="C826" i="2"/>
  <c r="B826" i="2"/>
  <c r="A826" i="2"/>
  <c r="C825" i="2"/>
  <c r="B825" i="2"/>
  <c r="A825" i="2"/>
  <c r="C824" i="2"/>
  <c r="B824" i="2"/>
  <c r="A824" i="2"/>
  <c r="C823" i="2"/>
  <c r="B823" i="2"/>
  <c r="A823" i="2"/>
  <c r="C822" i="2"/>
  <c r="B822" i="2"/>
  <c r="A822" i="2"/>
  <c r="C821" i="2"/>
  <c r="B821" i="2"/>
  <c r="A821" i="2"/>
  <c r="C820" i="2"/>
  <c r="B820" i="2"/>
  <c r="A820" i="2"/>
  <c r="C819" i="2"/>
  <c r="B819" i="2"/>
  <c r="A819" i="2"/>
  <c r="C818" i="2"/>
  <c r="B818" i="2"/>
  <c r="A818" i="2"/>
  <c r="C817" i="2"/>
  <c r="B817" i="2"/>
  <c r="A817" i="2"/>
  <c r="C816" i="2"/>
  <c r="B816" i="2"/>
  <c r="A816" i="2"/>
  <c r="C815" i="2"/>
  <c r="B815" i="2"/>
  <c r="A815" i="2"/>
  <c r="C814" i="2"/>
  <c r="B814" i="2"/>
  <c r="A814" i="2"/>
  <c r="C813" i="2"/>
  <c r="B813" i="2"/>
  <c r="A813" i="2"/>
  <c r="C812" i="2"/>
  <c r="B812" i="2"/>
  <c r="A812" i="2"/>
  <c r="C811" i="2"/>
  <c r="B811" i="2"/>
  <c r="A811" i="2"/>
  <c r="C810" i="2"/>
  <c r="B810" i="2"/>
  <c r="A810" i="2"/>
  <c r="C809" i="2"/>
  <c r="B809" i="2"/>
  <c r="A809" i="2"/>
  <c r="C808" i="2"/>
  <c r="B808" i="2"/>
  <c r="A808" i="2"/>
  <c r="C807" i="2"/>
  <c r="B807" i="2"/>
  <c r="A807" i="2"/>
  <c r="C806" i="2"/>
  <c r="B806" i="2"/>
  <c r="A806" i="2"/>
  <c r="C805" i="2"/>
  <c r="B805" i="2"/>
  <c r="A805" i="2"/>
  <c r="C804" i="2"/>
  <c r="B804" i="2"/>
  <c r="A804" i="2"/>
  <c r="C803" i="2"/>
  <c r="B803" i="2"/>
  <c r="A803" i="2"/>
  <c r="C802" i="2"/>
  <c r="B802" i="2"/>
  <c r="A802" i="2"/>
  <c r="C801" i="2"/>
  <c r="B801" i="2"/>
  <c r="A801" i="2"/>
  <c r="C800" i="2"/>
  <c r="B800" i="2"/>
  <c r="A800" i="2"/>
  <c r="C799" i="2"/>
  <c r="B799" i="2"/>
  <c r="A799" i="2"/>
  <c r="C798" i="2"/>
  <c r="B798" i="2"/>
  <c r="A798" i="2"/>
  <c r="C797" i="2"/>
  <c r="B797" i="2"/>
  <c r="A797" i="2"/>
  <c r="C796" i="2"/>
  <c r="B796" i="2"/>
  <c r="A796" i="2"/>
  <c r="C795" i="2"/>
  <c r="B795" i="2"/>
  <c r="A795" i="2"/>
  <c r="C794" i="2"/>
  <c r="B794" i="2"/>
  <c r="A794" i="2"/>
  <c r="C793" i="2"/>
  <c r="B793" i="2"/>
  <c r="A793" i="2"/>
  <c r="C792" i="2"/>
  <c r="B792" i="2"/>
  <c r="A792" i="2"/>
  <c r="C791" i="2"/>
  <c r="B791" i="2"/>
  <c r="A791" i="2"/>
  <c r="C790" i="2"/>
  <c r="B790" i="2"/>
  <c r="A790" i="2"/>
  <c r="C789" i="2"/>
  <c r="B789" i="2"/>
  <c r="A789" i="2"/>
  <c r="C788" i="2"/>
  <c r="B788" i="2"/>
  <c r="A788" i="2"/>
  <c r="C787" i="2"/>
  <c r="B787" i="2"/>
  <c r="A787" i="2"/>
  <c r="C786" i="2"/>
  <c r="B786" i="2"/>
  <c r="A786" i="2"/>
  <c r="C785" i="2"/>
  <c r="B785" i="2"/>
  <c r="A785" i="2"/>
  <c r="C784" i="2"/>
  <c r="B784" i="2"/>
  <c r="A784" i="2"/>
  <c r="C783" i="2"/>
  <c r="B783" i="2"/>
  <c r="A783" i="2"/>
  <c r="C782" i="2"/>
  <c r="B782" i="2"/>
  <c r="A782" i="2"/>
  <c r="C781" i="2"/>
  <c r="B781" i="2"/>
  <c r="A781" i="2"/>
  <c r="C780" i="2"/>
  <c r="B780" i="2"/>
  <c r="A780" i="2"/>
  <c r="C779" i="2"/>
  <c r="B779" i="2"/>
  <c r="A779" i="2"/>
  <c r="C778" i="2"/>
  <c r="B778" i="2"/>
  <c r="A778" i="2"/>
  <c r="C777" i="2"/>
  <c r="B777" i="2"/>
  <c r="A777" i="2"/>
  <c r="C776" i="2"/>
  <c r="B776" i="2"/>
  <c r="A776" i="2"/>
  <c r="C775" i="2"/>
  <c r="B775" i="2"/>
  <c r="A775" i="2"/>
  <c r="C774" i="2"/>
  <c r="B774" i="2"/>
  <c r="A774" i="2"/>
  <c r="C773" i="2"/>
  <c r="B773" i="2"/>
  <c r="A773" i="2"/>
  <c r="C772" i="2"/>
  <c r="B772" i="2"/>
  <c r="A772" i="2"/>
  <c r="C771" i="2"/>
  <c r="B771" i="2"/>
  <c r="A771" i="2"/>
  <c r="C770" i="2"/>
  <c r="B770" i="2"/>
  <c r="A770" i="2"/>
  <c r="C769" i="2"/>
  <c r="B769" i="2"/>
  <c r="A769" i="2"/>
  <c r="C768" i="2"/>
  <c r="B768" i="2"/>
  <c r="A768" i="2"/>
  <c r="C767" i="2"/>
  <c r="B767" i="2"/>
  <c r="A767" i="2"/>
  <c r="C766" i="2"/>
  <c r="B766" i="2"/>
  <c r="A766" i="2"/>
  <c r="C765" i="2"/>
  <c r="B765" i="2"/>
  <c r="A765" i="2"/>
  <c r="C764" i="2"/>
  <c r="B764" i="2"/>
  <c r="A764" i="2"/>
  <c r="C763" i="2"/>
  <c r="B763" i="2"/>
  <c r="A763" i="2"/>
  <c r="C762" i="2"/>
  <c r="B762" i="2"/>
  <c r="A762" i="2"/>
  <c r="C761" i="2"/>
  <c r="B761" i="2"/>
  <c r="A761" i="2"/>
  <c r="C760" i="2"/>
  <c r="B760" i="2"/>
  <c r="A760" i="2"/>
  <c r="C759" i="2"/>
  <c r="B759" i="2"/>
  <c r="A759" i="2"/>
  <c r="C758" i="2"/>
  <c r="B758" i="2"/>
  <c r="A758" i="2"/>
  <c r="C757" i="2"/>
  <c r="B757" i="2"/>
  <c r="A757" i="2"/>
  <c r="C756" i="2"/>
  <c r="B756" i="2"/>
  <c r="A756" i="2"/>
  <c r="C755" i="2"/>
  <c r="B755" i="2"/>
  <c r="A755" i="2"/>
  <c r="C754" i="2"/>
  <c r="B754" i="2"/>
  <c r="A754" i="2"/>
  <c r="C753" i="2"/>
  <c r="B753" i="2"/>
  <c r="A753" i="2"/>
  <c r="C752" i="2"/>
  <c r="B752" i="2"/>
  <c r="A752" i="2"/>
  <c r="C751" i="2"/>
  <c r="B751" i="2"/>
  <c r="A751" i="2"/>
  <c r="C750" i="2"/>
  <c r="B750" i="2"/>
  <c r="A750" i="2"/>
  <c r="C749" i="2"/>
  <c r="B749" i="2"/>
  <c r="A749" i="2"/>
  <c r="C748" i="2"/>
  <c r="B748" i="2"/>
  <c r="A748" i="2"/>
  <c r="C747" i="2"/>
  <c r="B747" i="2"/>
  <c r="A747" i="2"/>
  <c r="C746" i="2"/>
  <c r="B746" i="2"/>
  <c r="A746" i="2"/>
  <c r="C745" i="2"/>
  <c r="B745" i="2"/>
  <c r="A745" i="2"/>
  <c r="C744" i="2"/>
  <c r="B744" i="2"/>
  <c r="A744" i="2"/>
  <c r="C743" i="2"/>
  <c r="B743" i="2"/>
  <c r="A743" i="2"/>
  <c r="C742" i="2"/>
  <c r="B742" i="2"/>
  <c r="A742" i="2"/>
  <c r="C741" i="2"/>
  <c r="B741" i="2"/>
  <c r="A741" i="2"/>
  <c r="C740" i="2"/>
  <c r="B740" i="2"/>
  <c r="A740" i="2"/>
  <c r="C739" i="2"/>
  <c r="B739" i="2"/>
  <c r="A739" i="2"/>
  <c r="C738" i="2"/>
  <c r="B738" i="2"/>
  <c r="A738" i="2"/>
  <c r="C737" i="2"/>
  <c r="B737" i="2"/>
  <c r="A737" i="2"/>
  <c r="C736" i="2"/>
  <c r="B736" i="2"/>
  <c r="A736" i="2"/>
  <c r="C735" i="2"/>
  <c r="B735" i="2"/>
  <c r="A735" i="2"/>
  <c r="C734" i="2"/>
  <c r="B734" i="2"/>
  <c r="A734" i="2"/>
  <c r="C733" i="2"/>
  <c r="B733" i="2"/>
  <c r="A733" i="2"/>
  <c r="C732" i="2"/>
  <c r="B732" i="2"/>
  <c r="A732" i="2"/>
  <c r="C731" i="2"/>
  <c r="B731" i="2"/>
  <c r="A731" i="2"/>
  <c r="C730" i="2"/>
  <c r="B730" i="2"/>
  <c r="A730" i="2"/>
  <c r="C729" i="2"/>
  <c r="B729" i="2"/>
  <c r="A729" i="2"/>
  <c r="C728" i="2"/>
  <c r="B728" i="2"/>
  <c r="A728" i="2"/>
  <c r="C727" i="2"/>
  <c r="B727" i="2"/>
  <c r="A727" i="2"/>
  <c r="C726" i="2"/>
  <c r="B726" i="2"/>
  <c r="A726" i="2"/>
  <c r="C725" i="2"/>
  <c r="B725" i="2"/>
  <c r="A725" i="2"/>
  <c r="C724" i="2"/>
  <c r="B724" i="2"/>
  <c r="A724" i="2"/>
  <c r="C723" i="2"/>
  <c r="B723" i="2"/>
  <c r="A723" i="2"/>
  <c r="C722" i="2"/>
  <c r="B722" i="2"/>
  <c r="A722" i="2"/>
  <c r="C721" i="2"/>
  <c r="B721" i="2"/>
  <c r="A721" i="2"/>
  <c r="C720" i="2"/>
  <c r="B720" i="2"/>
  <c r="A720" i="2"/>
  <c r="C719" i="2"/>
  <c r="B719" i="2"/>
  <c r="A719" i="2"/>
  <c r="C718" i="2"/>
  <c r="B718" i="2"/>
  <c r="A718" i="2"/>
  <c r="C717" i="2"/>
  <c r="B717" i="2"/>
  <c r="A717" i="2"/>
  <c r="C716" i="2"/>
  <c r="B716" i="2"/>
  <c r="A716" i="2"/>
  <c r="C715" i="2"/>
  <c r="B715" i="2"/>
  <c r="A715" i="2"/>
  <c r="C714" i="2"/>
  <c r="B714" i="2"/>
  <c r="A714" i="2"/>
  <c r="C713" i="2"/>
  <c r="B713" i="2"/>
  <c r="A713" i="2"/>
  <c r="C712" i="2"/>
  <c r="B712" i="2"/>
  <c r="A712" i="2"/>
  <c r="C711" i="2"/>
  <c r="B711" i="2"/>
  <c r="A711" i="2"/>
  <c r="C710" i="2"/>
  <c r="B710" i="2"/>
  <c r="A710" i="2"/>
  <c r="C709" i="2"/>
  <c r="B709" i="2"/>
  <c r="A709" i="2"/>
  <c r="C708" i="2"/>
  <c r="B708" i="2"/>
  <c r="A708" i="2"/>
  <c r="C707" i="2"/>
  <c r="B707" i="2"/>
  <c r="A707" i="2"/>
  <c r="C706" i="2"/>
  <c r="B706" i="2"/>
  <c r="A706" i="2"/>
  <c r="C705" i="2"/>
  <c r="B705" i="2"/>
  <c r="A705" i="2"/>
  <c r="C704" i="2"/>
  <c r="B704" i="2"/>
  <c r="A704" i="2"/>
  <c r="C703" i="2"/>
  <c r="B703" i="2"/>
  <c r="A703" i="2"/>
  <c r="C702" i="2"/>
  <c r="B702" i="2"/>
  <c r="A702" i="2"/>
  <c r="C701" i="2"/>
  <c r="B701" i="2"/>
  <c r="A701" i="2"/>
  <c r="C700" i="2"/>
  <c r="B700" i="2"/>
  <c r="A700" i="2"/>
  <c r="C699" i="2"/>
  <c r="B699" i="2"/>
  <c r="A699" i="2"/>
  <c r="C698" i="2"/>
  <c r="B698" i="2"/>
  <c r="A698" i="2"/>
  <c r="C697" i="2"/>
  <c r="B697" i="2"/>
  <c r="A697" i="2"/>
  <c r="C696" i="2"/>
  <c r="B696" i="2"/>
  <c r="A696" i="2"/>
  <c r="C695" i="2"/>
  <c r="B695" i="2"/>
  <c r="A695" i="2"/>
  <c r="C694" i="2"/>
  <c r="B694" i="2"/>
  <c r="A694" i="2"/>
  <c r="C693" i="2"/>
  <c r="B693" i="2"/>
  <c r="A693" i="2"/>
  <c r="C692" i="2"/>
  <c r="B692" i="2"/>
  <c r="A692" i="2"/>
  <c r="C691" i="2"/>
  <c r="B691" i="2"/>
  <c r="A691" i="2"/>
  <c r="C690" i="2"/>
  <c r="B690" i="2"/>
  <c r="A690" i="2"/>
  <c r="C689" i="2"/>
  <c r="B689" i="2"/>
  <c r="A689" i="2"/>
  <c r="C688" i="2"/>
  <c r="B688" i="2"/>
  <c r="A688" i="2"/>
  <c r="C687" i="2"/>
  <c r="B687" i="2"/>
  <c r="A687" i="2"/>
  <c r="C686" i="2"/>
  <c r="B686" i="2"/>
  <c r="A686" i="2"/>
  <c r="C685" i="2"/>
  <c r="B685" i="2"/>
  <c r="A685" i="2"/>
  <c r="C684" i="2"/>
  <c r="B684" i="2"/>
  <c r="A684" i="2"/>
  <c r="C683" i="2"/>
  <c r="B683" i="2"/>
  <c r="A683" i="2"/>
  <c r="C682" i="2"/>
  <c r="B682" i="2"/>
  <c r="A682" i="2"/>
  <c r="C681" i="2"/>
  <c r="B681" i="2"/>
  <c r="A681" i="2"/>
  <c r="C680" i="2"/>
  <c r="B680" i="2"/>
  <c r="A680" i="2"/>
  <c r="C679" i="2"/>
  <c r="B679" i="2"/>
  <c r="A679" i="2"/>
  <c r="C678" i="2"/>
  <c r="B678" i="2"/>
  <c r="A678" i="2"/>
  <c r="C677" i="2"/>
  <c r="B677" i="2"/>
  <c r="A677" i="2"/>
  <c r="C676" i="2"/>
  <c r="B676" i="2"/>
  <c r="A676" i="2"/>
  <c r="C675" i="2"/>
  <c r="B675" i="2"/>
  <c r="A675" i="2"/>
  <c r="C674" i="2"/>
  <c r="B674" i="2"/>
  <c r="A674" i="2"/>
  <c r="C673" i="2"/>
  <c r="B673" i="2"/>
  <c r="A673" i="2"/>
  <c r="C672" i="2"/>
  <c r="B672" i="2"/>
  <c r="A672" i="2"/>
  <c r="C671" i="2"/>
  <c r="B671" i="2"/>
  <c r="A671" i="2"/>
  <c r="C670" i="2"/>
  <c r="B670" i="2"/>
  <c r="A670" i="2"/>
  <c r="C669" i="2"/>
  <c r="B669" i="2"/>
  <c r="A669" i="2"/>
  <c r="C668" i="2"/>
  <c r="B668" i="2"/>
  <c r="A668" i="2"/>
  <c r="C667" i="2"/>
  <c r="B667" i="2"/>
  <c r="A667" i="2"/>
  <c r="C666" i="2"/>
  <c r="B666" i="2"/>
  <c r="A666" i="2"/>
  <c r="C665" i="2"/>
  <c r="B665" i="2"/>
  <c r="A665" i="2"/>
  <c r="C664" i="2"/>
  <c r="B664" i="2"/>
  <c r="A664" i="2"/>
  <c r="C663" i="2"/>
  <c r="B663" i="2"/>
  <c r="A663" i="2"/>
  <c r="C662" i="2"/>
  <c r="B662" i="2"/>
  <c r="A662" i="2"/>
  <c r="C661" i="2"/>
  <c r="B661" i="2"/>
  <c r="A661" i="2"/>
  <c r="C660" i="2"/>
  <c r="B660" i="2"/>
  <c r="A660" i="2"/>
  <c r="C659" i="2"/>
  <c r="B659" i="2"/>
  <c r="A659" i="2"/>
  <c r="C658" i="2"/>
  <c r="B658" i="2"/>
  <c r="A658" i="2"/>
  <c r="C657" i="2"/>
  <c r="B657" i="2"/>
  <c r="A657" i="2"/>
  <c r="C656" i="2"/>
  <c r="B656" i="2"/>
  <c r="A656" i="2"/>
  <c r="C655" i="2"/>
  <c r="B655" i="2"/>
  <c r="A655" i="2"/>
  <c r="C654" i="2"/>
  <c r="B654" i="2"/>
  <c r="A654" i="2"/>
  <c r="C653" i="2"/>
  <c r="B653" i="2"/>
  <c r="A653" i="2"/>
  <c r="C652" i="2"/>
  <c r="B652" i="2"/>
  <c r="A652" i="2"/>
  <c r="C651" i="2"/>
  <c r="B651" i="2"/>
  <c r="A651" i="2"/>
  <c r="C650" i="2"/>
  <c r="B650" i="2"/>
  <c r="A650" i="2"/>
  <c r="C649" i="2"/>
  <c r="B649" i="2"/>
  <c r="A649" i="2"/>
  <c r="C648" i="2"/>
  <c r="B648" i="2"/>
  <c r="A648" i="2"/>
  <c r="C647" i="2"/>
  <c r="B647" i="2"/>
  <c r="A647" i="2"/>
  <c r="C646" i="2"/>
  <c r="B646" i="2"/>
  <c r="A646" i="2"/>
  <c r="C645" i="2"/>
  <c r="B645" i="2"/>
  <c r="A645" i="2"/>
  <c r="C644" i="2"/>
  <c r="B644" i="2"/>
  <c r="A644" i="2"/>
  <c r="C643" i="2"/>
  <c r="B643" i="2"/>
  <c r="A643" i="2"/>
  <c r="C642" i="2"/>
  <c r="B642" i="2"/>
  <c r="A642" i="2"/>
  <c r="C641" i="2"/>
  <c r="B641" i="2"/>
  <c r="A641" i="2"/>
  <c r="C640" i="2"/>
  <c r="B640" i="2"/>
  <c r="A640" i="2"/>
  <c r="C639" i="2"/>
  <c r="B639" i="2"/>
  <c r="A639" i="2"/>
  <c r="C638" i="2"/>
  <c r="B638" i="2"/>
  <c r="A638" i="2"/>
  <c r="C637" i="2"/>
  <c r="B637" i="2"/>
  <c r="A637" i="2"/>
  <c r="C636" i="2"/>
  <c r="B636" i="2"/>
  <c r="A636" i="2"/>
  <c r="C635" i="2"/>
  <c r="B635" i="2"/>
  <c r="A635" i="2"/>
  <c r="C634" i="2"/>
  <c r="B634" i="2"/>
  <c r="A634" i="2"/>
  <c r="C633" i="2"/>
  <c r="B633" i="2"/>
  <c r="A633" i="2"/>
  <c r="C632" i="2"/>
  <c r="B632" i="2"/>
  <c r="A632" i="2"/>
  <c r="C631" i="2"/>
  <c r="B631" i="2"/>
  <c r="A631" i="2"/>
  <c r="C630" i="2"/>
  <c r="B630" i="2"/>
  <c r="A630" i="2"/>
  <c r="C629" i="2"/>
  <c r="B629" i="2"/>
  <c r="A629" i="2"/>
  <c r="C628" i="2"/>
  <c r="B628" i="2"/>
  <c r="A628" i="2"/>
  <c r="C627" i="2"/>
  <c r="B627" i="2"/>
  <c r="A627" i="2"/>
  <c r="C626" i="2"/>
  <c r="B626" i="2"/>
  <c r="A626" i="2"/>
  <c r="C625" i="2"/>
  <c r="B625" i="2"/>
  <c r="A625" i="2"/>
  <c r="C624" i="2"/>
  <c r="B624" i="2"/>
  <c r="A624" i="2"/>
  <c r="C623" i="2"/>
  <c r="B623" i="2"/>
  <c r="A623" i="2"/>
  <c r="C622" i="2"/>
  <c r="B622" i="2"/>
  <c r="A622" i="2"/>
  <c r="C621" i="2"/>
  <c r="B621" i="2"/>
  <c r="A621" i="2"/>
  <c r="C620" i="2"/>
  <c r="B620" i="2"/>
  <c r="A620" i="2"/>
  <c r="C619" i="2"/>
  <c r="B619" i="2"/>
  <c r="A619" i="2"/>
  <c r="C618" i="2"/>
  <c r="B618" i="2"/>
  <c r="A618" i="2"/>
  <c r="C617" i="2"/>
  <c r="B617" i="2"/>
  <c r="A617" i="2"/>
  <c r="C616" i="2"/>
  <c r="B616" i="2"/>
  <c r="A616" i="2"/>
  <c r="C615" i="2"/>
  <c r="B615" i="2"/>
  <c r="A615" i="2"/>
  <c r="C614" i="2"/>
  <c r="B614" i="2"/>
  <c r="A614" i="2"/>
  <c r="C613" i="2"/>
  <c r="B613" i="2"/>
  <c r="A613" i="2"/>
  <c r="C612" i="2"/>
  <c r="B612" i="2"/>
  <c r="A612" i="2"/>
  <c r="C611" i="2"/>
  <c r="B611" i="2"/>
  <c r="A611" i="2"/>
  <c r="C610" i="2"/>
  <c r="B610" i="2"/>
  <c r="A610" i="2"/>
  <c r="C609" i="2"/>
  <c r="B609" i="2"/>
  <c r="A609" i="2"/>
  <c r="C608" i="2"/>
  <c r="B608" i="2"/>
  <c r="A608" i="2"/>
  <c r="C607" i="2"/>
  <c r="B607" i="2"/>
  <c r="A607" i="2"/>
  <c r="C606" i="2"/>
  <c r="B606" i="2"/>
  <c r="A606" i="2"/>
  <c r="C605" i="2"/>
  <c r="B605" i="2"/>
  <c r="A605" i="2"/>
  <c r="C604" i="2"/>
  <c r="B604" i="2"/>
  <c r="A604" i="2"/>
  <c r="C603" i="2"/>
  <c r="B603" i="2"/>
  <c r="A603" i="2"/>
  <c r="C602" i="2"/>
  <c r="B602" i="2"/>
  <c r="A602" i="2"/>
  <c r="C601" i="2"/>
  <c r="B601" i="2"/>
  <c r="A601" i="2"/>
  <c r="C600" i="2"/>
  <c r="B600" i="2"/>
  <c r="A600" i="2"/>
  <c r="C599" i="2"/>
  <c r="B599" i="2"/>
  <c r="A599" i="2"/>
  <c r="C598" i="2"/>
  <c r="B598" i="2"/>
  <c r="A598" i="2"/>
  <c r="C597" i="2"/>
  <c r="B597" i="2"/>
  <c r="A597" i="2"/>
  <c r="C596" i="2"/>
  <c r="B596" i="2"/>
  <c r="A596" i="2"/>
  <c r="C595" i="2"/>
  <c r="B595" i="2"/>
  <c r="A595" i="2"/>
  <c r="C594" i="2"/>
  <c r="B594" i="2"/>
  <c r="A594" i="2"/>
  <c r="C593" i="2"/>
  <c r="B593" i="2"/>
  <c r="A593" i="2"/>
  <c r="C592" i="2"/>
  <c r="B592" i="2"/>
  <c r="A592" i="2"/>
  <c r="C591" i="2"/>
  <c r="B591" i="2"/>
  <c r="A591" i="2"/>
  <c r="C590" i="2"/>
  <c r="B590" i="2"/>
  <c r="A590" i="2"/>
  <c r="C589" i="2"/>
  <c r="B589" i="2"/>
  <c r="A589" i="2"/>
  <c r="C588" i="2"/>
  <c r="B588" i="2"/>
  <c r="A588" i="2"/>
  <c r="C587" i="2"/>
  <c r="B587" i="2"/>
  <c r="A587" i="2"/>
  <c r="C586" i="2"/>
  <c r="B586" i="2"/>
  <c r="A586" i="2"/>
  <c r="C585" i="2"/>
  <c r="B585" i="2"/>
  <c r="A585" i="2"/>
  <c r="C584" i="2"/>
  <c r="B584" i="2"/>
  <c r="A584" i="2"/>
  <c r="C583" i="2"/>
  <c r="B583" i="2"/>
  <c r="A583" i="2"/>
  <c r="C582" i="2"/>
  <c r="B582" i="2"/>
  <c r="A582" i="2"/>
  <c r="C581" i="2"/>
  <c r="B581" i="2"/>
  <c r="A581" i="2"/>
  <c r="C580" i="2"/>
  <c r="B580" i="2"/>
  <c r="A580" i="2"/>
  <c r="C579" i="2"/>
  <c r="B579" i="2"/>
  <c r="A579" i="2"/>
  <c r="C578" i="2"/>
  <c r="B578" i="2"/>
  <c r="A578" i="2"/>
  <c r="C577" i="2"/>
  <c r="B577" i="2"/>
  <c r="A577" i="2"/>
  <c r="C576" i="2"/>
  <c r="B576" i="2"/>
  <c r="A576" i="2"/>
  <c r="C575" i="2"/>
  <c r="B575" i="2"/>
  <c r="A575" i="2"/>
  <c r="C574" i="2"/>
  <c r="B574" i="2"/>
  <c r="A574" i="2"/>
  <c r="C573" i="2"/>
  <c r="B573" i="2"/>
  <c r="A573" i="2"/>
  <c r="C572" i="2"/>
  <c r="B572" i="2"/>
  <c r="A572" i="2"/>
  <c r="C571" i="2"/>
  <c r="B571" i="2"/>
  <c r="A571" i="2"/>
  <c r="C570" i="2"/>
  <c r="B570" i="2"/>
  <c r="A570" i="2"/>
  <c r="C569" i="2"/>
  <c r="B569" i="2"/>
  <c r="A569" i="2"/>
  <c r="C568" i="2"/>
  <c r="B568" i="2"/>
  <c r="A568" i="2"/>
  <c r="C567" i="2"/>
  <c r="B567" i="2"/>
  <c r="A567" i="2"/>
  <c r="C566" i="2"/>
  <c r="B566" i="2"/>
  <c r="A566" i="2"/>
  <c r="C565" i="2"/>
  <c r="B565" i="2"/>
  <c r="A565" i="2"/>
  <c r="C564" i="2"/>
  <c r="B564" i="2"/>
  <c r="A564" i="2"/>
  <c r="C563" i="2"/>
  <c r="B563" i="2"/>
  <c r="A563" i="2"/>
  <c r="C562" i="2"/>
  <c r="B562" i="2"/>
  <c r="A562" i="2"/>
  <c r="C561" i="2"/>
  <c r="B561" i="2"/>
  <c r="A561" i="2"/>
  <c r="C560" i="2"/>
  <c r="B560" i="2"/>
  <c r="A560" i="2"/>
  <c r="C559" i="2"/>
  <c r="B559" i="2"/>
  <c r="A559" i="2"/>
  <c r="C558" i="2"/>
  <c r="B558" i="2"/>
  <c r="A558" i="2"/>
  <c r="C557" i="2"/>
  <c r="B557" i="2"/>
  <c r="A557" i="2"/>
  <c r="C556" i="2"/>
  <c r="B556" i="2"/>
  <c r="A556" i="2"/>
  <c r="C555" i="2"/>
  <c r="B555" i="2"/>
  <c r="A555" i="2"/>
  <c r="C554" i="2"/>
  <c r="B554" i="2"/>
  <c r="A554" i="2"/>
  <c r="C553" i="2"/>
  <c r="B553" i="2"/>
  <c r="A553" i="2"/>
  <c r="C552" i="2"/>
  <c r="B552" i="2"/>
  <c r="A552" i="2"/>
  <c r="C551" i="2"/>
  <c r="B551" i="2"/>
  <c r="A551" i="2"/>
  <c r="C550" i="2"/>
  <c r="B550" i="2"/>
  <c r="A550" i="2"/>
  <c r="C549" i="2"/>
  <c r="B549" i="2"/>
  <c r="A549" i="2"/>
  <c r="C548" i="2"/>
  <c r="B548" i="2"/>
  <c r="A548" i="2"/>
  <c r="C547" i="2"/>
  <c r="B547" i="2"/>
  <c r="A547" i="2"/>
  <c r="C546" i="2"/>
  <c r="B546" i="2"/>
  <c r="A546" i="2"/>
  <c r="C545" i="2"/>
  <c r="B545" i="2"/>
  <c r="A545" i="2"/>
  <c r="C544" i="2"/>
  <c r="B544" i="2"/>
  <c r="A544" i="2"/>
  <c r="C543" i="2"/>
  <c r="B543" i="2"/>
  <c r="A543" i="2"/>
  <c r="C542" i="2"/>
  <c r="B542" i="2"/>
  <c r="A542" i="2"/>
  <c r="C541" i="2"/>
  <c r="B541" i="2"/>
  <c r="A541" i="2"/>
  <c r="C540" i="2"/>
  <c r="B540" i="2"/>
  <c r="A540" i="2"/>
  <c r="C539" i="2"/>
  <c r="B539" i="2"/>
  <c r="A539" i="2"/>
  <c r="C538" i="2"/>
  <c r="B538" i="2"/>
  <c r="A538" i="2"/>
  <c r="C537" i="2"/>
  <c r="B537" i="2"/>
  <c r="A537" i="2"/>
  <c r="C536" i="2"/>
  <c r="B536" i="2"/>
  <c r="A536" i="2"/>
  <c r="C535" i="2"/>
  <c r="B535" i="2"/>
  <c r="A535" i="2"/>
  <c r="C534" i="2"/>
  <c r="B534" i="2"/>
  <c r="A534" i="2"/>
  <c r="C533" i="2"/>
  <c r="B533" i="2"/>
  <c r="A533" i="2"/>
  <c r="C532" i="2"/>
  <c r="B532" i="2"/>
  <c r="A532" i="2"/>
  <c r="C531" i="2"/>
  <c r="B531" i="2"/>
  <c r="A531" i="2"/>
  <c r="C530" i="2"/>
  <c r="B530" i="2"/>
  <c r="A530" i="2"/>
  <c r="C529" i="2"/>
  <c r="B529" i="2"/>
  <c r="A529" i="2"/>
  <c r="C528" i="2"/>
  <c r="B528" i="2"/>
  <c r="A528" i="2"/>
  <c r="C527" i="2"/>
  <c r="B527" i="2"/>
  <c r="A527" i="2"/>
  <c r="C526" i="2"/>
  <c r="B526" i="2"/>
  <c r="A526" i="2"/>
  <c r="C525" i="2"/>
  <c r="B525" i="2"/>
  <c r="A525" i="2"/>
  <c r="C524" i="2"/>
  <c r="B524" i="2"/>
  <c r="A524" i="2"/>
  <c r="C523" i="2"/>
  <c r="B523" i="2"/>
  <c r="A523" i="2"/>
  <c r="C522" i="2"/>
  <c r="B522" i="2"/>
  <c r="A522" i="2"/>
  <c r="C521" i="2"/>
  <c r="B521" i="2"/>
  <c r="A521" i="2"/>
  <c r="C520" i="2"/>
  <c r="B520" i="2"/>
  <c r="A520" i="2"/>
  <c r="C519" i="2"/>
  <c r="B519" i="2"/>
  <c r="A519" i="2"/>
  <c r="C518" i="2"/>
  <c r="B518" i="2"/>
  <c r="A518" i="2"/>
  <c r="C517" i="2"/>
  <c r="B517" i="2"/>
  <c r="A517" i="2"/>
  <c r="C516" i="2"/>
  <c r="B516" i="2"/>
  <c r="A516" i="2"/>
  <c r="C515" i="2"/>
  <c r="B515" i="2"/>
  <c r="A515" i="2"/>
  <c r="C514" i="2"/>
  <c r="B514" i="2"/>
  <c r="A514" i="2"/>
  <c r="C513" i="2"/>
  <c r="B513" i="2"/>
  <c r="A513" i="2"/>
  <c r="C512" i="2"/>
  <c r="B512" i="2"/>
  <c r="A512" i="2"/>
  <c r="C511" i="2"/>
  <c r="B511" i="2"/>
  <c r="A511" i="2"/>
  <c r="C510" i="2"/>
  <c r="B510" i="2"/>
  <c r="A510" i="2"/>
  <c r="C509" i="2"/>
  <c r="B509" i="2"/>
  <c r="A509" i="2"/>
  <c r="C508" i="2"/>
  <c r="B508" i="2"/>
  <c r="A508" i="2"/>
  <c r="C507" i="2"/>
  <c r="B507" i="2"/>
  <c r="A507" i="2"/>
  <c r="C506" i="2"/>
  <c r="B506" i="2"/>
  <c r="A506" i="2"/>
  <c r="C505" i="2"/>
  <c r="B505" i="2"/>
  <c r="A505" i="2"/>
  <c r="C504" i="2"/>
  <c r="B504" i="2"/>
  <c r="A504" i="2"/>
  <c r="C503" i="2"/>
  <c r="B503" i="2"/>
  <c r="A503" i="2"/>
  <c r="C502" i="2"/>
  <c r="B502" i="2"/>
  <c r="A502" i="2"/>
  <c r="C501" i="2"/>
  <c r="B501" i="2"/>
  <c r="A501" i="2"/>
  <c r="C500" i="2"/>
  <c r="B500" i="2"/>
  <c r="A500" i="2"/>
  <c r="C499" i="2"/>
  <c r="B499" i="2"/>
  <c r="A499" i="2"/>
  <c r="C498" i="2"/>
  <c r="B498" i="2"/>
  <c r="A498" i="2"/>
  <c r="C497" i="2"/>
  <c r="B497" i="2"/>
  <c r="A497" i="2"/>
  <c r="C496" i="2"/>
  <c r="B496" i="2"/>
  <c r="A496" i="2"/>
  <c r="C495" i="2"/>
  <c r="B495" i="2"/>
  <c r="A495" i="2"/>
  <c r="C494" i="2"/>
  <c r="B494" i="2"/>
  <c r="A494" i="2"/>
  <c r="C493" i="2"/>
  <c r="B493" i="2"/>
  <c r="A493" i="2"/>
  <c r="C492" i="2"/>
  <c r="B492" i="2"/>
  <c r="A492" i="2"/>
  <c r="C491" i="2"/>
  <c r="B491" i="2"/>
  <c r="A491" i="2"/>
  <c r="C490" i="2"/>
  <c r="B490" i="2"/>
  <c r="A490" i="2"/>
  <c r="C489" i="2"/>
  <c r="B489" i="2"/>
  <c r="A489" i="2"/>
  <c r="C488" i="2"/>
  <c r="B488" i="2"/>
  <c r="A488" i="2"/>
  <c r="C487" i="2"/>
  <c r="B487" i="2"/>
  <c r="A487" i="2"/>
  <c r="C486" i="2"/>
  <c r="B486" i="2"/>
  <c r="A486" i="2"/>
  <c r="C485" i="2"/>
  <c r="B485" i="2"/>
  <c r="A485" i="2"/>
  <c r="C484" i="2"/>
  <c r="B484" i="2"/>
  <c r="A484" i="2"/>
  <c r="C483" i="2"/>
  <c r="B483" i="2"/>
  <c r="A483" i="2"/>
  <c r="C482" i="2"/>
  <c r="B482" i="2"/>
  <c r="A482" i="2"/>
  <c r="C481" i="2"/>
  <c r="B481" i="2"/>
  <c r="A481" i="2"/>
  <c r="C480" i="2"/>
  <c r="B480" i="2"/>
  <c r="A480" i="2"/>
  <c r="C479" i="2"/>
  <c r="B479" i="2"/>
  <c r="A479" i="2"/>
  <c r="C478" i="2"/>
  <c r="B478" i="2"/>
  <c r="A478" i="2"/>
  <c r="C477" i="2"/>
  <c r="B477" i="2"/>
  <c r="A477" i="2"/>
  <c r="C476" i="2"/>
  <c r="B476" i="2"/>
  <c r="A476" i="2"/>
  <c r="C475" i="2"/>
  <c r="B475" i="2"/>
  <c r="A475" i="2"/>
  <c r="C474" i="2"/>
  <c r="B474" i="2"/>
  <c r="A474" i="2"/>
  <c r="C473" i="2"/>
  <c r="B473" i="2"/>
  <c r="A473" i="2"/>
  <c r="C472" i="2"/>
  <c r="B472" i="2"/>
  <c r="A472" i="2"/>
  <c r="C471" i="2"/>
  <c r="B471" i="2"/>
  <c r="A471" i="2"/>
  <c r="C470" i="2"/>
  <c r="B470" i="2"/>
  <c r="A470" i="2"/>
  <c r="C469" i="2"/>
  <c r="B469" i="2"/>
  <c r="A469" i="2"/>
  <c r="C468" i="2"/>
  <c r="B468" i="2"/>
  <c r="A468" i="2"/>
  <c r="C467" i="2"/>
  <c r="B467" i="2"/>
  <c r="A467" i="2"/>
  <c r="C466" i="2"/>
  <c r="B466" i="2"/>
  <c r="A466" i="2"/>
  <c r="C465" i="2"/>
  <c r="B465" i="2"/>
  <c r="A465" i="2"/>
  <c r="C464" i="2"/>
  <c r="B464" i="2"/>
  <c r="A464" i="2"/>
  <c r="C463" i="2"/>
  <c r="B463" i="2"/>
  <c r="A463" i="2"/>
  <c r="C462" i="2"/>
  <c r="B462" i="2"/>
  <c r="A462" i="2"/>
  <c r="C461" i="2"/>
  <c r="B461" i="2"/>
  <c r="A461" i="2"/>
  <c r="C460" i="2"/>
  <c r="B460" i="2"/>
  <c r="A460" i="2"/>
  <c r="C459" i="2"/>
  <c r="B459" i="2"/>
  <c r="A459" i="2"/>
  <c r="C458" i="2"/>
  <c r="B458" i="2"/>
  <c r="A458" i="2"/>
  <c r="C457" i="2"/>
  <c r="B457" i="2"/>
  <c r="A457" i="2"/>
  <c r="C456" i="2"/>
  <c r="B456" i="2"/>
  <c r="A456" i="2"/>
  <c r="C455" i="2"/>
  <c r="B455" i="2"/>
  <c r="A455" i="2"/>
  <c r="C454" i="2"/>
  <c r="B454" i="2"/>
  <c r="A454" i="2"/>
  <c r="C453" i="2"/>
  <c r="B453" i="2"/>
  <c r="A453" i="2"/>
  <c r="C452" i="2"/>
  <c r="B452" i="2"/>
  <c r="A452" i="2"/>
  <c r="C451" i="2"/>
  <c r="B451" i="2"/>
  <c r="A451" i="2"/>
  <c r="C450" i="2"/>
  <c r="B450" i="2"/>
  <c r="A450" i="2"/>
  <c r="C449" i="2"/>
  <c r="B449" i="2"/>
  <c r="A449" i="2"/>
  <c r="C448" i="2"/>
  <c r="B448" i="2"/>
  <c r="A448" i="2"/>
  <c r="C447" i="2"/>
  <c r="B447" i="2"/>
  <c r="A447" i="2"/>
  <c r="C446" i="2"/>
  <c r="B446" i="2"/>
  <c r="A446" i="2"/>
  <c r="C445" i="2"/>
  <c r="B445" i="2"/>
  <c r="A445" i="2"/>
  <c r="C444" i="2"/>
  <c r="B444" i="2"/>
  <c r="A444" i="2"/>
  <c r="C443" i="2"/>
  <c r="B443" i="2"/>
  <c r="A443" i="2"/>
  <c r="C442" i="2"/>
  <c r="B442" i="2"/>
  <c r="A442" i="2"/>
  <c r="C441" i="2"/>
  <c r="B441" i="2"/>
  <c r="A441" i="2"/>
  <c r="C440" i="2"/>
  <c r="B440" i="2"/>
  <c r="A440" i="2"/>
  <c r="C439" i="2"/>
  <c r="B439" i="2"/>
  <c r="A439" i="2"/>
  <c r="C438" i="2"/>
  <c r="B438" i="2"/>
  <c r="A438" i="2"/>
  <c r="C437" i="2"/>
  <c r="B437" i="2"/>
  <c r="A437" i="2"/>
  <c r="C436" i="2"/>
  <c r="B436" i="2"/>
  <c r="A436" i="2"/>
  <c r="C435" i="2"/>
  <c r="B435" i="2"/>
  <c r="A435" i="2"/>
  <c r="C434" i="2"/>
  <c r="B434" i="2"/>
  <c r="A434" i="2"/>
  <c r="C433" i="2"/>
  <c r="B433" i="2"/>
  <c r="A433" i="2"/>
  <c r="C432" i="2"/>
  <c r="B432" i="2"/>
  <c r="A432" i="2"/>
  <c r="C431" i="2"/>
  <c r="B431" i="2"/>
  <c r="A431" i="2"/>
  <c r="C430" i="2"/>
  <c r="B430" i="2"/>
  <c r="A430" i="2"/>
  <c r="C429" i="2"/>
  <c r="B429" i="2"/>
  <c r="A429" i="2"/>
  <c r="C428" i="2"/>
  <c r="B428" i="2"/>
  <c r="A428" i="2"/>
  <c r="C427" i="2"/>
  <c r="B427" i="2"/>
  <c r="A427" i="2"/>
  <c r="C426" i="2"/>
  <c r="B426" i="2"/>
  <c r="A426" i="2"/>
  <c r="C425" i="2"/>
  <c r="B425" i="2"/>
  <c r="A425" i="2"/>
  <c r="C424" i="2"/>
  <c r="B424" i="2"/>
  <c r="A424" i="2"/>
  <c r="C423" i="2"/>
  <c r="B423" i="2"/>
  <c r="A423" i="2"/>
  <c r="C422" i="2"/>
  <c r="B422" i="2"/>
  <c r="A422" i="2"/>
  <c r="C421" i="2"/>
  <c r="B421" i="2"/>
  <c r="A421" i="2"/>
  <c r="C420" i="2"/>
  <c r="B420" i="2"/>
  <c r="A420" i="2"/>
  <c r="C419" i="2"/>
  <c r="B419" i="2"/>
  <c r="A419" i="2"/>
  <c r="C418" i="2"/>
  <c r="B418" i="2"/>
  <c r="A418" i="2"/>
  <c r="C417" i="2"/>
  <c r="B417" i="2"/>
  <c r="A417" i="2"/>
  <c r="C416" i="2"/>
  <c r="B416" i="2"/>
  <c r="A416" i="2"/>
  <c r="C415" i="2"/>
  <c r="B415" i="2"/>
  <c r="A415" i="2"/>
  <c r="C414" i="2"/>
  <c r="B414" i="2"/>
  <c r="A414" i="2"/>
  <c r="C413" i="2"/>
  <c r="B413" i="2"/>
  <c r="A413" i="2"/>
  <c r="C412" i="2"/>
  <c r="B412" i="2"/>
  <c r="A412" i="2"/>
  <c r="C411" i="2"/>
  <c r="B411" i="2"/>
  <c r="A411" i="2"/>
  <c r="C410" i="2"/>
  <c r="B410" i="2"/>
  <c r="A410" i="2"/>
  <c r="C409" i="2"/>
  <c r="B409" i="2"/>
  <c r="A409" i="2"/>
  <c r="C408" i="2"/>
  <c r="B408" i="2"/>
  <c r="A408" i="2"/>
  <c r="C407" i="2"/>
  <c r="B407" i="2"/>
  <c r="A407" i="2"/>
  <c r="C406" i="2"/>
  <c r="B406" i="2"/>
  <c r="A406" i="2"/>
  <c r="C405" i="2"/>
  <c r="B405" i="2"/>
  <c r="A405" i="2"/>
  <c r="C404" i="2"/>
  <c r="B404" i="2"/>
  <c r="A404" i="2"/>
  <c r="C403" i="2"/>
  <c r="B403" i="2"/>
  <c r="A403" i="2"/>
  <c r="C402" i="2"/>
  <c r="B402" i="2"/>
  <c r="A402" i="2"/>
  <c r="C401" i="2"/>
  <c r="B401" i="2"/>
  <c r="A401" i="2"/>
  <c r="C400" i="2"/>
  <c r="B400" i="2"/>
  <c r="A400" i="2"/>
  <c r="C399" i="2"/>
  <c r="B399" i="2"/>
  <c r="A399" i="2"/>
  <c r="C398" i="2"/>
  <c r="B398" i="2"/>
  <c r="A398" i="2"/>
  <c r="C397" i="2"/>
  <c r="B397" i="2"/>
  <c r="A397" i="2"/>
  <c r="C396" i="2"/>
  <c r="B396" i="2"/>
  <c r="A396" i="2"/>
  <c r="C395" i="2"/>
  <c r="B395" i="2"/>
  <c r="A395" i="2"/>
  <c r="C394" i="2"/>
  <c r="B394" i="2"/>
  <c r="A394" i="2"/>
  <c r="C393" i="2"/>
  <c r="B393" i="2"/>
  <c r="A393" i="2"/>
  <c r="C392" i="2"/>
  <c r="B392" i="2"/>
  <c r="A392" i="2"/>
  <c r="C391" i="2"/>
  <c r="B391" i="2"/>
  <c r="A391" i="2"/>
  <c r="C390" i="2"/>
  <c r="B390" i="2"/>
  <c r="A390" i="2"/>
  <c r="C389" i="2"/>
  <c r="B389" i="2"/>
  <c r="A389" i="2"/>
  <c r="C388" i="2"/>
  <c r="B388" i="2"/>
  <c r="A388" i="2"/>
  <c r="C387" i="2"/>
  <c r="B387" i="2"/>
  <c r="A387" i="2"/>
  <c r="C386" i="2"/>
  <c r="B386" i="2"/>
  <c r="A386" i="2"/>
  <c r="C385" i="2"/>
  <c r="B385" i="2"/>
  <c r="A385" i="2"/>
  <c r="C384" i="2"/>
  <c r="B384" i="2"/>
  <c r="A384" i="2"/>
  <c r="C383" i="2"/>
  <c r="B383" i="2"/>
  <c r="A383" i="2"/>
  <c r="C382" i="2"/>
  <c r="B382" i="2"/>
  <c r="A382" i="2"/>
  <c r="C381" i="2"/>
  <c r="B381" i="2"/>
  <c r="A381" i="2"/>
  <c r="C380" i="2"/>
  <c r="B380" i="2"/>
  <c r="A380" i="2"/>
  <c r="C379" i="2"/>
  <c r="B379" i="2"/>
  <c r="A379" i="2"/>
  <c r="C378" i="2"/>
  <c r="B378" i="2"/>
  <c r="A378" i="2"/>
  <c r="C377" i="2"/>
  <c r="B377" i="2"/>
  <c r="A377" i="2"/>
  <c r="C376" i="2"/>
  <c r="B376" i="2"/>
  <c r="A376" i="2"/>
  <c r="C375" i="2"/>
  <c r="B375" i="2"/>
  <c r="A375" i="2"/>
  <c r="C374" i="2"/>
  <c r="B374" i="2"/>
  <c r="A374" i="2"/>
  <c r="C373" i="2"/>
  <c r="B373" i="2"/>
  <c r="A373" i="2"/>
  <c r="C372" i="2"/>
  <c r="B372" i="2"/>
  <c r="A372" i="2"/>
  <c r="C371" i="2"/>
  <c r="B371" i="2"/>
  <c r="A371" i="2"/>
  <c r="C370" i="2"/>
  <c r="B370" i="2"/>
  <c r="A370" i="2"/>
  <c r="C369" i="2"/>
  <c r="B369" i="2"/>
  <c r="A369" i="2"/>
  <c r="C368" i="2"/>
  <c r="B368" i="2"/>
  <c r="A368" i="2"/>
  <c r="C367" i="2"/>
  <c r="B367" i="2"/>
  <c r="A367" i="2"/>
  <c r="C366" i="2"/>
  <c r="B366" i="2"/>
  <c r="A366" i="2"/>
  <c r="C365" i="2"/>
  <c r="B365" i="2"/>
  <c r="A365" i="2"/>
  <c r="C364" i="2"/>
  <c r="B364" i="2"/>
  <c r="A364" i="2"/>
  <c r="C363" i="2"/>
  <c r="B363" i="2"/>
  <c r="A363" i="2"/>
  <c r="C362" i="2"/>
  <c r="B362" i="2"/>
  <c r="A362" i="2"/>
  <c r="C361" i="2"/>
  <c r="B361" i="2"/>
  <c r="A361" i="2"/>
  <c r="C360" i="2"/>
  <c r="B360" i="2"/>
  <c r="A360" i="2"/>
  <c r="C359" i="2"/>
  <c r="B359" i="2"/>
  <c r="A359" i="2"/>
  <c r="C358" i="2"/>
  <c r="B358" i="2"/>
  <c r="A358" i="2"/>
  <c r="C357" i="2"/>
  <c r="B357" i="2"/>
  <c r="A357" i="2"/>
  <c r="C356" i="2"/>
  <c r="B356" i="2"/>
  <c r="A356" i="2"/>
  <c r="C355" i="2"/>
  <c r="B355" i="2"/>
  <c r="A355" i="2"/>
  <c r="C354" i="2"/>
  <c r="B354" i="2"/>
  <c r="A354" i="2"/>
  <c r="C353" i="2"/>
  <c r="B353" i="2"/>
  <c r="A353" i="2"/>
  <c r="C352" i="2"/>
  <c r="B352" i="2"/>
  <c r="A352" i="2"/>
  <c r="C351" i="2"/>
  <c r="B351" i="2"/>
  <c r="A351" i="2"/>
  <c r="C350" i="2"/>
  <c r="B350" i="2"/>
  <c r="A350" i="2"/>
  <c r="C349" i="2"/>
  <c r="B349" i="2"/>
  <c r="A349" i="2"/>
  <c r="C348" i="2"/>
  <c r="B348" i="2"/>
  <c r="A348" i="2"/>
  <c r="C347" i="2"/>
  <c r="B347" i="2"/>
  <c r="A347" i="2"/>
  <c r="C346" i="2"/>
  <c r="B346" i="2"/>
  <c r="A346" i="2"/>
  <c r="C345" i="2"/>
  <c r="B345" i="2"/>
  <c r="A345" i="2"/>
  <c r="C344" i="2"/>
  <c r="B344" i="2"/>
  <c r="A344" i="2"/>
  <c r="C343" i="2"/>
  <c r="B343" i="2"/>
  <c r="A343" i="2"/>
  <c r="C342" i="2"/>
  <c r="B342" i="2"/>
  <c r="A342" i="2"/>
  <c r="C341" i="2"/>
  <c r="B341" i="2"/>
  <c r="A341" i="2"/>
  <c r="C340" i="2"/>
  <c r="B340" i="2"/>
  <c r="A340" i="2"/>
  <c r="C339" i="2"/>
  <c r="B339" i="2"/>
  <c r="A339" i="2"/>
  <c r="C338" i="2"/>
  <c r="B338" i="2"/>
  <c r="A338" i="2"/>
  <c r="C337" i="2"/>
  <c r="B337" i="2"/>
  <c r="A337" i="2"/>
  <c r="C336" i="2"/>
  <c r="B336" i="2"/>
  <c r="A336" i="2"/>
  <c r="C335" i="2"/>
  <c r="B335" i="2"/>
  <c r="A335" i="2"/>
  <c r="C334" i="2"/>
  <c r="B334" i="2"/>
  <c r="A334" i="2"/>
  <c r="C333" i="2"/>
  <c r="B333" i="2"/>
  <c r="A333" i="2"/>
  <c r="C332" i="2"/>
  <c r="B332" i="2"/>
  <c r="A332" i="2"/>
  <c r="C331" i="2"/>
  <c r="B331" i="2"/>
  <c r="A331" i="2"/>
  <c r="C330" i="2"/>
  <c r="B330" i="2"/>
  <c r="A330" i="2"/>
  <c r="C329" i="2"/>
  <c r="B329" i="2"/>
  <c r="A329" i="2"/>
  <c r="C328" i="2"/>
  <c r="B328" i="2"/>
  <c r="A328" i="2"/>
  <c r="C327" i="2"/>
  <c r="B327" i="2"/>
  <c r="A327" i="2"/>
  <c r="C326" i="2"/>
  <c r="B326" i="2"/>
  <c r="A326" i="2"/>
  <c r="C325" i="2"/>
  <c r="B325" i="2"/>
  <c r="A325" i="2"/>
  <c r="C324" i="2"/>
  <c r="B324" i="2"/>
  <c r="A324" i="2"/>
  <c r="C323" i="2"/>
  <c r="B323" i="2"/>
  <c r="A323" i="2"/>
  <c r="C322" i="2"/>
  <c r="B322" i="2"/>
  <c r="A322" i="2"/>
  <c r="C321" i="2"/>
  <c r="B321" i="2"/>
  <c r="A321" i="2"/>
  <c r="C320" i="2"/>
  <c r="B320" i="2"/>
  <c r="A320" i="2"/>
  <c r="C319" i="2"/>
  <c r="B319" i="2"/>
  <c r="A319" i="2"/>
  <c r="C318" i="2"/>
  <c r="B318" i="2"/>
  <c r="A318" i="2"/>
  <c r="C317" i="2"/>
  <c r="B317" i="2"/>
  <c r="A317" i="2"/>
  <c r="C316" i="2"/>
  <c r="B316" i="2"/>
  <c r="A316" i="2"/>
  <c r="C315" i="2"/>
  <c r="B315" i="2"/>
  <c r="A315" i="2"/>
  <c r="C314" i="2"/>
  <c r="B314" i="2"/>
  <c r="A314" i="2"/>
  <c r="C313" i="2"/>
  <c r="B313" i="2"/>
  <c r="A313" i="2"/>
  <c r="C312" i="2"/>
  <c r="B312" i="2"/>
  <c r="A312" i="2"/>
  <c r="C311" i="2"/>
  <c r="B311" i="2"/>
  <c r="A311" i="2"/>
  <c r="C310" i="2"/>
  <c r="B310" i="2"/>
  <c r="A310" i="2"/>
  <c r="C309" i="2"/>
  <c r="B309" i="2"/>
  <c r="A309" i="2"/>
  <c r="C308" i="2"/>
  <c r="B308" i="2"/>
  <c r="A308" i="2"/>
  <c r="C307" i="2"/>
  <c r="B307" i="2"/>
  <c r="A307" i="2"/>
  <c r="C306" i="2"/>
  <c r="B306" i="2"/>
  <c r="A306" i="2"/>
  <c r="C305" i="2"/>
  <c r="B305" i="2"/>
  <c r="A305" i="2"/>
  <c r="C304" i="2"/>
  <c r="B304" i="2"/>
  <c r="A304" i="2"/>
  <c r="C303" i="2"/>
  <c r="B303" i="2"/>
  <c r="A303" i="2"/>
  <c r="C302" i="2"/>
  <c r="B302" i="2"/>
  <c r="A302" i="2"/>
  <c r="C301" i="2"/>
  <c r="B301" i="2"/>
  <c r="A301" i="2"/>
  <c r="C300" i="2"/>
  <c r="B300" i="2"/>
  <c r="A300" i="2"/>
  <c r="C299" i="2"/>
  <c r="B299" i="2"/>
  <c r="A299" i="2"/>
  <c r="C298" i="2"/>
  <c r="B298" i="2"/>
  <c r="A298" i="2"/>
  <c r="C297" i="2"/>
  <c r="B297" i="2"/>
  <c r="A297" i="2"/>
  <c r="C296" i="2"/>
  <c r="B296" i="2"/>
  <c r="A296" i="2"/>
  <c r="C295" i="2"/>
  <c r="B295" i="2"/>
  <c r="A295" i="2"/>
  <c r="C294" i="2"/>
  <c r="B294" i="2"/>
  <c r="A294" i="2"/>
  <c r="C293" i="2"/>
  <c r="B293" i="2"/>
  <c r="A293" i="2"/>
  <c r="C292" i="2"/>
  <c r="B292" i="2"/>
  <c r="A292" i="2"/>
  <c r="C291" i="2"/>
  <c r="B291" i="2"/>
  <c r="A291" i="2"/>
  <c r="C290" i="2"/>
  <c r="B290" i="2"/>
  <c r="A290" i="2"/>
  <c r="C289" i="2"/>
  <c r="B289" i="2"/>
  <c r="A289" i="2"/>
  <c r="C288" i="2"/>
  <c r="B288" i="2"/>
  <c r="A288" i="2"/>
  <c r="C287" i="2"/>
  <c r="B287" i="2"/>
  <c r="A287" i="2"/>
  <c r="C286" i="2"/>
  <c r="B286" i="2"/>
  <c r="A286" i="2"/>
  <c r="C285" i="2"/>
  <c r="B285" i="2"/>
  <c r="A285" i="2"/>
  <c r="C284" i="2"/>
  <c r="B284" i="2"/>
  <c r="A284" i="2"/>
  <c r="C283" i="2"/>
  <c r="B283" i="2"/>
  <c r="A283" i="2"/>
  <c r="C282" i="2"/>
  <c r="B282" i="2"/>
  <c r="A282" i="2"/>
  <c r="C281" i="2"/>
  <c r="B281" i="2"/>
  <c r="A281" i="2"/>
  <c r="C280" i="2"/>
  <c r="B280" i="2"/>
  <c r="A280" i="2"/>
  <c r="C279" i="2"/>
  <c r="B279" i="2"/>
  <c r="A279" i="2"/>
  <c r="C278" i="2"/>
  <c r="B278" i="2"/>
  <c r="A278" i="2"/>
  <c r="C277" i="2"/>
  <c r="B277" i="2"/>
  <c r="A277" i="2"/>
  <c r="C276" i="2"/>
  <c r="B276" i="2"/>
  <c r="A276" i="2"/>
  <c r="C275" i="2"/>
  <c r="B275" i="2"/>
  <c r="A275" i="2"/>
  <c r="C274" i="2"/>
  <c r="B274" i="2"/>
  <c r="A274" i="2"/>
  <c r="C273" i="2"/>
  <c r="B273" i="2"/>
  <c r="A273" i="2"/>
  <c r="C272" i="2"/>
  <c r="B272" i="2"/>
  <c r="A272" i="2"/>
  <c r="C271" i="2"/>
  <c r="B271" i="2"/>
  <c r="A271" i="2"/>
  <c r="C270" i="2"/>
  <c r="B270" i="2"/>
  <c r="A270" i="2"/>
  <c r="C269" i="2"/>
  <c r="B269" i="2"/>
  <c r="A269" i="2"/>
  <c r="C268" i="2"/>
  <c r="B268" i="2"/>
  <c r="A268" i="2"/>
  <c r="C267" i="2"/>
  <c r="B267" i="2"/>
  <c r="A267" i="2"/>
  <c r="C266" i="2"/>
  <c r="B266" i="2"/>
  <c r="A266" i="2"/>
  <c r="C265" i="2"/>
  <c r="B265" i="2"/>
  <c r="A265" i="2"/>
  <c r="C264" i="2"/>
  <c r="B264" i="2"/>
  <c r="A264" i="2"/>
  <c r="C263" i="2"/>
  <c r="B263" i="2"/>
  <c r="A263" i="2"/>
  <c r="C262" i="2"/>
  <c r="B262" i="2"/>
  <c r="A262" i="2"/>
  <c r="C261" i="2"/>
  <c r="B261" i="2"/>
  <c r="A261" i="2"/>
  <c r="C260" i="2"/>
  <c r="B260" i="2"/>
  <c r="A260" i="2"/>
  <c r="C259" i="2"/>
  <c r="B259" i="2"/>
  <c r="A259" i="2"/>
  <c r="C258" i="2"/>
  <c r="B258" i="2"/>
  <c r="A258" i="2"/>
  <c r="C257" i="2"/>
  <c r="B257" i="2"/>
  <c r="A257" i="2"/>
  <c r="C256" i="2"/>
  <c r="B256" i="2"/>
  <c r="A256" i="2"/>
  <c r="C255" i="2"/>
  <c r="B255" i="2"/>
  <c r="A255" i="2"/>
  <c r="C254" i="2"/>
  <c r="B254" i="2"/>
  <c r="A254" i="2"/>
  <c r="C253" i="2"/>
  <c r="B253" i="2"/>
  <c r="A253" i="2"/>
  <c r="C252" i="2"/>
  <c r="B252" i="2"/>
  <c r="A252" i="2"/>
  <c r="C251" i="2"/>
  <c r="B251" i="2"/>
  <c r="A251" i="2"/>
  <c r="C250" i="2"/>
  <c r="B250" i="2"/>
  <c r="A250" i="2"/>
  <c r="C249" i="2"/>
  <c r="B249" i="2"/>
  <c r="A249" i="2"/>
  <c r="C248" i="2"/>
  <c r="B248" i="2"/>
  <c r="A248" i="2"/>
  <c r="C247" i="2"/>
  <c r="B247" i="2"/>
  <c r="A247" i="2"/>
  <c r="C246" i="2"/>
  <c r="B246" i="2"/>
  <c r="A246" i="2"/>
  <c r="C245" i="2"/>
  <c r="B245" i="2"/>
  <c r="A245" i="2"/>
  <c r="C244" i="2"/>
  <c r="B244" i="2"/>
  <c r="A244" i="2"/>
  <c r="C243" i="2"/>
  <c r="B243" i="2"/>
  <c r="A243" i="2"/>
  <c r="C242" i="2"/>
  <c r="B242" i="2"/>
  <c r="A242" i="2"/>
  <c r="C241" i="2"/>
  <c r="B241" i="2"/>
  <c r="A241" i="2"/>
  <c r="C240" i="2"/>
  <c r="B240" i="2"/>
  <c r="A240" i="2"/>
  <c r="C239" i="2"/>
  <c r="B239" i="2"/>
  <c r="A239" i="2"/>
  <c r="C238" i="2"/>
  <c r="B238" i="2"/>
  <c r="A238" i="2"/>
  <c r="C237" i="2"/>
  <c r="B237" i="2"/>
  <c r="A237" i="2"/>
  <c r="C236" i="2"/>
  <c r="B236" i="2"/>
  <c r="A236" i="2"/>
  <c r="C235" i="2"/>
  <c r="B235" i="2"/>
  <c r="A235" i="2"/>
  <c r="C234" i="2"/>
  <c r="B234" i="2"/>
  <c r="A234" i="2"/>
  <c r="C233" i="2"/>
  <c r="B233" i="2"/>
  <c r="A233" i="2"/>
  <c r="C232" i="2"/>
  <c r="B232" i="2"/>
  <c r="A232" i="2"/>
  <c r="C231" i="2"/>
  <c r="B231" i="2"/>
  <c r="A231" i="2"/>
  <c r="C230" i="2"/>
  <c r="B230" i="2"/>
  <c r="A230" i="2"/>
  <c r="C229" i="2"/>
  <c r="B229" i="2"/>
  <c r="A229" i="2"/>
  <c r="C228" i="2"/>
  <c r="B228" i="2"/>
  <c r="A228" i="2"/>
  <c r="C227" i="2"/>
  <c r="B227" i="2"/>
  <c r="A227" i="2"/>
  <c r="C226" i="2"/>
  <c r="B226" i="2"/>
  <c r="A226" i="2"/>
  <c r="C225" i="2"/>
  <c r="B225" i="2"/>
  <c r="A225" i="2"/>
  <c r="C224" i="2"/>
  <c r="B224" i="2"/>
  <c r="A224" i="2"/>
  <c r="C223" i="2"/>
  <c r="B223" i="2"/>
  <c r="A223" i="2"/>
  <c r="C222" i="2"/>
  <c r="B222" i="2"/>
  <c r="A222" i="2"/>
  <c r="C221" i="2"/>
  <c r="B221" i="2"/>
  <c r="A221" i="2"/>
  <c r="C220" i="2"/>
  <c r="B220" i="2"/>
  <c r="A220" i="2"/>
  <c r="C219" i="2"/>
  <c r="B219" i="2"/>
  <c r="A219" i="2"/>
  <c r="C218" i="2"/>
  <c r="B218" i="2"/>
  <c r="A218" i="2"/>
  <c r="C217" i="2"/>
  <c r="B217" i="2"/>
  <c r="A217" i="2"/>
  <c r="C216" i="2"/>
  <c r="B216" i="2"/>
  <c r="A216" i="2"/>
  <c r="C215" i="2"/>
  <c r="B215" i="2"/>
  <c r="A215" i="2"/>
  <c r="C214" i="2"/>
  <c r="B214" i="2"/>
  <c r="A214" i="2"/>
  <c r="C213" i="2"/>
  <c r="B213" i="2"/>
  <c r="A213" i="2"/>
  <c r="C212" i="2"/>
  <c r="B212" i="2"/>
  <c r="A212" i="2"/>
  <c r="C211" i="2"/>
  <c r="B211" i="2"/>
  <c r="A211" i="2"/>
  <c r="C210" i="2"/>
  <c r="B210" i="2"/>
  <c r="A210" i="2"/>
  <c r="C209" i="2"/>
  <c r="B209" i="2"/>
  <c r="A209" i="2"/>
  <c r="C208" i="2"/>
  <c r="B208" i="2"/>
  <c r="A208" i="2"/>
  <c r="C207" i="2"/>
  <c r="B207" i="2"/>
  <c r="A207" i="2"/>
  <c r="C206" i="2"/>
  <c r="B206" i="2"/>
  <c r="A206" i="2"/>
  <c r="C205" i="2"/>
  <c r="B205" i="2"/>
  <c r="A205" i="2"/>
  <c r="C204" i="2"/>
  <c r="B204" i="2"/>
  <c r="A204" i="2"/>
  <c r="C203" i="2"/>
  <c r="B203" i="2"/>
  <c r="A203" i="2"/>
  <c r="C202" i="2"/>
  <c r="B202" i="2"/>
  <c r="A202" i="2"/>
  <c r="C201" i="2"/>
  <c r="B201" i="2"/>
  <c r="A201" i="2"/>
  <c r="C200" i="2"/>
  <c r="B200" i="2"/>
  <c r="A200" i="2"/>
  <c r="C199" i="2"/>
  <c r="B199" i="2"/>
  <c r="A199" i="2"/>
  <c r="C198" i="2"/>
  <c r="B198" i="2"/>
  <c r="A198" i="2"/>
  <c r="C197" i="2"/>
  <c r="B197" i="2"/>
  <c r="A197" i="2"/>
  <c r="C196" i="2"/>
  <c r="B196" i="2"/>
  <c r="A196" i="2"/>
  <c r="C195" i="2"/>
  <c r="B195" i="2"/>
  <c r="A195" i="2"/>
  <c r="C194" i="2"/>
  <c r="B194" i="2"/>
  <c r="A194" i="2"/>
  <c r="C193" i="2"/>
  <c r="B193" i="2"/>
  <c r="A193" i="2"/>
  <c r="C192" i="2"/>
  <c r="B192" i="2"/>
  <c r="A192" i="2"/>
  <c r="C191" i="2"/>
  <c r="B191" i="2"/>
  <c r="A191" i="2"/>
  <c r="C190" i="2"/>
  <c r="B190" i="2"/>
  <c r="A190" i="2"/>
  <c r="C189" i="2"/>
  <c r="B189" i="2"/>
  <c r="A189" i="2"/>
  <c r="C188" i="2"/>
  <c r="B188" i="2"/>
  <c r="A188" i="2"/>
  <c r="C187" i="2"/>
  <c r="B187" i="2"/>
  <c r="A187" i="2"/>
  <c r="C186" i="2"/>
  <c r="B186" i="2"/>
  <c r="A186" i="2"/>
  <c r="C185" i="2"/>
  <c r="B185" i="2"/>
  <c r="A185" i="2"/>
  <c r="C184" i="2"/>
  <c r="B184" i="2"/>
  <c r="A184" i="2"/>
  <c r="C183" i="2"/>
  <c r="B183" i="2"/>
  <c r="A183" i="2"/>
  <c r="C182" i="2"/>
  <c r="B182" i="2"/>
  <c r="A182" i="2"/>
  <c r="C181" i="2"/>
  <c r="B181" i="2"/>
  <c r="A181" i="2"/>
  <c r="C180" i="2"/>
  <c r="B180" i="2"/>
  <c r="A180" i="2"/>
  <c r="C179" i="2"/>
  <c r="B179" i="2"/>
  <c r="A179" i="2"/>
  <c r="C178" i="2"/>
  <c r="B178" i="2"/>
  <c r="A178" i="2"/>
  <c r="C177" i="2"/>
  <c r="B177" i="2"/>
  <c r="A177" i="2"/>
  <c r="C176" i="2"/>
  <c r="B176" i="2"/>
  <c r="A176" i="2"/>
  <c r="C175" i="2"/>
  <c r="B175" i="2"/>
  <c r="A175" i="2"/>
  <c r="C174" i="2"/>
  <c r="B174" i="2"/>
  <c r="A174" i="2"/>
  <c r="C173" i="2"/>
  <c r="B173" i="2"/>
  <c r="A173" i="2"/>
  <c r="C172" i="2"/>
  <c r="B172" i="2"/>
  <c r="A172" i="2"/>
  <c r="C171" i="2"/>
  <c r="B171" i="2"/>
  <c r="A171" i="2"/>
  <c r="C170" i="2"/>
  <c r="B170" i="2"/>
  <c r="A170" i="2"/>
  <c r="C169" i="2"/>
  <c r="B169" i="2"/>
  <c r="A169" i="2"/>
  <c r="C168" i="2"/>
  <c r="B168" i="2"/>
  <c r="A168" i="2"/>
  <c r="C167" i="2"/>
  <c r="B167" i="2"/>
  <c r="A167" i="2"/>
  <c r="C166" i="2"/>
  <c r="B166" i="2"/>
  <c r="A166" i="2"/>
  <c r="C165" i="2"/>
  <c r="B165" i="2"/>
  <c r="A165" i="2"/>
  <c r="C164" i="2"/>
  <c r="B164" i="2"/>
  <c r="A164" i="2"/>
  <c r="C163" i="2"/>
  <c r="B163" i="2"/>
  <c r="A163" i="2"/>
  <c r="C162" i="2"/>
  <c r="B162" i="2"/>
  <c r="A162" i="2"/>
  <c r="C161" i="2"/>
  <c r="B161" i="2"/>
  <c r="A161" i="2"/>
  <c r="C160" i="2"/>
  <c r="B160" i="2"/>
  <c r="A160" i="2"/>
  <c r="C159" i="2"/>
  <c r="B159" i="2"/>
  <c r="A159" i="2"/>
  <c r="C158" i="2"/>
  <c r="B158" i="2"/>
  <c r="A158" i="2"/>
  <c r="C157" i="2"/>
  <c r="B157" i="2"/>
  <c r="A157" i="2"/>
  <c r="C156" i="2"/>
  <c r="B156" i="2"/>
  <c r="A156" i="2"/>
  <c r="C155" i="2"/>
  <c r="B155" i="2"/>
  <c r="A155" i="2"/>
  <c r="C154" i="2"/>
  <c r="B154" i="2"/>
  <c r="A154" i="2"/>
  <c r="C153" i="2"/>
  <c r="B153" i="2"/>
  <c r="A153" i="2"/>
  <c r="C152" i="2"/>
  <c r="B152" i="2"/>
  <c r="A152" i="2"/>
  <c r="C151" i="2"/>
  <c r="B151" i="2"/>
  <c r="A151" i="2"/>
  <c r="C150" i="2"/>
  <c r="B150" i="2"/>
  <c r="A150" i="2"/>
  <c r="C149" i="2"/>
  <c r="B149" i="2"/>
  <c r="A149" i="2"/>
  <c r="C148" i="2"/>
  <c r="B148" i="2"/>
  <c r="A148" i="2"/>
  <c r="C147" i="2"/>
  <c r="B147" i="2"/>
  <c r="A147" i="2"/>
  <c r="C146" i="2"/>
  <c r="B146" i="2"/>
  <c r="A146" i="2"/>
  <c r="C145" i="2"/>
  <c r="B145" i="2"/>
  <c r="A145" i="2"/>
  <c r="C144" i="2"/>
  <c r="B144" i="2"/>
  <c r="A144" i="2"/>
  <c r="C143" i="2"/>
  <c r="B143" i="2"/>
  <c r="A143" i="2"/>
  <c r="C142" i="2"/>
  <c r="B142" i="2"/>
  <c r="A142" i="2"/>
  <c r="C141" i="2"/>
  <c r="B141" i="2"/>
  <c r="A141" i="2"/>
  <c r="C140" i="2"/>
  <c r="B140" i="2"/>
  <c r="A140" i="2"/>
  <c r="C139" i="2"/>
  <c r="B139" i="2"/>
  <c r="A139" i="2"/>
  <c r="C138" i="2"/>
  <c r="B138" i="2"/>
  <c r="A138" i="2"/>
  <c r="C137" i="2"/>
  <c r="B137" i="2"/>
  <c r="A137" i="2"/>
  <c r="C136" i="2"/>
  <c r="B136" i="2"/>
  <c r="A136" i="2"/>
  <c r="C135" i="2"/>
  <c r="B135" i="2"/>
  <c r="A135" i="2"/>
  <c r="C134" i="2"/>
  <c r="B134" i="2"/>
  <c r="A134" i="2"/>
  <c r="C133" i="2"/>
  <c r="B133" i="2"/>
  <c r="A133" i="2"/>
  <c r="C132" i="2"/>
  <c r="B132" i="2"/>
  <c r="A132" i="2"/>
  <c r="C131" i="2"/>
  <c r="B131" i="2"/>
  <c r="A131" i="2"/>
  <c r="C130" i="2"/>
  <c r="B130" i="2"/>
  <c r="A130" i="2"/>
  <c r="C129" i="2"/>
  <c r="B129" i="2"/>
  <c r="A129" i="2"/>
  <c r="C128" i="2"/>
  <c r="B128" i="2"/>
  <c r="A128" i="2"/>
  <c r="C127" i="2"/>
  <c r="B127" i="2"/>
  <c r="A127" i="2"/>
  <c r="C126" i="2"/>
  <c r="B126" i="2"/>
  <c r="A126" i="2"/>
  <c r="C125" i="2"/>
  <c r="B125" i="2"/>
  <c r="A125" i="2"/>
  <c r="C124" i="2"/>
  <c r="B124" i="2"/>
  <c r="A124" i="2"/>
  <c r="C123" i="2"/>
  <c r="B123" i="2"/>
  <c r="A123" i="2"/>
  <c r="C122" i="2"/>
  <c r="B122" i="2"/>
  <c r="A122" i="2"/>
  <c r="C121" i="2"/>
  <c r="B121" i="2"/>
  <c r="A121" i="2"/>
  <c r="C120" i="2"/>
  <c r="B120" i="2"/>
  <c r="A120" i="2"/>
  <c r="C119" i="2"/>
  <c r="B119" i="2"/>
  <c r="A119" i="2"/>
  <c r="C118" i="2"/>
  <c r="B118" i="2"/>
  <c r="A118" i="2"/>
  <c r="C117" i="2"/>
  <c r="B117" i="2"/>
  <c r="A117" i="2"/>
  <c r="C116" i="2"/>
  <c r="B116" i="2"/>
  <c r="A116" i="2"/>
  <c r="C115" i="2"/>
  <c r="B115" i="2"/>
  <c r="A115" i="2"/>
  <c r="C114" i="2"/>
  <c r="B114" i="2"/>
  <c r="A114" i="2"/>
  <c r="C113" i="2"/>
  <c r="B113" i="2"/>
  <c r="A113" i="2"/>
  <c r="C112" i="2"/>
  <c r="B112" i="2"/>
  <c r="A112" i="2"/>
  <c r="C111" i="2"/>
  <c r="B111" i="2"/>
  <c r="A111" i="2"/>
  <c r="C110" i="2"/>
  <c r="B110" i="2"/>
  <c r="A110" i="2"/>
  <c r="C109" i="2"/>
  <c r="B109" i="2"/>
  <c r="A109" i="2"/>
  <c r="C108" i="2"/>
  <c r="B108" i="2"/>
  <c r="A108" i="2"/>
  <c r="C107" i="2"/>
  <c r="B107" i="2"/>
  <c r="A107" i="2"/>
  <c r="C106" i="2"/>
  <c r="B106" i="2"/>
  <c r="A106" i="2"/>
  <c r="C105" i="2"/>
  <c r="B105" i="2"/>
  <c r="A105" i="2"/>
  <c r="C104" i="2"/>
  <c r="B104" i="2"/>
  <c r="A104" i="2"/>
  <c r="C103" i="2"/>
  <c r="B103" i="2"/>
  <c r="A103" i="2"/>
  <c r="C102" i="2"/>
  <c r="B102" i="2"/>
  <c r="A102" i="2"/>
  <c r="C101" i="2"/>
  <c r="B101" i="2"/>
  <c r="A101" i="2"/>
  <c r="C100" i="2"/>
  <c r="B100" i="2"/>
  <c r="A100" i="2"/>
  <c r="C99" i="2"/>
  <c r="B99" i="2"/>
  <c r="A99" i="2"/>
  <c r="C98" i="2"/>
  <c r="B98" i="2"/>
  <c r="A98" i="2"/>
  <c r="C97" i="2"/>
  <c r="B97" i="2"/>
  <c r="A97" i="2"/>
  <c r="C96" i="2"/>
  <c r="B96" i="2"/>
  <c r="A96" i="2"/>
  <c r="C95" i="2"/>
  <c r="B95" i="2"/>
  <c r="A95" i="2"/>
  <c r="C94" i="2"/>
  <c r="B94" i="2"/>
  <c r="A94" i="2"/>
  <c r="C93" i="2"/>
  <c r="B93" i="2"/>
  <c r="A93" i="2"/>
  <c r="C92" i="2"/>
  <c r="B92" i="2"/>
  <c r="A92" i="2"/>
  <c r="C91" i="2"/>
  <c r="B91" i="2"/>
  <c r="A91" i="2"/>
  <c r="C90" i="2"/>
  <c r="B90" i="2"/>
  <c r="A90" i="2"/>
  <c r="C89" i="2"/>
  <c r="B89" i="2"/>
  <c r="A89" i="2"/>
  <c r="C88" i="2"/>
  <c r="B88" i="2"/>
  <c r="A88" i="2"/>
  <c r="C87" i="2"/>
  <c r="B87" i="2"/>
  <c r="A87" i="2"/>
  <c r="C86" i="2"/>
  <c r="B86" i="2"/>
  <c r="A86" i="2"/>
  <c r="C85" i="2"/>
  <c r="B85" i="2"/>
  <c r="A85" i="2"/>
  <c r="C84" i="2"/>
  <c r="B84" i="2"/>
  <c r="A84" i="2"/>
  <c r="C83" i="2"/>
  <c r="B83" i="2"/>
  <c r="A83" i="2"/>
  <c r="C82" i="2"/>
  <c r="B82" i="2"/>
  <c r="A82" i="2"/>
  <c r="C81" i="2"/>
  <c r="B81" i="2"/>
  <c r="A81" i="2"/>
  <c r="C80" i="2"/>
  <c r="B80" i="2"/>
  <c r="A80" i="2"/>
  <c r="C79" i="2"/>
  <c r="B79" i="2"/>
  <c r="A79" i="2"/>
  <c r="C78" i="2"/>
  <c r="B78" i="2"/>
  <c r="A78" i="2"/>
  <c r="C77" i="2"/>
  <c r="B77" i="2"/>
  <c r="A77" i="2"/>
  <c r="C76" i="2"/>
  <c r="B76" i="2"/>
  <c r="A76" i="2"/>
  <c r="C75" i="2"/>
  <c r="B75" i="2"/>
  <c r="A75" i="2"/>
  <c r="C74" i="2"/>
  <c r="B74" i="2"/>
  <c r="A74" i="2"/>
  <c r="C73" i="2"/>
  <c r="B73" i="2"/>
  <c r="A73" i="2"/>
  <c r="C72" i="2"/>
  <c r="B72" i="2"/>
  <c r="A72" i="2"/>
  <c r="C71" i="2"/>
  <c r="B71" i="2"/>
  <c r="A71" i="2"/>
  <c r="C70" i="2"/>
  <c r="B70" i="2"/>
  <c r="A70" i="2"/>
  <c r="C69" i="2"/>
  <c r="B69" i="2"/>
  <c r="A69" i="2"/>
  <c r="C68" i="2"/>
  <c r="B68" i="2"/>
  <c r="A68" i="2"/>
  <c r="C67" i="2"/>
  <c r="B67" i="2"/>
  <c r="A67" i="2"/>
  <c r="C66" i="2"/>
  <c r="B66" i="2"/>
  <c r="A66" i="2"/>
  <c r="C65" i="2"/>
  <c r="B65" i="2"/>
  <c r="A65" i="2"/>
  <c r="C64" i="2"/>
  <c r="B64" i="2"/>
  <c r="A64" i="2"/>
  <c r="C63" i="2"/>
  <c r="B63" i="2"/>
  <c r="A63" i="2"/>
  <c r="C62" i="2"/>
  <c r="B62" i="2"/>
  <c r="A62" i="2"/>
  <c r="C61" i="2"/>
  <c r="B61" i="2"/>
  <c r="A61" i="2"/>
  <c r="C60" i="2"/>
  <c r="B60" i="2"/>
  <c r="A60" i="2"/>
  <c r="C59" i="2"/>
  <c r="B59" i="2"/>
  <c r="A59" i="2"/>
  <c r="C58" i="2"/>
  <c r="B58" i="2"/>
  <c r="A58" i="2"/>
  <c r="C57" i="2"/>
  <c r="B57" i="2"/>
  <c r="A57" i="2"/>
  <c r="C56" i="2"/>
  <c r="B56" i="2"/>
  <c r="A56" i="2"/>
  <c r="C55" i="2"/>
  <c r="B55" i="2"/>
  <c r="A55" i="2"/>
  <c r="C54" i="2"/>
  <c r="B54" i="2"/>
  <c r="A54" i="2"/>
  <c r="C53" i="2"/>
  <c r="B53" i="2"/>
  <c r="A53" i="2"/>
  <c r="C52" i="2"/>
  <c r="B52" i="2"/>
  <c r="A52" i="2"/>
  <c r="C51" i="2"/>
  <c r="B51" i="2"/>
  <c r="A51" i="2"/>
  <c r="C50" i="2"/>
  <c r="B50" i="2"/>
  <c r="A50" i="2"/>
  <c r="C49" i="2"/>
  <c r="B49" i="2"/>
  <c r="A49" i="2"/>
  <c r="C48" i="2"/>
  <c r="B48" i="2"/>
  <c r="A48" i="2"/>
  <c r="C47" i="2"/>
  <c r="B47" i="2"/>
  <c r="A47" i="2"/>
  <c r="C46" i="2"/>
  <c r="B46" i="2"/>
  <c r="A46" i="2"/>
  <c r="C45" i="2"/>
  <c r="B45" i="2"/>
  <c r="A45" i="2"/>
  <c r="C44" i="2"/>
  <c r="B44" i="2"/>
  <c r="A44" i="2"/>
  <c r="C43" i="2"/>
  <c r="B43" i="2"/>
  <c r="A43" i="2"/>
  <c r="C42" i="2"/>
  <c r="B42" i="2"/>
  <c r="A42" i="2"/>
  <c r="C41" i="2"/>
  <c r="B41" i="2"/>
  <c r="A41" i="2"/>
  <c r="C40" i="2"/>
  <c r="B40" i="2"/>
  <c r="A40" i="2"/>
  <c r="C39" i="2"/>
  <c r="B39" i="2"/>
  <c r="A39" i="2"/>
  <c r="C38" i="2"/>
  <c r="B38" i="2"/>
  <c r="A38" i="2"/>
  <c r="C37" i="2"/>
  <c r="B37" i="2"/>
  <c r="A37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B14" i="2"/>
  <c r="A14" i="2"/>
  <c r="C13" i="2"/>
  <c r="B13" i="2"/>
  <c r="A13" i="2"/>
  <c r="C12" i="2"/>
  <c r="B12" i="2"/>
  <c r="A12" i="2"/>
  <c r="C11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C5" i="2"/>
  <c r="B5" i="2"/>
  <c r="A5" i="2"/>
  <c r="C4" i="2"/>
  <c r="B4" i="2"/>
  <c r="A4" i="2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E113" i="4" l="1"/>
  <c r="E112" i="4"/>
  <c r="E11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<sst xmlns="http://schemas.openxmlformats.org/spreadsheetml/2006/main" count="1620" uniqueCount="636">
  <si>
    <t>TNDS Sales Data Template — RAW INPUT (QuickBooks Export)</t>
  </si>
  <si>
    <t>Drop QuickBooks export here. Required: Date, Qty, Sales Price OR Total Sales. Extra columns are ignored by the pipeline.</t>
  </si>
  <si>
    <t>Date</t>
  </si>
  <si>
    <t>Customer</t>
  </si>
  <si>
    <t>Invoice #</t>
  </si>
  <si>
    <t>Item / Description</t>
  </si>
  <si>
    <t>Qty</t>
  </si>
  <si>
    <t>Sales Price</t>
  </si>
  <si>
    <t>Total Sales</t>
  </si>
  <si>
    <t>Tax</t>
  </si>
  <si>
    <t>Notes</t>
  </si>
  <si>
    <t>REQUIRED — MM/DD/YYYY</t>
  </si>
  <si>
    <t>Optional — for reference</t>
  </si>
  <si>
    <t>Optional</t>
  </si>
  <si>
    <t>REQUIRED if no Total Sales</t>
  </si>
  <si>
    <t>Pipeline uses this (or computes Qty×Price)</t>
  </si>
  <si>
    <t>Acme Petroleum</t>
  </si>
  <si>
    <t>INV-1001</t>
  </si>
  <si>
    <t>Diesel Delivery</t>
  </si>
  <si>
    <t>Front Range Inc</t>
  </si>
  <si>
    <t>INV-1002</t>
  </si>
  <si>
    <t>Unleaded Delivery</t>
  </si>
  <si>
    <t>Arkansas Valley Oil</t>
  </si>
  <si>
    <t>INV-1003</t>
  </si>
  <si>
    <t>Summit Logistics</t>
  </si>
  <si>
    <t>INV-1004</t>
  </si>
  <si>
    <t>Fleet Fuel Drop</t>
  </si>
  <si>
    <t>INV-1005</t>
  </si>
  <si>
    <t>Springs Delivery Co</t>
  </si>
  <si>
    <t>INV-1006</t>
  </si>
  <si>
    <t>INV-1007</t>
  </si>
  <si>
    <t>Western Slope Transport</t>
  </si>
  <si>
    <t>INV-1008</t>
  </si>
  <si>
    <t>Pikes Peak Energy</t>
  </si>
  <si>
    <t>INV-1009</t>
  </si>
  <si>
    <t>Centennial Hauling</t>
  </si>
  <si>
    <t>INV-1010</t>
  </si>
  <si>
    <t>Mountain View Fleet</t>
  </si>
  <si>
    <t>INV-1011</t>
  </si>
  <si>
    <t>Line Flush Service</t>
  </si>
  <si>
    <t>INV-1012</t>
  </si>
  <si>
    <t>INV-1013</t>
  </si>
  <si>
    <t>Pueblo Supply Chain</t>
  </si>
  <si>
    <t>INV-1014</t>
  </si>
  <si>
    <t>Premium Fuel Delivery</t>
  </si>
  <si>
    <t>Royal Gorge Freight</t>
  </si>
  <si>
    <t>INV-1015</t>
  </si>
  <si>
    <t>San Luis Transport</t>
  </si>
  <si>
    <t>INV-1016</t>
  </si>
  <si>
    <t>INV-1017</t>
  </si>
  <si>
    <t>INV-1018</t>
  </si>
  <si>
    <t>INV-1019</t>
  </si>
  <si>
    <t>INV-1020</t>
  </si>
  <si>
    <t>INV-1021</t>
  </si>
  <si>
    <t>INV-1022</t>
  </si>
  <si>
    <t>High Plains Co</t>
  </si>
  <si>
    <t>INV-1023</t>
  </si>
  <si>
    <t>Pump Maintenance</t>
  </si>
  <si>
    <t>INV-1024</t>
  </si>
  <si>
    <t>INV-1025</t>
  </si>
  <si>
    <t>INV-1026</t>
  </si>
  <si>
    <t>INV-1027</t>
  </si>
  <si>
    <t>Bulk Diesel</t>
  </si>
  <si>
    <t>INV-1028</t>
  </si>
  <si>
    <t>Filter Service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</si>
  <si>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</si>
  <si>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</si>
  <si>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</si>
  <si>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</si>
  <si>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</si>
  <si>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</si>
  <si>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</si>
  <si>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</si>
  <si>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</si>
  <si>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</si>
  <si>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Mesa Verde Logistics</t>
  </si>
  <si>
    <t>INV-1039</t>
  </si>
  <si>
    <t>INV-1040</t>
  </si>
  <si>
    <t>INV-1041</t>
  </si>
  <si>
    <t>Colorado Fuel Corp</t>
  </si>
  <si>
    <t>INV-1042</t>
  </si>
  <si>
    <t>INV-1043</t>
  </si>
  <si>
    <t>Tank Inspection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</si>
  <si>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</si>
  <si>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</si>
  <si>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</si>
  <si>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</si>
  <si>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</si>
  <si>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</si>
  <si>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</si>
  <si>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</si>
  <si>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</si>
  <si>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</si>
  <si>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</si>
  <si>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</si>
  <si>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</si>
  <si>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</si>
  <si>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</si>
  <si>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</si>
  <si>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</si>
  <si>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</si>
  <si>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</si>
  <si>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INV-1063</t>
  </si>
  <si>
    <t>INV-1064</t>
  </si>
  <si>
    <t>INV-1065</t>
  </si>
  <si>
    <t>INV-1066</t>
  </si>
  <si>
    <t>INV-1067</t>
  </si>
  <si>
    <t>INV-1068</t>
  </si>
  <si>
    <t>INV-1069</t>
  </si>
  <si>
    <t>INV-1070</t>
  </si>
  <si>
    <t>INV-1071</t>
  </si>
  <si>
    <t>INV-1072</t>
  </si>
  <si>
    <t>INV-1073</t>
  </si>
  <si>
    <t>INV-1074</t>
  </si>
  <si>
    <t>INV-1075</t>
  </si>
  <si>
    <t>INV-1076</t>
  </si>
  <si>
    <t>INV-1077</t>
  </si>
  <si>
    <t>INV-1078</t>
  </si>
  <si>
    <t>INV-1079</t>
  </si>
  <si>
    <t>INV-1080</t>
  </si>
  <si>
    <t>INV-1081</t>
  </si>
  <si>
    <t>Lubricant Package</t>
  </si>
  <si>
    <t>INV-1082</t>
  </si>
  <si>
    <t>INV-1083</t>
  </si>
  <si>
    <t>INV-1084</t>
  </si>
  <si>
    <t>INV-1085</t>
  </si>
  <si>
    <t>INV-1086</t>
  </si>
  <si>
    <t>INV-1087</t>
  </si>
  <si>
    <t>INV-1088</t>
  </si>
  <si>
    <t>INV-1089</t>
  </si>
  <si>
    <t>INV-1090</t>
  </si>
  <si>
    <t>INV-1091</t>
  </si>
  <si>
    <t>INV-1092</t>
  </si>
  <si>
    <t>INV-1093</t>
  </si>
  <si>
    <t>INV-1094</t>
  </si>
  <si>
    <t>INV-1095</t>
  </si>
  <si>
    <t>INV-1096</t>
  </si>
  <si>
    <t>INV-1097</t>
  </si>
  <si>
    <t>INV-1098</t>
  </si>
  <si>
    <t>INV-1099</t>
  </si>
  <si>
    <t>INV-1100</t>
  </si>
  <si>
    <t>INV-1101</t>
  </si>
  <si>
    <t>INV-1102</t>
  </si>
  <si>
    <t>INV-1103</t>
  </si>
  <si>
    <t>INV-1104</t>
  </si>
  <si>
    <t>INV-1105</t>
  </si>
  <si>
    <t>INV-1106</t>
  </si>
  <si>
    <t>INV-1107</t>
  </si>
  <si>
    <t>INV-1108</t>
  </si>
  <si>
    <t>INV-1109</t>
  </si>
  <si>
    <t>INV-1110</t>
  </si>
  <si>
    <t>INV-1111</t>
  </si>
  <si>
    <t>INV-1112</t>
  </si>
  <si>
    <t>INV-1113</t>
  </si>
  <si>
    <t>INV-1114</t>
  </si>
  <si>
    <t>INV-1115</t>
  </si>
  <si>
    <t>INV-1116</t>
  </si>
  <si>
    <t>INV-1117</t>
  </si>
  <si>
    <t>INV-1118</t>
  </si>
  <si>
    <t>INV-1119</t>
  </si>
  <si>
    <t>INV-1120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</si>
  <si>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</si>
  <si>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</si>
  <si>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</si>
  <si>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</si>
  <si>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</si>
  <si>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</si>
  <si>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</si>
  <si>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</si>
  <si>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</si>
  <si>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</si>
  <si>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</si>
  <si>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INV-1132</t>
  </si>
  <si>
    <t>INV-1133</t>
  </si>
  <si>
    <t>INV-1134</t>
  </si>
  <si>
    <t>INV-1135</t>
  </si>
  <si>
    <t>INV-1136</t>
  </si>
  <si>
    <t>INV-1137</t>
  </si>
  <si>
    <t>INV-1138</t>
  </si>
  <si>
    <t>INV-1139</t>
  </si>
  <si>
    <t>INV-1140</t>
  </si>
  <si>
    <t>INV-1141</t>
  </si>
  <si>
    <t>INV-1142</t>
  </si>
  <si>
    <t>INV-1143</t>
  </si>
  <si>
    <t>INV-1144</t>
  </si>
  <si>
    <t>INV-1145</t>
  </si>
  <si>
    <t>INV-1146</t>
  </si>
  <si>
    <t>INV-1147</t>
  </si>
  <si>
    <t>INV-1148</t>
  </si>
  <si>
    <t>INV-1149</t>
  </si>
  <si>
    <t>INV-1150</t>
  </si>
  <si>
    <t>INV-1151</t>
  </si>
  <si>
    <t>INV-1152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</si>
  <si>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</si>
  <si>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</si>
  <si>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</si>
  <si>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</si>
  <si>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</si>
  <si>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</si>
  <si>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</si>
  <si>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</si>
  <si>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</si>
  <si>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</si>
  <si>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</si>
  <si>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INV-1164</t>
  </si>
  <si>
    <t>INV-1165</t>
  </si>
  <si>
    <t>INV-1166</t>
  </si>
  <si>
    <t>INV-1167</t>
  </si>
  <si>
    <t>INV-1168</t>
  </si>
  <si>
    <t>INV-1169</t>
  </si>
  <si>
    <t>INV-1170</t>
  </si>
  <si>
    <t>INV-1171</t>
  </si>
  <si>
    <t>Motor Oil Case</t>
  </si>
  <si>
    <t>INV-1172</t>
  </si>
  <si>
    <t>INV-1173</t>
  </si>
  <si>
    <t>INV-1174</t>
  </si>
  <si>
    <t>INV-1175</t>
  </si>
  <si>
    <t>INV-1176</t>
  </si>
  <si>
    <t>INV-1177</t>
  </si>
  <si>
    <t>INV-1178</t>
  </si>
  <si>
    <t>INV-1179</t>
  </si>
  <si>
    <t>INV-1180</t>
  </si>
  <si>
    <t>INV-1181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</si>
  <si>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</si>
  <si>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</si>
  <si>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</si>
  <si>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</si>
  <si>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</si>
  <si>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</si>
  <si>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</si>
  <si>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</si>
  <si>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INV-1190</t>
  </si>
  <si>
    <t>INV-1191</t>
  </si>
  <si>
    <t>INV-1192</t>
  </si>
  <si>
    <t>INV-1193</t>
  </si>
  <si>
    <t>INV-1194</t>
  </si>
  <si>
    <t>INV-1195</t>
  </si>
  <si>
    <t>INV-1196</t>
  </si>
  <si>
    <t>INV-1197</t>
  </si>
  <si>
    <t>INV-1198</t>
  </si>
  <si>
    <t>INV-1199</t>
  </si>
  <si>
    <t>INV-1200</t>
  </si>
  <si>
    <t>INV-1201</t>
  </si>
  <si>
    <t>INV-1202</t>
  </si>
  <si>
    <t>INV-1203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</si>
  <si>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</si>
  <si>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</si>
  <si>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</si>
  <si>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</si>
  <si>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</si>
  <si>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</si>
  <si>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</si>
  <si>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</si>
  <si>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</si>
  <si>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</si>
  <si>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</si>
  <si>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</si>
  <si>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INV-1216</t>
  </si>
  <si>
    <t>INV-1217</t>
  </si>
  <si>
    <t>INV-1218</t>
  </si>
  <si>
    <t>INV-1219</t>
  </si>
  <si>
    <t>INV-1220</t>
  </si>
  <si>
    <t>INV-1221</t>
  </si>
  <si>
    <t>INV-1222</t>
  </si>
  <si>
    <t>INV-1223</t>
  </si>
  <si>
    <t>INV-1224</t>
  </si>
  <si>
    <t>INV-1225</t>
  </si>
  <si>
    <t>INV-1226</t>
  </si>
  <si>
    <t>INV-1227</t>
  </si>
  <si>
    <t>INV-1228</t>
  </si>
  <si>
    <t>INV-1229</t>
  </si>
  <si>
    <t>INV-1230</t>
  </si>
  <si>
    <t>INV-1231</t>
  </si>
  <si>
    <t>INV-1232</t>
  </si>
  <si>
    <t>INV-1233</t>
  </si>
  <si>
    <t>INV-1234</t>
  </si>
  <si>
    <t>INV-1235</t>
  </si>
  <si>
    <t>INV-1236</t>
  </si>
  <si>
    <t>INV-1237</t>
  </si>
  <si>
    <t>INV-1238</t>
  </si>
  <si>
    <t>INV-1239</t>
  </si>
  <si>
    <t>INV-1240</t>
  </si>
  <si>
    <t>INV-1241</t>
  </si>
  <si>
    <t>INV-1242</t>
  </si>
  <si>
    <t>INV-1243</t>
  </si>
  <si>
    <t>INV-1244</t>
  </si>
  <si>
    <t>INV-1245</t>
  </si>
  <si>
    <t>INV-1246</t>
  </si>
  <si>
    <t>INV-1247</t>
  </si>
  <si>
    <t>INV-1248</t>
  </si>
  <si>
    <t>INV-1249</t>
  </si>
  <si>
    <t>INV-1250</t>
  </si>
  <si>
    <t>INV-1251</t>
  </si>
  <si>
    <t>INV-1252</t>
  </si>
  <si>
    <t>INV-1253</t>
  </si>
  <si>
    <t>INV-1254</t>
  </si>
  <si>
    <t>INV-1255</t>
  </si>
  <si>
    <t>INV-1256</t>
  </si>
  <si>
    <t>INV-1257</t>
  </si>
  <si>
    <t>INV-1258</t>
  </si>
  <si>
    <t>INV-1259</t>
  </si>
  <si>
    <t>INV-1260</t>
  </si>
  <si>
    <t>INV-1261</t>
  </si>
  <si>
    <t>INV-1262</t>
  </si>
  <si>
    <t>INV-1263</t>
  </si>
  <si>
    <t>INV-1264</t>
  </si>
  <si>
    <t>INV-1265</t>
  </si>
  <si>
    <t>INV-1266</t>
  </si>
  <si>
    <t>INV-1267</t>
  </si>
  <si>
    <t>INV-1268</t>
  </si>
  <si>
    <t>INV-1269</t>
  </si>
  <si>
    <t>INV-1270</t>
  </si>
  <si>
    <t>INV-1271</t>
  </si>
  <si>
    <t>INV-1272</t>
  </si>
  <si>
    <t>INV-1273</t>
  </si>
  <si>
    <t>INV-1274</t>
  </si>
  <si>
    <t>INV-1275</t>
  </si>
  <si>
    <t>INV-1276</t>
  </si>
  <si>
    <t>INV-1277</t>
  </si>
  <si>
    <t>INV-1278</t>
  </si>
  <si>
    <t>INV-1279</t>
  </si>
  <si>
    <t>INV-1280</t>
  </si>
  <si>
    <t>INV-1281</t>
  </si>
  <si>
    <t>INV-1282</t>
  </si>
  <si>
    <t>INV-1283</t>
  </si>
  <si>
    <t>INV-1284</t>
  </si>
  <si>
    <t>INV-1285</t>
  </si>
  <si>
    <t>INV-1286</t>
  </si>
  <si>
    <t>INV-1287</t>
  </si>
  <si>
    <t>INV-1288</t>
  </si>
  <si>
    <t>INV-1289</t>
  </si>
  <si>
    <t>INV-1290</t>
  </si>
  <si>
    <t>INV-1291</t>
  </si>
  <si>
    <t>INV-1292</t>
  </si>
  <si>
    <t>INV-1293</t>
  </si>
  <si>
    <t>INV-1294</t>
  </si>
  <si>
    <t>INV-1295</t>
  </si>
  <si>
    <t>INV-1296</t>
  </si>
  <si>
    <t>INV-1297</t>
  </si>
  <si>
    <t>INV-1298</t>
  </si>
  <si>
    <t>INV-1299</t>
  </si>
  <si>
    <t>INV-1300</t>
  </si>
  <si>
    <t>INV-1301</t>
  </si>
  <si>
    <t>INV-1302</t>
  </si>
  <si>
    <t>INV-1303</t>
  </si>
  <si>
    <t>INV-1304</t>
  </si>
  <si>
    <t>INV-1305</t>
  </si>
  <si>
    <t>INV-1306</t>
  </si>
  <si>
    <t>INV-1307</t>
  </si>
  <si>
    <t>INV-1308</t>
  </si>
  <si>
    <t>INV-1309</t>
  </si>
  <si>
    <t>INV-1310</t>
  </si>
  <si>
    <t>INV-1311</t>
  </si>
  <si>
    <t>INV-1312</t>
  </si>
  <si>
    <t>INV-1313</t>
  </si>
  <si>
    <t>INV-1314</t>
  </si>
  <si>
    <t>INV-1315</t>
  </si>
  <si>
    <t>INV-1316</t>
  </si>
  <si>
    <t>INV-1317</t>
  </si>
  <si>
    <t>INV-1318</t>
  </si>
  <si>
    <t>INV-1319</t>
  </si>
  <si>
    <t>INV-1320</t>
  </si>
  <si>
    <t>INV-1321</t>
  </si>
  <si>
    <t>INV-1322</t>
  </si>
  <si>
    <t>INV-1323</t>
  </si>
  <si>
    <t>INV-1324</t>
  </si>
  <si>
    <t>INV-1325</t>
  </si>
  <si>
    <t>INV-1326</t>
  </si>
  <si>
    <t>INV-1327</t>
  </si>
  <si>
    <t>INV-1328</t>
  </si>
  <si>
    <t>INV-1329</t>
  </si>
  <si>
    <t>INV-1330</t>
  </si>
  <si>
    <t>INV-1331</t>
  </si>
  <si>
    <t>INV-1332</t>
  </si>
  <si>
    <t>INV-1333</t>
  </si>
  <si>
    <t>INV-1334</t>
  </si>
  <si>
    <t>INV-1335</t>
  </si>
  <si>
    <t>INV-1336</t>
  </si>
  <si>
    <t>INV-1337</t>
  </si>
  <si>
    <t>INV-1338</t>
  </si>
  <si>
    <t>INV-1339</t>
  </si>
  <si>
    <t>INV-1340</t>
  </si>
  <si>
    <t>INV-1341</t>
  </si>
  <si>
    <t>INV-1342</t>
  </si>
  <si>
    <t>INV-1343</t>
  </si>
  <si>
    <t>INV-1344</t>
  </si>
  <si>
    <t>INV-1345</t>
  </si>
  <si>
    <t>INV-1346</t>
  </si>
  <si>
    <t>INV-1347</t>
  </si>
  <si>
    <t>INV-1348</t>
  </si>
  <si>
    <t>INV-1349</t>
  </si>
  <si>
    <t>INV-1350</t>
  </si>
  <si>
    <t>INV-1351</t>
  </si>
  <si>
    <t>Synthetic Blend Package</t>
  </si>
  <si>
    <t>INV-1352</t>
  </si>
  <si>
    <t>INV-1353</t>
  </si>
  <si>
    <t>INV-1354</t>
  </si>
  <si>
    <t>INV-1355</t>
  </si>
  <si>
    <t>INV-1356</t>
  </si>
  <si>
    <t>INV-1357</t>
  </si>
  <si>
    <t>INV-1358</t>
  </si>
  <si>
    <t>INV-1359</t>
  </si>
  <si>
    <t>INV-1360</t>
  </si>
  <si>
    <t>INV-1361</t>
  </si>
  <si>
    <t>INV-1362</t>
  </si>
  <si>
    <t>INV-1363</t>
  </si>
  <si>
    <t>INV-1364</t>
  </si>
  <si>
    <t>INV-1365</t>
  </si>
  <si>
    <t>INV-1366</t>
  </si>
  <si>
    <t>INV-1367</t>
  </si>
  <si>
    <t>INV-1368</t>
  </si>
  <si>
    <t>INV-1369</t>
  </si>
  <si>
    <t>INV-1370</t>
  </si>
  <si>
    <t>INV-1371</t>
  </si>
  <si>
    <t>INV-1372</t>
  </si>
  <si>
    <t>INV-1373</t>
  </si>
  <si>
    <t>INV-1374</t>
  </si>
  <si>
    <t>INV-1375</t>
  </si>
  <si>
    <t>INV-1376</t>
  </si>
  <si>
    <t>INV-1377</t>
  </si>
  <si>
    <t>INV-1378</t>
  </si>
  <si>
    <t>INV-1379</t>
  </si>
  <si>
    <t>INV-1380</t>
  </si>
  <si>
    <t>INV-1381</t>
  </si>
  <si>
    <t>INV-1382</t>
  </si>
  <si>
    <t>INV-1383</t>
  </si>
  <si>
    <t>INV-1384</t>
  </si>
  <si>
    <t>INV-1385</t>
  </si>
  <si>
    <t>INV-1386</t>
  </si>
  <si>
    <t>INV-1387</t>
  </si>
  <si>
    <t>INV-1388</t>
  </si>
  <si>
    <t>INV-1389</t>
  </si>
  <si>
    <t>INV-1390</t>
  </si>
  <si>
    <t>INV-1391</t>
  </si>
  <si>
    <t>INV-1392</t>
  </si>
  <si>
    <t>INV-1393</t>
  </si>
  <si>
    <t>INV-1394</t>
  </si>
  <si>
    <t>INV-1395</t>
  </si>
  <si>
    <t>INV-1396</t>
  </si>
  <si>
    <t>INV-1397</t>
  </si>
  <si>
    <t>INV-1398</t>
  </si>
  <si>
    <t>INV-1399</t>
  </si>
  <si>
    <t>INV-1400</t>
  </si>
  <si>
    <t>INV-1401</t>
  </si>
  <si>
    <t>INV-1402</t>
  </si>
  <si>
    <t>INV-1403</t>
  </si>
  <si>
    <t>INV-1404</t>
  </si>
  <si>
    <t>INV-1405</t>
  </si>
  <si>
    <t>INV-1406</t>
  </si>
  <si>
    <t>INV-1407</t>
  </si>
  <si>
    <t>INV-1408</t>
  </si>
  <si>
    <t>INV-1409</t>
  </si>
  <si>
    <t>INV-1410</t>
  </si>
  <si>
    <t>INV-1411</t>
  </si>
  <si>
    <t>INV-1412</t>
  </si>
  <si>
    <t>INV-1413</t>
  </si>
  <si>
    <t>INV-1414</t>
  </si>
  <si>
    <t>INV-1415</t>
  </si>
  <si>
    <t>INV-1416</t>
  </si>
  <si>
    <t>INV-1417</t>
  </si>
  <si>
    <t>INV-1418</t>
  </si>
  <si>
    <t>INV-1419</t>
  </si>
  <si>
    <t>INV-1420</t>
  </si>
  <si>
    <t>INV-1421</t>
  </si>
  <si>
    <t>INV-1422</t>
  </si>
  <si>
    <t>INV-1423</t>
  </si>
  <si>
    <t>INV-1424</t>
  </si>
  <si>
    <t>INV-1425</t>
  </si>
  <si>
    <t>INV-1426</t>
  </si>
  <si>
    <t>INV-1427</t>
  </si>
  <si>
    <t>INV-1428</t>
  </si>
  <si>
    <t>INV-1429</t>
  </si>
  <si>
    <t>INV-1430</t>
  </si>
  <si>
    <t>INV-1431</t>
  </si>
  <si>
    <t>INV-1432</t>
  </si>
  <si>
    <t>INV-1433</t>
  </si>
  <si>
    <t>INV-1434</t>
  </si>
  <si>
    <t>INV-1435</t>
  </si>
  <si>
    <t>INV-1436</t>
  </si>
  <si>
    <t>INV-1437</t>
  </si>
  <si>
    <t>INV-1438</t>
  </si>
  <si>
    <t>INV-1439</t>
  </si>
  <si>
    <t>INV-1440</t>
  </si>
  <si>
    <t>INV-1441</t>
  </si>
  <si>
    <t>PIPELINE_READY — Drop this CSV into data/raw/ after exporting</t>
  </si>
  <si>
    <t>Minimum viable format. config.py reads: DATE_COLUMN='Date', QTY_COLUMN='Qty', PRICE_COLUMN='Sales Price' OR TARGET_COLUMN='Total Sales'</t>
  </si>
  <si>
    <t>QuickBooks Export Column Mapping Reference</t>
  </si>
  <si>
    <t>QuickBooks Column Name</t>
  </si>
  <si>
    <t>Template Column</t>
  </si>
  <si>
    <t>Required?</t>
  </si>
  <si>
    <t>YES</t>
  </si>
  <si>
    <t>Transaction date. Rename if QB exports as 'Txn Date'</t>
  </si>
  <si>
    <t>If no Total</t>
  </si>
  <si>
    <t>Units. May be 'Quantity' in some QB reports</t>
  </si>
  <si>
    <t>Unit price. May be 'Rate' in QB</t>
  </si>
  <si>
    <t>Amount</t>
  </si>
  <si>
    <t>If no Qty/Price</t>
  </si>
  <si>
    <t>Pre-computed total. Rename to 'Total Sales'</t>
  </si>
  <si>
    <t>No</t>
  </si>
  <si>
    <t>Kept for reference, not used by pipeline</t>
  </si>
  <si>
    <t>Invoice No.</t>
  </si>
  <si>
    <t>Reference only</t>
  </si>
  <si>
    <t>Item Description</t>
  </si>
  <si>
    <t>Not used by pipeline currently</t>
  </si>
  <si>
    <t>Memo</t>
  </si>
  <si>
    <t>Optional context</t>
  </si>
  <si>
    <t>TNDS SALES DATA — COMPREHENSIVE ANALYSIS</t>
  </si>
  <si>
    <t>Source: RAW_INPUT sheet | All figures in USD unless noted</t>
  </si>
  <si>
    <t>KEY METRICS SUMMARY</t>
  </si>
  <si>
    <t>Total Revenue</t>
  </si>
  <si>
    <t>Total Transactions</t>
  </si>
  <si>
    <t>Total Fuel Gallons</t>
  </si>
  <si>
    <t>Avg Sale Size</t>
  </si>
  <si>
    <t>Avg Fuel Price/Gal</t>
  </si>
  <si>
    <t>Service Transactions</t>
  </si>
  <si>
    <t>Date Range Start</t>
  </si>
  <si>
    <t>Date Range End</t>
  </si>
  <si>
    <t>Unique Customers</t>
  </si>
  <si>
    <t>MONTHLY REVENUE TREND</t>
  </si>
  <si>
    <t>Month</t>
  </si>
  <si>
    <t>Revenue</t>
  </si>
  <si>
    <t># Transactions</t>
  </si>
  <si>
    <t>Fuel Gallons</t>
  </si>
  <si>
    <t>Avg Price/Gal</t>
  </si>
  <si>
    <t>CUSTOMER ANALYSIS</t>
  </si>
  <si>
    <t>% of Total</t>
  </si>
  <si>
    <t>Avg Sale</t>
  </si>
  <si>
    <t>Top 5 Revenue Share</t>
  </si>
  <si>
    <t>Median Revenue/Customer</t>
  </si>
  <si>
    <t>Customer Count</t>
  </si>
  <si>
    <t>PRODUCT &amp; SERVICE BREAKDOWN</t>
  </si>
  <si>
    <t>Product / Service</t>
  </si>
  <si>
    <t>Avg Qty</t>
  </si>
  <si>
    <t>Avg Price</t>
  </si>
  <si>
    <t>CATEGORY SUMMARY</t>
  </si>
  <si>
    <t>Fuel Deliveries</t>
  </si>
  <si>
    <t>Services</t>
  </si>
  <si>
    <t>Specialty Products</t>
  </si>
  <si>
    <t>PRICING TRENDS</t>
  </si>
  <si>
    <t>Avg Diesel $/Gal</t>
  </si>
  <si>
    <t>Avg Unleaded $/Gal</t>
  </si>
  <si>
    <t>Avg Premium $/Gal</t>
  </si>
  <si>
    <t>Avg Bulk $/Gal</t>
  </si>
  <si>
    <t>Avg Fleet $/Gal</t>
  </si>
  <si>
    <t>Overall Avg $/Gal</t>
  </si>
  <si>
    <t>Price Δ MoM</t>
  </si>
  <si>
    <t>-</t>
  </si>
  <si>
    <t>Max Price (Overall)</t>
  </si>
  <si>
    <t>Min Price (Overall)</t>
  </si>
  <si>
    <t>Price Range</t>
  </si>
  <si>
    <t>SEASONAL PATTERNS</t>
  </si>
  <si>
    <t>DAY OF WEEK ANALYSIS</t>
  </si>
  <si>
    <t>Day</t>
  </si>
  <si>
    <t>% of Weekly Revenue</t>
  </si>
  <si>
    <t>Monday</t>
  </si>
  <si>
    <t>Tuesday</t>
  </si>
  <si>
    <t>Wednesday</t>
  </si>
  <si>
    <t>Thursday</t>
  </si>
  <si>
    <t>Friday</t>
  </si>
  <si>
    <t>QUARTERLY PERFORMANCE</t>
  </si>
  <si>
    <t>Quarter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</si>
  <si>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</si>
  <si>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</si>
  <si>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</si>
  <si>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</si>
  <si>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</si>
  <si>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</si>
  <si>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</si>
  <si>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</si>
  <si>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CUSTOMER GROWTH TRACKING</t>
  </si>
  <si>
    <t>QUARTERLY REVENUE BY CUSTOMER</t>
  </si>
  <si>
    <t>CUSTOMER GROWTH METRICS</t>
  </si>
  <si>
    <t>First Quarter Rev</t>
  </si>
  <si>
    <t>Latest Quarter Rev</t>
  </si>
  <si>
    <t>Growth ($)</t>
  </si>
  <si>
    <t>Growth (%)</t>
  </si>
  <si>
    <t>Trend</t>
  </si>
  <si>
    <t>Customers Growing</t>
  </si>
  <si>
    <t>Customers Declining</t>
  </si>
  <si>
    <t>Avg Growth %</t>
  </si>
  <si>
    <t>REVENUE FORECASTING</t>
  </si>
  <si>
    <t>FORECAST ASSUMPTIONS</t>
  </si>
  <si>
    <t>Base Monthly Revenue (trailing 6-mo avg)</t>
  </si>
  <si>
    <t>Monthly Growth Rate (trailing trend)</t>
  </si>
  <si>
    <t>Fuel Price Trend ($/gal per month)</t>
  </si>
  <si>
    <t>Service Revenue Growth (monthly)</t>
  </si>
  <si>
    <t>Forecast Horizon</t>
  </si>
  <si>
    <t>months</t>
  </si>
  <si>
    <t>Forecast Month</t>
  </si>
  <si>
    <t>Projected Revenue</t>
  </si>
  <si>
    <t>Projected Fuel Gallons</t>
  </si>
  <si>
    <t>Projected Avg $/Gal</t>
  </si>
  <si>
    <t>Cumulative Revenue</t>
  </si>
  <si>
    <t>Confidence Band (±%)</t>
  </si>
  <si>
    <t>±5%</t>
  </si>
  <si>
    <t>±8%</t>
  </si>
  <si>
    <t>±11%</t>
  </si>
  <si>
    <t>±14%</t>
  </si>
  <si>
    <t>±17%</t>
  </si>
  <si>
    <t>±20%</t>
  </si>
  <si>
    <t>6-Month Forecast Total</t>
  </si>
  <si>
    <t>Annualized Run Rate</t>
  </si>
  <si>
    <t>CUSTOMER CHURN RISK ANALYSIS</t>
  </si>
  <si>
    <t>Risk scoring: Days Since Last Order + Revenue Trend (recent vs. prior quarter) + Order Frequency decline</t>
  </si>
  <si>
    <t>Last Order Date</t>
  </si>
  <si>
    <t>Days Since Last Order</t>
  </si>
  <si>
    <t>Recent Qtr Rev</t>
  </si>
  <si>
    <t>Prior Qtr Rev</t>
  </si>
  <si>
    <t>Rev Change %</t>
  </si>
  <si>
    <t>Avg Days Between Orders</t>
  </si>
  <si>
    <t>Risk Score (1-10)</t>
  </si>
  <si>
    <t>Risk Level</t>
  </si>
  <si>
    <t>High Risk Customers</t>
  </si>
  <si>
    <t>Medium Risk Customers</t>
  </si>
  <si>
    <t>Low Risk Customers</t>
  </si>
  <si>
    <t>Revenue at Risk (High)</t>
  </si>
  <si>
    <t>Revenue at Risk (Medium)</t>
  </si>
  <si>
    <t>EXECUTIVE SUMMARY DASHBOARD</t>
  </si>
  <si>
    <t>Quick-reference scorecard — all values driven by formulas from sections above</t>
  </si>
  <si>
    <t>💰 TOTAL REVENUE</t>
  </si>
  <si>
    <t>📋 TRANSACTIONS</t>
  </si>
  <si>
    <t>⛽ FUEL GALLONS</t>
  </si>
  <si>
    <t>📊 AVG FUEL PRICE</t>
  </si>
  <si>
    <t>👥 CUSTOMERS</t>
  </si>
  <si>
    <t>🚀 ANN. RUN RATE</t>
  </si>
  <si>
    <t>🏢 TOP 5 CONCENTRATION</t>
  </si>
  <si>
    <t>🛢️ FUEL % OF REVENUE</t>
  </si>
  <si>
    <t>🔧 SERVICE REVENUE</t>
  </si>
  <si>
    <t>⚠️ HIGH RISK CUSTOMERS</t>
  </si>
  <si>
    <t>💸 REVENUE AT RISK</t>
  </si>
  <si>
    <t>📈 GROWING CUSTOMERS</t>
  </si>
  <si>
    <t>KEY INSIGHTS</t>
  </si>
  <si>
    <t>📌 Top Customer:</t>
  </si>
  <si>
    <t>📌 Best Quarter:</t>
  </si>
  <si>
    <t>📌 Strongest Day:</t>
  </si>
  <si>
    <t>📌 6-Mo Forecast: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</si>
</sst>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m/dd/yyyy"/>
    <numFmt numFmtId="165" formatCode="\$#,##0.00"/>
    <numFmt numFmtId="166" formatCode="&quot;$&quot;#,##0"/>
    <numFmt numFmtId="167" formatCode="&quot;$&quot;#,##0.00"/>
    <numFmt numFmtId="168" formatCode="mmm\ yyyy"/>
    <numFmt numFmtId="169" formatCode="0.0%"/>
    <numFmt numFmtId="170" formatCode="&quot;$&quot;#,##0.000"/>
    <numFmt numFmtId="172" formatCode="0.0"/>
    <numFmt numFmtId="173" formatCode="#,##0\ &quot;of &quot;\ "/>
  </numFmts>
  <fonts count="2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1A3A5C"/>
      <name val="Arial"/>
    </font>
    <font>
      <b/>
      <sz val="10"/>
      <color rgb="FFFFFFFF"/>
      <name val="Arial"/>
    </font>
    <font>
      <i/>
      <sz val="8"/>
      <color rgb="FF666666"/>
      <name val="Arial"/>
    </font>
    <font>
      <sz val="10"/>
      <name val="Arial"/>
    </font>
    <font>
      <sz val="10"/>
      <color rgb="FF000000"/>
      <name val="Arial"/>
    </font>
    <font>
      <b/>
      <sz val="10"/>
      <color rgb="FF1A3A5C"/>
      <name val="Arial"/>
    </font>
    <font>
      <sz val="10"/>
      <color rgb="FFCC0000"/>
      <name val="Arial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8"/>
      <color rgb="FF27AE60"/>
      <name val="Calibri"/>
      <family val="2"/>
      <scheme val="minor"/>
    </font>
    <font>
      <b/>
      <sz val="18"/>
      <color rgb="FFE74C3C"/>
      <name val="Calibri"/>
      <family val="2"/>
      <scheme val="minor"/>
    </font>
    <font>
      <sz val="14"/>
      <color rgb="FF27AE6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6E8F5"/>
      </patternFill>
    </fill>
    <fill>
      <patternFill patternType="solid">
        <fgColor rgb="FF3D8EB9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9F9F9"/>
      </patternFill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D5E8D4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/>
    </xf>
    <xf numFmtId="3" fontId="5" fillId="6" borderId="3" xfId="0" applyNumberFormat="1" applyFont="1" applyFill="1" applyBorder="1" applyAlignment="1">
      <alignment horizontal="center" vertical="center"/>
    </xf>
    <xf numFmtId="165" fontId="5" fillId="6" borderId="3" xfId="0" applyNumberFormat="1" applyFont="1" applyFill="1" applyBorder="1" applyAlignment="1">
      <alignment horizontal="center" vertical="center"/>
    </xf>
    <xf numFmtId="164" fontId="5" fillId="7" borderId="3" xfId="0" applyNumberFormat="1" applyFont="1" applyFill="1" applyBorder="1" applyAlignment="1">
      <alignment horizontal="center" vertical="center"/>
    </xf>
    <xf numFmtId="3" fontId="5" fillId="7" borderId="3" xfId="0" applyNumberFormat="1" applyFont="1" applyFill="1" applyBorder="1" applyAlignment="1">
      <alignment horizontal="center" vertical="center"/>
    </xf>
    <xf numFmtId="165" fontId="5" fillId="7" borderId="3" xfId="0" applyNumberFormat="1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4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4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/>
    </xf>
    <xf numFmtId="14" fontId="5" fillId="6" borderId="1" xfId="0" applyNumberFormat="1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0" fillId="8" borderId="0" xfId="0" applyFont="1" applyFill="1"/>
    <xf numFmtId="0" fontId="11" fillId="8" borderId="0" xfId="0" applyFont="1" applyFill="1"/>
    <xf numFmtId="0" fontId="11" fillId="8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0" fillId="9" borderId="0" xfId="0" applyFill="1"/>
    <xf numFmtId="0" fontId="13" fillId="9" borderId="0" xfId="0" applyFont="1" applyFill="1"/>
    <xf numFmtId="166" fontId="0" fillId="9" borderId="0" xfId="0" applyNumberFormat="1" applyFill="1"/>
    <xf numFmtId="164" fontId="0" fillId="9" borderId="0" xfId="0" applyNumberFormat="1" applyFill="1"/>
    <xf numFmtId="3" fontId="0" fillId="9" borderId="0" xfId="0" applyNumberFormat="1" applyFill="1"/>
    <xf numFmtId="167" fontId="0" fillId="9" borderId="0" xfId="0" applyNumberFormat="1" applyFill="1"/>
    <xf numFmtId="0" fontId="0" fillId="10" borderId="0" xfId="0" applyFill="1"/>
    <xf numFmtId="0" fontId="13" fillId="10" borderId="0" xfId="0" applyFont="1" applyFill="1"/>
    <xf numFmtId="0" fontId="13" fillId="10" borderId="0" xfId="0" applyFont="1" applyFill="1" applyAlignment="1">
      <alignment horizontal="center"/>
    </xf>
    <xf numFmtId="168" fontId="0" fillId="0" borderId="0" xfId="0" applyNumberFormat="1"/>
    <xf numFmtId="16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13" fillId="11" borderId="0" xfId="0" applyFont="1" applyFill="1"/>
    <xf numFmtId="0" fontId="0" fillId="11" borderId="0" xfId="0" applyFill="1"/>
    <xf numFmtId="169" fontId="0" fillId="11" borderId="0" xfId="0" applyNumberFormat="1" applyFill="1"/>
    <xf numFmtId="166" fontId="0" fillId="11" borderId="0" xfId="0" applyNumberFormat="1" applyFill="1"/>
    <xf numFmtId="166" fontId="0" fillId="11" borderId="0" xfId="0" applyNumberFormat="1" applyFill="1" applyAlignment="1">
      <alignment horizontal="center"/>
    </xf>
    <xf numFmtId="169" fontId="0" fillId="11" borderId="0" xfId="0" applyNumberFormat="1" applyFill="1" applyAlignment="1">
      <alignment horizontal="center"/>
    </xf>
    <xf numFmtId="0" fontId="0" fillId="12" borderId="0" xfId="0" applyFill="1"/>
    <xf numFmtId="166" fontId="0" fillId="12" borderId="0" xfId="0" applyNumberFormat="1" applyFill="1" applyAlignment="1">
      <alignment horizontal="center"/>
    </xf>
    <xf numFmtId="169" fontId="0" fillId="12" borderId="0" xfId="0" applyNumberFormat="1" applyFill="1" applyAlignment="1">
      <alignment horizontal="center"/>
    </xf>
    <xf numFmtId="3" fontId="0" fillId="12" borderId="0" xfId="0" applyNumberFormat="1" applyFill="1" applyAlignment="1">
      <alignment horizontal="center"/>
    </xf>
    <xf numFmtId="167" fontId="0" fillId="12" borderId="0" xfId="0" applyNumberFormat="1" applyFill="1" applyAlignment="1">
      <alignment horizontal="center"/>
    </xf>
    <xf numFmtId="0" fontId="9" fillId="0" borderId="0" xfId="0" applyFont="1"/>
    <xf numFmtId="166" fontId="10" fillId="8" borderId="0" xfId="0" applyNumberFormat="1" applyFont="1" applyFill="1"/>
    <xf numFmtId="166" fontId="9" fillId="0" borderId="0" xfId="0" applyNumberFormat="1" applyFont="1"/>
    <xf numFmtId="168" fontId="0" fillId="12" borderId="0" xfId="0" applyNumberFormat="1" applyFill="1"/>
    <xf numFmtId="167" fontId="0" fillId="11" borderId="0" xfId="0" applyNumberFormat="1" applyFill="1"/>
    <xf numFmtId="0" fontId="0" fillId="12" borderId="0" xfId="0" applyFill="1" applyAlignment="1">
      <alignment horizontal="center"/>
    </xf>
    <xf numFmtId="0" fontId="13" fillId="13" borderId="0" xfId="0" applyFont="1" applyFill="1"/>
    <xf numFmtId="166" fontId="14" fillId="13" borderId="0" xfId="0" applyNumberFormat="1" applyFont="1" applyFill="1"/>
    <xf numFmtId="0" fontId="0" fillId="13" borderId="0" xfId="0" applyFill="1"/>
    <xf numFmtId="169" fontId="14" fillId="13" borderId="0" xfId="0" applyNumberFormat="1" applyFont="1" applyFill="1"/>
    <xf numFmtId="170" fontId="14" fillId="13" borderId="0" xfId="0" applyNumberFormat="1" applyFont="1" applyFill="1"/>
    <xf numFmtId="0" fontId="14" fillId="13" borderId="0" xfId="0" applyFont="1" applyFill="1"/>
    <xf numFmtId="168" fontId="0" fillId="14" borderId="0" xfId="0" applyNumberFormat="1" applyFill="1"/>
    <xf numFmtId="166" fontId="0" fillId="14" borderId="0" xfId="0" applyNumberFormat="1" applyFill="1" applyAlignment="1">
      <alignment horizontal="center"/>
    </xf>
    <xf numFmtId="3" fontId="0" fillId="14" borderId="0" xfId="0" applyNumberFormat="1" applyFill="1" applyAlignment="1">
      <alignment horizontal="center"/>
    </xf>
    <xf numFmtId="167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0" fontId="13" fillId="15" borderId="0" xfId="0" applyFont="1" applyFill="1"/>
    <xf numFmtId="166" fontId="13" fillId="15" borderId="0" xfId="0" applyNumberFormat="1" applyFont="1" applyFill="1"/>
    <xf numFmtId="0" fontId="0" fillId="15" borderId="0" xfId="0" applyFill="1"/>
    <xf numFmtId="0" fontId="15" fillId="0" borderId="0" xfId="0" applyFont="1"/>
    <xf numFmtId="164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164" fontId="0" fillId="12" borderId="0" xfId="0" applyNumberFormat="1" applyFill="1" applyAlignment="1">
      <alignment horizontal="center"/>
    </xf>
    <xf numFmtId="172" fontId="0" fillId="12" borderId="0" xfId="0" applyNumberFormat="1" applyFill="1" applyAlignment="1">
      <alignment horizontal="center"/>
    </xf>
    <xf numFmtId="0" fontId="16" fillId="9" borderId="0" xfId="0" applyFont="1" applyFill="1"/>
    <xf numFmtId="166" fontId="17" fillId="9" borderId="0" xfId="0" applyNumberFormat="1" applyFont="1" applyFill="1"/>
    <xf numFmtId="3" fontId="17" fillId="9" borderId="0" xfId="0" applyNumberFormat="1" applyFont="1" applyFill="1"/>
    <xf numFmtId="167" fontId="17" fillId="9" borderId="0" xfId="0" applyNumberFormat="1" applyFont="1" applyFill="1"/>
    <xf numFmtId="169" fontId="18" fillId="9" borderId="0" xfId="0" applyNumberFormat="1" applyFont="1" applyFill="1"/>
    <xf numFmtId="169" fontId="17" fillId="9" borderId="0" xfId="0" applyNumberFormat="1" applyFont="1" applyFill="1"/>
    <xf numFmtId="3" fontId="19" fillId="9" borderId="0" xfId="0" applyNumberFormat="1" applyFont="1" applyFill="1"/>
    <xf numFmtId="166" fontId="19" fillId="9" borderId="0" xfId="0" applyNumberFormat="1" applyFont="1" applyFill="1"/>
    <xf numFmtId="173" fontId="18" fillId="9" borderId="0" xfId="0" applyNumberFormat="1" applyFont="1" applyFill="1"/>
    <xf numFmtId="0" fontId="20" fillId="9" borderId="0" xfId="0" applyFont="1" applyFill="1"/>
    <xf numFmtId="0" fontId="13" fillId="12" borderId="0" xfId="0" applyFont="1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numRef>
              <c:f>Analysis!$A$12:$A$32</c:f>
              <c:numCache>
                <c:formatCode>mmm\ yyyy</c:formatCode>
                <c:ptCount val="21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</c:numCache>
            </c:numRef>
          </c:cat>
          <c:val>
            <c:numRef>
              <c:f>Analysis!$B$12:$B$32</c:f>
              <c:numCache>
                <c:formatCode>"$"#,##0</c:formatCode>
                <c:ptCount val="21"/>
                <c:pt idx="0">
                  <c:v>30502.090000000004</c:v>
                </c:pt>
                <c:pt idx="1">
                  <c:v>28816.900000000005</c:v>
                </c:pt>
                <c:pt idx="2">
                  <c:v>33836.199999999997</c:v>
                </c:pt>
                <c:pt idx="3">
                  <c:v>37066.839999999997</c:v>
                </c:pt>
                <c:pt idx="4">
                  <c:v>38946.240000000005</c:v>
                </c:pt>
                <c:pt idx="5">
                  <c:v>34623.599999999999</c:v>
                </c:pt>
                <c:pt idx="6">
                  <c:v>31493.260000000006</c:v>
                </c:pt>
                <c:pt idx="7">
                  <c:v>40666.239999999998</c:v>
                </c:pt>
                <c:pt idx="8">
                  <c:v>51448.45</c:v>
                </c:pt>
                <c:pt idx="9">
                  <c:v>34339.14</c:v>
                </c:pt>
                <c:pt idx="10">
                  <c:v>30597.68</c:v>
                </c:pt>
                <c:pt idx="11">
                  <c:v>42499.18</c:v>
                </c:pt>
                <c:pt idx="12">
                  <c:v>45169.679999999993</c:v>
                </c:pt>
                <c:pt idx="13">
                  <c:v>40036.92</c:v>
                </c:pt>
                <c:pt idx="14">
                  <c:v>31595.999999999993</c:v>
                </c:pt>
                <c:pt idx="15">
                  <c:v>38335.350000000006</c:v>
                </c:pt>
                <c:pt idx="16">
                  <c:v>53895.359999999993</c:v>
                </c:pt>
                <c:pt idx="17">
                  <c:v>39209.54</c:v>
                </c:pt>
                <c:pt idx="18">
                  <c:v>29912.14</c:v>
                </c:pt>
                <c:pt idx="19">
                  <c:v>40410.19999999999</c:v>
                </c:pt>
                <c:pt idx="20">
                  <c:v>37259.07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A-4630-BC08-4F3B159CB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738944"/>
        <c:axId val="737738464"/>
      </c:barChart>
      <c:dateAx>
        <c:axId val="73773894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38464"/>
        <c:crosses val="autoZero"/>
        <c:auto val="1"/>
        <c:lblOffset val="100"/>
        <c:baseTimeUnit val="months"/>
      </c:dateAx>
      <c:valAx>
        <c:axId val="73773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3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Analysis!$A$37:$A$51</c:f>
              <c:strCache>
                <c:ptCount val="15"/>
                <c:pt idx="0">
                  <c:v>Acme Petroleum</c:v>
                </c:pt>
                <c:pt idx="1">
                  <c:v>Arkansas Valley Oil</c:v>
                </c:pt>
                <c:pt idx="2">
                  <c:v>Centennial Hauling</c:v>
                </c:pt>
                <c:pt idx="3">
                  <c:v>Colorado Fuel Corp</c:v>
                </c:pt>
                <c:pt idx="4">
                  <c:v>Front Range Inc</c:v>
                </c:pt>
                <c:pt idx="5">
                  <c:v>High Plains Co</c:v>
                </c:pt>
                <c:pt idx="6">
                  <c:v>Mesa Verde Logistics</c:v>
                </c:pt>
                <c:pt idx="7">
                  <c:v>Mountain View Fleet</c:v>
                </c:pt>
                <c:pt idx="8">
                  <c:v>Pikes Peak Energy</c:v>
                </c:pt>
                <c:pt idx="9">
                  <c:v>Pueblo Supply Chain</c:v>
                </c:pt>
                <c:pt idx="10">
                  <c:v>Royal Gorge Freight</c:v>
                </c:pt>
                <c:pt idx="11">
                  <c:v>San Luis Transport</c:v>
                </c:pt>
                <c:pt idx="12">
                  <c:v>Springs Delivery Co</c:v>
                </c:pt>
                <c:pt idx="13">
                  <c:v>Summit Logistics</c:v>
                </c:pt>
                <c:pt idx="14">
                  <c:v>Western Slope Transport</c:v>
                </c:pt>
              </c:strCache>
            </c:strRef>
          </c:cat>
          <c:val>
            <c:numRef>
              <c:f>Analysis!$B$37:$B$51</c:f>
              <c:numCache>
                <c:formatCode>"$"#,##0</c:formatCode>
                <c:ptCount val="15"/>
                <c:pt idx="0">
                  <c:v>41501.67</c:v>
                </c:pt>
                <c:pt idx="1">
                  <c:v>61909.020000000004</c:v>
                </c:pt>
                <c:pt idx="2">
                  <c:v>47913.339999999989</c:v>
                </c:pt>
                <c:pt idx="3">
                  <c:v>70383.259999999995</c:v>
                </c:pt>
                <c:pt idx="4">
                  <c:v>62231.919999999991</c:v>
                </c:pt>
                <c:pt idx="5">
                  <c:v>40276.769999999997</c:v>
                </c:pt>
                <c:pt idx="6">
                  <c:v>65938.37</c:v>
                </c:pt>
                <c:pt idx="7">
                  <c:v>44276.289999999986</c:v>
                </c:pt>
                <c:pt idx="8">
                  <c:v>54238.65</c:v>
                </c:pt>
                <c:pt idx="9">
                  <c:v>47618.62000000001</c:v>
                </c:pt>
                <c:pt idx="10">
                  <c:v>45844.209999999985</c:v>
                </c:pt>
                <c:pt idx="11">
                  <c:v>45275.31</c:v>
                </c:pt>
                <c:pt idx="12">
                  <c:v>38353.54</c:v>
                </c:pt>
                <c:pt idx="13">
                  <c:v>74360.390000000014</c:v>
                </c:pt>
                <c:pt idx="14">
                  <c:v>50538.719999999994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2-4C48-AFE3-0EEDACAA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1743968"/>
        <c:axId val="739382464"/>
      </c:barChart>
      <c:catAx>
        <c:axId val="119174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82464"/>
        <c:crosses val="autoZero"/>
        <c:auto val="1"/>
        <c:lblAlgn val="ctr"/>
        <c:lblOffset val="100"/>
        <c:noMultiLvlLbl val="0"/>
      </c:catAx>
      <c:valAx>
        <c:axId val="73938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74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Analysis!$I$57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Analysis!$H$58:$H$59</c:f>
              <c:strCache>
                <c:ptCount val="2"/>
                <c:pt idx="0">
                  <c:v>Services</c:v>
                </c:pt>
                <c:pt idx="1">
                  <c:v>Specialty Products</c:v>
                </c:pt>
              </c:strCache>
            </c:strRef>
          </c:cat>
          <c:val>
            <c:numRef>
              <c:f>Analysis!$I$58:$I$59</c:f>
              <c:numCache>
                <c:formatCode>"$"#,##0</c:formatCode>
                <c:ptCount val="2"/>
                <c:pt idx="0">
                  <c:v>87690.960000000021</c:v>
                </c:pt>
                <c:pt idx="1">
                  <c:v>32925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1-40BC-B8EC-6E747A1E8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Fuel Price by Type ($/Gal)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Analysis!$B$79</c:f>
              <c:strCache>
                <c:ptCount val="1"/>
                <c:pt idx="0">
                  <c:v>Avg Diesel $/Gal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Analysis!$A$80:$A$100</c:f>
              <c:numCache>
                <c:formatCode>mmm\ yyyy</c:formatCode>
                <c:ptCount val="21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</c:numCache>
            </c:numRef>
          </c:cat>
          <c:val>
            <c:numRef>
              <c:f>Analysis!$B$80:$B$100</c:f>
              <c:numCache>
                <c:formatCode>"$"#,##0.00</c:formatCode>
                <c:ptCount val="21"/>
                <c:pt idx="0">
                  <c:v>3.8228571428571425</c:v>
                </c:pt>
                <c:pt idx="1">
                  <c:v>3.6579999999999999</c:v>
                </c:pt>
                <c:pt idx="2">
                  <c:v>0</c:v>
                </c:pt>
                <c:pt idx="3">
                  <c:v>3.8240000000000003</c:v>
                </c:pt>
                <c:pt idx="4">
                  <c:v>3.8514285714285719</c:v>
                </c:pt>
                <c:pt idx="5">
                  <c:v>3.6866666666666661</c:v>
                </c:pt>
                <c:pt idx="6">
                  <c:v>3.58</c:v>
                </c:pt>
                <c:pt idx="7">
                  <c:v>3.6</c:v>
                </c:pt>
                <c:pt idx="8">
                  <c:v>3.8499999999999996</c:v>
                </c:pt>
                <c:pt idx="9">
                  <c:v>0</c:v>
                </c:pt>
                <c:pt idx="10">
                  <c:v>3.5325000000000002</c:v>
                </c:pt>
                <c:pt idx="11">
                  <c:v>3.65</c:v>
                </c:pt>
                <c:pt idx="12">
                  <c:v>3.8149999999999999</c:v>
                </c:pt>
                <c:pt idx="13">
                  <c:v>3.7749999999999999</c:v>
                </c:pt>
                <c:pt idx="14">
                  <c:v>3.5400000000000005</c:v>
                </c:pt>
                <c:pt idx="15">
                  <c:v>3.3866666666666667</c:v>
                </c:pt>
                <c:pt idx="16">
                  <c:v>0</c:v>
                </c:pt>
                <c:pt idx="17">
                  <c:v>3.813333333333333</c:v>
                </c:pt>
                <c:pt idx="18">
                  <c:v>3.6300000000000003</c:v>
                </c:pt>
                <c:pt idx="19">
                  <c:v>3.42</c:v>
                </c:pt>
                <c:pt idx="20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A-4846-A34D-820198759962}"/>
            </c:ext>
          </c:extLst>
        </c:ser>
        <c:ser>
          <c:idx val="1"/>
          <c:order val="1"/>
          <c:tx>
            <c:strRef>
              <c:f>Analysis!$C$79</c:f>
              <c:strCache>
                <c:ptCount val="1"/>
                <c:pt idx="0">
                  <c:v>Avg Unleaded $/Gal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Analysis!$A$80:$A$100</c:f>
              <c:numCache>
                <c:formatCode>mmm\ yyyy</c:formatCode>
                <c:ptCount val="21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</c:numCache>
            </c:numRef>
          </c:cat>
          <c:val>
            <c:numRef>
              <c:f>Analysis!$C$80:$C$100</c:f>
              <c:numCache>
                <c:formatCode>"$"#,##0.00</c:formatCode>
                <c:ptCount val="21"/>
                <c:pt idx="0">
                  <c:v>3.85</c:v>
                </c:pt>
                <c:pt idx="1">
                  <c:v>3.6133333333333333</c:v>
                </c:pt>
                <c:pt idx="2">
                  <c:v>3.4666666666666663</c:v>
                </c:pt>
                <c:pt idx="3">
                  <c:v>3.82</c:v>
                </c:pt>
                <c:pt idx="4">
                  <c:v>3.8533333333333335</c:v>
                </c:pt>
                <c:pt idx="5">
                  <c:v>3.718</c:v>
                </c:pt>
                <c:pt idx="6">
                  <c:v>3.4857142857142853</c:v>
                </c:pt>
                <c:pt idx="7">
                  <c:v>3.6150000000000002</c:v>
                </c:pt>
                <c:pt idx="8">
                  <c:v>3.84</c:v>
                </c:pt>
                <c:pt idx="9">
                  <c:v>3.7850000000000001</c:v>
                </c:pt>
                <c:pt idx="10">
                  <c:v>3.4899999999999998</c:v>
                </c:pt>
                <c:pt idx="11">
                  <c:v>3.7075000000000005</c:v>
                </c:pt>
                <c:pt idx="12">
                  <c:v>3.86</c:v>
                </c:pt>
                <c:pt idx="13">
                  <c:v>3.7275</c:v>
                </c:pt>
                <c:pt idx="14">
                  <c:v>3.54</c:v>
                </c:pt>
                <c:pt idx="15">
                  <c:v>3.7133333333333334</c:v>
                </c:pt>
                <c:pt idx="16">
                  <c:v>3.8025000000000002</c:v>
                </c:pt>
                <c:pt idx="17">
                  <c:v>3.813333333333333</c:v>
                </c:pt>
                <c:pt idx="18">
                  <c:v>3.6124999999999998</c:v>
                </c:pt>
                <c:pt idx="19">
                  <c:v>3.5125000000000002</c:v>
                </c:pt>
                <c:pt idx="20">
                  <c:v>3.8125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A-4846-A34D-820198759962}"/>
            </c:ext>
          </c:extLst>
        </c:ser>
        <c:ser>
          <c:idx val="2"/>
          <c:order val="2"/>
          <c:tx>
            <c:strRef>
              <c:f>Analysis!$D$79</c:f>
              <c:strCache>
                <c:ptCount val="1"/>
                <c:pt idx="0">
                  <c:v>Avg Premium $/Gal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Analysis!$A$80:$A$100</c:f>
              <c:numCache>
                <c:formatCode>mmm\ yyyy</c:formatCode>
                <c:ptCount val="21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</c:numCache>
            </c:numRef>
          </c:cat>
          <c:val>
            <c:numRef>
              <c:f>Analysis!$D$80:$D$100</c:f>
              <c:numCache>
                <c:formatCode>"$"#,##0.00</c:formatCode>
                <c:ptCount val="21"/>
                <c:pt idx="0">
                  <c:v>3.77</c:v>
                </c:pt>
                <c:pt idx="1">
                  <c:v>3.64</c:v>
                </c:pt>
                <c:pt idx="2">
                  <c:v>3.46</c:v>
                </c:pt>
                <c:pt idx="3">
                  <c:v>3.7699999999999996</c:v>
                </c:pt>
                <c:pt idx="4">
                  <c:v>3.85</c:v>
                </c:pt>
                <c:pt idx="5">
                  <c:v>3.7116666666666664</c:v>
                </c:pt>
                <c:pt idx="6">
                  <c:v>3.5599999999999996</c:v>
                </c:pt>
                <c:pt idx="7">
                  <c:v>3.6433333333333331</c:v>
                </c:pt>
                <c:pt idx="8">
                  <c:v>3.88</c:v>
                </c:pt>
                <c:pt idx="9">
                  <c:v>3.7549999999999994</c:v>
                </c:pt>
                <c:pt idx="10">
                  <c:v>3.53</c:v>
                </c:pt>
                <c:pt idx="11">
                  <c:v>3.6388888888888888</c:v>
                </c:pt>
                <c:pt idx="12">
                  <c:v>3.7800000000000002</c:v>
                </c:pt>
                <c:pt idx="13">
                  <c:v>3.7233333333333332</c:v>
                </c:pt>
                <c:pt idx="14">
                  <c:v>3.6079999999999997</c:v>
                </c:pt>
                <c:pt idx="15">
                  <c:v>3.83</c:v>
                </c:pt>
                <c:pt idx="16">
                  <c:v>3.7650000000000001</c:v>
                </c:pt>
                <c:pt idx="17">
                  <c:v>3.82125</c:v>
                </c:pt>
                <c:pt idx="18">
                  <c:v>3.5766666666666667</c:v>
                </c:pt>
                <c:pt idx="19">
                  <c:v>3.5333333333333332</c:v>
                </c:pt>
                <c:pt idx="20">
                  <c:v>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AA-4846-A34D-820198759962}"/>
            </c:ext>
          </c:extLst>
        </c:ser>
        <c:ser>
          <c:idx val="3"/>
          <c:order val="3"/>
          <c:tx>
            <c:strRef>
              <c:f>Analysis!$E$79</c:f>
              <c:strCache>
                <c:ptCount val="1"/>
                <c:pt idx="0">
                  <c:v>Avg Bulk $/Gal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Analysis!$A$80:$A$100</c:f>
              <c:numCache>
                <c:formatCode>mmm\ yyyy</c:formatCode>
                <c:ptCount val="21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</c:numCache>
            </c:numRef>
          </c:cat>
          <c:val>
            <c:numRef>
              <c:f>Analysis!$E$80:$E$100</c:f>
              <c:numCache>
                <c:formatCode>"$"#,##0.00</c:formatCode>
                <c:ptCount val="21"/>
                <c:pt idx="0">
                  <c:v>0</c:v>
                </c:pt>
                <c:pt idx="1">
                  <c:v>3.6233333333333331</c:v>
                </c:pt>
                <c:pt idx="2">
                  <c:v>3.4</c:v>
                </c:pt>
                <c:pt idx="3">
                  <c:v>3.813333333333333</c:v>
                </c:pt>
                <c:pt idx="4">
                  <c:v>3.8</c:v>
                </c:pt>
                <c:pt idx="5">
                  <c:v>3.76</c:v>
                </c:pt>
                <c:pt idx="6">
                  <c:v>3.5000000000000009</c:v>
                </c:pt>
                <c:pt idx="7">
                  <c:v>3.7274999999999996</c:v>
                </c:pt>
                <c:pt idx="8">
                  <c:v>3.8833333333333333</c:v>
                </c:pt>
                <c:pt idx="9">
                  <c:v>3.7157142857142853</c:v>
                </c:pt>
                <c:pt idx="10">
                  <c:v>3.57</c:v>
                </c:pt>
                <c:pt idx="11">
                  <c:v>3.59</c:v>
                </c:pt>
                <c:pt idx="12">
                  <c:v>3.86</c:v>
                </c:pt>
                <c:pt idx="13">
                  <c:v>3.786</c:v>
                </c:pt>
                <c:pt idx="14">
                  <c:v>3.524285714285714</c:v>
                </c:pt>
                <c:pt idx="15">
                  <c:v>3.6859999999999999</c:v>
                </c:pt>
                <c:pt idx="16">
                  <c:v>3.8157142857142858</c:v>
                </c:pt>
                <c:pt idx="17">
                  <c:v>3.8000000000000003</c:v>
                </c:pt>
                <c:pt idx="18">
                  <c:v>3.5674999999999999</c:v>
                </c:pt>
                <c:pt idx="19">
                  <c:v>3.5866666666666664</c:v>
                </c:pt>
                <c:pt idx="20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AA-4846-A34D-820198759962}"/>
            </c:ext>
          </c:extLst>
        </c:ser>
        <c:ser>
          <c:idx val="4"/>
          <c:order val="4"/>
          <c:tx>
            <c:strRef>
              <c:f>Analysis!$F$79</c:f>
              <c:strCache>
                <c:ptCount val="1"/>
                <c:pt idx="0">
                  <c:v>Avg Fleet $/Gal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Analysis!$A$80:$A$100</c:f>
              <c:numCache>
                <c:formatCode>mmm\ yyyy</c:formatCode>
                <c:ptCount val="21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</c:numCache>
            </c:numRef>
          </c:cat>
          <c:val>
            <c:numRef>
              <c:f>Analysis!$F$80:$F$100</c:f>
              <c:numCache>
                <c:formatCode>"$"#,##0.00</c:formatCode>
                <c:ptCount val="21"/>
                <c:pt idx="0">
                  <c:v>3.8033333333333332</c:v>
                </c:pt>
                <c:pt idx="1">
                  <c:v>3.66</c:v>
                </c:pt>
                <c:pt idx="2">
                  <c:v>3.4549999999999996</c:v>
                </c:pt>
                <c:pt idx="3">
                  <c:v>3.8266666666666667</c:v>
                </c:pt>
                <c:pt idx="4">
                  <c:v>3.8280000000000003</c:v>
                </c:pt>
                <c:pt idx="5">
                  <c:v>3.74</c:v>
                </c:pt>
                <c:pt idx="6">
                  <c:v>3.4766666666666666</c:v>
                </c:pt>
                <c:pt idx="7">
                  <c:v>3.7616666666666667</c:v>
                </c:pt>
                <c:pt idx="8">
                  <c:v>3.8266666666666667</c:v>
                </c:pt>
                <c:pt idx="9">
                  <c:v>3.726</c:v>
                </c:pt>
                <c:pt idx="10">
                  <c:v>3.52</c:v>
                </c:pt>
                <c:pt idx="11">
                  <c:v>3.85</c:v>
                </c:pt>
                <c:pt idx="12">
                  <c:v>3.8149999999999999</c:v>
                </c:pt>
                <c:pt idx="13">
                  <c:v>3.7933333333333334</c:v>
                </c:pt>
                <c:pt idx="14">
                  <c:v>3.5449999999999999</c:v>
                </c:pt>
                <c:pt idx="15">
                  <c:v>3.5175000000000001</c:v>
                </c:pt>
                <c:pt idx="16">
                  <c:v>3.8266666666666667</c:v>
                </c:pt>
                <c:pt idx="17">
                  <c:v>3.7566666666666664</c:v>
                </c:pt>
                <c:pt idx="18">
                  <c:v>3.62</c:v>
                </c:pt>
                <c:pt idx="19">
                  <c:v>3.6399999999999997</c:v>
                </c:pt>
                <c:pt idx="20">
                  <c:v>3.8450000000000002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AA-4846-A34D-820198759962}"/>
            </c:ext>
          </c:extLst>
        </c:ser>
        <c:ser>
          <c:idx val="5"/>
          <c:order val="5"/>
          <c:tx>
            <c:strRef>
              <c:f>Analysis!$G$79</c:f>
              <c:strCache>
                <c:ptCount val="1"/>
                <c:pt idx="0">
                  <c:v>Overall Avg $/Gal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Analysis!$A$80:$A$100</c:f>
              <c:numCache>
                <c:formatCode>mmm\ yyyy</c:formatCode>
                <c:ptCount val="21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</c:numCache>
            </c:numRef>
          </c:cat>
          <c:val>
            <c:numRef>
              <c:f>Analysis!$G$80:$G$100</c:f>
              <c:numCache>
                <c:formatCode>"$"#,##0.00</c:formatCode>
                <c:ptCount val="21"/>
                <c:pt idx="0">
                  <c:v>3.818810704960836</c:v>
                </c:pt>
                <c:pt idx="1">
                  <c:v>3.6529361337333914</c:v>
                </c:pt>
                <c:pt idx="2">
                  <c:v>3.4524106500359801</c:v>
                </c:pt>
                <c:pt idx="3">
                  <c:v>3.8136991576413961</c:v>
                </c:pt>
                <c:pt idx="4">
                  <c:v>3.8392153385791872</c:v>
                </c:pt>
                <c:pt idx="5">
                  <c:v>3.7183846248918551</c:v>
                </c:pt>
                <c:pt idx="6">
                  <c:v>3.4926351942050715</c:v>
                </c:pt>
                <c:pt idx="7">
                  <c:v>3.7048933723604436</c:v>
                </c:pt>
                <c:pt idx="8">
                  <c:v>3.8408620000000004</c:v>
                </c:pt>
                <c:pt idx="9">
                  <c:v>3.7354424885459365</c:v>
                </c:pt>
                <c:pt idx="10">
                  <c:v>3.5220847828888031</c:v>
                </c:pt>
                <c:pt idx="11">
                  <c:v>3.6711558704453444</c:v>
                </c:pt>
                <c:pt idx="12">
                  <c:v>3.8284246414295788</c:v>
                </c:pt>
                <c:pt idx="13">
                  <c:v>3.7634139092530225</c:v>
                </c:pt>
                <c:pt idx="14">
                  <c:v>3.5460483978194386</c:v>
                </c:pt>
                <c:pt idx="15">
                  <c:v>3.6122269596589045</c:v>
                </c:pt>
                <c:pt idx="16">
                  <c:v>3.8064174546887313</c:v>
                </c:pt>
                <c:pt idx="17">
                  <c:v>3.8078105414568992</c:v>
                </c:pt>
                <c:pt idx="18">
                  <c:v>3.5973221024258755</c:v>
                </c:pt>
                <c:pt idx="19">
                  <c:v>3.5440187407875339</c:v>
                </c:pt>
                <c:pt idx="20">
                  <c:v>3.8134702430846605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AA-4846-A34D-820198759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1046080"/>
        <c:axId val="751047040"/>
      </c:lineChart>
      <c:dateAx>
        <c:axId val="751046080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047040"/>
        <c:crosses val="autoZero"/>
        <c:auto val="1"/>
        <c:lblOffset val="100"/>
        <c:baseTimeUnit val="months"/>
      </c:dateAx>
      <c:valAx>
        <c:axId val="75104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04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Analysis!$A$111:$A$115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Analysis!$B$111:$B$115</c:f>
              <c:numCache>
                <c:formatCode>"$"#,##0</c:formatCode>
                <c:ptCount val="5"/>
                <c:pt idx="0">
                  <c:v>163108.24999999997</c:v>
                </c:pt>
                <c:pt idx="1">
                  <c:v>171035.55999999997</c:v>
                </c:pt>
                <c:pt idx="2">
                  <c:v>146387.14000000001</c:v>
                </c:pt>
                <c:pt idx="3">
                  <c:v>153388.1399999999</c:v>
                </c:pt>
                <c:pt idx="4">
                  <c:v>156740.99000000005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1-4C40-BB69-11D0A7DE7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8662208"/>
        <c:axId val="738659328"/>
      </c:barChart>
      <c:catAx>
        <c:axId val="73866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59328"/>
        <c:crosses val="autoZero"/>
        <c:auto val="1"/>
        <c:lblAlgn val="ctr"/>
        <c:lblOffset val="100"/>
        <c:noMultiLvlLbl val="0"/>
      </c:catAx>
      <c:valAx>
        <c:axId val="73865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6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Analysis!$B$118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Analysis!$A$119:$A$126</c:f>
              <c:strCache>
                <c:ptCount val="8"/>
                <c:pt idx="0">
                  <c:v>Q4 2024</c:v>
                </c:pt>
                <c:pt idx="1">
                  <c:v>Q1 2025</c:v>
                </c:pt>
                <c:pt idx="2">
                  <c:v>Q2 2025</c:v>
                </c:pt>
                <c:pt idx="3">
                  <c:v>Q3 2025</c:v>
                </c:pt>
                <c:pt idx="4">
                  <c:v>Q4 2025</c:v>
                </c:pt>
                <c:pt idx="5">
                  <c:v>Q1 2026</c:v>
                </c:pt>
                <c:pt idx="6">
                  <c:v>Q2 2026</c:v>
                </c:pt>
                <c:pt idx="7">
                  <c:v>Q3 2026</c:v>
                </c:pt>
              </c:strCache>
            </c:strRef>
          </c:cat>
          <c:val>
            <c:numRef>
              <c:f>Analysis!$B$119:$B$126</c:f>
              <c:numCache>
                <c:formatCode>"$"#,##0</c:formatCode>
                <c:ptCount val="8"/>
                <c:pt idx="0">
                  <c:v>59318.990000000005</c:v>
                </c:pt>
                <c:pt idx="1">
                  <c:v>109849.28</c:v>
                </c:pt>
                <c:pt idx="2">
                  <c:v>106783.10000000003</c:v>
                </c:pt>
                <c:pt idx="3">
                  <c:v>116385.26999999999</c:v>
                </c:pt>
                <c:pt idx="4">
                  <c:v>127705.78</c:v>
                </c:pt>
                <c:pt idx="5">
                  <c:v>123826.70999999996</c:v>
                </c:pt>
                <c:pt idx="6">
                  <c:v>109531.88</c:v>
                </c:pt>
                <c:pt idx="7">
                  <c:v>37259.07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E-4DB0-8A24-ECB1A90E8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8659808"/>
        <c:axId val="841162144"/>
      </c:barChart>
      <c:catAx>
        <c:axId val="73865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162144"/>
        <c:crosses val="autoZero"/>
        <c:auto val="1"/>
        <c:lblAlgn val="ctr"/>
        <c:lblOffset val="100"/>
        <c:noMultiLvlLbl val="0"/>
      </c:catAx>
      <c:valAx>
        <c:axId val="8411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5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Revenue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Analysis!$B$132</c:f>
              <c:strCache>
                <c:ptCount val="1"/>
                <c:pt idx="0">
                  <c:v>Q4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Analysis!$A$133:$A$147</c:f>
              <c:strCache>
                <c:ptCount val="15"/>
                <c:pt idx="0">
                  <c:v>Acme Petroleum</c:v>
                </c:pt>
                <c:pt idx="1">
                  <c:v>Arkansas Valley Oil</c:v>
                </c:pt>
                <c:pt idx="2">
                  <c:v>Centennial Hauling</c:v>
                </c:pt>
                <c:pt idx="3">
                  <c:v>Colorado Fuel Corp</c:v>
                </c:pt>
                <c:pt idx="4">
                  <c:v>Front Range Inc</c:v>
                </c:pt>
                <c:pt idx="5">
                  <c:v>High Plains Co</c:v>
                </c:pt>
                <c:pt idx="6">
                  <c:v>Mesa Verde Logistics</c:v>
                </c:pt>
                <c:pt idx="7">
                  <c:v>Mountain View Fleet</c:v>
                </c:pt>
                <c:pt idx="8">
                  <c:v>Pikes Peak Energy</c:v>
                </c:pt>
                <c:pt idx="9">
                  <c:v>Pueblo Supply Chain</c:v>
                </c:pt>
                <c:pt idx="10">
                  <c:v>Royal Gorge Freight</c:v>
                </c:pt>
                <c:pt idx="11">
                  <c:v>San Luis Transport</c:v>
                </c:pt>
                <c:pt idx="12">
                  <c:v>Springs Delivery Co</c:v>
                </c:pt>
                <c:pt idx="13">
                  <c:v>Summit Logistics</c:v>
                </c:pt>
                <c:pt idx="14">
                  <c:v>Western Slope Transport</c:v>
                </c:pt>
              </c:strCache>
            </c:strRef>
          </c:cat>
          <c:val>
            <c:numRef>
              <c:f>Analysis!$B$133:$B$147</c:f>
              <c:numCache>
                <c:formatCode>"$"#,##0</c:formatCode>
                <c:ptCount val="15"/>
                <c:pt idx="0">
                  <c:v>3528.7</c:v>
                </c:pt>
                <c:pt idx="1">
                  <c:v>6720</c:v>
                </c:pt>
                <c:pt idx="2">
                  <c:v>3400.45</c:v>
                </c:pt>
                <c:pt idx="3">
                  <c:v>0</c:v>
                </c:pt>
                <c:pt idx="4">
                  <c:v>7933.86</c:v>
                </c:pt>
                <c:pt idx="5">
                  <c:v>1914.68</c:v>
                </c:pt>
                <c:pt idx="6">
                  <c:v>1104.48</c:v>
                </c:pt>
                <c:pt idx="7">
                  <c:v>1250</c:v>
                </c:pt>
                <c:pt idx="8">
                  <c:v>3370.24</c:v>
                </c:pt>
                <c:pt idx="9">
                  <c:v>3681.92</c:v>
                </c:pt>
                <c:pt idx="10">
                  <c:v>5249.16</c:v>
                </c:pt>
                <c:pt idx="11">
                  <c:v>4946.0599999999995</c:v>
                </c:pt>
                <c:pt idx="12">
                  <c:v>2744.2</c:v>
                </c:pt>
                <c:pt idx="13">
                  <c:v>3667.92</c:v>
                </c:pt>
                <c:pt idx="14">
                  <c:v>9807.32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D-4E1E-A2E2-330BD5B73B06}"/>
            </c:ext>
          </c:extLst>
        </c:ser>
        <c:ser>
          <c:idx val="1"/>
          <c:order val="1"/>
          <c:tx>
            <c:strRef>
              <c:f>Analysis!$C$132</c:f>
              <c:strCache>
                <c:ptCount val="1"/>
                <c:pt idx="0">
                  <c:v>Q1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Analysis!$A$133:$A$147</c:f>
              <c:strCache>
                <c:ptCount val="15"/>
                <c:pt idx="0">
                  <c:v>Acme Petroleum</c:v>
                </c:pt>
                <c:pt idx="1">
                  <c:v>Arkansas Valley Oil</c:v>
                </c:pt>
                <c:pt idx="2">
                  <c:v>Centennial Hauling</c:v>
                </c:pt>
                <c:pt idx="3">
                  <c:v>Colorado Fuel Corp</c:v>
                </c:pt>
                <c:pt idx="4">
                  <c:v>Front Range Inc</c:v>
                </c:pt>
                <c:pt idx="5">
                  <c:v>High Plains Co</c:v>
                </c:pt>
                <c:pt idx="6">
                  <c:v>Mesa Verde Logistics</c:v>
                </c:pt>
                <c:pt idx="7">
                  <c:v>Mountain View Fleet</c:v>
                </c:pt>
                <c:pt idx="8">
                  <c:v>Pikes Peak Energy</c:v>
                </c:pt>
                <c:pt idx="9">
                  <c:v>Pueblo Supply Chain</c:v>
                </c:pt>
                <c:pt idx="10">
                  <c:v>Royal Gorge Freight</c:v>
                </c:pt>
                <c:pt idx="11">
                  <c:v>San Luis Transport</c:v>
                </c:pt>
                <c:pt idx="12">
                  <c:v>Springs Delivery Co</c:v>
                </c:pt>
                <c:pt idx="13">
                  <c:v>Summit Logistics</c:v>
                </c:pt>
                <c:pt idx="14">
                  <c:v>Western Slope Transport</c:v>
                </c:pt>
              </c:strCache>
            </c:strRef>
          </c:cat>
          <c:val>
            <c:numRef>
              <c:f>Analysis!$C$133:$C$147</c:f>
              <c:numCache>
                <c:formatCode>"$"#,##0</c:formatCode>
                <c:ptCount val="15"/>
                <c:pt idx="0">
                  <c:v>3000</c:v>
                </c:pt>
                <c:pt idx="1">
                  <c:v>5663.84</c:v>
                </c:pt>
                <c:pt idx="2">
                  <c:v>9575.32</c:v>
                </c:pt>
                <c:pt idx="3">
                  <c:v>9175.7200000000012</c:v>
                </c:pt>
                <c:pt idx="4">
                  <c:v>16814.09</c:v>
                </c:pt>
                <c:pt idx="5">
                  <c:v>9259.2799999999988</c:v>
                </c:pt>
                <c:pt idx="6">
                  <c:v>9414.2000000000007</c:v>
                </c:pt>
                <c:pt idx="7">
                  <c:v>1999.48</c:v>
                </c:pt>
                <c:pt idx="8">
                  <c:v>3109.4</c:v>
                </c:pt>
                <c:pt idx="9">
                  <c:v>11110.94</c:v>
                </c:pt>
                <c:pt idx="10">
                  <c:v>4132.2</c:v>
                </c:pt>
                <c:pt idx="11">
                  <c:v>6670.92</c:v>
                </c:pt>
                <c:pt idx="12">
                  <c:v>3371.96</c:v>
                </c:pt>
                <c:pt idx="13">
                  <c:v>12707</c:v>
                </c:pt>
                <c:pt idx="14">
                  <c:v>3844.93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D-4E1E-A2E2-330BD5B73B06}"/>
            </c:ext>
          </c:extLst>
        </c:ser>
        <c:ser>
          <c:idx val="2"/>
          <c:order val="2"/>
          <c:tx>
            <c:strRef>
              <c:f>Analysis!$D$132</c:f>
              <c:strCache>
                <c:ptCount val="1"/>
                <c:pt idx="0">
                  <c:v>Q2 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Analysis!$A$133:$A$147</c:f>
              <c:strCache>
                <c:ptCount val="15"/>
                <c:pt idx="0">
                  <c:v>Acme Petroleum</c:v>
                </c:pt>
                <c:pt idx="1">
                  <c:v>Arkansas Valley Oil</c:v>
                </c:pt>
                <c:pt idx="2">
                  <c:v>Centennial Hauling</c:v>
                </c:pt>
                <c:pt idx="3">
                  <c:v>Colorado Fuel Corp</c:v>
                </c:pt>
                <c:pt idx="4">
                  <c:v>Front Range Inc</c:v>
                </c:pt>
                <c:pt idx="5">
                  <c:v>High Plains Co</c:v>
                </c:pt>
                <c:pt idx="6">
                  <c:v>Mesa Verde Logistics</c:v>
                </c:pt>
                <c:pt idx="7">
                  <c:v>Mountain View Fleet</c:v>
                </c:pt>
                <c:pt idx="8">
                  <c:v>Pikes Peak Energy</c:v>
                </c:pt>
                <c:pt idx="9">
                  <c:v>Pueblo Supply Chain</c:v>
                </c:pt>
                <c:pt idx="10">
                  <c:v>Royal Gorge Freight</c:v>
                </c:pt>
                <c:pt idx="11">
                  <c:v>San Luis Transport</c:v>
                </c:pt>
                <c:pt idx="12">
                  <c:v>Springs Delivery Co</c:v>
                </c:pt>
                <c:pt idx="13">
                  <c:v>Summit Logistics</c:v>
                </c:pt>
                <c:pt idx="14">
                  <c:v>Western Slope Transport</c:v>
                </c:pt>
              </c:strCache>
            </c:strRef>
          </c:cat>
          <c:val>
            <c:numRef>
              <c:f>Analysis!$D$133:$D$147</c:f>
              <c:numCache>
                <c:formatCode>"$"#,##0</c:formatCode>
                <c:ptCount val="15"/>
                <c:pt idx="0">
                  <c:v>9296.93</c:v>
                </c:pt>
                <c:pt idx="1">
                  <c:v>8697.34</c:v>
                </c:pt>
                <c:pt idx="2">
                  <c:v>2729.55</c:v>
                </c:pt>
                <c:pt idx="3">
                  <c:v>0</c:v>
                </c:pt>
                <c:pt idx="4">
                  <c:v>7159.36</c:v>
                </c:pt>
                <c:pt idx="5">
                  <c:v>3077.62</c:v>
                </c:pt>
                <c:pt idx="6">
                  <c:v>2737.11</c:v>
                </c:pt>
                <c:pt idx="7">
                  <c:v>11252.04</c:v>
                </c:pt>
                <c:pt idx="8">
                  <c:v>10792.34</c:v>
                </c:pt>
                <c:pt idx="9">
                  <c:v>9161.3700000000008</c:v>
                </c:pt>
                <c:pt idx="10">
                  <c:v>8953.7000000000007</c:v>
                </c:pt>
                <c:pt idx="11">
                  <c:v>11507.539999999999</c:v>
                </c:pt>
                <c:pt idx="12">
                  <c:v>7431.5399999999991</c:v>
                </c:pt>
                <c:pt idx="13">
                  <c:v>5032.66</c:v>
                </c:pt>
                <c:pt idx="14">
                  <c:v>8954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1D-4E1E-A2E2-330BD5B73B06}"/>
            </c:ext>
          </c:extLst>
        </c:ser>
        <c:ser>
          <c:idx val="3"/>
          <c:order val="3"/>
          <c:tx>
            <c:strRef>
              <c:f>Analysis!$E$132</c:f>
              <c:strCache>
                <c:ptCount val="1"/>
                <c:pt idx="0">
                  <c:v>Q3 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Analysis!$A$133:$A$147</c:f>
              <c:strCache>
                <c:ptCount val="15"/>
                <c:pt idx="0">
                  <c:v>Acme Petroleum</c:v>
                </c:pt>
                <c:pt idx="1">
                  <c:v>Arkansas Valley Oil</c:v>
                </c:pt>
                <c:pt idx="2">
                  <c:v>Centennial Hauling</c:v>
                </c:pt>
                <c:pt idx="3">
                  <c:v>Colorado Fuel Corp</c:v>
                </c:pt>
                <c:pt idx="4">
                  <c:v>Front Range Inc</c:v>
                </c:pt>
                <c:pt idx="5">
                  <c:v>High Plains Co</c:v>
                </c:pt>
                <c:pt idx="6">
                  <c:v>Mesa Verde Logistics</c:v>
                </c:pt>
                <c:pt idx="7">
                  <c:v>Mountain View Fleet</c:v>
                </c:pt>
                <c:pt idx="8">
                  <c:v>Pikes Peak Energy</c:v>
                </c:pt>
                <c:pt idx="9">
                  <c:v>Pueblo Supply Chain</c:v>
                </c:pt>
                <c:pt idx="10">
                  <c:v>Royal Gorge Freight</c:v>
                </c:pt>
                <c:pt idx="11">
                  <c:v>San Luis Transport</c:v>
                </c:pt>
                <c:pt idx="12">
                  <c:v>Springs Delivery Co</c:v>
                </c:pt>
                <c:pt idx="13">
                  <c:v>Summit Logistics</c:v>
                </c:pt>
                <c:pt idx="14">
                  <c:v>Western Slope Transport</c:v>
                </c:pt>
              </c:strCache>
            </c:strRef>
          </c:cat>
          <c:val>
            <c:numRef>
              <c:f>Analysis!$E$133:$E$147</c:f>
              <c:numCache>
                <c:formatCode>"$"#,##0</c:formatCode>
                <c:ptCount val="15"/>
                <c:pt idx="0">
                  <c:v>1762.38</c:v>
                </c:pt>
                <c:pt idx="1">
                  <c:v>20015.3</c:v>
                </c:pt>
                <c:pt idx="2">
                  <c:v>11628.95</c:v>
                </c:pt>
                <c:pt idx="3">
                  <c:v>21051.68</c:v>
                </c:pt>
                <c:pt idx="4">
                  <c:v>7100.16</c:v>
                </c:pt>
                <c:pt idx="5">
                  <c:v>9691.92</c:v>
                </c:pt>
                <c:pt idx="6">
                  <c:v>3713.1</c:v>
                </c:pt>
                <c:pt idx="7">
                  <c:v>913.32</c:v>
                </c:pt>
                <c:pt idx="8">
                  <c:v>2534.3199999999997</c:v>
                </c:pt>
                <c:pt idx="9">
                  <c:v>3521.01</c:v>
                </c:pt>
                <c:pt idx="10">
                  <c:v>4959.51</c:v>
                </c:pt>
                <c:pt idx="11">
                  <c:v>6553.4400000000005</c:v>
                </c:pt>
                <c:pt idx="12">
                  <c:v>6281.8</c:v>
                </c:pt>
                <c:pt idx="13">
                  <c:v>7258.4400000000005</c:v>
                </c:pt>
                <c:pt idx="14">
                  <c:v>9399.94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1D-4E1E-A2E2-330BD5B73B06}"/>
            </c:ext>
          </c:extLst>
        </c:ser>
        <c:ser>
          <c:idx val="4"/>
          <c:order val="4"/>
          <c:tx>
            <c:strRef>
              <c:f>Analysis!$F$132</c:f>
              <c:strCache>
                <c:ptCount val="1"/>
                <c:pt idx="0">
                  <c:v>Q4 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Analysis!$A$133:$A$147</c:f>
              <c:strCache>
                <c:ptCount val="15"/>
                <c:pt idx="0">
                  <c:v>Acme Petroleum</c:v>
                </c:pt>
                <c:pt idx="1">
                  <c:v>Arkansas Valley Oil</c:v>
                </c:pt>
                <c:pt idx="2">
                  <c:v>Centennial Hauling</c:v>
                </c:pt>
                <c:pt idx="3">
                  <c:v>Colorado Fuel Corp</c:v>
                </c:pt>
                <c:pt idx="4">
                  <c:v>Front Range Inc</c:v>
                </c:pt>
                <c:pt idx="5">
                  <c:v>High Plains Co</c:v>
                </c:pt>
                <c:pt idx="6">
                  <c:v>Mesa Verde Logistics</c:v>
                </c:pt>
                <c:pt idx="7">
                  <c:v>Mountain View Fleet</c:v>
                </c:pt>
                <c:pt idx="8">
                  <c:v>Pikes Peak Energy</c:v>
                </c:pt>
                <c:pt idx="9">
                  <c:v>Pueblo Supply Chain</c:v>
                </c:pt>
                <c:pt idx="10">
                  <c:v>Royal Gorge Freight</c:v>
                </c:pt>
                <c:pt idx="11">
                  <c:v>San Luis Transport</c:v>
                </c:pt>
                <c:pt idx="12">
                  <c:v>Springs Delivery Co</c:v>
                </c:pt>
                <c:pt idx="13">
                  <c:v>Summit Logistics</c:v>
                </c:pt>
                <c:pt idx="14">
                  <c:v>Western Slope Transport</c:v>
                </c:pt>
              </c:strCache>
            </c:strRef>
          </c:cat>
          <c:val>
            <c:numRef>
              <c:f>Analysis!$F$133:$F$147</c:f>
              <c:numCache>
                <c:formatCode>"$"#,##0</c:formatCode>
                <c:ptCount val="15"/>
                <c:pt idx="0">
                  <c:v>4820.1400000000003</c:v>
                </c:pt>
                <c:pt idx="1">
                  <c:v>7279.1</c:v>
                </c:pt>
                <c:pt idx="2">
                  <c:v>11219.57</c:v>
                </c:pt>
                <c:pt idx="3">
                  <c:v>9354.9699999999993</c:v>
                </c:pt>
                <c:pt idx="4">
                  <c:v>5892.1200000000008</c:v>
                </c:pt>
                <c:pt idx="5">
                  <c:v>5616.45</c:v>
                </c:pt>
                <c:pt idx="6">
                  <c:v>4731.13</c:v>
                </c:pt>
                <c:pt idx="7">
                  <c:v>11351.88</c:v>
                </c:pt>
                <c:pt idx="8">
                  <c:v>21734.15</c:v>
                </c:pt>
                <c:pt idx="9">
                  <c:v>7211.7</c:v>
                </c:pt>
                <c:pt idx="10">
                  <c:v>10780.580000000002</c:v>
                </c:pt>
                <c:pt idx="11">
                  <c:v>2050.39</c:v>
                </c:pt>
                <c:pt idx="12">
                  <c:v>2118.36</c:v>
                </c:pt>
                <c:pt idx="13">
                  <c:v>19720.54</c:v>
                </c:pt>
                <c:pt idx="14">
                  <c:v>3824.7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1D-4E1E-A2E2-330BD5B73B06}"/>
            </c:ext>
          </c:extLst>
        </c:ser>
        <c:ser>
          <c:idx val="5"/>
          <c:order val="5"/>
          <c:tx>
            <c:strRef>
              <c:f>Analysis!$G$132</c:f>
              <c:strCache>
                <c:ptCount val="1"/>
                <c:pt idx="0">
                  <c:v>Q1 2026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Analysis!$A$133:$A$147</c:f>
              <c:strCache>
                <c:ptCount val="15"/>
                <c:pt idx="0">
                  <c:v>Acme Petroleum</c:v>
                </c:pt>
                <c:pt idx="1">
                  <c:v>Arkansas Valley Oil</c:v>
                </c:pt>
                <c:pt idx="2">
                  <c:v>Centennial Hauling</c:v>
                </c:pt>
                <c:pt idx="3">
                  <c:v>Colorado Fuel Corp</c:v>
                </c:pt>
                <c:pt idx="4">
                  <c:v>Front Range Inc</c:v>
                </c:pt>
                <c:pt idx="5">
                  <c:v>High Plains Co</c:v>
                </c:pt>
                <c:pt idx="6">
                  <c:v>Mesa Verde Logistics</c:v>
                </c:pt>
                <c:pt idx="7">
                  <c:v>Mountain View Fleet</c:v>
                </c:pt>
                <c:pt idx="8">
                  <c:v>Pikes Peak Energy</c:v>
                </c:pt>
                <c:pt idx="9">
                  <c:v>Pueblo Supply Chain</c:v>
                </c:pt>
                <c:pt idx="10">
                  <c:v>Royal Gorge Freight</c:v>
                </c:pt>
                <c:pt idx="11">
                  <c:v>San Luis Transport</c:v>
                </c:pt>
                <c:pt idx="12">
                  <c:v>Springs Delivery Co</c:v>
                </c:pt>
                <c:pt idx="13">
                  <c:v>Summit Logistics</c:v>
                </c:pt>
                <c:pt idx="14">
                  <c:v>Western Slope Transport</c:v>
                </c:pt>
              </c:strCache>
            </c:strRef>
          </c:cat>
          <c:val>
            <c:numRef>
              <c:f>Analysis!$G$133:$G$147</c:f>
              <c:numCache>
                <c:formatCode>"$"#,##0</c:formatCode>
                <c:ptCount val="15"/>
                <c:pt idx="0">
                  <c:v>5424.45</c:v>
                </c:pt>
                <c:pt idx="1">
                  <c:v>6573.5</c:v>
                </c:pt>
                <c:pt idx="2">
                  <c:v>1683.24</c:v>
                </c:pt>
                <c:pt idx="3">
                  <c:v>10323.39</c:v>
                </c:pt>
                <c:pt idx="4">
                  <c:v>4206.3900000000003</c:v>
                </c:pt>
                <c:pt idx="5">
                  <c:v>1576.1200000000001</c:v>
                </c:pt>
                <c:pt idx="6">
                  <c:v>32841.410000000003</c:v>
                </c:pt>
                <c:pt idx="7">
                  <c:v>9381.5500000000011</c:v>
                </c:pt>
                <c:pt idx="8">
                  <c:v>3862.68</c:v>
                </c:pt>
                <c:pt idx="9">
                  <c:v>6458.6100000000006</c:v>
                </c:pt>
                <c:pt idx="10">
                  <c:v>9024.52</c:v>
                </c:pt>
                <c:pt idx="11">
                  <c:v>3490.93</c:v>
                </c:pt>
                <c:pt idx="12">
                  <c:v>5107.49</c:v>
                </c:pt>
                <c:pt idx="13">
                  <c:v>11165.300000000001</c:v>
                </c:pt>
                <c:pt idx="14">
                  <c:v>12707.13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1D-4E1E-A2E2-330BD5B73B06}"/>
            </c:ext>
          </c:extLst>
        </c:ser>
        <c:ser>
          <c:idx val="6"/>
          <c:order val="6"/>
          <c:tx>
            <c:strRef>
              <c:f>Analysis!$H$132</c:f>
              <c:strCache>
                <c:ptCount val="1"/>
                <c:pt idx="0">
                  <c:v>Q2 2026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Analysis!$A$133:$A$147</c:f>
              <c:strCache>
                <c:ptCount val="15"/>
                <c:pt idx="0">
                  <c:v>Acme Petroleum</c:v>
                </c:pt>
                <c:pt idx="1">
                  <c:v>Arkansas Valley Oil</c:v>
                </c:pt>
                <c:pt idx="2">
                  <c:v>Centennial Hauling</c:v>
                </c:pt>
                <c:pt idx="3">
                  <c:v>Colorado Fuel Corp</c:v>
                </c:pt>
                <c:pt idx="4">
                  <c:v>Front Range Inc</c:v>
                </c:pt>
                <c:pt idx="5">
                  <c:v>High Plains Co</c:v>
                </c:pt>
                <c:pt idx="6">
                  <c:v>Mesa Verde Logistics</c:v>
                </c:pt>
                <c:pt idx="7">
                  <c:v>Mountain View Fleet</c:v>
                </c:pt>
                <c:pt idx="8">
                  <c:v>Pikes Peak Energy</c:v>
                </c:pt>
                <c:pt idx="9">
                  <c:v>Pueblo Supply Chain</c:v>
                </c:pt>
                <c:pt idx="10">
                  <c:v>Royal Gorge Freight</c:v>
                </c:pt>
                <c:pt idx="11">
                  <c:v>San Luis Transport</c:v>
                </c:pt>
                <c:pt idx="12">
                  <c:v>Springs Delivery Co</c:v>
                </c:pt>
                <c:pt idx="13">
                  <c:v>Summit Logistics</c:v>
                </c:pt>
                <c:pt idx="14">
                  <c:v>Western Slope Transport</c:v>
                </c:pt>
              </c:strCache>
            </c:strRef>
          </c:cat>
          <c:val>
            <c:numRef>
              <c:f>Analysis!$H$133:$H$147</c:f>
              <c:numCache>
                <c:formatCode>"$"#,##0</c:formatCode>
                <c:ptCount val="15"/>
                <c:pt idx="0">
                  <c:v>9329.369999999999</c:v>
                </c:pt>
                <c:pt idx="1">
                  <c:v>6959.94</c:v>
                </c:pt>
                <c:pt idx="2">
                  <c:v>7676.2599999999993</c:v>
                </c:pt>
                <c:pt idx="3">
                  <c:v>10969.23</c:v>
                </c:pt>
                <c:pt idx="4">
                  <c:v>8702.14</c:v>
                </c:pt>
                <c:pt idx="5">
                  <c:v>4145.12</c:v>
                </c:pt>
                <c:pt idx="6">
                  <c:v>11396.94</c:v>
                </c:pt>
                <c:pt idx="7">
                  <c:v>5875.77</c:v>
                </c:pt>
                <c:pt idx="8">
                  <c:v>6532.06</c:v>
                </c:pt>
                <c:pt idx="9">
                  <c:v>4126.1099999999997</c:v>
                </c:pt>
                <c:pt idx="10">
                  <c:v>2744.54</c:v>
                </c:pt>
                <c:pt idx="11">
                  <c:v>10056.029999999999</c:v>
                </c:pt>
                <c:pt idx="12">
                  <c:v>5046.66</c:v>
                </c:pt>
                <c:pt idx="13">
                  <c:v>13971.01</c:v>
                </c:pt>
                <c:pt idx="14">
                  <c:v>2000.7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1D-4E1E-A2E2-330BD5B73B06}"/>
            </c:ext>
          </c:extLst>
        </c:ser>
        <c:ser>
          <c:idx val="7"/>
          <c:order val="7"/>
          <c:tx>
            <c:strRef>
              <c:f>Analysis!$I$132</c:f>
              <c:strCache>
                <c:ptCount val="1"/>
                <c:pt idx="0">
                  <c:v>Q3 2026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Analysis!$A$133:$A$147</c:f>
              <c:strCache>
                <c:ptCount val="15"/>
                <c:pt idx="0">
                  <c:v>Acme Petroleum</c:v>
                </c:pt>
                <c:pt idx="1">
                  <c:v>Arkansas Valley Oil</c:v>
                </c:pt>
                <c:pt idx="2">
                  <c:v>Centennial Hauling</c:v>
                </c:pt>
                <c:pt idx="3">
                  <c:v>Colorado Fuel Corp</c:v>
                </c:pt>
                <c:pt idx="4">
                  <c:v>Front Range Inc</c:v>
                </c:pt>
                <c:pt idx="5">
                  <c:v>High Plains Co</c:v>
                </c:pt>
                <c:pt idx="6">
                  <c:v>Mesa Verde Logistics</c:v>
                </c:pt>
                <c:pt idx="7">
                  <c:v>Mountain View Fleet</c:v>
                </c:pt>
                <c:pt idx="8">
                  <c:v>Pikes Peak Energy</c:v>
                </c:pt>
                <c:pt idx="9">
                  <c:v>Pueblo Supply Chain</c:v>
                </c:pt>
                <c:pt idx="10">
                  <c:v>Royal Gorge Freight</c:v>
                </c:pt>
                <c:pt idx="11">
                  <c:v>San Luis Transport</c:v>
                </c:pt>
                <c:pt idx="12">
                  <c:v>Springs Delivery Co</c:v>
                </c:pt>
                <c:pt idx="13">
                  <c:v>Summit Logistics</c:v>
                </c:pt>
                <c:pt idx="14">
                  <c:v>Western Slope Transport</c:v>
                </c:pt>
              </c:strCache>
            </c:strRef>
          </c:cat>
          <c:val>
            <c:numRef>
              <c:f>Analysis!$I$133:$I$147</c:f>
              <c:numCache>
                <c:formatCode>"$"#,##0</c:formatCode>
                <c:ptCount val="15"/>
                <c:pt idx="0">
                  <c:v>4339.7</c:v>
                </c:pt>
                <c:pt idx="1">
                  <c:v>0</c:v>
                </c:pt>
                <c:pt idx="2">
                  <c:v>0</c:v>
                </c:pt>
                <c:pt idx="3">
                  <c:v>9508.27</c:v>
                </c:pt>
                <c:pt idx="4">
                  <c:v>4423.8</c:v>
                </c:pt>
                <c:pt idx="5">
                  <c:v>4995.58</c:v>
                </c:pt>
                <c:pt idx="6">
                  <c:v>0</c:v>
                </c:pt>
                <c:pt idx="7">
                  <c:v>2252.25</c:v>
                </c:pt>
                <c:pt idx="8">
                  <c:v>2303.46</c:v>
                </c:pt>
                <c:pt idx="9">
                  <c:v>2346.96</c:v>
                </c:pt>
                <c:pt idx="10">
                  <c:v>0</c:v>
                </c:pt>
                <c:pt idx="11">
                  <c:v>0</c:v>
                </c:pt>
                <c:pt idx="12">
                  <c:v>6251.53</c:v>
                </c:pt>
                <c:pt idx="13">
                  <c:v>837.52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21D-4E1E-A2E2-330BD5B73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9252448"/>
        <c:axId val="1409252928"/>
      </c:barChart>
      <c:catAx>
        <c:axId val="140925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52928"/>
        <c:crosses val="autoZero"/>
        <c:auto val="1"/>
        <c:lblAlgn val="ctr"/>
        <c:lblOffset val="100"/>
        <c:noMultiLvlLbl val="0"/>
      </c:catAx>
      <c:valAx>
        <c:axId val="140925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5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6-Month Revenue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Analysis!$B$180</c:f>
              <c:strCache>
                <c:ptCount val="1"/>
                <c:pt idx="0">
                  <c:v>Projected Revenue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numRef>
              <c:f>Analysis!$A$181:$A$186</c:f>
              <c:numCache>
                <c:formatCode>mmm\ yyyy</c:formatCode>
                <c:ptCount val="6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</c:numCache>
            </c:numRef>
          </c:cat>
          <c:val>
            <c:numRef>
              <c:f>Analysis!$B$181:$B$186</c:f>
              <c:numCache>
                <c:formatCode>"$"#,##0</c:formatCode>
                <c:ptCount val="6"/>
                <c:pt idx="0">
                  <c:v>41185.567634004066</c:v>
                </c:pt>
                <c:pt idx="1">
                  <c:v>42579.847734346491</c:v>
                </c:pt>
                <c:pt idx="2">
                  <c:v>44021.329247948212</c:v>
                </c:pt>
                <c:pt idx="3">
                  <c:v>45511.610112994749</c:v>
                </c:pt>
                <c:pt idx="4">
                  <c:v>47052.342363646087</c:v>
                </c:pt>
                <c:pt idx="5">
                  <c:v>48645.233961380574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4-466E-9A8B-10B19ED96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139872"/>
        <c:axId val="641953504"/>
      </c:barChart>
      <c:dateAx>
        <c:axId val="74813987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953504"/>
        <c:crosses val="autoZero"/>
        <c:auto val="1"/>
        <c:lblOffset val="100"/>
        <c:baseTimeUnit val="months"/>
      </c:dateAx>
      <c:valAx>
        <c:axId val="64195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13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1241A-F84D-8DDA-A2DC-900EC19E1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24B2BB-58E3-628C-DF72-B7D2DAAA7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15</xdr:col>
      <xdr:colOff>0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586657-36FF-316B-FBD3-0E26E26ED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77</xdr:row>
      <xdr:rowOff>0</xdr:rowOff>
    </xdr:from>
    <xdr:to>
      <xdr:col>16</xdr:col>
      <xdr:colOff>0</xdr:colOff>
      <xdr:row>104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0A67F4-B9ED-9702-F8BE-D7D14598D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107</xdr:row>
      <xdr:rowOff>1</xdr:rowOff>
    </xdr:from>
    <xdr:to>
      <xdr:col>14</xdr:col>
      <xdr:colOff>0</xdr:colOff>
      <xdr:row>116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019898-5DB9-EE2C-EF9A-F42A29D4B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116</xdr:row>
      <xdr:rowOff>0</xdr:rowOff>
    </xdr:from>
    <xdr:to>
      <xdr:col>14</xdr:col>
      <xdr:colOff>0</xdr:colOff>
      <xdr:row>128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C10F48-3D3C-CB5A-3EBB-440A9DD52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129</xdr:row>
      <xdr:rowOff>0</xdr:rowOff>
    </xdr:from>
    <xdr:to>
      <xdr:col>18</xdr:col>
      <xdr:colOff>0</xdr:colOff>
      <xdr:row>149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5BA72E0-CB1D-BFE5-A630-EC1F3FCA9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0</xdr:colOff>
      <xdr:row>171</xdr:row>
      <xdr:rowOff>0</xdr:rowOff>
    </xdr:from>
    <xdr:to>
      <xdr:col>15</xdr:col>
      <xdr:colOff>0</xdr:colOff>
      <xdr:row>188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5C99DF-99D1-F895-0551-9212838C2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63C1ED-85EC-4A71-8638-1B8C2C24DE97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5"/>
  <sheetViews>
    <sheetView zoomScaleNormal="100" workbookViewId="0">
      <pane ySplit="4" topLeftCell="A5" activePane="bottomLeft" state="frozen"/>
      <selection pane="bottomLeft" activeCell="A19" sqref="A19"/>
    </sheetView>
  </sheetViews>
  <sheetFormatPr defaultColWidth="23" defaultRowHeight="15" x14ac:dyDescent="0.25"/>
  <cols>
    <col min="1" max="1" width="23" style="30"/>
    <col min="2" max="16384" width="23" style="19"/>
  </cols>
  <sheetData>
    <row r="1" spans="1:9" ht="27.95" customHeight="1" x14ac:dyDescent="0.25">
      <c r="A1" s="31" t="s">
        <v>0</v>
      </c>
      <c r="B1" s="33"/>
      <c r="C1" s="33"/>
      <c r="D1" s="33"/>
      <c r="E1" s="33"/>
      <c r="F1" s="33"/>
      <c r="G1" s="33"/>
      <c r="H1" s="33"/>
      <c r="I1" s="33"/>
    </row>
    <row r="2" spans="1:9" ht="18" customHeight="1" x14ac:dyDescent="0.25">
      <c r="A2" s="34" t="s">
        <v>1</v>
      </c>
      <c r="B2" s="33"/>
      <c r="C2" s="33"/>
      <c r="D2" s="33"/>
      <c r="E2" s="33"/>
      <c r="F2" s="33"/>
      <c r="G2" s="33"/>
      <c r="H2" s="33"/>
      <c r="I2" s="33"/>
    </row>
    <row r="3" spans="1:9" ht="21.95" customHeight="1" x14ac:dyDescent="0.25">
      <c r="A3" s="1" t="s">
        <v>2</v>
      </c>
      <c r="B3" s="2" t="s">
        <v>3</v>
      </c>
      <c r="C3" s="2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2" t="s">
        <v>9</v>
      </c>
      <c r="I3" s="2" t="s">
        <v>10</v>
      </c>
    </row>
    <row r="4" spans="1:9" ht="32.1" customHeight="1" x14ac:dyDescent="0.25">
      <c r="A4" s="3" t="s">
        <v>11</v>
      </c>
      <c r="B4" s="3" t="s">
        <v>12</v>
      </c>
      <c r="C4" s="3" t="s">
        <v>12</v>
      </c>
      <c r="D4" s="3" t="s">
        <v>13</v>
      </c>
      <c r="E4" s="3" t="s">
        <v>14</v>
      </c>
      <c r="F4" s="3" t="s">
        <v>14</v>
      </c>
      <c r="G4" s="3" t="s">
        <v>15</v>
      </c>
      <c r="H4" s="3" t="s">
        <v>13</v>
      </c>
      <c r="I4" s="3" t="s">
        <v>13</v>
      </c>
    </row>
    <row r="5" spans="1:9" x14ac:dyDescent="0.25">
      <c r="A5" s="28">
        <v>45600</v>
      </c>
      <c r="B5" s="20" t="s">
        <v>16</v>
      </c>
      <c r="C5" s="20" t="s">
        <v>17</v>
      </c>
      <c r="D5" s="20" t="s">
        <v>18</v>
      </c>
      <c r="E5" s="21">
        <v>420</v>
      </c>
      <c r="F5" s="22">
        <v>3.91</v>
      </c>
      <c r="G5" s="23">
        <f t="shared" ref="G5:G68" si="0">IF(OR(E5="",F5=""),"",E5*F5)</f>
        <v>1642.2</v>
      </c>
      <c r="H5" s="22">
        <v>47.62</v>
      </c>
      <c r="I5" s="20"/>
    </row>
    <row r="6" spans="1:9" x14ac:dyDescent="0.25">
      <c r="A6" s="29">
        <v>45601</v>
      </c>
      <c r="B6" s="24" t="s">
        <v>19</v>
      </c>
      <c r="C6" s="24" t="s">
        <v>20</v>
      </c>
      <c r="D6" s="24" t="s">
        <v>21</v>
      </c>
      <c r="E6" s="25">
        <v>380</v>
      </c>
      <c r="F6" s="26">
        <v>3.91</v>
      </c>
      <c r="G6" s="27">
        <f t="shared" si="0"/>
        <v>1485.8</v>
      </c>
      <c r="H6" s="26">
        <v>0</v>
      </c>
      <c r="I6" s="24"/>
    </row>
    <row r="7" spans="1:9" x14ac:dyDescent="0.25">
      <c r="A7" s="28">
        <v>45602</v>
      </c>
      <c r="B7" s="20" t="s">
        <v>22</v>
      </c>
      <c r="C7" s="20" t="s">
        <v>23</v>
      </c>
      <c r="D7" s="20" t="s">
        <v>18</v>
      </c>
      <c r="E7" s="21">
        <v>510</v>
      </c>
      <c r="F7" s="22">
        <v>3.88</v>
      </c>
      <c r="G7" s="22">
        <f t="shared" si="0"/>
        <v>1978.8</v>
      </c>
      <c r="H7" s="22">
        <v>57.39</v>
      </c>
      <c r="I7" s="20"/>
    </row>
    <row r="8" spans="1:9" x14ac:dyDescent="0.25">
      <c r="A8" s="29">
        <v>45603</v>
      </c>
      <c r="B8" s="24" t="s">
        <v>24</v>
      </c>
      <c r="C8" s="24" t="s">
        <v>25</v>
      </c>
      <c r="D8" s="24" t="s">
        <v>26</v>
      </c>
      <c r="E8" s="25">
        <v>465</v>
      </c>
      <c r="F8" s="26">
        <v>3.88</v>
      </c>
      <c r="G8" s="27">
        <f t="shared" si="0"/>
        <v>1804.2</v>
      </c>
      <c r="H8" s="26">
        <v>52.32</v>
      </c>
      <c r="I8" s="24"/>
    </row>
    <row r="9" spans="1:9" x14ac:dyDescent="0.25">
      <c r="A9" s="28">
        <v>45604</v>
      </c>
      <c r="B9" s="20" t="s">
        <v>16</v>
      </c>
      <c r="C9" s="20" t="s">
        <v>27</v>
      </c>
      <c r="D9" s="20" t="s">
        <v>18</v>
      </c>
      <c r="E9" s="21">
        <v>490</v>
      </c>
      <c r="F9" s="22">
        <v>3.85</v>
      </c>
      <c r="G9" s="23">
        <f t="shared" si="0"/>
        <v>1886.5</v>
      </c>
      <c r="H9" s="22">
        <v>0</v>
      </c>
      <c r="I9" s="20"/>
    </row>
    <row r="10" spans="1:9" x14ac:dyDescent="0.25">
      <c r="A10" s="29">
        <v>45607</v>
      </c>
      <c r="B10" s="24" t="s">
        <v>28</v>
      </c>
      <c r="C10" s="24" t="s">
        <v>29</v>
      </c>
      <c r="D10" s="24" t="s">
        <v>21</v>
      </c>
      <c r="E10" s="25">
        <v>440</v>
      </c>
      <c r="F10" s="26">
        <v>3.85</v>
      </c>
      <c r="G10" s="27">
        <f t="shared" si="0"/>
        <v>1694</v>
      </c>
      <c r="H10" s="26">
        <v>49.13</v>
      </c>
      <c r="I10" s="24"/>
    </row>
    <row r="11" spans="1:9" x14ac:dyDescent="0.25">
      <c r="A11" s="30">
        <v>45608</v>
      </c>
      <c r="B11" s="19" t="s">
        <v>19</v>
      </c>
      <c r="C11" s="19" t="s">
        <v>30</v>
      </c>
      <c r="D11" s="19" t="s">
        <v>26</v>
      </c>
      <c r="E11" s="19">
        <v>520</v>
      </c>
      <c r="F11" s="19">
        <v>3.82</v>
      </c>
      <c r="G11" s="19">
        <f t="shared" si="0"/>
        <v>1986.3999999999999</v>
      </c>
      <c r="H11" s="19">
        <v>57.61</v>
      </c>
    </row>
    <row r="12" spans="1:9" x14ac:dyDescent="0.25">
      <c r="A12" s="30">
        <v>45609</v>
      </c>
      <c r="B12" s="19" t="s">
        <v>31</v>
      </c>
      <c r="C12" s="19" t="s">
        <v>32</v>
      </c>
      <c r="D12" s="19" t="s">
        <v>26</v>
      </c>
      <c r="E12" s="19">
        <v>478</v>
      </c>
      <c r="F12" s="19">
        <v>3.82</v>
      </c>
      <c r="G12" s="19">
        <f t="shared" si="0"/>
        <v>1825.96</v>
      </c>
      <c r="H12" s="19">
        <v>0</v>
      </c>
    </row>
    <row r="13" spans="1:9" x14ac:dyDescent="0.25">
      <c r="A13" s="30">
        <v>45610</v>
      </c>
      <c r="B13" s="19" t="s">
        <v>33</v>
      </c>
      <c r="C13" s="19" t="s">
        <v>34</v>
      </c>
      <c r="D13" s="19" t="s">
        <v>26</v>
      </c>
      <c r="E13" s="19">
        <v>502</v>
      </c>
      <c r="F13" s="19">
        <v>3.8</v>
      </c>
      <c r="G13" s="19">
        <f t="shared" si="0"/>
        <v>1907.6</v>
      </c>
      <c r="H13" s="19">
        <v>55.32</v>
      </c>
    </row>
    <row r="14" spans="1:9" x14ac:dyDescent="0.25">
      <c r="A14" s="30">
        <v>45611</v>
      </c>
      <c r="B14" s="19" t="s">
        <v>35</v>
      </c>
      <c r="C14" s="19" t="s">
        <v>36</v>
      </c>
      <c r="D14" s="19" t="s">
        <v>18</v>
      </c>
      <c r="E14" s="19">
        <v>461</v>
      </c>
      <c r="F14" s="19">
        <v>3.8</v>
      </c>
      <c r="G14" s="19">
        <f t="shared" si="0"/>
        <v>1751.8</v>
      </c>
      <c r="H14" s="19">
        <v>50.8</v>
      </c>
    </row>
    <row r="15" spans="1:9" x14ac:dyDescent="0.25">
      <c r="A15" s="30">
        <v>45614</v>
      </c>
      <c r="B15" s="19" t="s">
        <v>37</v>
      </c>
      <c r="C15" s="19" t="s">
        <v>38</v>
      </c>
      <c r="D15" s="19" t="s">
        <v>39</v>
      </c>
      <c r="E15" s="19">
        <v>1</v>
      </c>
      <c r="F15" s="19">
        <v>1250</v>
      </c>
      <c r="G15" s="19">
        <f t="shared" si="0"/>
        <v>1250</v>
      </c>
      <c r="H15" s="19">
        <v>0</v>
      </c>
    </row>
    <row r="16" spans="1:9" x14ac:dyDescent="0.25">
      <c r="A16" s="30">
        <v>45615</v>
      </c>
      <c r="B16" s="19" t="s">
        <v>35</v>
      </c>
      <c r="C16" s="19" t="s">
        <v>40</v>
      </c>
      <c r="D16" s="19" t="s">
        <v>21</v>
      </c>
      <c r="E16" s="19">
        <v>435</v>
      </c>
      <c r="F16" s="19">
        <v>3.79</v>
      </c>
      <c r="G16" s="19">
        <f t="shared" si="0"/>
        <v>1648.65</v>
      </c>
      <c r="H16" s="19">
        <v>47.81</v>
      </c>
    </row>
    <row r="17" spans="1:8" x14ac:dyDescent="0.25">
      <c r="A17" s="30">
        <v>45616</v>
      </c>
      <c r="B17" s="19" t="s">
        <v>31</v>
      </c>
      <c r="C17" s="19" t="s">
        <v>41</v>
      </c>
      <c r="D17" s="19" t="s">
        <v>18</v>
      </c>
      <c r="E17" s="19">
        <v>498</v>
      </c>
      <c r="F17" s="19">
        <v>3.79</v>
      </c>
      <c r="G17" s="19">
        <f t="shared" si="0"/>
        <v>1887.42</v>
      </c>
      <c r="H17" s="19">
        <v>0</v>
      </c>
    </row>
    <row r="18" spans="1:8" x14ac:dyDescent="0.25">
      <c r="A18" s="30">
        <v>45617</v>
      </c>
      <c r="B18" s="19" t="s">
        <v>42</v>
      </c>
      <c r="C18" s="19" t="s">
        <v>43</v>
      </c>
      <c r="D18" s="19" t="s">
        <v>44</v>
      </c>
      <c r="E18" s="19">
        <v>512</v>
      </c>
      <c r="F18" s="19">
        <v>3.77</v>
      </c>
      <c r="G18" s="19">
        <f t="shared" si="0"/>
        <v>1930.24</v>
      </c>
      <c r="H18" s="19">
        <v>0</v>
      </c>
    </row>
    <row r="19" spans="1:8" x14ac:dyDescent="0.25">
      <c r="A19" s="30">
        <v>45618</v>
      </c>
      <c r="B19" s="19" t="s">
        <v>45</v>
      </c>
      <c r="C19" s="19" t="s">
        <v>46</v>
      </c>
      <c r="D19" s="19" t="s">
        <v>18</v>
      </c>
      <c r="E19" s="19">
        <v>448</v>
      </c>
      <c r="F19" s="19">
        <v>3.77</v>
      </c>
      <c r="G19" s="19">
        <f t="shared" si="0"/>
        <v>1688.96</v>
      </c>
      <c r="H19" s="19">
        <v>48.98</v>
      </c>
    </row>
    <row r="20" spans="1:8" x14ac:dyDescent="0.25">
      <c r="A20" s="30">
        <v>45621</v>
      </c>
      <c r="B20" s="19" t="s">
        <v>47</v>
      </c>
      <c r="C20" s="19" t="s">
        <v>48</v>
      </c>
      <c r="D20" s="19" t="s">
        <v>18</v>
      </c>
      <c r="E20" s="19">
        <v>402</v>
      </c>
      <c r="F20" s="19">
        <v>3.76</v>
      </c>
      <c r="G20" s="19">
        <f t="shared" si="0"/>
        <v>1511.52</v>
      </c>
      <c r="H20" s="19">
        <v>43.83</v>
      </c>
    </row>
    <row r="21" spans="1:8" x14ac:dyDescent="0.25">
      <c r="A21" s="30">
        <v>45622</v>
      </c>
      <c r="B21" s="19" t="s">
        <v>33</v>
      </c>
      <c r="C21" s="19" t="s">
        <v>49</v>
      </c>
      <c r="D21" s="19" t="s">
        <v>26</v>
      </c>
      <c r="E21" s="19">
        <v>389</v>
      </c>
      <c r="F21" s="19">
        <v>3.76</v>
      </c>
      <c r="G21" s="19">
        <f t="shared" si="0"/>
        <v>1462.6399999999999</v>
      </c>
      <c r="H21" s="19">
        <v>42.42</v>
      </c>
    </row>
    <row r="22" spans="1:8" x14ac:dyDescent="0.25">
      <c r="A22" s="30">
        <v>45623</v>
      </c>
      <c r="B22" s="19" t="s">
        <v>47</v>
      </c>
      <c r="C22" s="19" t="s">
        <v>50</v>
      </c>
      <c r="D22" s="19" t="s">
        <v>26</v>
      </c>
      <c r="E22" s="19">
        <v>310</v>
      </c>
      <c r="F22" s="19">
        <v>3.74</v>
      </c>
      <c r="G22" s="19">
        <f t="shared" si="0"/>
        <v>1159.4000000000001</v>
      </c>
      <c r="H22" s="19">
        <v>33.619999999999997</v>
      </c>
    </row>
    <row r="23" spans="1:8" x14ac:dyDescent="0.25">
      <c r="A23" s="30">
        <v>45628</v>
      </c>
      <c r="B23" s="19" t="s">
        <v>19</v>
      </c>
      <c r="C23" s="19" t="s">
        <v>51</v>
      </c>
      <c r="D23" s="19" t="s">
        <v>26</v>
      </c>
      <c r="E23" s="19">
        <v>428</v>
      </c>
      <c r="F23" s="19">
        <v>3.74</v>
      </c>
      <c r="G23" s="19">
        <f t="shared" si="0"/>
        <v>1600.72</v>
      </c>
      <c r="H23" s="19">
        <v>46.42</v>
      </c>
    </row>
    <row r="24" spans="1:8" x14ac:dyDescent="0.25">
      <c r="A24" s="30">
        <v>45629</v>
      </c>
      <c r="B24" s="19" t="s">
        <v>22</v>
      </c>
      <c r="C24" s="19" t="s">
        <v>52</v>
      </c>
      <c r="D24" s="19" t="s">
        <v>18</v>
      </c>
      <c r="E24" s="19">
        <v>465</v>
      </c>
      <c r="F24" s="19">
        <v>3.72</v>
      </c>
      <c r="G24" s="19">
        <f t="shared" si="0"/>
        <v>1729.8000000000002</v>
      </c>
      <c r="H24" s="19">
        <v>0</v>
      </c>
    </row>
    <row r="25" spans="1:8" x14ac:dyDescent="0.25">
      <c r="A25" s="30">
        <v>45630</v>
      </c>
      <c r="B25" s="19" t="s">
        <v>24</v>
      </c>
      <c r="C25" s="19" t="s">
        <v>53</v>
      </c>
      <c r="D25" s="19" t="s">
        <v>44</v>
      </c>
      <c r="E25" s="19">
        <v>501</v>
      </c>
      <c r="F25" s="19">
        <v>3.72</v>
      </c>
      <c r="G25" s="19">
        <f t="shared" si="0"/>
        <v>1863.72</v>
      </c>
      <c r="H25" s="19">
        <v>54.05</v>
      </c>
    </row>
    <row r="26" spans="1:8" x14ac:dyDescent="0.25">
      <c r="A26" s="30">
        <v>45631</v>
      </c>
      <c r="B26" s="19" t="s">
        <v>31</v>
      </c>
      <c r="C26" s="19" t="s">
        <v>54</v>
      </c>
      <c r="D26" s="19" t="s">
        <v>18</v>
      </c>
      <c r="E26" s="19">
        <v>488</v>
      </c>
      <c r="F26" s="19">
        <v>3.7</v>
      </c>
      <c r="G26" s="19">
        <f t="shared" si="0"/>
        <v>1805.6000000000001</v>
      </c>
      <c r="H26" s="19">
        <v>0</v>
      </c>
    </row>
    <row r="27" spans="1:8" x14ac:dyDescent="0.25">
      <c r="A27" s="30">
        <v>45632</v>
      </c>
      <c r="B27" s="19" t="s">
        <v>55</v>
      </c>
      <c r="C27" s="19" t="s">
        <v>56</v>
      </c>
      <c r="D27" s="19" t="s">
        <v>57</v>
      </c>
      <c r="E27" s="19">
        <v>1</v>
      </c>
      <c r="F27" s="19">
        <v>875</v>
      </c>
      <c r="G27" s="19">
        <f t="shared" si="0"/>
        <v>875</v>
      </c>
      <c r="H27" s="19">
        <v>25.38</v>
      </c>
    </row>
    <row r="28" spans="1:8" x14ac:dyDescent="0.25">
      <c r="A28" s="30">
        <v>45635</v>
      </c>
      <c r="B28" s="19" t="s">
        <v>22</v>
      </c>
      <c r="C28" s="19" t="s">
        <v>58</v>
      </c>
      <c r="D28" s="19" t="s">
        <v>21</v>
      </c>
      <c r="E28" s="19">
        <v>422</v>
      </c>
      <c r="F28" s="19">
        <v>3.7</v>
      </c>
      <c r="G28" s="19">
        <f t="shared" si="0"/>
        <v>1561.4</v>
      </c>
      <c r="H28" s="19">
        <v>0</v>
      </c>
    </row>
    <row r="29" spans="1:8" x14ac:dyDescent="0.25">
      <c r="A29" s="30">
        <v>45636</v>
      </c>
      <c r="B29" s="19" t="s">
        <v>42</v>
      </c>
      <c r="C29" s="19" t="s">
        <v>59</v>
      </c>
      <c r="D29" s="19" t="s">
        <v>18</v>
      </c>
      <c r="E29" s="19">
        <v>476</v>
      </c>
      <c r="F29" s="19">
        <v>3.68</v>
      </c>
      <c r="G29" s="19">
        <f t="shared" si="0"/>
        <v>1751.68</v>
      </c>
      <c r="H29" s="19">
        <v>50.8</v>
      </c>
    </row>
    <row r="30" spans="1:8" x14ac:dyDescent="0.25">
      <c r="A30" s="30">
        <v>45637</v>
      </c>
      <c r="B30" s="19" t="s">
        <v>45</v>
      </c>
      <c r="C30" s="19" t="s">
        <v>60</v>
      </c>
      <c r="D30" s="19" t="s">
        <v>26</v>
      </c>
      <c r="E30" s="19">
        <v>518</v>
      </c>
      <c r="F30" s="19">
        <v>3.68</v>
      </c>
      <c r="G30" s="19">
        <f t="shared" si="0"/>
        <v>1906.24</v>
      </c>
      <c r="H30" s="19">
        <v>0</v>
      </c>
    </row>
    <row r="31" spans="1:8" x14ac:dyDescent="0.25">
      <c r="A31" s="30">
        <v>45638</v>
      </c>
      <c r="B31" s="19" t="s">
        <v>31</v>
      </c>
      <c r="C31" s="19" t="s">
        <v>61</v>
      </c>
      <c r="D31" s="19" t="s">
        <v>62</v>
      </c>
      <c r="E31" s="19">
        <v>494</v>
      </c>
      <c r="F31" s="19">
        <v>3.65</v>
      </c>
      <c r="G31" s="19">
        <f t="shared" si="0"/>
        <v>1803.1</v>
      </c>
      <c r="H31" s="19">
        <v>0</v>
      </c>
    </row>
    <row r="32" spans="1:8" x14ac:dyDescent="0.25">
      <c r="A32" s="30">
        <v>45639</v>
      </c>
      <c r="B32" s="19" t="s">
        <v>22</v>
      </c>
      <c r="C32" s="19" t="s">
        <v>63</v>
      </c>
      <c r="D32" s="19" t="s">
        <v>64</v>
      </c>
      <c r="E32" s="19">
        <v>1</v>
      </c>
      <c r="F32" s="19">
        <v>1450</v>
      </c>
      <c r="G32" s="19">
        <f t="shared" si="0"/>
        <v>1450</v>
      </c>
      <c r="H32" s="19">
        <v>42.05</v>
      </c>
    </row>
    <row r="33" spans="1:8" x14ac:dyDescent="0.25">
      <c r="A33" s="30">
        <v>45642</v>
      </c>
      <c r="B33" s="19" t="s">
        <v>19</v>
      </c>
      <c r="C33" s="19" t="s">
        <v>65</v>
      </c>
      <c r="D33" s="19" t="s">
        <v>18</v>
      </c>
      <c r="E33" s="19">
        <v>388</v>
      </c>
      <c r="F33" s="19">
        <v>3.65</v>
      </c>
      <c r="G33" s="19">
        <f t="shared" si="0"/>
        <v>1416.2</v>
      </c>
      <c r="H33" s="19">
        <v>41.07</v>
      </c>
    </row>
    <row r="34" spans="1:8" x14ac:dyDescent="0.25">
      <c r="A34" s="30">
        <v>45643</v>
      </c>
      <c r="B34" s="19" t="s">
        <v>31</v>
      </c>
      <c r="C34" s="19" t="s">
        <v>66</v>
      </c>
      <c r="D34" s="19" t="s">
        <v>44</v>
      </c>
      <c r="E34" s="19">
        <v>412</v>
      </c>
      <c r="F34" s="19">
        <v>3.63</v>
      </c>
      <c r="G34" s="19">
        <f t="shared" si="0"/>
        <v>1495.56</v>
      </c>
      <c r="H34" s="19">
        <v>0</v>
      </c>
    </row>
    <row r="35" spans="1:8" x14ac:dyDescent="0.25">
      <c r="A35" s="30">
        <v>45644</v>
      </c>
      <c r="B35" s="19" t="s">
        <v>47</v>
      </c>
      <c r="C35" s="19" t="s">
        <v>67</v>
      </c>
      <c r="D35" s="19" t="s">
        <v>64</v>
      </c>
      <c r="E35" s="19">
        <v>1</v>
      </c>
      <c r="F35" s="19">
        <v>925</v>
      </c>
      <c r="G35" s="19">
        <f t="shared" si="0"/>
        <v>925</v>
      </c>
      <c r="H35" s="19">
        <v>26.83</v>
      </c>
    </row>
    <row r="36" spans="1:8" x14ac:dyDescent="0.25">
      <c r="A36" s="30">
        <v>45645</v>
      </c>
      <c r="B36" s="19" t="s">
        <v>19</v>
      </c>
      <c r="C36" s="19" t="s">
        <v>68</v>
      </c>
      <c r="D36" s="19" t="s">
        <v>44</v>
      </c>
      <c r="E36" s="19">
        <v>398</v>
      </c>
      <c r="F36" s="19">
        <v>3.63</v>
      </c>
      <c r="G36" s="19">
        <f t="shared" si="0"/>
        <v>1444.74</v>
      </c>
      <c r="H36" s="19">
        <v>41.9</v>
      </c>
    </row>
    <row r="37" spans="1:8" x14ac:dyDescent="0.25">
      <c r="A37" s="30">
        <v>45646</v>
      </c>
      <c r="B37" s="19" t="s">
        <v>47</v>
      </c>
      <c r="C37" s="19" t="s">
        <v>69</v>
      </c>
      <c r="D37" s="19" t="s">
        <v>62</v>
      </c>
      <c r="E37" s="19">
        <v>374</v>
      </c>
      <c r="F37" s="19">
        <v>3.61</v>
      </c>
      <c r="G37" s="19">
        <f t="shared" si="0"/>
        <v>1350.1399999999999</v>
      </c>
      <c r="H37" s="19">
        <v>39.15</v>
      </c>
    </row>
    <row r="38" spans="1:8" x14ac:dyDescent="0.25">
      <c r="A38" s="30">
        <v>45649</v>
      </c>
      <c r="B38" s="19" t="s">
        <v>55</v>
      </c>
      <c r="C38" s="19" t="s">
        <v>70</v>
      </c>
      <c r="D38" s="19" t="s">
        <v>62</v>
      </c>
      <c r="E38" s="19">
        <v>288</v>
      </c>
      <c r="F38" s="19">
        <v>3.61</v>
      </c>
      <c r="G38" s="19">
        <f t="shared" si="0"/>
        <v>1039.68</v>
      </c>
      <c r="H38" s="19">
        <v>0</v>
      </c>
    </row>
    <row r="39" spans="1:8" x14ac:dyDescent="0.25">
      <c r="A39" s="30">
        <v>45650</v>
      </c>
      <c r="B39" s="19" t="s">
        <v>45</v>
      </c>
      <c r="C39" s="19" t="s">
        <v>71</v>
      </c>
      <c r="D39" s="19" t="s">
        <v>21</v>
      </c>
      <c r="E39" s="19">
        <v>210</v>
      </c>
      <c r="F39" s="19">
        <v>3.58</v>
      </c>
      <c r="G39" s="19">
        <f t="shared" si="0"/>
        <v>751.80000000000007</v>
      </c>
      <c r="H39" s="19">
        <v>21.8</v>
      </c>
    </row>
    <row r="40" spans="1:8" x14ac:dyDescent="0.25">
      <c r="A40" s="30">
        <v>45652</v>
      </c>
      <c r="B40" s="19" t="s">
        <v>45</v>
      </c>
      <c r="C40" s="19" t="s">
        <v>72</v>
      </c>
      <c r="D40" s="19" t="s">
        <v>44</v>
      </c>
      <c r="E40" s="19">
        <v>252</v>
      </c>
      <c r="F40" s="19">
        <v>3.58</v>
      </c>
      <c r="G40" s="19">
        <f t="shared" si="0"/>
        <v>902.16</v>
      </c>
      <c r="H40" s="19">
        <v>26.16</v>
      </c>
    </row>
    <row r="41" spans="1:8" x14ac:dyDescent="0.25">
      <c r="A41" s="30">
        <v>45653</v>
      </c>
      <c r="B41" s="19" t="s">
        <v>31</v>
      </c>
      <c r="C41" s="19" t="s">
        <v>73</v>
      </c>
      <c r="D41" s="19" t="s">
        <v>26</v>
      </c>
      <c r="E41" s="19">
        <v>278</v>
      </c>
      <c r="F41" s="19">
        <v>3.56</v>
      </c>
      <c r="G41" s="19">
        <f t="shared" si="0"/>
        <v>989.68000000000006</v>
      </c>
      <c r="H41" s="19">
        <v>28.7</v>
      </c>
    </row>
    <row r="42" spans="1:8" x14ac:dyDescent="0.25">
      <c r="A42" s="30">
        <v>45656</v>
      </c>
      <c r="B42" s="19" t="s">
        <v>28</v>
      </c>
      <c r="C42" s="19" t="s">
        <v>74</v>
      </c>
      <c r="D42" s="19" t="s">
        <v>21</v>
      </c>
      <c r="E42" s="19">
        <v>295</v>
      </c>
      <c r="F42" s="19">
        <v>3.56</v>
      </c>
      <c r="G42" s="19">
        <f t="shared" si="0"/>
        <v>1050.2</v>
      </c>
      <c r="H42" s="19">
        <v>30.46</v>
      </c>
    </row>
    <row r="43" spans="1:8" x14ac:dyDescent="0.25">
      <c r="A43" s="30">
        <v>45657</v>
      </c>
      <c r="B43" s="19" t="s">
        <v>75</v>
      </c>
      <c r="C43" s="19" t="s">
        <v>76</v>
      </c>
      <c r="D43" s="19" t="s">
        <v>18</v>
      </c>
      <c r="E43" s="19">
        <v>312</v>
      </c>
      <c r="F43" s="19">
        <v>3.54</v>
      </c>
      <c r="G43" s="19">
        <f t="shared" si="0"/>
        <v>1104.48</v>
      </c>
      <c r="H43" s="19">
        <v>0</v>
      </c>
    </row>
    <row r="44" spans="1:8" x14ac:dyDescent="0.25">
      <c r="A44" s="30">
        <v>45659</v>
      </c>
      <c r="B44" s="19" t="s">
        <v>35</v>
      </c>
      <c r="C44" s="19" t="s">
        <v>77</v>
      </c>
      <c r="D44" s="19" t="s">
        <v>21</v>
      </c>
      <c r="E44" s="19">
        <v>368</v>
      </c>
      <c r="F44" s="19">
        <v>3.54</v>
      </c>
      <c r="G44" s="19">
        <f t="shared" si="0"/>
        <v>1302.72</v>
      </c>
      <c r="H44" s="19">
        <v>37.78</v>
      </c>
    </row>
    <row r="45" spans="1:8" x14ac:dyDescent="0.25">
      <c r="A45" s="30">
        <v>45660</v>
      </c>
      <c r="B45" s="19" t="s">
        <v>24</v>
      </c>
      <c r="C45" s="19" t="s">
        <v>78</v>
      </c>
      <c r="D45" s="19" t="s">
        <v>26</v>
      </c>
      <c r="E45" s="19">
        <v>422</v>
      </c>
      <c r="F45" s="19">
        <v>3.52</v>
      </c>
      <c r="G45" s="19">
        <f t="shared" si="0"/>
        <v>1485.44</v>
      </c>
      <c r="H45" s="19">
        <v>43.08</v>
      </c>
    </row>
    <row r="46" spans="1:8" x14ac:dyDescent="0.25">
      <c r="A46" s="30">
        <v>45663</v>
      </c>
      <c r="B46" s="19" t="s">
        <v>79</v>
      </c>
      <c r="C46" s="19" t="s">
        <v>80</v>
      </c>
      <c r="D46" s="19" t="s">
        <v>26</v>
      </c>
      <c r="E46" s="19">
        <v>468</v>
      </c>
      <c r="F46" s="19">
        <v>3.52</v>
      </c>
      <c r="G46" s="19">
        <f t="shared" si="0"/>
        <v>1647.36</v>
      </c>
      <c r="H46" s="19">
        <v>47.77</v>
      </c>
    </row>
    <row r="47" spans="1:8" x14ac:dyDescent="0.25">
      <c r="A47" s="30">
        <v>45664</v>
      </c>
      <c r="B47" s="19" t="s">
        <v>22</v>
      </c>
      <c r="C47" s="19" t="s">
        <v>81</v>
      </c>
      <c r="D47" s="19" t="s">
        <v>82</v>
      </c>
      <c r="E47" s="19">
        <v>1</v>
      </c>
      <c r="F47" s="19">
        <v>1100</v>
      </c>
      <c r="G47" s="19">
        <f t="shared" si="0"/>
        <v>1100</v>
      </c>
      <c r="H47" s="19">
        <v>31.9</v>
      </c>
    </row>
    <row r="48" spans="1:8" x14ac:dyDescent="0.25">
      <c r="A48" s="30">
        <v>45665</v>
      </c>
      <c r="B48" s="19" t="s">
        <v>35</v>
      </c>
      <c r="C48" s="19" t="s">
        <v>83</v>
      </c>
      <c r="D48" s="19" t="s">
        <v>26</v>
      </c>
      <c r="E48" s="19">
        <v>492</v>
      </c>
      <c r="F48" s="19">
        <v>3.5</v>
      </c>
      <c r="G48" s="19">
        <f t="shared" si="0"/>
        <v>1722</v>
      </c>
      <c r="H48" s="19">
        <v>0</v>
      </c>
    </row>
    <row r="49" spans="1:8" x14ac:dyDescent="0.25">
      <c r="A49" s="30">
        <v>45666</v>
      </c>
      <c r="B49" s="19" t="s">
        <v>24</v>
      </c>
      <c r="C49" s="19" t="s">
        <v>84</v>
      </c>
      <c r="D49" s="19" t="s">
        <v>44</v>
      </c>
      <c r="E49" s="19">
        <v>514</v>
      </c>
      <c r="F49" s="19">
        <v>3.5</v>
      </c>
      <c r="G49" s="19">
        <f t="shared" si="0"/>
        <v>1799</v>
      </c>
      <c r="H49" s="19">
        <v>0</v>
      </c>
    </row>
    <row r="50" spans="1:8" x14ac:dyDescent="0.25">
      <c r="A50" s="30">
        <v>45667</v>
      </c>
      <c r="B50" s="19" t="s">
        <v>79</v>
      </c>
      <c r="C50" s="19" t="s">
        <v>85</v>
      </c>
      <c r="D50" s="19" t="s">
        <v>21</v>
      </c>
      <c r="E50" s="19">
        <v>478</v>
      </c>
      <c r="F50" s="19">
        <v>3.48</v>
      </c>
      <c r="G50" s="19">
        <f t="shared" si="0"/>
        <v>1663.44</v>
      </c>
      <c r="H50" s="19">
        <v>0</v>
      </c>
    </row>
    <row r="51" spans="1:8" x14ac:dyDescent="0.25">
      <c r="A51" s="30">
        <v>45670</v>
      </c>
      <c r="B51" s="19" t="s">
        <v>28</v>
      </c>
      <c r="C51" s="19" t="s">
        <v>86</v>
      </c>
      <c r="D51" s="19" t="s">
        <v>44</v>
      </c>
      <c r="E51" s="19">
        <v>502</v>
      </c>
      <c r="F51" s="19">
        <v>3.48</v>
      </c>
      <c r="G51" s="19">
        <f t="shared" si="0"/>
        <v>1746.96</v>
      </c>
      <c r="H51" s="19">
        <v>50.66</v>
      </c>
    </row>
    <row r="52" spans="1:8" x14ac:dyDescent="0.25">
      <c r="A52" s="30">
        <v>45671</v>
      </c>
      <c r="B52" s="19" t="s">
        <v>75</v>
      </c>
      <c r="C52" s="19" t="s">
        <v>87</v>
      </c>
      <c r="D52" s="19" t="s">
        <v>82</v>
      </c>
      <c r="E52" s="19">
        <v>1</v>
      </c>
      <c r="F52" s="19">
        <v>1350</v>
      </c>
      <c r="G52" s="19">
        <f t="shared" si="0"/>
        <v>1350</v>
      </c>
      <c r="H52" s="19">
        <v>39.15</v>
      </c>
    </row>
    <row r="53" spans="1:8" x14ac:dyDescent="0.25">
      <c r="A53" s="30">
        <v>45672</v>
      </c>
      <c r="B53" s="19" t="s">
        <v>42</v>
      </c>
      <c r="C53" s="19" t="s">
        <v>88</v>
      </c>
      <c r="D53" s="19" t="s">
        <v>26</v>
      </c>
      <c r="E53" s="19">
        <v>524</v>
      </c>
      <c r="F53" s="19">
        <v>3.46</v>
      </c>
      <c r="G53" s="19">
        <f t="shared" si="0"/>
        <v>1813.04</v>
      </c>
      <c r="H53" s="19">
        <v>0</v>
      </c>
    </row>
    <row r="54" spans="1:8" x14ac:dyDescent="0.25">
      <c r="A54" s="30">
        <v>45673</v>
      </c>
      <c r="B54" s="19" t="s">
        <v>35</v>
      </c>
      <c r="C54" s="19" t="s">
        <v>89</v>
      </c>
      <c r="D54" s="19" t="s">
        <v>44</v>
      </c>
      <c r="E54" s="19">
        <v>488</v>
      </c>
      <c r="F54" s="19">
        <v>3.46</v>
      </c>
      <c r="G54" s="19">
        <f t="shared" si="0"/>
        <v>1688.48</v>
      </c>
      <c r="H54" s="19">
        <v>0</v>
      </c>
    </row>
    <row r="55" spans="1:8" x14ac:dyDescent="0.25">
      <c r="A55" s="30">
        <v>45674</v>
      </c>
      <c r="B55" s="19" t="s">
        <v>47</v>
      </c>
      <c r="C55" s="19" t="s">
        <v>90</v>
      </c>
      <c r="D55" s="19" t="s">
        <v>26</v>
      </c>
      <c r="E55" s="19">
        <v>512</v>
      </c>
      <c r="F55" s="19">
        <v>3.44</v>
      </c>
      <c r="G55" s="19">
        <f t="shared" si="0"/>
        <v>1761.28</v>
      </c>
      <c r="H55" s="19">
        <v>0</v>
      </c>
    </row>
    <row r="56" spans="1:8" x14ac:dyDescent="0.25">
      <c r="A56" s="30">
        <v>45678</v>
      </c>
      <c r="B56" s="19" t="s">
        <v>79</v>
      </c>
      <c r="C56" s="19" t="s">
        <v>91</v>
      </c>
      <c r="D56" s="19" t="s">
        <v>44</v>
      </c>
      <c r="E56" s="19">
        <v>468</v>
      </c>
      <c r="F56" s="19">
        <v>3.44</v>
      </c>
      <c r="G56" s="19">
        <f t="shared" si="0"/>
        <v>1609.92</v>
      </c>
      <c r="H56" s="19">
        <v>0</v>
      </c>
    </row>
    <row r="57" spans="1:8" x14ac:dyDescent="0.25">
      <c r="A57" s="30">
        <v>45679</v>
      </c>
      <c r="B57" s="19" t="s">
        <v>47</v>
      </c>
      <c r="C57" s="19" t="s">
        <v>92</v>
      </c>
      <c r="D57" s="19" t="s">
        <v>57</v>
      </c>
      <c r="E57" s="19">
        <v>1</v>
      </c>
      <c r="F57" s="19">
        <v>975</v>
      </c>
      <c r="G57" s="19">
        <f t="shared" si="0"/>
        <v>975</v>
      </c>
      <c r="H57" s="19">
        <v>28.28</v>
      </c>
    </row>
    <row r="58" spans="1:8" x14ac:dyDescent="0.25">
      <c r="A58" s="30">
        <v>45680</v>
      </c>
      <c r="B58" s="19" t="s">
        <v>19</v>
      </c>
      <c r="C58" s="19" t="s">
        <v>93</v>
      </c>
      <c r="D58" s="19" t="s">
        <v>44</v>
      </c>
      <c r="E58" s="19">
        <v>504</v>
      </c>
      <c r="F58" s="19">
        <v>3.42</v>
      </c>
      <c r="G58" s="19">
        <f t="shared" si="0"/>
        <v>1723.68</v>
      </c>
      <c r="H58" s="19">
        <v>0</v>
      </c>
    </row>
    <row r="59" spans="1:8" x14ac:dyDescent="0.25">
      <c r="A59" s="30">
        <v>45681</v>
      </c>
      <c r="B59" s="19" t="s">
        <v>24</v>
      </c>
      <c r="C59" s="19" t="s">
        <v>94</v>
      </c>
      <c r="D59" s="19" t="s">
        <v>26</v>
      </c>
      <c r="E59" s="19">
        <v>536</v>
      </c>
      <c r="F59" s="19">
        <v>3.42</v>
      </c>
      <c r="G59" s="19">
        <f t="shared" si="0"/>
        <v>1833.12</v>
      </c>
      <c r="H59" s="19">
        <v>0</v>
      </c>
    </row>
    <row r="60" spans="1:8" x14ac:dyDescent="0.25">
      <c r="A60" s="30">
        <v>45684</v>
      </c>
      <c r="B60" s="19" t="s">
        <v>75</v>
      </c>
      <c r="C60" s="19" t="s">
        <v>95</v>
      </c>
      <c r="D60" s="19" t="s">
        <v>62</v>
      </c>
      <c r="E60" s="19">
        <v>492</v>
      </c>
      <c r="F60" s="19">
        <v>3.4</v>
      </c>
      <c r="G60" s="19">
        <f t="shared" si="0"/>
        <v>1672.8</v>
      </c>
      <c r="H60" s="19">
        <v>0</v>
      </c>
    </row>
    <row r="61" spans="1:8" x14ac:dyDescent="0.25">
      <c r="A61" s="30">
        <v>45685</v>
      </c>
      <c r="B61" s="19" t="s">
        <v>35</v>
      </c>
      <c r="C61" s="19" t="s">
        <v>96</v>
      </c>
      <c r="D61" s="19" t="s">
        <v>26</v>
      </c>
      <c r="E61" s="19">
        <v>518</v>
      </c>
      <c r="F61" s="19">
        <v>3.4</v>
      </c>
      <c r="G61" s="19">
        <f t="shared" si="0"/>
        <v>1761.2</v>
      </c>
      <c r="H61" s="19">
        <v>0</v>
      </c>
    </row>
    <row r="62" spans="1:8" x14ac:dyDescent="0.25">
      <c r="A62" s="30">
        <v>45686</v>
      </c>
      <c r="B62" s="19" t="s">
        <v>28</v>
      </c>
      <c r="C62" s="19" t="s">
        <v>97</v>
      </c>
      <c r="D62" s="19" t="s">
        <v>39</v>
      </c>
      <c r="E62" s="19">
        <v>1</v>
      </c>
      <c r="F62" s="19">
        <v>1625</v>
      </c>
      <c r="G62" s="19">
        <f t="shared" si="0"/>
        <v>1625</v>
      </c>
      <c r="H62" s="19">
        <v>0</v>
      </c>
    </row>
    <row r="63" spans="1:8" x14ac:dyDescent="0.25">
      <c r="A63" s="30">
        <v>45687</v>
      </c>
      <c r="B63" s="19" t="s">
        <v>75</v>
      </c>
      <c r="C63" s="19" t="s">
        <v>98</v>
      </c>
      <c r="D63" s="19" t="s">
        <v>26</v>
      </c>
      <c r="E63" s="19">
        <v>544</v>
      </c>
      <c r="F63" s="19">
        <v>3.38</v>
      </c>
      <c r="G63" s="19">
        <f t="shared" si="0"/>
        <v>1838.72</v>
      </c>
      <c r="H63" s="19">
        <v>53.32</v>
      </c>
    </row>
    <row r="64" spans="1:8" x14ac:dyDescent="0.25">
      <c r="A64" s="30">
        <v>45688</v>
      </c>
      <c r="B64" s="19" t="s">
        <v>47</v>
      </c>
      <c r="C64" s="19" t="s">
        <v>99</v>
      </c>
      <c r="D64" s="19" t="s">
        <v>21</v>
      </c>
      <c r="E64" s="19">
        <v>508</v>
      </c>
      <c r="F64" s="19">
        <v>3.38</v>
      </c>
      <c r="G64" s="19">
        <f t="shared" si="0"/>
        <v>1717.04</v>
      </c>
      <c r="H64" s="19">
        <v>49.79</v>
      </c>
    </row>
    <row r="65" spans="1:8" x14ac:dyDescent="0.25">
      <c r="A65" s="30">
        <v>45691</v>
      </c>
      <c r="B65" s="19" t="s">
        <v>45</v>
      </c>
      <c r="C65" s="19" t="s">
        <v>100</v>
      </c>
      <c r="D65" s="19" t="s">
        <v>21</v>
      </c>
      <c r="E65" s="19">
        <v>528</v>
      </c>
      <c r="F65" s="19">
        <v>3.88</v>
      </c>
      <c r="G65" s="19">
        <f t="shared" si="0"/>
        <v>2048.64</v>
      </c>
      <c r="H65" s="19">
        <v>59.41</v>
      </c>
    </row>
    <row r="66" spans="1:8" x14ac:dyDescent="0.25">
      <c r="A66" s="30">
        <v>45692</v>
      </c>
      <c r="B66" s="19" t="s">
        <v>79</v>
      </c>
      <c r="C66" s="19" t="s">
        <v>101</v>
      </c>
      <c r="D66" s="19" t="s">
        <v>57</v>
      </c>
      <c r="E66" s="19">
        <v>1</v>
      </c>
      <c r="F66" s="19">
        <v>1250</v>
      </c>
      <c r="G66" s="19">
        <f t="shared" si="0"/>
        <v>1250</v>
      </c>
      <c r="H66" s="19">
        <v>36.25</v>
      </c>
    </row>
    <row r="67" spans="1:8" x14ac:dyDescent="0.25">
      <c r="A67" s="30">
        <v>45693</v>
      </c>
      <c r="B67" s="19" t="s">
        <v>24</v>
      </c>
      <c r="C67" s="19" t="s">
        <v>102</v>
      </c>
      <c r="D67" s="19" t="s">
        <v>62</v>
      </c>
      <c r="E67" s="19">
        <v>562</v>
      </c>
      <c r="F67" s="19">
        <v>3.88</v>
      </c>
      <c r="G67" s="19">
        <f t="shared" si="0"/>
        <v>2180.56</v>
      </c>
      <c r="H67" s="19">
        <v>0</v>
      </c>
    </row>
    <row r="68" spans="1:8" x14ac:dyDescent="0.25">
      <c r="A68" s="30">
        <v>45694</v>
      </c>
      <c r="B68" s="19" t="s">
        <v>37</v>
      </c>
      <c r="C68" s="19" t="s">
        <v>103</v>
      </c>
      <c r="D68" s="19" t="s">
        <v>18</v>
      </c>
      <c r="E68" s="19">
        <v>518</v>
      </c>
      <c r="F68" s="19">
        <v>3.86</v>
      </c>
      <c r="G68" s="19">
        <f t="shared" si="0"/>
        <v>1999.48</v>
      </c>
      <c r="H68" s="19">
        <v>0</v>
      </c>
    </row>
    <row r="69" spans="1:8" x14ac:dyDescent="0.25">
      <c r="A69" s="30">
        <v>45695</v>
      </c>
      <c r="B69" s="19" t="s">
        <v>19</v>
      </c>
      <c r="C69" s="19" t="s">
        <v>104</v>
      </c>
      <c r="D69" s="19" t="s">
        <v>26</v>
      </c>
      <c r="E69" s="19">
        <v>544</v>
      </c>
      <c r="F69" s="19">
        <v>3.86</v>
      </c>
      <c r="G69" s="19">
        <f t="shared" ref="G69:G132" si="1">IF(OR(E69="",F69=""),"",E69*F69)</f>
        <v>2099.84</v>
      </c>
      <c r="H69" s="19">
        <v>60.9</v>
      </c>
    </row>
    <row r="70" spans="1:8" x14ac:dyDescent="0.25">
      <c r="A70" s="30">
        <v>45698</v>
      </c>
      <c r="B70" s="19" t="s">
        <v>24</v>
      </c>
      <c r="C70" s="19" t="s">
        <v>105</v>
      </c>
      <c r="D70" s="19" t="s">
        <v>82</v>
      </c>
      <c r="E70" s="19">
        <v>1</v>
      </c>
      <c r="F70" s="19">
        <v>1500</v>
      </c>
      <c r="G70" s="19">
        <f t="shared" si="1"/>
        <v>1500</v>
      </c>
      <c r="H70" s="19">
        <v>43.5</v>
      </c>
    </row>
    <row r="71" spans="1:8" x14ac:dyDescent="0.25">
      <c r="A71" s="30">
        <v>45699</v>
      </c>
      <c r="B71" s="19" t="s">
        <v>19</v>
      </c>
      <c r="C71" s="19" t="s">
        <v>106</v>
      </c>
      <c r="D71" s="19" t="s">
        <v>18</v>
      </c>
      <c r="E71" s="19">
        <v>536</v>
      </c>
      <c r="F71" s="19">
        <v>3.84</v>
      </c>
      <c r="G71" s="19">
        <f t="shared" si="1"/>
        <v>2058.2399999999998</v>
      </c>
      <c r="H71" s="19">
        <v>0</v>
      </c>
    </row>
    <row r="72" spans="1:8" x14ac:dyDescent="0.25">
      <c r="A72" s="30">
        <v>45700</v>
      </c>
      <c r="B72" s="19" t="s">
        <v>75</v>
      </c>
      <c r="C72" s="19" t="s">
        <v>107</v>
      </c>
      <c r="D72" s="19" t="s">
        <v>18</v>
      </c>
      <c r="E72" s="19">
        <v>572</v>
      </c>
      <c r="F72" s="19">
        <v>3.84</v>
      </c>
      <c r="G72" s="19">
        <f t="shared" si="1"/>
        <v>2196.48</v>
      </c>
      <c r="H72" s="19">
        <v>63.7</v>
      </c>
    </row>
    <row r="73" spans="1:8" x14ac:dyDescent="0.25">
      <c r="A73" s="30">
        <v>45701</v>
      </c>
      <c r="B73" s="19" t="s">
        <v>19</v>
      </c>
      <c r="C73" s="19" t="s">
        <v>108</v>
      </c>
      <c r="D73" s="19" t="s">
        <v>26</v>
      </c>
      <c r="E73" s="19">
        <v>548</v>
      </c>
      <c r="F73" s="19">
        <v>3.82</v>
      </c>
      <c r="G73" s="19">
        <f t="shared" si="1"/>
        <v>2093.36</v>
      </c>
      <c r="H73" s="19">
        <v>0</v>
      </c>
    </row>
    <row r="74" spans="1:8" x14ac:dyDescent="0.25">
      <c r="A74" s="30">
        <v>45702</v>
      </c>
      <c r="B74" s="19" t="s">
        <v>19</v>
      </c>
      <c r="C74" s="19" t="s">
        <v>109</v>
      </c>
      <c r="D74" s="19" t="s">
        <v>62</v>
      </c>
      <c r="E74" s="19">
        <v>524</v>
      </c>
      <c r="F74" s="19">
        <v>3.82</v>
      </c>
      <c r="G74" s="19">
        <f t="shared" si="1"/>
        <v>2001.6799999999998</v>
      </c>
      <c r="H74" s="19">
        <v>58.05</v>
      </c>
    </row>
    <row r="75" spans="1:8" x14ac:dyDescent="0.25">
      <c r="A75" s="30">
        <v>45706</v>
      </c>
      <c r="B75" s="19" t="s">
        <v>42</v>
      </c>
      <c r="C75" s="19" t="s">
        <v>110</v>
      </c>
      <c r="D75" s="19" t="s">
        <v>26</v>
      </c>
      <c r="E75" s="19">
        <v>558</v>
      </c>
      <c r="F75" s="19">
        <v>3.8</v>
      </c>
      <c r="G75" s="19">
        <f t="shared" si="1"/>
        <v>2120.4</v>
      </c>
      <c r="H75" s="19">
        <v>61.49</v>
      </c>
    </row>
    <row r="76" spans="1:8" x14ac:dyDescent="0.25">
      <c r="A76" s="30">
        <v>45707</v>
      </c>
      <c r="B76" s="19" t="s">
        <v>35</v>
      </c>
      <c r="C76" s="19" t="s">
        <v>111</v>
      </c>
      <c r="D76" s="19" t="s">
        <v>39</v>
      </c>
      <c r="E76" s="19">
        <v>1</v>
      </c>
      <c r="F76" s="19">
        <v>875</v>
      </c>
      <c r="G76" s="19">
        <f t="shared" si="1"/>
        <v>875</v>
      </c>
      <c r="H76" s="19">
        <v>25.38</v>
      </c>
    </row>
    <row r="77" spans="1:8" x14ac:dyDescent="0.25">
      <c r="A77" s="30">
        <v>45708</v>
      </c>
      <c r="B77" s="19" t="s">
        <v>24</v>
      </c>
      <c r="C77" s="19" t="s">
        <v>112</v>
      </c>
      <c r="D77" s="19" t="s">
        <v>18</v>
      </c>
      <c r="E77" s="19">
        <v>582</v>
      </c>
      <c r="F77" s="19">
        <v>3.8</v>
      </c>
      <c r="G77" s="19">
        <f t="shared" si="1"/>
        <v>2211.6</v>
      </c>
      <c r="H77" s="19">
        <v>64.14</v>
      </c>
    </row>
    <row r="78" spans="1:8" x14ac:dyDescent="0.25">
      <c r="A78" s="30">
        <v>45709</v>
      </c>
      <c r="B78" s="19" t="s">
        <v>31</v>
      </c>
      <c r="C78" s="19" t="s">
        <v>113</v>
      </c>
      <c r="D78" s="19" t="s">
        <v>44</v>
      </c>
      <c r="E78" s="19">
        <v>544</v>
      </c>
      <c r="F78" s="19">
        <v>3.78</v>
      </c>
      <c r="G78" s="19">
        <f t="shared" si="1"/>
        <v>2056.3199999999997</v>
      </c>
      <c r="H78" s="19">
        <v>59.63</v>
      </c>
    </row>
    <row r="79" spans="1:8" x14ac:dyDescent="0.25">
      <c r="A79" s="30">
        <v>45712</v>
      </c>
      <c r="B79" s="19" t="s">
        <v>22</v>
      </c>
      <c r="C79" s="19" t="s">
        <v>114</v>
      </c>
      <c r="D79" s="19" t="s">
        <v>18</v>
      </c>
      <c r="E79" s="19">
        <v>568</v>
      </c>
      <c r="F79" s="19">
        <v>3.78</v>
      </c>
      <c r="G79" s="19">
        <f t="shared" si="1"/>
        <v>2147.04</v>
      </c>
      <c r="H79" s="19">
        <v>62.26</v>
      </c>
    </row>
    <row r="80" spans="1:8" x14ac:dyDescent="0.25">
      <c r="A80" s="30">
        <v>45713</v>
      </c>
      <c r="B80" s="19" t="s">
        <v>16</v>
      </c>
      <c r="C80" s="19" t="s">
        <v>115</v>
      </c>
      <c r="D80" s="19" t="s">
        <v>82</v>
      </c>
      <c r="E80" s="19">
        <v>1</v>
      </c>
      <c r="F80" s="19">
        <v>1750</v>
      </c>
      <c r="G80" s="19">
        <f t="shared" si="1"/>
        <v>1750</v>
      </c>
      <c r="H80" s="19">
        <v>50.75</v>
      </c>
    </row>
    <row r="81" spans="1:8" x14ac:dyDescent="0.25">
      <c r="A81" s="30">
        <v>45714</v>
      </c>
      <c r="B81" s="19" t="s">
        <v>35</v>
      </c>
      <c r="C81" s="19" t="s">
        <v>116</v>
      </c>
      <c r="D81" s="19" t="s">
        <v>44</v>
      </c>
      <c r="E81" s="19">
        <v>592</v>
      </c>
      <c r="F81" s="19">
        <v>3.76</v>
      </c>
      <c r="G81" s="19">
        <f t="shared" si="1"/>
        <v>2225.92</v>
      </c>
      <c r="H81" s="19">
        <v>64.55</v>
      </c>
    </row>
    <row r="82" spans="1:8" x14ac:dyDescent="0.25">
      <c r="A82" s="30">
        <v>45715</v>
      </c>
      <c r="B82" s="19" t="s">
        <v>19</v>
      </c>
      <c r="C82" s="19" t="s">
        <v>117</v>
      </c>
      <c r="D82" s="19" t="s">
        <v>21</v>
      </c>
      <c r="E82" s="19">
        <v>556</v>
      </c>
      <c r="F82" s="19">
        <v>3.76</v>
      </c>
      <c r="G82" s="19">
        <f t="shared" si="1"/>
        <v>2090.56</v>
      </c>
      <c r="H82" s="19">
        <v>0</v>
      </c>
    </row>
    <row r="83" spans="1:8" x14ac:dyDescent="0.25">
      <c r="A83" s="30">
        <v>45716</v>
      </c>
      <c r="B83" s="19" t="s">
        <v>55</v>
      </c>
      <c r="C83" s="19" t="s">
        <v>118</v>
      </c>
      <c r="D83" s="19" t="s">
        <v>62</v>
      </c>
      <c r="E83" s="19">
        <v>578</v>
      </c>
      <c r="F83" s="19">
        <v>3.74</v>
      </c>
      <c r="G83" s="19">
        <f t="shared" si="1"/>
        <v>2161.7200000000003</v>
      </c>
      <c r="H83" s="19">
        <v>62.69</v>
      </c>
    </row>
    <row r="84" spans="1:8" x14ac:dyDescent="0.25">
      <c r="A84" s="30">
        <v>45719</v>
      </c>
      <c r="B84" s="19" t="s">
        <v>79</v>
      </c>
      <c r="C84" s="19" t="s">
        <v>119</v>
      </c>
      <c r="D84" s="19" t="s">
        <v>44</v>
      </c>
      <c r="E84" s="19">
        <v>500</v>
      </c>
      <c r="F84" s="19">
        <v>3.85</v>
      </c>
      <c r="G84" s="19">
        <f t="shared" si="1"/>
        <v>1925</v>
      </c>
      <c r="H84" s="19">
        <v>0</v>
      </c>
    </row>
    <row r="85" spans="1:8" x14ac:dyDescent="0.25">
      <c r="A85" s="30">
        <v>45720</v>
      </c>
      <c r="B85" s="19" t="s">
        <v>79</v>
      </c>
      <c r="C85" s="19" t="s">
        <v>120</v>
      </c>
      <c r="D85" s="19" t="s">
        <v>121</v>
      </c>
      <c r="E85" s="19">
        <v>24</v>
      </c>
      <c r="F85" s="19">
        <v>45</v>
      </c>
      <c r="G85" s="19">
        <f t="shared" si="1"/>
        <v>1080</v>
      </c>
      <c r="H85" s="19">
        <v>31.32</v>
      </c>
    </row>
    <row r="86" spans="1:8" x14ac:dyDescent="0.25">
      <c r="A86" s="30">
        <v>45721</v>
      </c>
      <c r="B86" s="19" t="s">
        <v>16</v>
      </c>
      <c r="C86" s="19" t="s">
        <v>122</v>
      </c>
      <c r="D86" s="19" t="s">
        <v>82</v>
      </c>
      <c r="E86" s="19">
        <v>1</v>
      </c>
      <c r="F86" s="19">
        <v>1250</v>
      </c>
      <c r="G86" s="19">
        <f t="shared" si="1"/>
        <v>1250</v>
      </c>
      <c r="H86" s="19">
        <v>36.25</v>
      </c>
    </row>
    <row r="87" spans="1:8" x14ac:dyDescent="0.25">
      <c r="A87" s="30">
        <v>45722</v>
      </c>
      <c r="B87" s="19" t="s">
        <v>75</v>
      </c>
      <c r="C87" s="19" t="s">
        <v>123</v>
      </c>
      <c r="D87" s="19" t="s">
        <v>26</v>
      </c>
      <c r="E87" s="19">
        <v>612</v>
      </c>
      <c r="F87" s="19">
        <v>3.85</v>
      </c>
      <c r="G87" s="19">
        <f t="shared" si="1"/>
        <v>2356.2000000000003</v>
      </c>
      <c r="H87" s="19">
        <v>0</v>
      </c>
    </row>
    <row r="88" spans="1:8" x14ac:dyDescent="0.25">
      <c r="A88" s="30">
        <v>45723</v>
      </c>
      <c r="B88" s="19" t="s">
        <v>47</v>
      </c>
      <c r="C88" s="19" t="s">
        <v>124</v>
      </c>
      <c r="D88" s="19" t="s">
        <v>18</v>
      </c>
      <c r="E88" s="19">
        <v>576</v>
      </c>
      <c r="F88" s="19">
        <v>3.85</v>
      </c>
      <c r="G88" s="19">
        <f t="shared" si="1"/>
        <v>2217.6</v>
      </c>
      <c r="H88" s="19">
        <v>64.31</v>
      </c>
    </row>
    <row r="89" spans="1:8" x14ac:dyDescent="0.25">
      <c r="A89" s="30">
        <v>45726</v>
      </c>
      <c r="B89" s="19" t="s">
        <v>55</v>
      </c>
      <c r="C89" s="19" t="s">
        <v>125</v>
      </c>
      <c r="D89" s="19" t="s">
        <v>21</v>
      </c>
      <c r="E89" s="19">
        <v>750</v>
      </c>
      <c r="F89" s="19">
        <v>3.82</v>
      </c>
      <c r="G89" s="19">
        <f t="shared" si="1"/>
        <v>2865</v>
      </c>
      <c r="H89" s="19">
        <v>83.09</v>
      </c>
    </row>
    <row r="90" spans="1:8" x14ac:dyDescent="0.25">
      <c r="A90" s="30">
        <v>45727</v>
      </c>
      <c r="B90" s="19" t="s">
        <v>19</v>
      </c>
      <c r="C90" s="19" t="s">
        <v>126</v>
      </c>
      <c r="D90" s="19" t="s">
        <v>39</v>
      </c>
      <c r="E90" s="19">
        <v>1</v>
      </c>
      <c r="F90" s="19">
        <v>1100</v>
      </c>
      <c r="G90" s="19">
        <f t="shared" si="1"/>
        <v>1100</v>
      </c>
      <c r="H90" s="19">
        <v>31.9</v>
      </c>
    </row>
    <row r="91" spans="1:8" x14ac:dyDescent="0.25">
      <c r="A91" s="30">
        <v>45728</v>
      </c>
      <c r="B91" s="19" t="s">
        <v>55</v>
      </c>
      <c r="C91" s="19" t="s">
        <v>127</v>
      </c>
      <c r="D91" s="19" t="s">
        <v>18</v>
      </c>
      <c r="E91" s="19">
        <v>624</v>
      </c>
      <c r="F91" s="19">
        <v>3.82</v>
      </c>
      <c r="G91" s="19">
        <f t="shared" si="1"/>
        <v>2383.6799999999998</v>
      </c>
      <c r="H91" s="19">
        <v>69.13</v>
      </c>
    </row>
    <row r="92" spans="1:8" x14ac:dyDescent="0.25">
      <c r="A92" s="30">
        <v>45729</v>
      </c>
      <c r="B92" s="19" t="s">
        <v>33</v>
      </c>
      <c r="C92" s="19" t="s">
        <v>128</v>
      </c>
      <c r="D92" s="19" t="s">
        <v>62</v>
      </c>
      <c r="E92" s="19">
        <v>588</v>
      </c>
      <c r="F92" s="19">
        <v>3.8</v>
      </c>
      <c r="G92" s="19">
        <f t="shared" si="1"/>
        <v>2234.4</v>
      </c>
      <c r="H92" s="19">
        <v>64.8</v>
      </c>
    </row>
    <row r="93" spans="1:8" x14ac:dyDescent="0.25">
      <c r="A93" s="30">
        <v>45730</v>
      </c>
      <c r="B93" s="19" t="s">
        <v>33</v>
      </c>
      <c r="C93" s="19" t="s">
        <v>129</v>
      </c>
      <c r="D93" s="19" t="s">
        <v>39</v>
      </c>
      <c r="E93" s="19">
        <v>1</v>
      </c>
      <c r="F93" s="19">
        <v>875</v>
      </c>
      <c r="G93" s="19">
        <f t="shared" si="1"/>
        <v>875</v>
      </c>
      <c r="H93" s="19">
        <v>25.38</v>
      </c>
    </row>
    <row r="94" spans="1:8" x14ac:dyDescent="0.25">
      <c r="A94" s="30">
        <v>45733</v>
      </c>
      <c r="B94" s="19" t="s">
        <v>22</v>
      </c>
      <c r="C94" s="19" t="s">
        <v>130</v>
      </c>
      <c r="D94" s="19" t="s">
        <v>26</v>
      </c>
      <c r="E94" s="19">
        <v>636</v>
      </c>
      <c r="F94" s="19">
        <v>3.8</v>
      </c>
      <c r="G94" s="19">
        <f t="shared" si="1"/>
        <v>2416.7999999999997</v>
      </c>
      <c r="H94" s="19">
        <v>70.09</v>
      </c>
    </row>
    <row r="95" spans="1:8" x14ac:dyDescent="0.25">
      <c r="A95" s="30">
        <v>45734</v>
      </c>
      <c r="B95" s="19" t="s">
        <v>19</v>
      </c>
      <c r="C95" s="19" t="s">
        <v>131</v>
      </c>
      <c r="D95" s="19" t="s">
        <v>21</v>
      </c>
      <c r="E95" s="19">
        <v>438</v>
      </c>
      <c r="F95" s="19">
        <v>3.91</v>
      </c>
      <c r="G95" s="19">
        <f t="shared" si="1"/>
        <v>1712.5800000000002</v>
      </c>
      <c r="H95" s="19">
        <v>0</v>
      </c>
    </row>
    <row r="96" spans="1:8" x14ac:dyDescent="0.25">
      <c r="A96" s="30">
        <v>45735</v>
      </c>
      <c r="B96" s="19" t="s">
        <v>42</v>
      </c>
      <c r="C96" s="19" t="s">
        <v>132</v>
      </c>
      <c r="D96" s="19" t="s">
        <v>18</v>
      </c>
      <c r="E96" s="19">
        <v>401</v>
      </c>
      <c r="F96" s="19">
        <v>3.91</v>
      </c>
      <c r="G96" s="19">
        <f t="shared" si="1"/>
        <v>1567.91</v>
      </c>
      <c r="H96" s="19">
        <v>45.47</v>
      </c>
    </row>
    <row r="97" spans="1:8" x14ac:dyDescent="0.25">
      <c r="A97" s="30">
        <v>45736</v>
      </c>
      <c r="B97" s="19" t="s">
        <v>45</v>
      </c>
      <c r="C97" s="19" t="s">
        <v>133</v>
      </c>
      <c r="D97" s="19" t="s">
        <v>18</v>
      </c>
      <c r="E97" s="19">
        <v>537</v>
      </c>
      <c r="F97" s="19">
        <v>3.88</v>
      </c>
      <c r="G97" s="19">
        <f t="shared" si="1"/>
        <v>2083.56</v>
      </c>
      <c r="H97" s="19">
        <v>60.42</v>
      </c>
    </row>
    <row r="98" spans="1:8" x14ac:dyDescent="0.25">
      <c r="A98" s="30">
        <v>45737</v>
      </c>
      <c r="B98" s="19" t="s">
        <v>42</v>
      </c>
      <c r="C98" s="19" t="s">
        <v>134</v>
      </c>
      <c r="D98" s="19" t="s">
        <v>18</v>
      </c>
      <c r="E98" s="19">
        <v>483</v>
      </c>
      <c r="F98" s="19">
        <v>3.87</v>
      </c>
      <c r="G98" s="19">
        <f t="shared" si="1"/>
        <v>1869.21</v>
      </c>
      <c r="H98" s="19">
        <v>54.21</v>
      </c>
    </row>
    <row r="99" spans="1:8" x14ac:dyDescent="0.25">
      <c r="A99" s="30">
        <v>45740</v>
      </c>
      <c r="B99" s="19" t="s">
        <v>55</v>
      </c>
      <c r="C99" s="19" t="s">
        <v>135</v>
      </c>
      <c r="D99" s="19" t="s">
        <v>26</v>
      </c>
      <c r="E99" s="19">
        <v>484</v>
      </c>
      <c r="F99" s="19">
        <v>3.82</v>
      </c>
      <c r="G99" s="19">
        <f t="shared" si="1"/>
        <v>1848.8799999999999</v>
      </c>
      <c r="H99" s="19">
        <v>0</v>
      </c>
    </row>
    <row r="100" spans="1:8" x14ac:dyDescent="0.25">
      <c r="A100" s="30">
        <v>45741</v>
      </c>
      <c r="B100" s="19" t="s">
        <v>24</v>
      </c>
      <c r="C100" s="19" t="s">
        <v>136</v>
      </c>
      <c r="D100" s="19" t="s">
        <v>26</v>
      </c>
      <c r="E100" s="19">
        <v>442</v>
      </c>
      <c r="F100" s="19">
        <v>3.84</v>
      </c>
      <c r="G100" s="19">
        <f t="shared" si="1"/>
        <v>1697.28</v>
      </c>
      <c r="H100" s="19">
        <v>49.22</v>
      </c>
    </row>
    <row r="101" spans="1:8" x14ac:dyDescent="0.25">
      <c r="A101" s="30">
        <v>45742</v>
      </c>
      <c r="B101" s="19" t="s">
        <v>42</v>
      </c>
      <c r="C101" s="19" t="s">
        <v>137</v>
      </c>
      <c r="D101" s="19" t="s">
        <v>18</v>
      </c>
      <c r="E101" s="19">
        <v>514</v>
      </c>
      <c r="F101" s="19">
        <v>3.85</v>
      </c>
      <c r="G101" s="19">
        <f t="shared" si="1"/>
        <v>1978.9</v>
      </c>
      <c r="H101" s="19">
        <v>0</v>
      </c>
    </row>
    <row r="102" spans="1:8" x14ac:dyDescent="0.25">
      <c r="A102" s="30">
        <v>45743</v>
      </c>
      <c r="B102" s="19" t="s">
        <v>31</v>
      </c>
      <c r="C102" s="19" t="s">
        <v>138</v>
      </c>
      <c r="D102" s="19" t="s">
        <v>21</v>
      </c>
      <c r="E102" s="19">
        <v>467</v>
      </c>
      <c r="F102" s="19">
        <v>3.83</v>
      </c>
      <c r="G102" s="19">
        <f t="shared" si="1"/>
        <v>1788.6100000000001</v>
      </c>
      <c r="H102" s="19">
        <v>0</v>
      </c>
    </row>
    <row r="103" spans="1:8" x14ac:dyDescent="0.25">
      <c r="A103" s="30">
        <v>45744</v>
      </c>
      <c r="B103" s="19" t="s">
        <v>19</v>
      </c>
      <c r="C103" s="19" t="s">
        <v>139</v>
      </c>
      <c r="D103" s="19" t="s">
        <v>26</v>
      </c>
      <c r="E103" s="19">
        <v>505</v>
      </c>
      <c r="F103" s="19">
        <v>3.83</v>
      </c>
      <c r="G103" s="19">
        <f t="shared" si="1"/>
        <v>1934.15</v>
      </c>
      <c r="H103" s="19">
        <v>56.09</v>
      </c>
    </row>
    <row r="104" spans="1:8" x14ac:dyDescent="0.25">
      <c r="A104" s="30">
        <v>45747</v>
      </c>
      <c r="B104" s="19" t="s">
        <v>42</v>
      </c>
      <c r="C104" s="19" t="s">
        <v>140</v>
      </c>
      <c r="D104" s="19" t="s">
        <v>18</v>
      </c>
      <c r="E104" s="19">
        <v>466</v>
      </c>
      <c r="F104" s="19">
        <v>3.78</v>
      </c>
      <c r="G104" s="19">
        <f t="shared" si="1"/>
        <v>1761.48</v>
      </c>
      <c r="H104" s="19">
        <v>0</v>
      </c>
    </row>
    <row r="105" spans="1:8" x14ac:dyDescent="0.25">
      <c r="A105" s="30">
        <v>45748</v>
      </c>
      <c r="B105" s="19" t="s">
        <v>47</v>
      </c>
      <c r="C105" s="19" t="s">
        <v>141</v>
      </c>
      <c r="D105" s="19" t="s">
        <v>57</v>
      </c>
      <c r="E105" s="19">
        <v>1</v>
      </c>
      <c r="F105" s="19">
        <v>1161.3699999999999</v>
      </c>
      <c r="G105" s="19">
        <f t="shared" si="1"/>
        <v>1161.3699999999999</v>
      </c>
      <c r="H105" s="19">
        <v>0</v>
      </c>
    </row>
    <row r="106" spans="1:8" x14ac:dyDescent="0.25">
      <c r="A106" s="30">
        <v>45749</v>
      </c>
      <c r="B106" s="19" t="s">
        <v>19</v>
      </c>
      <c r="C106" s="19" t="s">
        <v>142</v>
      </c>
      <c r="D106" s="19" t="s">
        <v>44</v>
      </c>
      <c r="E106" s="19">
        <v>454</v>
      </c>
      <c r="F106" s="19">
        <v>3.82</v>
      </c>
      <c r="G106" s="19">
        <f t="shared" si="1"/>
        <v>1734.28</v>
      </c>
      <c r="H106" s="19">
        <v>0</v>
      </c>
    </row>
    <row r="107" spans="1:8" x14ac:dyDescent="0.25">
      <c r="A107" s="30">
        <v>45750</v>
      </c>
      <c r="B107" s="19" t="s">
        <v>22</v>
      </c>
      <c r="C107" s="19" t="s">
        <v>143</v>
      </c>
      <c r="D107" s="19" t="s">
        <v>21</v>
      </c>
      <c r="E107" s="19">
        <v>533</v>
      </c>
      <c r="F107" s="19">
        <v>3.78</v>
      </c>
      <c r="G107" s="19">
        <f t="shared" si="1"/>
        <v>2014.74</v>
      </c>
      <c r="H107" s="19">
        <v>58.43</v>
      </c>
    </row>
    <row r="108" spans="1:8" x14ac:dyDescent="0.25">
      <c r="A108" s="30">
        <v>45751</v>
      </c>
      <c r="B108" s="19" t="s">
        <v>37</v>
      </c>
      <c r="C108" s="19" t="s">
        <v>144</v>
      </c>
      <c r="D108" s="19" t="s">
        <v>62</v>
      </c>
      <c r="E108" s="19">
        <v>537</v>
      </c>
      <c r="F108" s="19">
        <v>3.78</v>
      </c>
      <c r="G108" s="19">
        <f t="shared" si="1"/>
        <v>2029.86</v>
      </c>
      <c r="H108" s="19">
        <v>58.87</v>
      </c>
    </row>
    <row r="109" spans="1:8" x14ac:dyDescent="0.25">
      <c r="A109" s="30">
        <v>45754</v>
      </c>
      <c r="B109" s="19" t="s">
        <v>16</v>
      </c>
      <c r="C109" s="19" t="s">
        <v>145</v>
      </c>
      <c r="D109" s="19" t="s">
        <v>18</v>
      </c>
      <c r="E109" s="19">
        <v>442</v>
      </c>
      <c r="F109" s="19">
        <v>3.77</v>
      </c>
      <c r="G109" s="19">
        <f t="shared" si="1"/>
        <v>1666.34</v>
      </c>
      <c r="H109" s="19">
        <v>48.32</v>
      </c>
    </row>
    <row r="110" spans="1:8" x14ac:dyDescent="0.25">
      <c r="A110" s="30">
        <v>45755</v>
      </c>
      <c r="B110" s="19" t="s">
        <v>24</v>
      </c>
      <c r="C110" s="19" t="s">
        <v>146</v>
      </c>
      <c r="D110" s="19" t="s">
        <v>26</v>
      </c>
      <c r="E110" s="19">
        <v>391</v>
      </c>
      <c r="F110" s="19">
        <v>3.75</v>
      </c>
      <c r="G110" s="19">
        <f t="shared" si="1"/>
        <v>1466.25</v>
      </c>
      <c r="H110" s="19">
        <v>0</v>
      </c>
    </row>
    <row r="111" spans="1:8" x14ac:dyDescent="0.25">
      <c r="A111" s="30">
        <v>45756</v>
      </c>
      <c r="B111" s="19" t="s">
        <v>28</v>
      </c>
      <c r="C111" s="19" t="s">
        <v>147</v>
      </c>
      <c r="D111" s="19" t="s">
        <v>21</v>
      </c>
      <c r="E111" s="19">
        <v>380</v>
      </c>
      <c r="F111" s="19">
        <v>3.75</v>
      </c>
      <c r="G111" s="19">
        <f t="shared" si="1"/>
        <v>1425</v>
      </c>
      <c r="H111" s="19">
        <v>0</v>
      </c>
    </row>
    <row r="112" spans="1:8" x14ac:dyDescent="0.25">
      <c r="A112" s="30">
        <v>45757</v>
      </c>
      <c r="B112" s="19" t="s">
        <v>47</v>
      </c>
      <c r="C112" s="19" t="s">
        <v>148</v>
      </c>
      <c r="D112" s="19" t="s">
        <v>44</v>
      </c>
      <c r="E112" s="19">
        <v>309</v>
      </c>
      <c r="F112" s="19">
        <v>3.77</v>
      </c>
      <c r="G112" s="19">
        <f t="shared" si="1"/>
        <v>1164.93</v>
      </c>
      <c r="H112" s="19">
        <v>0</v>
      </c>
    </row>
    <row r="113" spans="1:8" x14ac:dyDescent="0.25">
      <c r="A113" s="30">
        <v>45758</v>
      </c>
      <c r="B113" s="19" t="s">
        <v>37</v>
      </c>
      <c r="C113" s="19" t="s">
        <v>149</v>
      </c>
      <c r="D113" s="19" t="s">
        <v>21</v>
      </c>
      <c r="E113" s="19">
        <v>421</v>
      </c>
      <c r="F113" s="19">
        <v>3.73</v>
      </c>
      <c r="G113" s="19">
        <f t="shared" si="1"/>
        <v>1570.33</v>
      </c>
      <c r="H113" s="19">
        <v>0</v>
      </c>
    </row>
    <row r="114" spans="1:8" x14ac:dyDescent="0.25">
      <c r="A114" s="30">
        <v>45761</v>
      </c>
      <c r="B114" s="19" t="s">
        <v>75</v>
      </c>
      <c r="C114" s="19" t="s">
        <v>150</v>
      </c>
      <c r="D114" s="19" t="s">
        <v>62</v>
      </c>
      <c r="E114" s="19">
        <v>459</v>
      </c>
      <c r="F114" s="19">
        <v>3.74</v>
      </c>
      <c r="G114" s="19">
        <f t="shared" si="1"/>
        <v>1716.66</v>
      </c>
      <c r="H114" s="19">
        <v>49.78</v>
      </c>
    </row>
    <row r="115" spans="1:8" x14ac:dyDescent="0.25">
      <c r="A115" s="30">
        <v>45762</v>
      </c>
      <c r="B115" s="19" t="s">
        <v>42</v>
      </c>
      <c r="C115" s="19" t="s">
        <v>151</v>
      </c>
      <c r="D115" s="19" t="s">
        <v>44</v>
      </c>
      <c r="E115" s="19">
        <v>513</v>
      </c>
      <c r="F115" s="19">
        <v>3.72</v>
      </c>
      <c r="G115" s="19">
        <f t="shared" si="1"/>
        <v>1908.3600000000001</v>
      </c>
      <c r="H115" s="19">
        <v>55.34</v>
      </c>
    </row>
    <row r="116" spans="1:8" x14ac:dyDescent="0.25">
      <c r="A116" s="30">
        <v>45763</v>
      </c>
      <c r="B116" s="19" t="s">
        <v>16</v>
      </c>
      <c r="C116" s="19" t="s">
        <v>152</v>
      </c>
      <c r="D116" s="19" t="s">
        <v>26</v>
      </c>
      <c r="E116" s="19">
        <v>520</v>
      </c>
      <c r="F116" s="19">
        <v>3.73</v>
      </c>
      <c r="G116" s="19">
        <f t="shared" si="1"/>
        <v>1939.6</v>
      </c>
      <c r="H116" s="19">
        <v>56.25</v>
      </c>
    </row>
    <row r="117" spans="1:8" x14ac:dyDescent="0.25">
      <c r="A117" s="30">
        <v>45764</v>
      </c>
      <c r="B117" s="19" t="s">
        <v>47</v>
      </c>
      <c r="C117" s="19" t="s">
        <v>153</v>
      </c>
      <c r="D117" s="19" t="s">
        <v>57</v>
      </c>
      <c r="E117" s="19">
        <v>1</v>
      </c>
      <c r="F117" s="19">
        <v>935.86</v>
      </c>
      <c r="G117" s="19">
        <f t="shared" si="1"/>
        <v>935.86</v>
      </c>
      <c r="H117" s="19">
        <v>27.14</v>
      </c>
    </row>
    <row r="118" spans="1:8" x14ac:dyDescent="0.25">
      <c r="A118" s="30">
        <v>45765</v>
      </c>
      <c r="B118" s="19" t="s">
        <v>33</v>
      </c>
      <c r="C118" s="19" t="s">
        <v>154</v>
      </c>
      <c r="D118" s="19" t="s">
        <v>21</v>
      </c>
      <c r="E118" s="19">
        <v>445</v>
      </c>
      <c r="F118" s="19">
        <v>3.69</v>
      </c>
      <c r="G118" s="19">
        <f t="shared" si="1"/>
        <v>1642.05</v>
      </c>
      <c r="H118" s="19">
        <v>0</v>
      </c>
    </row>
    <row r="119" spans="1:8" x14ac:dyDescent="0.25">
      <c r="A119" s="30">
        <v>45768</v>
      </c>
      <c r="B119" s="19" t="s">
        <v>45</v>
      </c>
      <c r="C119" s="19" t="s">
        <v>155</v>
      </c>
      <c r="D119" s="19" t="s">
        <v>18</v>
      </c>
      <c r="E119" s="19">
        <v>471</v>
      </c>
      <c r="F119" s="19">
        <v>3.66</v>
      </c>
      <c r="G119" s="19">
        <f t="shared" si="1"/>
        <v>1723.8600000000001</v>
      </c>
      <c r="H119" s="19">
        <v>49.99</v>
      </c>
    </row>
    <row r="120" spans="1:8" x14ac:dyDescent="0.25">
      <c r="A120" s="30">
        <v>45769</v>
      </c>
      <c r="B120" s="19" t="s">
        <v>33</v>
      </c>
      <c r="C120" s="19" t="s">
        <v>156</v>
      </c>
      <c r="D120" s="19" t="s">
        <v>44</v>
      </c>
      <c r="E120" s="19">
        <v>501</v>
      </c>
      <c r="F120" s="19">
        <v>3.69</v>
      </c>
      <c r="G120" s="19">
        <f t="shared" si="1"/>
        <v>1848.69</v>
      </c>
      <c r="H120" s="19">
        <v>53.61</v>
      </c>
    </row>
    <row r="121" spans="1:8" x14ac:dyDescent="0.25">
      <c r="A121" s="30">
        <v>45770</v>
      </c>
      <c r="B121" s="19" t="s">
        <v>19</v>
      </c>
      <c r="C121" s="19" t="s">
        <v>157</v>
      </c>
      <c r="D121" s="19" t="s">
        <v>44</v>
      </c>
      <c r="E121" s="19">
        <v>476</v>
      </c>
      <c r="F121" s="19">
        <v>3.64</v>
      </c>
      <c r="G121" s="19">
        <f t="shared" si="1"/>
        <v>1732.64</v>
      </c>
      <c r="H121" s="19">
        <v>50.25</v>
      </c>
    </row>
    <row r="122" spans="1:8" x14ac:dyDescent="0.25">
      <c r="A122" s="30">
        <v>45771</v>
      </c>
      <c r="B122" s="19" t="s">
        <v>28</v>
      </c>
      <c r="C122" s="19" t="s">
        <v>158</v>
      </c>
      <c r="D122" s="19" t="s">
        <v>57</v>
      </c>
      <c r="E122" s="19">
        <v>1</v>
      </c>
      <c r="F122" s="19">
        <v>1463.53</v>
      </c>
      <c r="G122" s="19">
        <f t="shared" si="1"/>
        <v>1463.53</v>
      </c>
      <c r="H122" s="19">
        <v>42.44</v>
      </c>
    </row>
    <row r="123" spans="1:8" x14ac:dyDescent="0.25">
      <c r="A123" s="30">
        <v>45772</v>
      </c>
      <c r="B123" s="19" t="s">
        <v>24</v>
      </c>
      <c r="C123" s="19" t="s">
        <v>159</v>
      </c>
      <c r="D123" s="19" t="s">
        <v>18</v>
      </c>
      <c r="E123" s="19">
        <v>387</v>
      </c>
      <c r="F123" s="19">
        <v>3.63</v>
      </c>
      <c r="G123" s="19">
        <f t="shared" si="1"/>
        <v>1404.81</v>
      </c>
      <c r="H123" s="19">
        <v>40.74</v>
      </c>
    </row>
    <row r="124" spans="1:8" x14ac:dyDescent="0.25">
      <c r="A124" s="30">
        <v>45775</v>
      </c>
      <c r="B124" s="19" t="s">
        <v>16</v>
      </c>
      <c r="C124" s="19" t="s">
        <v>160</v>
      </c>
      <c r="D124" s="19" t="s">
        <v>44</v>
      </c>
      <c r="E124" s="19">
        <v>423</v>
      </c>
      <c r="F124" s="19">
        <v>3.63</v>
      </c>
      <c r="G124" s="19">
        <f t="shared" si="1"/>
        <v>1535.49</v>
      </c>
      <c r="H124" s="19">
        <v>0</v>
      </c>
    </row>
    <row r="125" spans="1:8" x14ac:dyDescent="0.25">
      <c r="A125" s="30">
        <v>45776</v>
      </c>
      <c r="B125" s="19" t="s">
        <v>22</v>
      </c>
      <c r="C125" s="19" t="s">
        <v>161</v>
      </c>
      <c r="D125" s="19" t="s">
        <v>64</v>
      </c>
      <c r="E125" s="19">
        <v>1</v>
      </c>
      <c r="F125" s="19">
        <v>977.39</v>
      </c>
      <c r="G125" s="19">
        <f t="shared" si="1"/>
        <v>977.39</v>
      </c>
      <c r="H125" s="19">
        <v>28.34</v>
      </c>
    </row>
    <row r="126" spans="1:8" x14ac:dyDescent="0.25">
      <c r="A126" s="30">
        <v>45777</v>
      </c>
      <c r="B126" s="19" t="s">
        <v>45</v>
      </c>
      <c r="C126" s="19" t="s">
        <v>162</v>
      </c>
      <c r="D126" s="19" t="s">
        <v>21</v>
      </c>
      <c r="E126" s="19">
        <v>429</v>
      </c>
      <c r="F126" s="19">
        <v>3.64</v>
      </c>
      <c r="G126" s="19">
        <f t="shared" si="1"/>
        <v>1561.56</v>
      </c>
      <c r="H126" s="19">
        <v>45.29</v>
      </c>
    </row>
    <row r="127" spans="1:8" x14ac:dyDescent="0.25">
      <c r="A127" s="30">
        <v>45778</v>
      </c>
      <c r="B127" s="19" t="s">
        <v>28</v>
      </c>
      <c r="C127" s="19" t="s">
        <v>163</v>
      </c>
      <c r="D127" s="19" t="s">
        <v>62</v>
      </c>
      <c r="E127" s="19">
        <v>401</v>
      </c>
      <c r="F127" s="19">
        <v>3.61</v>
      </c>
      <c r="G127" s="19">
        <f t="shared" si="1"/>
        <v>1447.61</v>
      </c>
      <c r="H127" s="19">
        <v>0</v>
      </c>
    </row>
    <row r="128" spans="1:8" x14ac:dyDescent="0.25">
      <c r="A128" s="30">
        <v>45779</v>
      </c>
      <c r="B128" s="19" t="s">
        <v>47</v>
      </c>
      <c r="C128" s="19" t="s">
        <v>164</v>
      </c>
      <c r="D128" s="19" t="s">
        <v>18</v>
      </c>
      <c r="E128" s="19">
        <v>298</v>
      </c>
      <c r="F128" s="19">
        <v>3.6</v>
      </c>
      <c r="G128" s="19">
        <f t="shared" si="1"/>
        <v>1072.8</v>
      </c>
      <c r="H128" s="19">
        <v>31.11</v>
      </c>
    </row>
    <row r="129" spans="1:8" x14ac:dyDescent="0.25">
      <c r="A129" s="30">
        <v>45782</v>
      </c>
      <c r="B129" s="19" t="s">
        <v>28</v>
      </c>
      <c r="C129" s="19" t="s">
        <v>165</v>
      </c>
      <c r="D129" s="19" t="s">
        <v>21</v>
      </c>
      <c r="E129" s="19">
        <v>210</v>
      </c>
      <c r="F129" s="19">
        <v>3.58</v>
      </c>
      <c r="G129" s="19">
        <f t="shared" si="1"/>
        <v>751.80000000000007</v>
      </c>
      <c r="H129" s="19">
        <v>0</v>
      </c>
    </row>
    <row r="130" spans="1:8" x14ac:dyDescent="0.25">
      <c r="A130" s="30">
        <v>45783</v>
      </c>
      <c r="B130" s="19" t="s">
        <v>42</v>
      </c>
      <c r="C130" s="19" t="s">
        <v>166</v>
      </c>
      <c r="D130" s="19" t="s">
        <v>44</v>
      </c>
      <c r="E130" s="19">
        <v>251</v>
      </c>
      <c r="F130" s="19">
        <v>3.59</v>
      </c>
      <c r="G130" s="19">
        <f t="shared" si="1"/>
        <v>901.08999999999992</v>
      </c>
      <c r="H130" s="19">
        <v>26.13</v>
      </c>
    </row>
    <row r="131" spans="1:8" x14ac:dyDescent="0.25">
      <c r="A131" s="30">
        <v>45784</v>
      </c>
      <c r="B131" s="19" t="s">
        <v>55</v>
      </c>
      <c r="C131" s="19" t="s">
        <v>167</v>
      </c>
      <c r="D131" s="19" t="s">
        <v>62</v>
      </c>
      <c r="E131" s="19">
        <v>270</v>
      </c>
      <c r="F131" s="19">
        <v>3.54</v>
      </c>
      <c r="G131" s="19">
        <f t="shared" si="1"/>
        <v>955.8</v>
      </c>
      <c r="H131" s="19">
        <v>0</v>
      </c>
    </row>
    <row r="132" spans="1:8" x14ac:dyDescent="0.25">
      <c r="A132" s="30">
        <v>45785</v>
      </c>
      <c r="B132" s="19" t="s">
        <v>47</v>
      </c>
      <c r="C132" s="19" t="s">
        <v>168</v>
      </c>
      <c r="D132" s="19" t="s">
        <v>44</v>
      </c>
      <c r="E132" s="19">
        <v>295</v>
      </c>
      <c r="F132" s="19">
        <v>3.53</v>
      </c>
      <c r="G132" s="19">
        <f t="shared" si="1"/>
        <v>1041.3499999999999</v>
      </c>
      <c r="H132" s="19">
        <v>30.2</v>
      </c>
    </row>
    <row r="133" spans="1:8" x14ac:dyDescent="0.25">
      <c r="A133" s="30">
        <v>45786</v>
      </c>
      <c r="B133" s="19" t="s">
        <v>47</v>
      </c>
      <c r="C133" s="19" t="s">
        <v>169</v>
      </c>
      <c r="D133" s="19" t="s">
        <v>18</v>
      </c>
      <c r="E133" s="19">
        <v>316</v>
      </c>
      <c r="F133" s="19">
        <v>3.56</v>
      </c>
      <c r="G133" s="19">
        <f t="shared" ref="G133:G196" si="2">IF(OR(E133="",F133=""),"",E133*F133)</f>
        <v>1124.96</v>
      </c>
      <c r="H133" s="19">
        <v>32.619999999999997</v>
      </c>
    </row>
    <row r="134" spans="1:8" x14ac:dyDescent="0.25">
      <c r="A134" s="30">
        <v>45789</v>
      </c>
      <c r="B134" s="19" t="s">
        <v>22</v>
      </c>
      <c r="C134" s="19" t="s">
        <v>170</v>
      </c>
      <c r="D134" s="19" t="s">
        <v>21</v>
      </c>
      <c r="E134" s="19">
        <v>386</v>
      </c>
      <c r="F134" s="19">
        <v>3.53</v>
      </c>
      <c r="G134" s="19">
        <f t="shared" si="2"/>
        <v>1362.58</v>
      </c>
      <c r="H134" s="19">
        <v>0</v>
      </c>
    </row>
    <row r="135" spans="1:8" x14ac:dyDescent="0.25">
      <c r="A135" s="30">
        <v>45790</v>
      </c>
      <c r="B135" s="19" t="s">
        <v>47</v>
      </c>
      <c r="C135" s="19" t="s">
        <v>171</v>
      </c>
      <c r="D135" s="19" t="s">
        <v>26</v>
      </c>
      <c r="E135" s="19">
        <v>444</v>
      </c>
      <c r="F135" s="19">
        <v>3.51</v>
      </c>
      <c r="G135" s="19">
        <f t="shared" si="2"/>
        <v>1558.4399999999998</v>
      </c>
      <c r="H135" s="19">
        <v>45.19</v>
      </c>
    </row>
    <row r="136" spans="1:8" x14ac:dyDescent="0.25">
      <c r="A136" s="30">
        <v>45791</v>
      </c>
      <c r="B136" s="19" t="s">
        <v>45</v>
      </c>
      <c r="C136" s="19" t="s">
        <v>172</v>
      </c>
      <c r="D136" s="19" t="s">
        <v>26</v>
      </c>
      <c r="E136" s="19">
        <v>510</v>
      </c>
      <c r="F136" s="19">
        <v>3.5</v>
      </c>
      <c r="G136" s="19">
        <f t="shared" si="2"/>
        <v>1785</v>
      </c>
      <c r="H136" s="19">
        <v>0</v>
      </c>
    </row>
    <row r="137" spans="1:8" x14ac:dyDescent="0.25">
      <c r="A137" s="30">
        <v>45792</v>
      </c>
      <c r="B137" s="19" t="s">
        <v>75</v>
      </c>
      <c r="C137" s="19" t="s">
        <v>173</v>
      </c>
      <c r="D137" s="19" t="s">
        <v>64</v>
      </c>
      <c r="E137" s="19">
        <v>1</v>
      </c>
      <c r="F137" s="19">
        <v>1020.45</v>
      </c>
      <c r="G137" s="19">
        <f t="shared" si="2"/>
        <v>1020.45</v>
      </c>
      <c r="H137" s="19">
        <v>0</v>
      </c>
    </row>
    <row r="138" spans="1:8" x14ac:dyDescent="0.25">
      <c r="A138" s="30">
        <v>45793</v>
      </c>
      <c r="B138" s="19" t="s">
        <v>47</v>
      </c>
      <c r="C138" s="19" t="s">
        <v>174</v>
      </c>
      <c r="D138" s="19" t="s">
        <v>21</v>
      </c>
      <c r="E138" s="19">
        <v>511</v>
      </c>
      <c r="F138" s="19">
        <v>3.47</v>
      </c>
      <c r="G138" s="19">
        <f t="shared" si="2"/>
        <v>1773.17</v>
      </c>
      <c r="H138" s="19">
        <v>51.42</v>
      </c>
    </row>
    <row r="139" spans="1:8" x14ac:dyDescent="0.25">
      <c r="A139" s="30">
        <v>45796</v>
      </c>
      <c r="B139" s="19" t="s">
        <v>45</v>
      </c>
      <c r="C139" s="19" t="s">
        <v>175</v>
      </c>
      <c r="D139" s="19" t="s">
        <v>21</v>
      </c>
      <c r="E139" s="19">
        <v>533</v>
      </c>
      <c r="F139" s="19">
        <v>3.49</v>
      </c>
      <c r="G139" s="19">
        <f t="shared" si="2"/>
        <v>1860.17</v>
      </c>
      <c r="H139" s="19">
        <v>53.94</v>
      </c>
    </row>
    <row r="140" spans="1:8" x14ac:dyDescent="0.25">
      <c r="A140" s="30">
        <v>45797</v>
      </c>
      <c r="B140" s="19" t="s">
        <v>35</v>
      </c>
      <c r="C140" s="19" t="s">
        <v>176</v>
      </c>
      <c r="D140" s="19" t="s">
        <v>62</v>
      </c>
      <c r="E140" s="19">
        <v>493</v>
      </c>
      <c r="F140" s="19">
        <v>3.45</v>
      </c>
      <c r="G140" s="19">
        <f t="shared" si="2"/>
        <v>1700.8500000000001</v>
      </c>
      <c r="H140" s="19">
        <v>49.32</v>
      </c>
    </row>
    <row r="141" spans="1:8" x14ac:dyDescent="0.25">
      <c r="A141" s="30">
        <v>45798</v>
      </c>
      <c r="B141" s="19" t="s">
        <v>33</v>
      </c>
      <c r="C141" s="19" t="s">
        <v>177</v>
      </c>
      <c r="D141" s="19" t="s">
        <v>21</v>
      </c>
      <c r="E141" s="19">
        <v>489</v>
      </c>
      <c r="F141" s="19">
        <v>3.47</v>
      </c>
      <c r="G141" s="19">
        <f t="shared" si="2"/>
        <v>1696.8300000000002</v>
      </c>
      <c r="H141" s="19">
        <v>0</v>
      </c>
    </row>
    <row r="142" spans="1:8" x14ac:dyDescent="0.25">
      <c r="A142" s="30">
        <v>45799</v>
      </c>
      <c r="B142" s="19" t="s">
        <v>31</v>
      </c>
      <c r="C142" s="19" t="s">
        <v>178</v>
      </c>
      <c r="D142" s="19" t="s">
        <v>82</v>
      </c>
      <c r="E142" s="19">
        <v>1</v>
      </c>
      <c r="F142" s="19">
        <v>1478.58</v>
      </c>
      <c r="G142" s="19">
        <f t="shared" si="2"/>
        <v>1478.58</v>
      </c>
      <c r="H142" s="19">
        <v>42.88</v>
      </c>
    </row>
    <row r="143" spans="1:8" x14ac:dyDescent="0.25">
      <c r="A143" s="30">
        <v>45800</v>
      </c>
      <c r="B143" s="19" t="s">
        <v>19</v>
      </c>
      <c r="C143" s="19" t="s">
        <v>179</v>
      </c>
      <c r="D143" s="19" t="s">
        <v>62</v>
      </c>
      <c r="E143" s="19">
        <v>516</v>
      </c>
      <c r="F143" s="19">
        <v>3.46</v>
      </c>
      <c r="G143" s="19">
        <f t="shared" si="2"/>
        <v>1785.36</v>
      </c>
      <c r="H143" s="19">
        <v>0</v>
      </c>
    </row>
    <row r="144" spans="1:8" x14ac:dyDescent="0.25">
      <c r="A144" s="30">
        <v>45803</v>
      </c>
      <c r="B144" s="19" t="s">
        <v>37</v>
      </c>
      <c r="C144" s="19" t="s">
        <v>180</v>
      </c>
      <c r="D144" s="19" t="s">
        <v>62</v>
      </c>
      <c r="E144" s="19">
        <v>495</v>
      </c>
      <c r="F144" s="19">
        <v>3.44</v>
      </c>
      <c r="G144" s="19">
        <f t="shared" si="2"/>
        <v>1702.8</v>
      </c>
      <c r="H144" s="19">
        <v>49.38</v>
      </c>
    </row>
    <row r="145" spans="1:8" x14ac:dyDescent="0.25">
      <c r="A145" s="30">
        <v>45804</v>
      </c>
      <c r="B145" s="19" t="s">
        <v>19</v>
      </c>
      <c r="C145" s="19" t="s">
        <v>181</v>
      </c>
      <c r="D145" s="19" t="s">
        <v>21</v>
      </c>
      <c r="E145" s="19">
        <v>556</v>
      </c>
      <c r="F145" s="19">
        <v>3.43</v>
      </c>
      <c r="G145" s="19">
        <f t="shared" si="2"/>
        <v>1907.0800000000002</v>
      </c>
      <c r="H145" s="19">
        <v>0</v>
      </c>
    </row>
    <row r="146" spans="1:8" x14ac:dyDescent="0.25">
      <c r="A146" s="30">
        <v>45805</v>
      </c>
      <c r="B146" s="19" t="s">
        <v>31</v>
      </c>
      <c r="C146" s="19" t="s">
        <v>182</v>
      </c>
      <c r="D146" s="19" t="s">
        <v>21</v>
      </c>
      <c r="E146" s="19">
        <v>498</v>
      </c>
      <c r="F146" s="19">
        <v>3.43</v>
      </c>
      <c r="G146" s="19">
        <f t="shared" si="2"/>
        <v>1708.14</v>
      </c>
      <c r="H146" s="19">
        <v>49.54</v>
      </c>
    </row>
    <row r="147" spans="1:8" x14ac:dyDescent="0.25">
      <c r="A147" s="30">
        <v>45806</v>
      </c>
      <c r="B147" s="19" t="s">
        <v>35</v>
      </c>
      <c r="C147" s="19" t="s">
        <v>183</v>
      </c>
      <c r="D147" s="19" t="s">
        <v>82</v>
      </c>
      <c r="E147" s="19">
        <v>1</v>
      </c>
      <c r="F147" s="19">
        <v>1028.7</v>
      </c>
      <c r="G147" s="19">
        <f t="shared" si="2"/>
        <v>1028.7</v>
      </c>
      <c r="H147" s="19">
        <v>0</v>
      </c>
    </row>
    <row r="148" spans="1:8" x14ac:dyDescent="0.25">
      <c r="A148" s="30">
        <v>45807</v>
      </c>
      <c r="B148" s="19" t="s">
        <v>31</v>
      </c>
      <c r="C148" s="19" t="s">
        <v>184</v>
      </c>
      <c r="D148" s="19" t="s">
        <v>26</v>
      </c>
      <c r="E148" s="19">
        <v>535</v>
      </c>
      <c r="F148" s="19">
        <v>3.42</v>
      </c>
      <c r="G148" s="19">
        <f t="shared" si="2"/>
        <v>1829.7</v>
      </c>
      <c r="H148" s="19">
        <v>53.06</v>
      </c>
    </row>
    <row r="149" spans="1:8" x14ac:dyDescent="0.25">
      <c r="A149" s="30">
        <v>45810</v>
      </c>
      <c r="B149" s="19" t="s">
        <v>37</v>
      </c>
      <c r="C149" s="19" t="s">
        <v>185</v>
      </c>
      <c r="D149" s="19" t="s">
        <v>26</v>
      </c>
      <c r="E149" s="19">
        <v>560</v>
      </c>
      <c r="F149" s="19">
        <v>3.43</v>
      </c>
      <c r="G149" s="19">
        <f t="shared" si="2"/>
        <v>1920.8000000000002</v>
      </c>
      <c r="H149" s="19">
        <v>55.7</v>
      </c>
    </row>
    <row r="150" spans="1:8" x14ac:dyDescent="0.25">
      <c r="A150" s="30">
        <v>45811</v>
      </c>
      <c r="B150" s="19" t="s">
        <v>47</v>
      </c>
      <c r="C150" s="19" t="s">
        <v>186</v>
      </c>
      <c r="D150" s="19" t="s">
        <v>18</v>
      </c>
      <c r="E150" s="19">
        <v>494</v>
      </c>
      <c r="F150" s="19">
        <v>3.39</v>
      </c>
      <c r="G150" s="19">
        <f t="shared" si="2"/>
        <v>1674.66</v>
      </c>
      <c r="H150" s="19">
        <v>48.57</v>
      </c>
    </row>
    <row r="151" spans="1:8" x14ac:dyDescent="0.25">
      <c r="A151" s="30">
        <v>45812</v>
      </c>
      <c r="B151" s="19" t="s">
        <v>42</v>
      </c>
      <c r="C151" s="19" t="s">
        <v>187</v>
      </c>
      <c r="D151" s="19" t="s">
        <v>21</v>
      </c>
      <c r="E151" s="19">
        <v>503</v>
      </c>
      <c r="F151" s="19">
        <v>3.38</v>
      </c>
      <c r="G151" s="19">
        <f t="shared" si="2"/>
        <v>1700.1399999999999</v>
      </c>
      <c r="H151" s="19">
        <v>49.3</v>
      </c>
    </row>
    <row r="152" spans="1:8" x14ac:dyDescent="0.25">
      <c r="A152" s="30">
        <v>45813</v>
      </c>
      <c r="B152" s="19" t="s">
        <v>16</v>
      </c>
      <c r="C152" s="19" t="s">
        <v>188</v>
      </c>
      <c r="D152" s="19" t="s">
        <v>57</v>
      </c>
      <c r="E152" s="19">
        <v>1</v>
      </c>
      <c r="F152" s="19">
        <v>1725.8</v>
      </c>
      <c r="G152" s="19">
        <f t="shared" si="2"/>
        <v>1725.8</v>
      </c>
      <c r="H152" s="19">
        <v>0</v>
      </c>
    </row>
    <row r="153" spans="1:8" x14ac:dyDescent="0.25">
      <c r="A153" s="30">
        <v>45814</v>
      </c>
      <c r="B153" s="19" t="s">
        <v>37</v>
      </c>
      <c r="C153" s="19" t="s">
        <v>189</v>
      </c>
      <c r="D153" s="19" t="s">
        <v>62</v>
      </c>
      <c r="E153" s="19">
        <v>545</v>
      </c>
      <c r="F153" s="19">
        <v>3.4</v>
      </c>
      <c r="G153" s="19">
        <f t="shared" si="2"/>
        <v>1853</v>
      </c>
      <c r="H153" s="19">
        <v>53.74</v>
      </c>
    </row>
    <row r="154" spans="1:8" x14ac:dyDescent="0.25">
      <c r="A154" s="30">
        <v>45817</v>
      </c>
      <c r="B154" s="19" t="s">
        <v>31</v>
      </c>
      <c r="C154" s="19" t="s">
        <v>190</v>
      </c>
      <c r="D154" s="19" t="s">
        <v>44</v>
      </c>
      <c r="E154" s="19">
        <v>525</v>
      </c>
      <c r="F154" s="19">
        <v>3.36</v>
      </c>
      <c r="G154" s="19">
        <f t="shared" si="2"/>
        <v>1764</v>
      </c>
      <c r="H154" s="19">
        <v>51.16</v>
      </c>
    </row>
    <row r="155" spans="1:8" x14ac:dyDescent="0.25">
      <c r="A155" s="30">
        <v>45818</v>
      </c>
      <c r="B155" s="19" t="s">
        <v>24</v>
      </c>
      <c r="C155" s="19" t="s">
        <v>191</v>
      </c>
      <c r="D155" s="19" t="s">
        <v>26</v>
      </c>
      <c r="E155" s="19">
        <v>560</v>
      </c>
      <c r="F155" s="19">
        <v>3.86</v>
      </c>
      <c r="G155" s="19">
        <f t="shared" si="2"/>
        <v>2161.6</v>
      </c>
      <c r="H155" s="19">
        <v>62.69</v>
      </c>
    </row>
    <row r="156" spans="1:8" x14ac:dyDescent="0.25">
      <c r="A156" s="30">
        <v>45819</v>
      </c>
      <c r="B156" s="19" t="s">
        <v>33</v>
      </c>
      <c r="C156" s="19" t="s">
        <v>192</v>
      </c>
      <c r="D156" s="19" t="s">
        <v>64</v>
      </c>
      <c r="E156" s="19">
        <v>1</v>
      </c>
      <c r="F156" s="19">
        <v>1158.6600000000001</v>
      </c>
      <c r="G156" s="19">
        <f t="shared" si="2"/>
        <v>1158.6600000000001</v>
      </c>
      <c r="H156" s="19">
        <v>0</v>
      </c>
    </row>
    <row r="157" spans="1:8" x14ac:dyDescent="0.25">
      <c r="A157" s="30">
        <v>45820</v>
      </c>
      <c r="B157" s="19" t="s">
        <v>16</v>
      </c>
      <c r="C157" s="19" t="s">
        <v>193</v>
      </c>
      <c r="D157" s="19" t="s">
        <v>62</v>
      </c>
      <c r="E157" s="19">
        <v>623</v>
      </c>
      <c r="F157" s="19">
        <v>3.9</v>
      </c>
      <c r="G157" s="19">
        <f t="shared" si="2"/>
        <v>2429.6999999999998</v>
      </c>
      <c r="H157" s="19">
        <v>70.459999999999994</v>
      </c>
    </row>
    <row r="158" spans="1:8" x14ac:dyDescent="0.25">
      <c r="A158" s="30">
        <v>45821</v>
      </c>
      <c r="B158" s="19" t="s">
        <v>22</v>
      </c>
      <c r="C158" s="19" t="s">
        <v>194</v>
      </c>
      <c r="D158" s="19" t="s">
        <v>26</v>
      </c>
      <c r="E158" s="19">
        <v>545</v>
      </c>
      <c r="F158" s="19">
        <v>3.85</v>
      </c>
      <c r="G158" s="19">
        <f t="shared" si="2"/>
        <v>2098.25</v>
      </c>
      <c r="H158" s="19">
        <v>60.85</v>
      </c>
    </row>
    <row r="159" spans="1:8" x14ac:dyDescent="0.25">
      <c r="A159" s="30">
        <v>45824</v>
      </c>
      <c r="B159" s="19" t="s">
        <v>37</v>
      </c>
      <c r="C159" s="19" t="s">
        <v>195</v>
      </c>
      <c r="D159" s="19" t="s">
        <v>21</v>
      </c>
      <c r="E159" s="19">
        <v>565</v>
      </c>
      <c r="F159" s="19">
        <v>3.85</v>
      </c>
      <c r="G159" s="19">
        <f t="shared" si="2"/>
        <v>2175.25</v>
      </c>
      <c r="H159" s="19">
        <v>63.08</v>
      </c>
    </row>
    <row r="160" spans="1:8" x14ac:dyDescent="0.25">
      <c r="A160" s="30">
        <v>45825</v>
      </c>
      <c r="B160" s="19" t="s">
        <v>42</v>
      </c>
      <c r="C160" s="19" t="s">
        <v>196</v>
      </c>
      <c r="D160" s="19" t="s">
        <v>57</v>
      </c>
      <c r="E160" s="19">
        <v>1</v>
      </c>
      <c r="F160" s="19">
        <v>1440.35</v>
      </c>
      <c r="G160" s="19">
        <f t="shared" si="2"/>
        <v>1440.35</v>
      </c>
      <c r="H160" s="19">
        <v>41.77</v>
      </c>
    </row>
    <row r="161" spans="1:8" x14ac:dyDescent="0.25">
      <c r="A161" s="30">
        <v>45826</v>
      </c>
      <c r="B161" s="19" t="s">
        <v>45</v>
      </c>
      <c r="C161" s="19" t="s">
        <v>197</v>
      </c>
      <c r="D161" s="19" t="s">
        <v>18</v>
      </c>
      <c r="E161" s="19">
        <v>531</v>
      </c>
      <c r="F161" s="19">
        <v>3.81</v>
      </c>
      <c r="G161" s="19">
        <f t="shared" si="2"/>
        <v>2023.1100000000001</v>
      </c>
      <c r="H161" s="19">
        <v>58.67</v>
      </c>
    </row>
    <row r="162" spans="1:8" x14ac:dyDescent="0.25">
      <c r="A162" s="30">
        <v>45827</v>
      </c>
      <c r="B162" s="19" t="s">
        <v>33</v>
      </c>
      <c r="C162" s="19" t="s">
        <v>198</v>
      </c>
      <c r="D162" s="19" t="s">
        <v>26</v>
      </c>
      <c r="E162" s="19">
        <v>592</v>
      </c>
      <c r="F162" s="19">
        <v>3.83</v>
      </c>
      <c r="G162" s="19">
        <f t="shared" si="2"/>
        <v>2267.36</v>
      </c>
      <c r="H162" s="19">
        <v>65.75</v>
      </c>
    </row>
    <row r="163" spans="1:8" x14ac:dyDescent="0.25">
      <c r="A163" s="30">
        <v>45828</v>
      </c>
      <c r="B163" s="19" t="s">
        <v>31</v>
      </c>
      <c r="C163" s="19" t="s">
        <v>199</v>
      </c>
      <c r="D163" s="19" t="s">
        <v>44</v>
      </c>
      <c r="E163" s="19">
        <v>569</v>
      </c>
      <c r="F163" s="19">
        <v>3.82</v>
      </c>
      <c r="G163" s="19">
        <f t="shared" si="2"/>
        <v>2173.58</v>
      </c>
      <c r="H163" s="19">
        <v>63.03</v>
      </c>
    </row>
    <row r="164" spans="1:8" x14ac:dyDescent="0.25">
      <c r="A164" s="30">
        <v>45831</v>
      </c>
      <c r="B164" s="19" t="s">
        <v>55</v>
      </c>
      <c r="C164" s="19" t="s">
        <v>200</v>
      </c>
      <c r="D164" s="19" t="s">
        <v>26</v>
      </c>
      <c r="E164" s="19">
        <v>554</v>
      </c>
      <c r="F164" s="19">
        <v>3.83</v>
      </c>
      <c r="G164" s="19">
        <f t="shared" si="2"/>
        <v>2121.8200000000002</v>
      </c>
      <c r="H164" s="19">
        <v>0</v>
      </c>
    </row>
    <row r="165" spans="1:8" x14ac:dyDescent="0.25">
      <c r="A165" s="30">
        <v>45832</v>
      </c>
      <c r="B165" s="19" t="s">
        <v>22</v>
      </c>
      <c r="C165" s="19" t="s">
        <v>201</v>
      </c>
      <c r="D165" s="19" t="s">
        <v>62</v>
      </c>
      <c r="E165" s="19">
        <v>586</v>
      </c>
      <c r="F165" s="19">
        <v>3.83</v>
      </c>
      <c r="G165" s="19">
        <f t="shared" si="2"/>
        <v>2244.38</v>
      </c>
      <c r="H165" s="19">
        <v>65.09</v>
      </c>
    </row>
    <row r="166" spans="1:8" x14ac:dyDescent="0.25">
      <c r="A166" s="30">
        <v>45833</v>
      </c>
      <c r="B166" s="19" t="s">
        <v>42</v>
      </c>
      <c r="C166" s="19" t="s">
        <v>202</v>
      </c>
      <c r="D166" s="19" t="s">
        <v>64</v>
      </c>
      <c r="E166" s="19">
        <v>1</v>
      </c>
      <c r="F166" s="19">
        <v>900.42</v>
      </c>
      <c r="G166" s="19">
        <f t="shared" si="2"/>
        <v>900.42</v>
      </c>
      <c r="H166" s="19">
        <v>26.11</v>
      </c>
    </row>
    <row r="167" spans="1:8" x14ac:dyDescent="0.25">
      <c r="A167" s="30">
        <v>45834</v>
      </c>
      <c r="B167" s="19" t="s">
        <v>28</v>
      </c>
      <c r="C167" s="19" t="s">
        <v>203</v>
      </c>
      <c r="D167" s="19" t="s">
        <v>62</v>
      </c>
      <c r="E167" s="19">
        <v>620</v>
      </c>
      <c r="F167" s="19">
        <v>3.78</v>
      </c>
      <c r="G167" s="19">
        <f t="shared" si="2"/>
        <v>2343.6</v>
      </c>
      <c r="H167" s="19">
        <v>67.959999999999994</v>
      </c>
    </row>
    <row r="168" spans="1:8" x14ac:dyDescent="0.25">
      <c r="A168" s="30">
        <v>45835</v>
      </c>
      <c r="B168" s="19" t="s">
        <v>33</v>
      </c>
      <c r="C168" s="19" t="s">
        <v>204</v>
      </c>
      <c r="D168" s="19" t="s">
        <v>44</v>
      </c>
      <c r="E168" s="19">
        <v>581</v>
      </c>
      <c r="F168" s="19">
        <v>3.75</v>
      </c>
      <c r="G168" s="19">
        <f t="shared" si="2"/>
        <v>2178.75</v>
      </c>
      <c r="H168" s="19">
        <v>0</v>
      </c>
    </row>
    <row r="169" spans="1:8" x14ac:dyDescent="0.25">
      <c r="A169" s="30">
        <v>45838</v>
      </c>
      <c r="B169" s="19" t="s">
        <v>42</v>
      </c>
      <c r="C169" s="19" t="s">
        <v>205</v>
      </c>
      <c r="D169" s="19" t="s">
        <v>26</v>
      </c>
      <c r="E169" s="19">
        <v>613</v>
      </c>
      <c r="F169" s="19">
        <v>3.77</v>
      </c>
      <c r="G169" s="19">
        <f t="shared" si="2"/>
        <v>2311.0100000000002</v>
      </c>
      <c r="H169" s="19">
        <v>67.02</v>
      </c>
    </row>
    <row r="170" spans="1:8" x14ac:dyDescent="0.25">
      <c r="A170" s="30">
        <v>45839</v>
      </c>
      <c r="B170" s="19" t="s">
        <v>79</v>
      </c>
      <c r="C170" s="19" t="s">
        <v>206</v>
      </c>
      <c r="D170" s="19" t="s">
        <v>39</v>
      </c>
      <c r="E170" s="19">
        <v>1</v>
      </c>
      <c r="F170" s="19">
        <v>1761.65</v>
      </c>
      <c r="G170" s="19">
        <f t="shared" si="2"/>
        <v>1761.65</v>
      </c>
      <c r="H170" s="19">
        <v>51.09</v>
      </c>
    </row>
    <row r="171" spans="1:8" x14ac:dyDescent="0.25">
      <c r="A171" s="30">
        <v>45840</v>
      </c>
      <c r="B171" s="19" t="s">
        <v>28</v>
      </c>
      <c r="C171" s="19" t="s">
        <v>207</v>
      </c>
      <c r="D171" s="19" t="s">
        <v>21</v>
      </c>
      <c r="E171" s="19">
        <v>590</v>
      </c>
      <c r="F171" s="19">
        <v>3.75</v>
      </c>
      <c r="G171" s="19">
        <f t="shared" si="2"/>
        <v>2212.5</v>
      </c>
      <c r="H171" s="19">
        <v>64.16</v>
      </c>
    </row>
    <row r="172" spans="1:8" x14ac:dyDescent="0.25">
      <c r="A172" s="30">
        <v>45841</v>
      </c>
      <c r="B172" s="19" t="s">
        <v>22</v>
      </c>
      <c r="C172" s="19" t="s">
        <v>208</v>
      </c>
      <c r="D172" s="19" t="s">
        <v>21</v>
      </c>
      <c r="E172" s="19">
        <v>573</v>
      </c>
      <c r="F172" s="19">
        <v>3.77</v>
      </c>
      <c r="G172" s="19">
        <f t="shared" si="2"/>
        <v>2160.21</v>
      </c>
      <c r="H172" s="19">
        <v>0</v>
      </c>
    </row>
    <row r="173" spans="1:8" x14ac:dyDescent="0.25">
      <c r="A173" s="30">
        <v>45842</v>
      </c>
      <c r="B173" s="19" t="s">
        <v>22</v>
      </c>
      <c r="C173" s="19" t="s">
        <v>209</v>
      </c>
      <c r="D173" s="19" t="s">
        <v>26</v>
      </c>
      <c r="E173" s="19">
        <v>606</v>
      </c>
      <c r="F173" s="19">
        <v>3.76</v>
      </c>
      <c r="G173" s="19">
        <f t="shared" si="2"/>
        <v>2278.56</v>
      </c>
      <c r="H173" s="19">
        <v>66.08</v>
      </c>
    </row>
    <row r="174" spans="1:8" x14ac:dyDescent="0.25">
      <c r="A174" s="30">
        <v>45845</v>
      </c>
      <c r="B174" s="19" t="s">
        <v>24</v>
      </c>
      <c r="C174" s="19" t="s">
        <v>210</v>
      </c>
      <c r="D174" s="19" t="s">
        <v>44</v>
      </c>
      <c r="E174" s="19">
        <v>522</v>
      </c>
      <c r="F174" s="19">
        <v>3.88</v>
      </c>
      <c r="G174" s="19">
        <f t="shared" si="2"/>
        <v>2025.36</v>
      </c>
      <c r="H174" s="19">
        <v>58.74</v>
      </c>
    </row>
    <row r="175" spans="1:8" x14ac:dyDescent="0.25">
      <c r="A175" s="30">
        <v>45846</v>
      </c>
      <c r="B175" s="19" t="s">
        <v>22</v>
      </c>
      <c r="C175" s="19" t="s">
        <v>211</v>
      </c>
      <c r="D175" s="19" t="s">
        <v>212</v>
      </c>
      <c r="E175" s="19">
        <v>180</v>
      </c>
      <c r="F175" s="19">
        <v>45.01</v>
      </c>
      <c r="G175" s="19">
        <f t="shared" si="2"/>
        <v>8101.7999999999993</v>
      </c>
      <c r="H175" s="19">
        <v>234.95</v>
      </c>
    </row>
    <row r="176" spans="1:8" x14ac:dyDescent="0.25">
      <c r="A176" s="30">
        <v>45847</v>
      </c>
      <c r="B176" s="19" t="s">
        <v>55</v>
      </c>
      <c r="C176" s="19" t="s">
        <v>213</v>
      </c>
      <c r="D176" s="19" t="s">
        <v>64</v>
      </c>
      <c r="E176" s="19">
        <v>1</v>
      </c>
      <c r="F176" s="19">
        <v>1218.26</v>
      </c>
      <c r="G176" s="19">
        <f t="shared" si="2"/>
        <v>1218.26</v>
      </c>
      <c r="H176" s="19">
        <v>0</v>
      </c>
    </row>
    <row r="177" spans="1:8" x14ac:dyDescent="0.25">
      <c r="A177" s="30">
        <v>45848</v>
      </c>
      <c r="B177" s="19" t="s">
        <v>79</v>
      </c>
      <c r="C177" s="19" t="s">
        <v>214</v>
      </c>
      <c r="D177" s="19" t="s">
        <v>21</v>
      </c>
      <c r="E177" s="19">
        <v>660</v>
      </c>
      <c r="F177" s="19">
        <v>3.88</v>
      </c>
      <c r="G177" s="19">
        <f t="shared" si="2"/>
        <v>2560.7999999999997</v>
      </c>
      <c r="H177" s="19">
        <v>74.260000000000005</v>
      </c>
    </row>
    <row r="178" spans="1:8" x14ac:dyDescent="0.25">
      <c r="A178" s="30">
        <v>45849</v>
      </c>
      <c r="B178" s="19" t="s">
        <v>79</v>
      </c>
      <c r="C178" s="19" t="s">
        <v>215</v>
      </c>
      <c r="D178" s="19" t="s">
        <v>18</v>
      </c>
      <c r="E178" s="19">
        <v>606</v>
      </c>
      <c r="F178" s="19">
        <v>3.88</v>
      </c>
      <c r="G178" s="19">
        <f t="shared" si="2"/>
        <v>2351.2799999999997</v>
      </c>
      <c r="H178" s="19">
        <v>68.19</v>
      </c>
    </row>
    <row r="179" spans="1:8" x14ac:dyDescent="0.25">
      <c r="A179" s="30">
        <v>45852</v>
      </c>
      <c r="B179" s="19" t="s">
        <v>19</v>
      </c>
      <c r="C179" s="19" t="s">
        <v>216</v>
      </c>
      <c r="D179" s="19" t="s">
        <v>26</v>
      </c>
      <c r="E179" s="19">
        <v>784</v>
      </c>
      <c r="F179" s="19">
        <v>3.81</v>
      </c>
      <c r="G179" s="19">
        <f t="shared" si="2"/>
        <v>2987.04</v>
      </c>
      <c r="H179" s="19">
        <v>86.62</v>
      </c>
    </row>
    <row r="180" spans="1:8" x14ac:dyDescent="0.25">
      <c r="A180" s="30">
        <v>45853</v>
      </c>
      <c r="B180" s="19" t="s">
        <v>79</v>
      </c>
      <c r="C180" s="19" t="s">
        <v>217</v>
      </c>
      <c r="D180" s="19" t="s">
        <v>39</v>
      </c>
      <c r="E180" s="19">
        <v>1</v>
      </c>
      <c r="F180" s="19">
        <v>1069.76</v>
      </c>
      <c r="G180" s="19">
        <f t="shared" si="2"/>
        <v>1069.76</v>
      </c>
      <c r="H180" s="19">
        <v>31.02</v>
      </c>
    </row>
    <row r="181" spans="1:8" x14ac:dyDescent="0.25">
      <c r="A181" s="30">
        <v>45854</v>
      </c>
      <c r="B181" s="19" t="s">
        <v>22</v>
      </c>
      <c r="C181" s="19" t="s">
        <v>218</v>
      </c>
      <c r="D181" s="19" t="s">
        <v>21</v>
      </c>
      <c r="E181" s="19">
        <v>637</v>
      </c>
      <c r="F181" s="19">
        <v>3.83</v>
      </c>
      <c r="G181" s="19">
        <f t="shared" si="2"/>
        <v>2439.71</v>
      </c>
      <c r="H181" s="19">
        <v>70.75</v>
      </c>
    </row>
    <row r="182" spans="1:8" x14ac:dyDescent="0.25">
      <c r="A182" s="30">
        <v>45855</v>
      </c>
      <c r="B182" s="19" t="s">
        <v>35</v>
      </c>
      <c r="C182" s="19" t="s">
        <v>219</v>
      </c>
      <c r="D182" s="19" t="s">
        <v>18</v>
      </c>
      <c r="E182" s="19">
        <v>609</v>
      </c>
      <c r="F182" s="19">
        <v>3.82</v>
      </c>
      <c r="G182" s="19">
        <f t="shared" si="2"/>
        <v>2326.38</v>
      </c>
      <c r="H182" s="19">
        <v>67.47</v>
      </c>
    </row>
    <row r="183" spans="1:8" x14ac:dyDescent="0.25">
      <c r="A183" s="30">
        <v>45856</v>
      </c>
      <c r="B183" s="19" t="s">
        <v>35</v>
      </c>
      <c r="C183" s="19" t="s">
        <v>220</v>
      </c>
      <c r="D183" s="19" t="s">
        <v>64</v>
      </c>
      <c r="E183" s="19">
        <v>1</v>
      </c>
      <c r="F183" s="19">
        <v>888.36</v>
      </c>
      <c r="G183" s="19">
        <f t="shared" si="2"/>
        <v>888.36</v>
      </c>
      <c r="H183" s="19">
        <v>25.76</v>
      </c>
    </row>
    <row r="184" spans="1:8" x14ac:dyDescent="0.25">
      <c r="A184" s="30">
        <v>45859</v>
      </c>
      <c r="B184" s="19" t="s">
        <v>79</v>
      </c>
      <c r="C184" s="19" t="s">
        <v>221</v>
      </c>
      <c r="D184" s="19" t="s">
        <v>26</v>
      </c>
      <c r="E184" s="19">
        <v>664</v>
      </c>
      <c r="F184" s="19">
        <v>3.77</v>
      </c>
      <c r="G184" s="19">
        <f t="shared" si="2"/>
        <v>2503.2800000000002</v>
      </c>
      <c r="H184" s="19">
        <v>0</v>
      </c>
    </row>
    <row r="185" spans="1:8" x14ac:dyDescent="0.25">
      <c r="A185" s="30">
        <v>45860</v>
      </c>
      <c r="B185" s="19" t="s">
        <v>47</v>
      </c>
      <c r="C185" s="19" t="s">
        <v>222</v>
      </c>
      <c r="D185" s="19" t="s">
        <v>21</v>
      </c>
      <c r="E185" s="19">
        <v>435</v>
      </c>
      <c r="F185" s="19">
        <v>3.95</v>
      </c>
      <c r="G185" s="19">
        <f t="shared" si="2"/>
        <v>1718.25</v>
      </c>
      <c r="H185" s="19">
        <v>49.83</v>
      </c>
    </row>
    <row r="186" spans="1:8" x14ac:dyDescent="0.25">
      <c r="A186" s="30">
        <v>45861</v>
      </c>
      <c r="B186" s="19" t="s">
        <v>55</v>
      </c>
      <c r="C186" s="19" t="s">
        <v>223</v>
      </c>
      <c r="D186" s="19" t="s">
        <v>62</v>
      </c>
      <c r="E186" s="19">
        <v>407</v>
      </c>
      <c r="F186" s="19">
        <v>3.9</v>
      </c>
      <c r="G186" s="19">
        <f t="shared" si="2"/>
        <v>1587.3</v>
      </c>
      <c r="H186" s="19">
        <v>46.03</v>
      </c>
    </row>
    <row r="187" spans="1:8" x14ac:dyDescent="0.25">
      <c r="A187" s="30">
        <v>45862</v>
      </c>
      <c r="B187" s="19" t="s">
        <v>28</v>
      </c>
      <c r="C187" s="19" t="s">
        <v>224</v>
      </c>
      <c r="D187" s="19" t="s">
        <v>26</v>
      </c>
      <c r="E187" s="19">
        <v>533</v>
      </c>
      <c r="F187" s="19">
        <v>3.9</v>
      </c>
      <c r="G187" s="19">
        <f t="shared" si="2"/>
        <v>2078.6999999999998</v>
      </c>
      <c r="H187" s="19">
        <v>60.28</v>
      </c>
    </row>
    <row r="188" spans="1:8" x14ac:dyDescent="0.25">
      <c r="A188" s="30">
        <v>45863</v>
      </c>
      <c r="B188" s="19" t="s">
        <v>42</v>
      </c>
      <c r="C188" s="19" t="s">
        <v>225</v>
      </c>
      <c r="D188" s="19" t="s">
        <v>62</v>
      </c>
      <c r="E188" s="19">
        <v>481</v>
      </c>
      <c r="F188" s="19">
        <v>3.91</v>
      </c>
      <c r="G188" s="19">
        <f t="shared" si="2"/>
        <v>1880.71</v>
      </c>
      <c r="H188" s="19">
        <v>54.54</v>
      </c>
    </row>
    <row r="189" spans="1:8" x14ac:dyDescent="0.25">
      <c r="A189" s="30">
        <v>45866</v>
      </c>
      <c r="B189" s="19" t="s">
        <v>31</v>
      </c>
      <c r="C189" s="19" t="s">
        <v>226</v>
      </c>
      <c r="D189" s="19" t="s">
        <v>26</v>
      </c>
      <c r="E189" s="19">
        <v>503</v>
      </c>
      <c r="F189" s="19">
        <v>3.88</v>
      </c>
      <c r="G189" s="19">
        <f t="shared" si="2"/>
        <v>1951.6399999999999</v>
      </c>
      <c r="H189" s="19">
        <v>56.6</v>
      </c>
    </row>
    <row r="190" spans="1:8" x14ac:dyDescent="0.25">
      <c r="A190" s="30">
        <v>45867</v>
      </c>
      <c r="B190" s="19" t="s">
        <v>79</v>
      </c>
      <c r="C190" s="19" t="s">
        <v>227</v>
      </c>
      <c r="D190" s="19" t="s">
        <v>26</v>
      </c>
      <c r="E190" s="19">
        <v>438</v>
      </c>
      <c r="F190" s="19">
        <v>3.84</v>
      </c>
      <c r="G190" s="19">
        <f t="shared" si="2"/>
        <v>1681.9199999999998</v>
      </c>
      <c r="H190" s="19">
        <v>48.78</v>
      </c>
    </row>
    <row r="191" spans="1:8" x14ac:dyDescent="0.25">
      <c r="A191" s="30">
        <v>45868</v>
      </c>
      <c r="B191" s="19" t="s">
        <v>79</v>
      </c>
      <c r="C191" s="19" t="s">
        <v>228</v>
      </c>
      <c r="D191" s="19" t="s">
        <v>62</v>
      </c>
      <c r="E191" s="19">
        <v>487</v>
      </c>
      <c r="F191" s="19">
        <v>3.84</v>
      </c>
      <c r="G191" s="19">
        <f t="shared" si="2"/>
        <v>1870.08</v>
      </c>
      <c r="H191" s="19">
        <v>0</v>
      </c>
    </row>
    <row r="192" spans="1:8" x14ac:dyDescent="0.25">
      <c r="A192" s="30">
        <v>45869</v>
      </c>
      <c r="B192" s="19" t="s">
        <v>75</v>
      </c>
      <c r="C192" s="19" t="s">
        <v>229</v>
      </c>
      <c r="D192" s="19" t="s">
        <v>21</v>
      </c>
      <c r="E192" s="19">
        <v>465</v>
      </c>
      <c r="F192" s="19">
        <v>3.86</v>
      </c>
      <c r="G192" s="19">
        <f t="shared" si="2"/>
        <v>1794.8999999999999</v>
      </c>
      <c r="H192" s="19">
        <v>52.05</v>
      </c>
    </row>
    <row r="193" spans="1:8" x14ac:dyDescent="0.25">
      <c r="A193" s="30">
        <v>45870</v>
      </c>
      <c r="B193" s="19" t="s">
        <v>79</v>
      </c>
      <c r="C193" s="19" t="s">
        <v>230</v>
      </c>
      <c r="D193" s="19" t="s">
        <v>26</v>
      </c>
      <c r="E193" s="19">
        <v>468</v>
      </c>
      <c r="F193" s="19">
        <v>3.78</v>
      </c>
      <c r="G193" s="19">
        <f t="shared" si="2"/>
        <v>1769.04</v>
      </c>
      <c r="H193" s="19">
        <v>51.3</v>
      </c>
    </row>
    <row r="194" spans="1:8" x14ac:dyDescent="0.25">
      <c r="A194" s="30">
        <v>45873</v>
      </c>
      <c r="B194" s="19" t="s">
        <v>79</v>
      </c>
      <c r="C194" s="19" t="s">
        <v>231</v>
      </c>
      <c r="D194" s="19" t="s">
        <v>44</v>
      </c>
      <c r="E194" s="19">
        <v>478</v>
      </c>
      <c r="F194" s="19">
        <v>3.82</v>
      </c>
      <c r="G194" s="19">
        <f t="shared" si="2"/>
        <v>1825.96</v>
      </c>
      <c r="H194" s="19">
        <v>0</v>
      </c>
    </row>
    <row r="195" spans="1:8" x14ac:dyDescent="0.25">
      <c r="A195" s="30">
        <v>45874</v>
      </c>
      <c r="B195" s="19" t="s">
        <v>19</v>
      </c>
      <c r="C195" s="19" t="s">
        <v>232</v>
      </c>
      <c r="D195" s="19" t="s">
        <v>57</v>
      </c>
      <c r="E195" s="19">
        <v>1</v>
      </c>
      <c r="F195" s="19">
        <v>1215.72</v>
      </c>
      <c r="G195" s="19">
        <f t="shared" si="2"/>
        <v>1215.72</v>
      </c>
      <c r="H195" s="19">
        <v>0</v>
      </c>
    </row>
    <row r="196" spans="1:8" x14ac:dyDescent="0.25">
      <c r="A196" s="30">
        <v>45875</v>
      </c>
      <c r="B196" s="19" t="s">
        <v>47</v>
      </c>
      <c r="C196" s="19" t="s">
        <v>233</v>
      </c>
      <c r="D196" s="19" t="s">
        <v>44</v>
      </c>
      <c r="E196" s="19">
        <v>469</v>
      </c>
      <c r="F196" s="19">
        <v>3.8</v>
      </c>
      <c r="G196" s="19">
        <f t="shared" si="2"/>
        <v>1782.1999999999998</v>
      </c>
      <c r="H196" s="19">
        <v>51.68</v>
      </c>
    </row>
    <row r="197" spans="1:8" x14ac:dyDescent="0.25">
      <c r="A197" s="30">
        <v>45876</v>
      </c>
      <c r="B197" s="19" t="s">
        <v>55</v>
      </c>
      <c r="C197" s="19" t="s">
        <v>234</v>
      </c>
      <c r="D197" s="19" t="s">
        <v>21</v>
      </c>
      <c r="E197" s="19">
        <v>538</v>
      </c>
      <c r="F197" s="19">
        <v>3.81</v>
      </c>
      <c r="G197" s="19">
        <f t="shared" ref="G197:G260" si="3">IF(OR(E197="",F197=""),"",E197*F197)</f>
        <v>2049.7800000000002</v>
      </c>
      <c r="H197" s="19">
        <v>0</v>
      </c>
    </row>
    <row r="198" spans="1:8" x14ac:dyDescent="0.25">
      <c r="A198" s="30">
        <v>45877</v>
      </c>
      <c r="B198" s="19" t="s">
        <v>45</v>
      </c>
      <c r="C198" s="19" t="s">
        <v>235</v>
      </c>
      <c r="D198" s="19" t="s">
        <v>21</v>
      </c>
      <c r="E198" s="19">
        <v>539</v>
      </c>
      <c r="F198" s="19">
        <v>3.76</v>
      </c>
      <c r="G198" s="19">
        <f t="shared" si="3"/>
        <v>2026.6399999999999</v>
      </c>
      <c r="H198" s="19">
        <v>0</v>
      </c>
    </row>
    <row r="199" spans="1:8" x14ac:dyDescent="0.25">
      <c r="A199" s="30">
        <v>45880</v>
      </c>
      <c r="B199" s="19" t="s">
        <v>31</v>
      </c>
      <c r="C199" s="19" t="s">
        <v>236</v>
      </c>
      <c r="D199" s="19" t="s">
        <v>62</v>
      </c>
      <c r="E199" s="19">
        <v>448</v>
      </c>
      <c r="F199" s="19">
        <v>3.75</v>
      </c>
      <c r="G199" s="19">
        <f t="shared" si="3"/>
        <v>1680</v>
      </c>
      <c r="H199" s="19">
        <v>48.72</v>
      </c>
    </row>
    <row r="200" spans="1:8" x14ac:dyDescent="0.25">
      <c r="A200" s="30">
        <v>45881</v>
      </c>
      <c r="B200" s="19" t="s">
        <v>31</v>
      </c>
      <c r="C200" s="19" t="s">
        <v>237</v>
      </c>
      <c r="D200" s="19" t="s">
        <v>62</v>
      </c>
      <c r="E200" s="19">
        <v>406</v>
      </c>
      <c r="F200" s="19">
        <v>3.76</v>
      </c>
      <c r="G200" s="19">
        <f t="shared" si="3"/>
        <v>1526.56</v>
      </c>
      <c r="H200" s="19">
        <v>0</v>
      </c>
    </row>
    <row r="201" spans="1:8" x14ac:dyDescent="0.25">
      <c r="A201" s="30">
        <v>45882</v>
      </c>
      <c r="B201" s="19" t="s">
        <v>31</v>
      </c>
      <c r="C201" s="19" t="s">
        <v>238</v>
      </c>
      <c r="D201" s="19" t="s">
        <v>62</v>
      </c>
      <c r="E201" s="19">
        <v>378</v>
      </c>
      <c r="F201" s="19">
        <v>3.78</v>
      </c>
      <c r="G201" s="19">
        <f t="shared" si="3"/>
        <v>1428.84</v>
      </c>
      <c r="H201" s="19">
        <v>41.44</v>
      </c>
    </row>
    <row r="202" spans="1:8" x14ac:dyDescent="0.25">
      <c r="A202" s="30">
        <v>45883</v>
      </c>
      <c r="B202" s="19" t="s">
        <v>45</v>
      </c>
      <c r="C202" s="19" t="s">
        <v>239</v>
      </c>
      <c r="D202" s="19" t="s">
        <v>26</v>
      </c>
      <c r="E202" s="19">
        <v>284</v>
      </c>
      <c r="F202" s="19">
        <v>3.73</v>
      </c>
      <c r="G202" s="19">
        <f t="shared" si="3"/>
        <v>1059.32</v>
      </c>
      <c r="H202" s="19">
        <v>0</v>
      </c>
    </row>
    <row r="203" spans="1:8" x14ac:dyDescent="0.25">
      <c r="A203" s="30">
        <v>45884</v>
      </c>
      <c r="B203" s="19" t="s">
        <v>31</v>
      </c>
      <c r="C203" s="19" t="s">
        <v>240</v>
      </c>
      <c r="D203" s="19" t="s">
        <v>26</v>
      </c>
      <c r="E203" s="19">
        <v>412</v>
      </c>
      <c r="F203" s="19">
        <v>3.76</v>
      </c>
      <c r="G203" s="19">
        <f t="shared" si="3"/>
        <v>1549.12</v>
      </c>
      <c r="H203" s="19">
        <v>44.92</v>
      </c>
    </row>
    <row r="204" spans="1:8" x14ac:dyDescent="0.25">
      <c r="A204" s="30">
        <v>45887</v>
      </c>
      <c r="B204" s="19" t="s">
        <v>33</v>
      </c>
      <c r="C204" s="19" t="s">
        <v>241</v>
      </c>
      <c r="D204" s="19" t="s">
        <v>44</v>
      </c>
      <c r="E204" s="19">
        <v>472</v>
      </c>
      <c r="F204" s="19">
        <v>3.71</v>
      </c>
      <c r="G204" s="19">
        <f t="shared" si="3"/>
        <v>1751.12</v>
      </c>
      <c r="H204" s="19">
        <v>50.78</v>
      </c>
    </row>
    <row r="205" spans="1:8" x14ac:dyDescent="0.25">
      <c r="A205" s="30">
        <v>45888</v>
      </c>
      <c r="B205" s="19" t="s">
        <v>28</v>
      </c>
      <c r="C205" s="19" t="s">
        <v>242</v>
      </c>
      <c r="D205" s="19" t="s">
        <v>62</v>
      </c>
      <c r="E205" s="19">
        <v>538</v>
      </c>
      <c r="F205" s="19">
        <v>3.7</v>
      </c>
      <c r="G205" s="19">
        <f t="shared" si="3"/>
        <v>1990.6000000000001</v>
      </c>
      <c r="H205" s="19">
        <v>57.73</v>
      </c>
    </row>
    <row r="206" spans="1:8" x14ac:dyDescent="0.25">
      <c r="A206" s="30">
        <v>45889</v>
      </c>
      <c r="B206" s="19" t="s">
        <v>35</v>
      </c>
      <c r="C206" s="19" t="s">
        <v>243</v>
      </c>
      <c r="D206" s="19" t="s">
        <v>26</v>
      </c>
      <c r="E206" s="19">
        <v>536</v>
      </c>
      <c r="F206" s="19">
        <v>3.73</v>
      </c>
      <c r="G206" s="19">
        <f t="shared" si="3"/>
        <v>1999.28</v>
      </c>
      <c r="H206" s="19">
        <v>57.98</v>
      </c>
    </row>
    <row r="207" spans="1:8" x14ac:dyDescent="0.25">
      <c r="A207" s="30">
        <v>45890</v>
      </c>
      <c r="B207" s="19" t="s">
        <v>79</v>
      </c>
      <c r="C207" s="19" t="s">
        <v>244</v>
      </c>
      <c r="D207" s="19" t="s">
        <v>64</v>
      </c>
      <c r="E207" s="19">
        <v>1</v>
      </c>
      <c r="F207" s="19">
        <v>856.48</v>
      </c>
      <c r="G207" s="19">
        <f t="shared" si="3"/>
        <v>856.48</v>
      </c>
      <c r="H207" s="19">
        <v>0</v>
      </c>
    </row>
    <row r="208" spans="1:8" x14ac:dyDescent="0.25">
      <c r="A208" s="30">
        <v>45891</v>
      </c>
      <c r="B208" s="19" t="s">
        <v>79</v>
      </c>
      <c r="C208" s="19" t="s">
        <v>245</v>
      </c>
      <c r="D208" s="19" t="s">
        <v>62</v>
      </c>
      <c r="E208" s="19">
        <v>456</v>
      </c>
      <c r="F208" s="19">
        <v>3.68</v>
      </c>
      <c r="G208" s="19">
        <f t="shared" si="3"/>
        <v>1678.0800000000002</v>
      </c>
      <c r="H208" s="19">
        <v>0</v>
      </c>
    </row>
    <row r="209" spans="1:8" x14ac:dyDescent="0.25">
      <c r="A209" s="30">
        <v>45894</v>
      </c>
      <c r="B209" s="19" t="s">
        <v>22</v>
      </c>
      <c r="C209" s="19" t="s">
        <v>246</v>
      </c>
      <c r="D209" s="19" t="s">
        <v>44</v>
      </c>
      <c r="E209" s="19">
        <v>491</v>
      </c>
      <c r="F209" s="19">
        <v>3.69</v>
      </c>
      <c r="G209" s="19">
        <f t="shared" si="3"/>
        <v>1811.79</v>
      </c>
      <c r="H209" s="19">
        <v>52.54</v>
      </c>
    </row>
    <row r="210" spans="1:8" x14ac:dyDescent="0.25">
      <c r="A210" s="30">
        <v>45895</v>
      </c>
      <c r="B210" s="19" t="s">
        <v>45</v>
      </c>
      <c r="C210" s="19" t="s">
        <v>247</v>
      </c>
      <c r="D210" s="19" t="s">
        <v>62</v>
      </c>
      <c r="E210" s="19">
        <v>505</v>
      </c>
      <c r="F210" s="19">
        <v>3.71</v>
      </c>
      <c r="G210" s="19">
        <f t="shared" si="3"/>
        <v>1873.55</v>
      </c>
      <c r="H210" s="19">
        <v>0</v>
      </c>
    </row>
    <row r="211" spans="1:8" x14ac:dyDescent="0.25">
      <c r="A211" s="30">
        <v>45896</v>
      </c>
      <c r="B211" s="19" t="s">
        <v>47</v>
      </c>
      <c r="C211" s="19" t="s">
        <v>248</v>
      </c>
      <c r="D211" s="19" t="s">
        <v>62</v>
      </c>
      <c r="E211" s="19">
        <v>487</v>
      </c>
      <c r="F211" s="19">
        <v>3.63</v>
      </c>
      <c r="G211" s="19">
        <f t="shared" si="3"/>
        <v>1767.81</v>
      </c>
      <c r="H211" s="19">
        <v>0</v>
      </c>
    </row>
    <row r="212" spans="1:8" x14ac:dyDescent="0.25">
      <c r="A212" s="30">
        <v>45897</v>
      </c>
      <c r="B212" s="19" t="s">
        <v>47</v>
      </c>
      <c r="C212" s="19" t="s">
        <v>249</v>
      </c>
      <c r="D212" s="19" t="s">
        <v>82</v>
      </c>
      <c r="E212" s="19">
        <v>1</v>
      </c>
      <c r="F212" s="19">
        <v>1285.18</v>
      </c>
      <c r="G212" s="19">
        <f t="shared" si="3"/>
        <v>1285.18</v>
      </c>
      <c r="H212" s="19">
        <v>37.270000000000003</v>
      </c>
    </row>
    <row r="213" spans="1:8" x14ac:dyDescent="0.25">
      <c r="A213" s="30">
        <v>45898</v>
      </c>
      <c r="B213" s="19" t="s">
        <v>22</v>
      </c>
      <c r="C213" s="19" t="s">
        <v>250</v>
      </c>
      <c r="D213" s="19" t="s">
        <v>26</v>
      </c>
      <c r="E213" s="19">
        <v>389</v>
      </c>
      <c r="F213" s="19">
        <v>3.63</v>
      </c>
      <c r="G213" s="19">
        <f t="shared" si="3"/>
        <v>1412.07</v>
      </c>
      <c r="H213" s="19">
        <v>0</v>
      </c>
    </row>
    <row r="214" spans="1:8" x14ac:dyDescent="0.25">
      <c r="A214" s="30">
        <v>45901</v>
      </c>
      <c r="B214" s="19" t="s">
        <v>55</v>
      </c>
      <c r="C214" s="19" t="s">
        <v>251</v>
      </c>
      <c r="D214" s="19" t="s">
        <v>62</v>
      </c>
      <c r="E214" s="19">
        <v>401</v>
      </c>
      <c r="F214" s="19">
        <v>3.62</v>
      </c>
      <c r="G214" s="19">
        <f t="shared" si="3"/>
        <v>1451.6200000000001</v>
      </c>
      <c r="H214" s="19">
        <v>42.1</v>
      </c>
    </row>
    <row r="215" spans="1:8" x14ac:dyDescent="0.25">
      <c r="A215" s="30">
        <v>45902</v>
      </c>
      <c r="B215" s="19" t="s">
        <v>16</v>
      </c>
      <c r="C215" s="19" t="s">
        <v>252</v>
      </c>
      <c r="D215" s="19" t="s">
        <v>64</v>
      </c>
      <c r="E215" s="19">
        <v>1</v>
      </c>
      <c r="F215" s="19">
        <v>875.65</v>
      </c>
      <c r="G215" s="19">
        <f t="shared" si="3"/>
        <v>875.65</v>
      </c>
      <c r="H215" s="19">
        <v>0</v>
      </c>
    </row>
    <row r="216" spans="1:8" x14ac:dyDescent="0.25">
      <c r="A216" s="30">
        <v>45903</v>
      </c>
      <c r="B216" s="19" t="s">
        <v>19</v>
      </c>
      <c r="C216" s="19" t="s">
        <v>253</v>
      </c>
      <c r="D216" s="19" t="s">
        <v>44</v>
      </c>
      <c r="E216" s="19">
        <v>428</v>
      </c>
      <c r="F216" s="19">
        <v>3.6</v>
      </c>
      <c r="G216" s="19">
        <f t="shared" si="3"/>
        <v>1540.8</v>
      </c>
      <c r="H216" s="19">
        <v>44.68</v>
      </c>
    </row>
    <row r="217" spans="1:8" x14ac:dyDescent="0.25">
      <c r="A217" s="30">
        <v>45904</v>
      </c>
      <c r="B217" s="19" t="s">
        <v>35</v>
      </c>
      <c r="C217" s="19" t="s">
        <v>254</v>
      </c>
      <c r="D217" s="19" t="s">
        <v>44</v>
      </c>
      <c r="E217" s="19">
        <v>393</v>
      </c>
      <c r="F217" s="19">
        <v>3.58</v>
      </c>
      <c r="G217" s="19">
        <f t="shared" si="3"/>
        <v>1406.94</v>
      </c>
      <c r="H217" s="19">
        <v>40.799999999999997</v>
      </c>
    </row>
    <row r="218" spans="1:8" x14ac:dyDescent="0.25">
      <c r="A218" s="30">
        <v>45905</v>
      </c>
      <c r="B218" s="19" t="s">
        <v>35</v>
      </c>
      <c r="C218" s="19" t="s">
        <v>255</v>
      </c>
      <c r="D218" s="19" t="s">
        <v>44</v>
      </c>
      <c r="E218" s="19">
        <v>299</v>
      </c>
      <c r="F218" s="19">
        <v>3.6</v>
      </c>
      <c r="G218" s="19">
        <f t="shared" si="3"/>
        <v>1076.4000000000001</v>
      </c>
      <c r="H218" s="19">
        <v>31.22</v>
      </c>
    </row>
    <row r="219" spans="1:8" x14ac:dyDescent="0.25">
      <c r="A219" s="30">
        <v>45908</v>
      </c>
      <c r="B219" s="19" t="s">
        <v>33</v>
      </c>
      <c r="C219" s="19" t="s">
        <v>256</v>
      </c>
      <c r="D219" s="19" t="s">
        <v>62</v>
      </c>
      <c r="E219" s="19">
        <v>220</v>
      </c>
      <c r="F219" s="19">
        <v>3.56</v>
      </c>
      <c r="G219" s="19">
        <f t="shared" si="3"/>
        <v>783.2</v>
      </c>
      <c r="H219" s="19">
        <v>22.71</v>
      </c>
    </row>
    <row r="220" spans="1:8" x14ac:dyDescent="0.25">
      <c r="A220" s="30">
        <v>45909</v>
      </c>
      <c r="B220" s="19" t="s">
        <v>16</v>
      </c>
      <c r="C220" s="19" t="s">
        <v>257</v>
      </c>
      <c r="D220" s="19" t="s">
        <v>62</v>
      </c>
      <c r="E220" s="19">
        <v>247</v>
      </c>
      <c r="F220" s="19">
        <v>3.59</v>
      </c>
      <c r="G220" s="19">
        <f t="shared" si="3"/>
        <v>886.73</v>
      </c>
      <c r="H220" s="19">
        <v>25.72</v>
      </c>
    </row>
    <row r="221" spans="1:8" x14ac:dyDescent="0.25">
      <c r="A221" s="30">
        <v>45910</v>
      </c>
      <c r="B221" s="19" t="s">
        <v>37</v>
      </c>
      <c r="C221" s="19" t="s">
        <v>258</v>
      </c>
      <c r="D221" s="19" t="s">
        <v>18</v>
      </c>
      <c r="E221" s="19">
        <v>258</v>
      </c>
      <c r="F221" s="19">
        <v>3.54</v>
      </c>
      <c r="G221" s="19">
        <f t="shared" si="3"/>
        <v>913.32</v>
      </c>
      <c r="H221" s="19">
        <v>0</v>
      </c>
    </row>
    <row r="222" spans="1:8" x14ac:dyDescent="0.25">
      <c r="A222" s="30">
        <v>45911</v>
      </c>
      <c r="B222" s="19" t="s">
        <v>35</v>
      </c>
      <c r="C222" s="19" t="s">
        <v>259</v>
      </c>
      <c r="D222" s="19" t="s">
        <v>18</v>
      </c>
      <c r="E222" s="19">
        <v>289</v>
      </c>
      <c r="F222" s="19">
        <v>3.59</v>
      </c>
      <c r="G222" s="19">
        <f t="shared" si="3"/>
        <v>1037.51</v>
      </c>
      <c r="H222" s="19">
        <v>30.09</v>
      </c>
    </row>
    <row r="223" spans="1:8" x14ac:dyDescent="0.25">
      <c r="A223" s="30">
        <v>45912</v>
      </c>
      <c r="B223" s="19" t="s">
        <v>35</v>
      </c>
      <c r="C223" s="19" t="s">
        <v>260</v>
      </c>
      <c r="D223" s="19" t="s">
        <v>18</v>
      </c>
      <c r="E223" s="19">
        <v>316</v>
      </c>
      <c r="F223" s="19">
        <v>3.52</v>
      </c>
      <c r="G223" s="19">
        <f t="shared" si="3"/>
        <v>1112.32</v>
      </c>
      <c r="H223" s="19">
        <v>0</v>
      </c>
    </row>
    <row r="224" spans="1:8" x14ac:dyDescent="0.25">
      <c r="A224" s="30">
        <v>45915</v>
      </c>
      <c r="B224" s="19" t="s">
        <v>19</v>
      </c>
      <c r="C224" s="19" t="s">
        <v>261</v>
      </c>
      <c r="D224" s="19" t="s">
        <v>21</v>
      </c>
      <c r="E224" s="19">
        <v>380</v>
      </c>
      <c r="F224" s="19">
        <v>3.57</v>
      </c>
      <c r="G224" s="19">
        <f t="shared" si="3"/>
        <v>1356.6</v>
      </c>
      <c r="H224" s="19">
        <v>39.340000000000003</v>
      </c>
    </row>
    <row r="225" spans="1:8" x14ac:dyDescent="0.25">
      <c r="A225" s="30">
        <v>45916</v>
      </c>
      <c r="B225" s="19" t="s">
        <v>55</v>
      </c>
      <c r="C225" s="19" t="s">
        <v>262</v>
      </c>
      <c r="D225" s="19" t="s">
        <v>26</v>
      </c>
      <c r="E225" s="19">
        <v>454</v>
      </c>
      <c r="F225" s="19">
        <v>3.52</v>
      </c>
      <c r="G225" s="19">
        <f t="shared" si="3"/>
        <v>1598.08</v>
      </c>
      <c r="H225" s="19">
        <v>0</v>
      </c>
    </row>
    <row r="226" spans="1:8" x14ac:dyDescent="0.25">
      <c r="A226" s="30">
        <v>45917</v>
      </c>
      <c r="B226" s="19" t="s">
        <v>22</v>
      </c>
      <c r="C226" s="19" t="s">
        <v>263</v>
      </c>
      <c r="D226" s="19" t="s">
        <v>62</v>
      </c>
      <c r="E226" s="19">
        <v>516</v>
      </c>
      <c r="F226" s="19">
        <v>3.51</v>
      </c>
      <c r="G226" s="19">
        <f t="shared" si="3"/>
        <v>1811.1599999999999</v>
      </c>
      <c r="H226" s="19">
        <v>0</v>
      </c>
    </row>
    <row r="227" spans="1:8" x14ac:dyDescent="0.25">
      <c r="A227" s="30">
        <v>45918</v>
      </c>
      <c r="B227" s="19" t="s">
        <v>79</v>
      </c>
      <c r="C227" s="19" t="s">
        <v>264</v>
      </c>
      <c r="D227" s="19" t="s">
        <v>64</v>
      </c>
      <c r="E227" s="19">
        <v>1</v>
      </c>
      <c r="F227" s="19">
        <v>1123.3499999999999</v>
      </c>
      <c r="G227" s="19">
        <f t="shared" si="3"/>
        <v>1123.3499999999999</v>
      </c>
      <c r="H227" s="19">
        <v>32.58</v>
      </c>
    </row>
    <row r="228" spans="1:8" x14ac:dyDescent="0.25">
      <c r="A228" s="30">
        <v>45919</v>
      </c>
      <c r="B228" s="19" t="s">
        <v>55</v>
      </c>
      <c r="C228" s="19" t="s">
        <v>265</v>
      </c>
      <c r="D228" s="19" t="s">
        <v>44</v>
      </c>
      <c r="E228" s="19">
        <v>512</v>
      </c>
      <c r="F228" s="19">
        <v>3.49</v>
      </c>
      <c r="G228" s="19">
        <f t="shared" si="3"/>
        <v>1786.88</v>
      </c>
      <c r="H228" s="19">
        <v>51.82</v>
      </c>
    </row>
    <row r="229" spans="1:8" x14ac:dyDescent="0.25">
      <c r="A229" s="30">
        <v>45922</v>
      </c>
      <c r="B229" s="19" t="s">
        <v>35</v>
      </c>
      <c r="C229" s="19" t="s">
        <v>266</v>
      </c>
      <c r="D229" s="19" t="s">
        <v>18</v>
      </c>
      <c r="E229" s="19">
        <v>512</v>
      </c>
      <c r="F229" s="19">
        <v>3.48</v>
      </c>
      <c r="G229" s="19">
        <f t="shared" si="3"/>
        <v>1781.76</v>
      </c>
      <c r="H229" s="19">
        <v>51.67</v>
      </c>
    </row>
    <row r="230" spans="1:8" x14ac:dyDescent="0.25">
      <c r="A230" s="30">
        <v>45923</v>
      </c>
      <c r="B230" s="19" t="s">
        <v>24</v>
      </c>
      <c r="C230" s="19" t="s">
        <v>267</v>
      </c>
      <c r="D230" s="19" t="s">
        <v>44</v>
      </c>
      <c r="E230" s="19">
        <v>466</v>
      </c>
      <c r="F230" s="19">
        <v>3.5</v>
      </c>
      <c r="G230" s="19">
        <f t="shared" si="3"/>
        <v>1631</v>
      </c>
      <c r="H230" s="19">
        <v>47.3</v>
      </c>
    </row>
    <row r="231" spans="1:8" x14ac:dyDescent="0.25">
      <c r="A231" s="30">
        <v>45924</v>
      </c>
      <c r="B231" s="19" t="s">
        <v>42</v>
      </c>
      <c r="C231" s="19" t="s">
        <v>268</v>
      </c>
      <c r="D231" s="19" t="s">
        <v>44</v>
      </c>
      <c r="E231" s="19">
        <v>470</v>
      </c>
      <c r="F231" s="19">
        <v>3.49</v>
      </c>
      <c r="G231" s="19">
        <f t="shared" si="3"/>
        <v>1640.3000000000002</v>
      </c>
      <c r="H231" s="19">
        <v>47.57</v>
      </c>
    </row>
    <row r="232" spans="1:8" x14ac:dyDescent="0.25">
      <c r="A232" s="30">
        <v>45925</v>
      </c>
      <c r="B232" s="19" t="s">
        <v>31</v>
      </c>
      <c r="C232" s="19" t="s">
        <v>269</v>
      </c>
      <c r="D232" s="19" t="s">
        <v>39</v>
      </c>
      <c r="E232" s="19">
        <v>1</v>
      </c>
      <c r="F232" s="19">
        <v>1263.78</v>
      </c>
      <c r="G232" s="19">
        <f t="shared" si="3"/>
        <v>1263.78</v>
      </c>
      <c r="H232" s="19">
        <v>36.65</v>
      </c>
    </row>
    <row r="233" spans="1:8" x14ac:dyDescent="0.25">
      <c r="A233" s="30">
        <v>45926</v>
      </c>
      <c r="B233" s="19" t="s">
        <v>24</v>
      </c>
      <c r="C233" s="19" t="s">
        <v>270</v>
      </c>
      <c r="D233" s="19" t="s">
        <v>21</v>
      </c>
      <c r="E233" s="19">
        <v>536</v>
      </c>
      <c r="F233" s="19">
        <v>3.46</v>
      </c>
      <c r="G233" s="19">
        <f t="shared" si="3"/>
        <v>1854.56</v>
      </c>
      <c r="H233" s="19">
        <v>53.78</v>
      </c>
    </row>
    <row r="234" spans="1:8" x14ac:dyDescent="0.25">
      <c r="A234" s="30">
        <v>45929</v>
      </c>
      <c r="B234" s="19" t="s">
        <v>24</v>
      </c>
      <c r="C234" s="19" t="s">
        <v>271</v>
      </c>
      <c r="D234" s="19" t="s">
        <v>21</v>
      </c>
      <c r="E234" s="19">
        <v>508</v>
      </c>
      <c r="F234" s="19">
        <v>3.44</v>
      </c>
      <c r="G234" s="19">
        <f t="shared" si="3"/>
        <v>1747.52</v>
      </c>
      <c r="H234" s="19">
        <v>50.68</v>
      </c>
    </row>
    <row r="235" spans="1:8" x14ac:dyDescent="0.25">
      <c r="A235" s="30">
        <v>45930</v>
      </c>
      <c r="B235" s="19" t="s">
        <v>75</v>
      </c>
      <c r="C235" s="19" t="s">
        <v>272</v>
      </c>
      <c r="D235" s="19" t="s">
        <v>44</v>
      </c>
      <c r="E235" s="19">
        <v>556</v>
      </c>
      <c r="F235" s="19">
        <v>3.45</v>
      </c>
      <c r="G235" s="19">
        <f t="shared" si="3"/>
        <v>1918.2</v>
      </c>
      <c r="H235" s="19">
        <v>55.63</v>
      </c>
    </row>
    <row r="236" spans="1:8" x14ac:dyDescent="0.25">
      <c r="A236" s="30">
        <v>45931</v>
      </c>
      <c r="B236" s="19" t="s">
        <v>35</v>
      </c>
      <c r="C236" s="19" t="s">
        <v>273</v>
      </c>
      <c r="D236" s="19" t="s">
        <v>18</v>
      </c>
      <c r="E236" s="19">
        <v>483</v>
      </c>
      <c r="F236" s="19">
        <v>3.46</v>
      </c>
      <c r="G236" s="19">
        <f t="shared" si="3"/>
        <v>1671.18</v>
      </c>
      <c r="H236" s="19">
        <v>48.46</v>
      </c>
    </row>
    <row r="237" spans="1:8" x14ac:dyDescent="0.25">
      <c r="A237" s="30">
        <v>45932</v>
      </c>
      <c r="B237" s="19" t="s">
        <v>37</v>
      </c>
      <c r="C237" s="19" t="s">
        <v>274</v>
      </c>
      <c r="D237" s="19" t="s">
        <v>82</v>
      </c>
      <c r="E237" s="19">
        <v>1</v>
      </c>
      <c r="F237" s="19">
        <v>1106.3900000000001</v>
      </c>
      <c r="G237" s="19">
        <f t="shared" si="3"/>
        <v>1106.3900000000001</v>
      </c>
      <c r="H237" s="19">
        <v>32.090000000000003</v>
      </c>
    </row>
    <row r="238" spans="1:8" x14ac:dyDescent="0.25">
      <c r="A238" s="30">
        <v>45933</v>
      </c>
      <c r="B238" s="19" t="s">
        <v>24</v>
      </c>
      <c r="C238" s="19" t="s">
        <v>275</v>
      </c>
      <c r="D238" s="19" t="s">
        <v>44</v>
      </c>
      <c r="E238" s="19">
        <v>515</v>
      </c>
      <c r="F238" s="19">
        <v>3.4</v>
      </c>
      <c r="G238" s="19">
        <f t="shared" si="3"/>
        <v>1751</v>
      </c>
      <c r="H238" s="19">
        <v>50.78</v>
      </c>
    </row>
    <row r="239" spans="1:8" x14ac:dyDescent="0.25">
      <c r="A239" s="30">
        <v>45936</v>
      </c>
      <c r="B239" s="19" t="s">
        <v>16</v>
      </c>
      <c r="C239" s="19" t="s">
        <v>276</v>
      </c>
      <c r="D239" s="19" t="s">
        <v>44</v>
      </c>
      <c r="E239" s="19">
        <v>548</v>
      </c>
      <c r="F239" s="19">
        <v>3.43</v>
      </c>
      <c r="G239" s="19">
        <f t="shared" si="3"/>
        <v>1879.64</v>
      </c>
      <c r="H239" s="19">
        <v>54.51</v>
      </c>
    </row>
    <row r="240" spans="1:8" x14ac:dyDescent="0.25">
      <c r="A240" s="30">
        <v>45937</v>
      </c>
      <c r="B240" s="19" t="s">
        <v>24</v>
      </c>
      <c r="C240" s="19" t="s">
        <v>277</v>
      </c>
      <c r="D240" s="19" t="s">
        <v>62</v>
      </c>
      <c r="E240" s="19">
        <v>500</v>
      </c>
      <c r="F240" s="19">
        <v>3.43</v>
      </c>
      <c r="G240" s="19">
        <f t="shared" si="3"/>
        <v>1715</v>
      </c>
      <c r="H240" s="19">
        <v>49.73</v>
      </c>
    </row>
    <row r="241" spans="1:8" x14ac:dyDescent="0.25">
      <c r="A241" s="30">
        <v>45938</v>
      </c>
      <c r="B241" s="19" t="s">
        <v>22</v>
      </c>
      <c r="C241" s="19" t="s">
        <v>278</v>
      </c>
      <c r="D241" s="19" t="s">
        <v>44</v>
      </c>
      <c r="E241" s="19">
        <v>518</v>
      </c>
      <c r="F241" s="19">
        <v>3.43</v>
      </c>
      <c r="G241" s="19">
        <f t="shared" si="3"/>
        <v>1776.74</v>
      </c>
      <c r="H241" s="19">
        <v>51.53</v>
      </c>
    </row>
    <row r="242" spans="1:8" x14ac:dyDescent="0.25">
      <c r="A242" s="30">
        <v>45939</v>
      </c>
      <c r="B242" s="19" t="s">
        <v>45</v>
      </c>
      <c r="C242" s="19" t="s">
        <v>279</v>
      </c>
      <c r="D242" s="19" t="s">
        <v>39</v>
      </c>
      <c r="E242" s="19">
        <v>1</v>
      </c>
      <c r="F242" s="19">
        <v>1514.93</v>
      </c>
      <c r="G242" s="19">
        <f t="shared" si="3"/>
        <v>1514.93</v>
      </c>
      <c r="H242" s="19">
        <v>0</v>
      </c>
    </row>
    <row r="243" spans="1:8" x14ac:dyDescent="0.25">
      <c r="A243" s="30">
        <v>45940</v>
      </c>
      <c r="B243" s="19" t="s">
        <v>45</v>
      </c>
      <c r="C243" s="19" t="s">
        <v>280</v>
      </c>
      <c r="D243" s="19" t="s">
        <v>21</v>
      </c>
      <c r="E243" s="19">
        <v>523</v>
      </c>
      <c r="F243" s="19">
        <v>3.39</v>
      </c>
      <c r="G243" s="19">
        <f t="shared" si="3"/>
        <v>1772.97</v>
      </c>
      <c r="H243" s="19">
        <v>51.42</v>
      </c>
    </row>
    <row r="244" spans="1:8" x14ac:dyDescent="0.25">
      <c r="A244" s="30">
        <v>45943</v>
      </c>
      <c r="B244" s="19" t="s">
        <v>42</v>
      </c>
      <c r="C244" s="19" t="s">
        <v>281</v>
      </c>
      <c r="D244" s="19" t="s">
        <v>44</v>
      </c>
      <c r="E244" s="19">
        <v>528</v>
      </c>
      <c r="F244" s="19">
        <v>3.36</v>
      </c>
      <c r="G244" s="19">
        <f t="shared" si="3"/>
        <v>1774.08</v>
      </c>
      <c r="H244" s="19">
        <v>51.45</v>
      </c>
    </row>
    <row r="245" spans="1:8" x14ac:dyDescent="0.25">
      <c r="A245" s="30">
        <v>45944</v>
      </c>
      <c r="B245" s="19" t="s">
        <v>35</v>
      </c>
      <c r="C245" s="19" t="s">
        <v>282</v>
      </c>
      <c r="D245" s="19" t="s">
        <v>26</v>
      </c>
      <c r="E245" s="19">
        <v>557</v>
      </c>
      <c r="F245" s="19">
        <v>3.85</v>
      </c>
      <c r="G245" s="19">
        <f t="shared" si="3"/>
        <v>2144.4500000000003</v>
      </c>
      <c r="H245" s="19">
        <v>62.19</v>
      </c>
    </row>
    <row r="246" spans="1:8" x14ac:dyDescent="0.25">
      <c r="A246" s="30">
        <v>45945</v>
      </c>
      <c r="B246" s="19" t="s">
        <v>75</v>
      </c>
      <c r="C246" s="19" t="s">
        <v>283</v>
      </c>
      <c r="D246" s="19" t="s">
        <v>39</v>
      </c>
      <c r="E246" s="19">
        <v>1</v>
      </c>
      <c r="F246" s="19">
        <v>1255.23</v>
      </c>
      <c r="G246" s="19">
        <f t="shared" si="3"/>
        <v>1255.23</v>
      </c>
      <c r="H246" s="19">
        <v>36.4</v>
      </c>
    </row>
    <row r="247" spans="1:8" x14ac:dyDescent="0.25">
      <c r="A247" s="30">
        <v>45946</v>
      </c>
      <c r="B247" s="19" t="s">
        <v>37</v>
      </c>
      <c r="C247" s="19" t="s">
        <v>284</v>
      </c>
      <c r="D247" s="19" t="s">
        <v>44</v>
      </c>
      <c r="E247" s="19">
        <v>620</v>
      </c>
      <c r="F247" s="19">
        <v>3.91</v>
      </c>
      <c r="G247" s="19">
        <f t="shared" si="3"/>
        <v>2424.2000000000003</v>
      </c>
      <c r="H247" s="19">
        <v>70.3</v>
      </c>
    </row>
    <row r="248" spans="1:8" x14ac:dyDescent="0.25">
      <c r="A248" s="30">
        <v>45947</v>
      </c>
      <c r="B248" s="19" t="s">
        <v>33</v>
      </c>
      <c r="C248" s="19" t="s">
        <v>285</v>
      </c>
      <c r="D248" s="19" t="s">
        <v>18</v>
      </c>
      <c r="E248" s="19">
        <v>559</v>
      </c>
      <c r="F248" s="19">
        <v>3.84</v>
      </c>
      <c r="G248" s="19">
        <f t="shared" si="3"/>
        <v>2146.56</v>
      </c>
      <c r="H248" s="19">
        <v>62.25</v>
      </c>
    </row>
    <row r="249" spans="1:8" x14ac:dyDescent="0.25">
      <c r="A249" s="30">
        <v>45950</v>
      </c>
      <c r="B249" s="19" t="s">
        <v>35</v>
      </c>
      <c r="C249" s="19" t="s">
        <v>286</v>
      </c>
      <c r="D249" s="19" t="s">
        <v>21</v>
      </c>
      <c r="E249" s="19">
        <v>547</v>
      </c>
      <c r="F249" s="19">
        <v>3.83</v>
      </c>
      <c r="G249" s="19">
        <f t="shared" si="3"/>
        <v>2095.0100000000002</v>
      </c>
      <c r="H249" s="19">
        <v>60.76</v>
      </c>
    </row>
    <row r="250" spans="1:8" x14ac:dyDescent="0.25">
      <c r="A250" s="30">
        <v>45951</v>
      </c>
      <c r="B250" s="19" t="s">
        <v>37</v>
      </c>
      <c r="C250" s="19" t="s">
        <v>287</v>
      </c>
      <c r="D250" s="19" t="s">
        <v>39</v>
      </c>
      <c r="E250" s="19">
        <v>1</v>
      </c>
      <c r="F250" s="19">
        <v>1436.11</v>
      </c>
      <c r="G250" s="19">
        <f t="shared" si="3"/>
        <v>1436.11</v>
      </c>
      <c r="H250" s="19">
        <v>0</v>
      </c>
    </row>
    <row r="251" spans="1:8" x14ac:dyDescent="0.25">
      <c r="A251" s="30">
        <v>45952</v>
      </c>
      <c r="B251" s="19" t="s">
        <v>55</v>
      </c>
      <c r="C251" s="19" t="s">
        <v>288</v>
      </c>
      <c r="D251" s="19" t="s">
        <v>44</v>
      </c>
      <c r="E251" s="19">
        <v>529</v>
      </c>
      <c r="F251" s="19">
        <v>3.81</v>
      </c>
      <c r="G251" s="19">
        <f t="shared" si="3"/>
        <v>2015.49</v>
      </c>
      <c r="H251" s="19">
        <v>58.45</v>
      </c>
    </row>
    <row r="252" spans="1:8" x14ac:dyDescent="0.25">
      <c r="A252" s="30">
        <v>45953</v>
      </c>
      <c r="B252" s="19" t="s">
        <v>35</v>
      </c>
      <c r="C252" s="19" t="s">
        <v>289</v>
      </c>
      <c r="D252" s="19" t="s">
        <v>44</v>
      </c>
      <c r="E252" s="19">
        <v>553</v>
      </c>
      <c r="F252" s="19">
        <v>3.81</v>
      </c>
      <c r="G252" s="19">
        <f t="shared" si="3"/>
        <v>2106.9299999999998</v>
      </c>
      <c r="H252" s="19">
        <v>0</v>
      </c>
    </row>
    <row r="253" spans="1:8" x14ac:dyDescent="0.25">
      <c r="A253" s="30">
        <v>45954</v>
      </c>
      <c r="B253" s="19" t="s">
        <v>47</v>
      </c>
      <c r="C253" s="19" t="s">
        <v>290</v>
      </c>
      <c r="D253" s="19" t="s">
        <v>44</v>
      </c>
      <c r="E253" s="19">
        <v>541</v>
      </c>
      <c r="F253" s="19">
        <v>3.79</v>
      </c>
      <c r="G253" s="19">
        <f t="shared" si="3"/>
        <v>2050.39</v>
      </c>
      <c r="H253" s="19">
        <v>59.46</v>
      </c>
    </row>
    <row r="254" spans="1:8" x14ac:dyDescent="0.25">
      <c r="A254" s="30">
        <v>45957</v>
      </c>
      <c r="B254" s="19" t="s">
        <v>28</v>
      </c>
      <c r="C254" s="19" t="s">
        <v>291</v>
      </c>
      <c r="D254" s="19" t="s">
        <v>44</v>
      </c>
      <c r="E254" s="19">
        <v>556</v>
      </c>
      <c r="F254" s="19">
        <v>3.81</v>
      </c>
      <c r="G254" s="19">
        <f t="shared" si="3"/>
        <v>2118.36</v>
      </c>
      <c r="H254" s="19">
        <v>0</v>
      </c>
    </row>
    <row r="255" spans="1:8" x14ac:dyDescent="0.25">
      <c r="A255" s="30">
        <v>45958</v>
      </c>
      <c r="B255" s="19" t="s">
        <v>24</v>
      </c>
      <c r="C255" s="19" t="s">
        <v>292</v>
      </c>
      <c r="D255" s="19" t="s">
        <v>21</v>
      </c>
      <c r="E255" s="19">
        <v>607</v>
      </c>
      <c r="F255" s="19">
        <v>3.81</v>
      </c>
      <c r="G255" s="19">
        <f t="shared" si="3"/>
        <v>2312.67</v>
      </c>
      <c r="H255" s="19">
        <v>0</v>
      </c>
    </row>
    <row r="256" spans="1:8" x14ac:dyDescent="0.25">
      <c r="A256" s="30">
        <v>45959</v>
      </c>
      <c r="B256" s="19" t="s">
        <v>79</v>
      </c>
      <c r="C256" s="19" t="s">
        <v>293</v>
      </c>
      <c r="D256" s="19" t="s">
        <v>39</v>
      </c>
      <c r="E256" s="19">
        <v>1</v>
      </c>
      <c r="F256" s="19">
        <v>915.5</v>
      </c>
      <c r="G256" s="19">
        <f t="shared" si="3"/>
        <v>915.5</v>
      </c>
      <c r="H256" s="19">
        <v>26.55</v>
      </c>
    </row>
    <row r="257" spans="1:8" x14ac:dyDescent="0.25">
      <c r="A257" s="30">
        <v>45960</v>
      </c>
      <c r="B257" s="19" t="s">
        <v>45</v>
      </c>
      <c r="C257" s="19" t="s">
        <v>294</v>
      </c>
      <c r="D257" s="19" t="s">
        <v>21</v>
      </c>
      <c r="E257" s="19">
        <v>627</v>
      </c>
      <c r="F257" s="19">
        <v>3.8</v>
      </c>
      <c r="G257" s="19">
        <f t="shared" si="3"/>
        <v>2382.6</v>
      </c>
      <c r="H257" s="19">
        <v>69.099999999999994</v>
      </c>
    </row>
    <row r="258" spans="1:8" x14ac:dyDescent="0.25">
      <c r="A258" s="30">
        <v>45961</v>
      </c>
      <c r="B258" s="19" t="s">
        <v>79</v>
      </c>
      <c r="C258" s="19" t="s">
        <v>295</v>
      </c>
      <c r="D258" s="19" t="s">
        <v>62</v>
      </c>
      <c r="E258" s="19">
        <v>569</v>
      </c>
      <c r="F258" s="19">
        <v>3.75</v>
      </c>
      <c r="G258" s="19">
        <f t="shared" si="3"/>
        <v>2133.75</v>
      </c>
      <c r="H258" s="19">
        <v>61.88</v>
      </c>
    </row>
    <row r="259" spans="1:8" x14ac:dyDescent="0.25">
      <c r="A259" s="30">
        <v>45964</v>
      </c>
      <c r="B259" s="19" t="s">
        <v>33</v>
      </c>
      <c r="C259" s="19" t="s">
        <v>296</v>
      </c>
      <c r="D259" s="19" t="s">
        <v>18</v>
      </c>
      <c r="E259" s="19">
        <v>563</v>
      </c>
      <c r="F259" s="19">
        <v>3.8</v>
      </c>
      <c r="G259" s="19">
        <f t="shared" si="3"/>
        <v>2139.4</v>
      </c>
      <c r="H259" s="19">
        <v>0</v>
      </c>
    </row>
    <row r="260" spans="1:8" x14ac:dyDescent="0.25">
      <c r="A260" s="30">
        <v>45965</v>
      </c>
      <c r="B260" s="19" t="s">
        <v>33</v>
      </c>
      <c r="C260" s="19" t="s">
        <v>297</v>
      </c>
      <c r="D260" s="19" t="s">
        <v>64</v>
      </c>
      <c r="E260" s="19">
        <v>1</v>
      </c>
      <c r="F260" s="19">
        <v>1889.62</v>
      </c>
      <c r="G260" s="19">
        <f t="shared" si="3"/>
        <v>1889.62</v>
      </c>
      <c r="H260" s="19">
        <v>54.8</v>
      </c>
    </row>
    <row r="261" spans="1:8" x14ac:dyDescent="0.25">
      <c r="A261" s="30">
        <v>45966</v>
      </c>
      <c r="B261" s="19" t="s">
        <v>79</v>
      </c>
      <c r="C261" s="19" t="s">
        <v>298</v>
      </c>
      <c r="D261" s="19" t="s">
        <v>44</v>
      </c>
      <c r="E261" s="19">
        <v>568</v>
      </c>
      <c r="F261" s="19">
        <v>3.79</v>
      </c>
      <c r="G261" s="19">
        <f t="shared" ref="G261:G324" si="4">IF(OR(E261="",F261=""),"",E261*F261)</f>
        <v>2152.7199999999998</v>
      </c>
      <c r="H261" s="19">
        <v>62.43</v>
      </c>
    </row>
    <row r="262" spans="1:8" x14ac:dyDescent="0.25">
      <c r="A262" s="30">
        <v>45967</v>
      </c>
      <c r="B262" s="19" t="s">
        <v>31</v>
      </c>
      <c r="C262" s="19" t="s">
        <v>299</v>
      </c>
      <c r="D262" s="19" t="s">
        <v>44</v>
      </c>
      <c r="E262" s="19">
        <v>561</v>
      </c>
      <c r="F262" s="19">
        <v>3.77</v>
      </c>
      <c r="G262" s="19">
        <f t="shared" si="4"/>
        <v>2114.9699999999998</v>
      </c>
      <c r="H262" s="19">
        <v>61.33</v>
      </c>
    </row>
    <row r="263" spans="1:8" x14ac:dyDescent="0.25">
      <c r="A263" s="30">
        <v>45968</v>
      </c>
      <c r="B263" s="19" t="s">
        <v>37</v>
      </c>
      <c r="C263" s="19" t="s">
        <v>300</v>
      </c>
      <c r="D263" s="19" t="s">
        <v>26</v>
      </c>
      <c r="E263" s="19">
        <v>578</v>
      </c>
      <c r="F263" s="19">
        <v>3.76</v>
      </c>
      <c r="G263" s="19">
        <f t="shared" si="4"/>
        <v>2173.2799999999997</v>
      </c>
      <c r="H263" s="19">
        <v>63.03</v>
      </c>
    </row>
    <row r="264" spans="1:8" x14ac:dyDescent="0.25">
      <c r="A264" s="30">
        <v>45971</v>
      </c>
      <c r="B264" s="19" t="s">
        <v>33</v>
      </c>
      <c r="C264" s="19" t="s">
        <v>301</v>
      </c>
      <c r="D264" s="19" t="s">
        <v>62</v>
      </c>
      <c r="E264" s="19">
        <v>494</v>
      </c>
      <c r="F264" s="19">
        <v>3.82</v>
      </c>
      <c r="G264" s="19">
        <f t="shared" si="4"/>
        <v>1887.08</v>
      </c>
      <c r="H264" s="19">
        <v>54.73</v>
      </c>
    </row>
    <row r="265" spans="1:8" x14ac:dyDescent="0.25">
      <c r="A265" s="30">
        <v>45972</v>
      </c>
      <c r="B265" s="19" t="s">
        <v>24</v>
      </c>
      <c r="C265" s="19" t="s">
        <v>302</v>
      </c>
      <c r="D265" s="19" t="s">
        <v>212</v>
      </c>
      <c r="E265" s="19">
        <v>160</v>
      </c>
      <c r="F265" s="19">
        <v>45.13</v>
      </c>
      <c r="G265" s="19">
        <f t="shared" si="4"/>
        <v>7220.8</v>
      </c>
      <c r="H265" s="19">
        <v>209.4</v>
      </c>
    </row>
    <row r="266" spans="1:8" x14ac:dyDescent="0.25">
      <c r="A266" s="30">
        <v>45973</v>
      </c>
      <c r="B266" s="19" t="s">
        <v>24</v>
      </c>
      <c r="C266" s="19" t="s">
        <v>303</v>
      </c>
      <c r="D266" s="19" t="s">
        <v>57</v>
      </c>
      <c r="E266" s="19">
        <v>1</v>
      </c>
      <c r="F266" s="19">
        <v>1352.35</v>
      </c>
      <c r="G266" s="19">
        <f t="shared" si="4"/>
        <v>1352.35</v>
      </c>
      <c r="H266" s="19">
        <v>39.22</v>
      </c>
    </row>
    <row r="267" spans="1:8" x14ac:dyDescent="0.25">
      <c r="A267" s="30">
        <v>45974</v>
      </c>
      <c r="B267" s="19" t="s">
        <v>19</v>
      </c>
      <c r="C267" s="19" t="s">
        <v>304</v>
      </c>
      <c r="D267" s="19" t="s">
        <v>21</v>
      </c>
      <c r="E267" s="19">
        <v>652</v>
      </c>
      <c r="F267" s="19">
        <v>3.85</v>
      </c>
      <c r="G267" s="19">
        <f t="shared" si="4"/>
        <v>2510.2000000000003</v>
      </c>
      <c r="H267" s="19">
        <v>0</v>
      </c>
    </row>
    <row r="268" spans="1:8" x14ac:dyDescent="0.25">
      <c r="A268" s="30">
        <v>45975</v>
      </c>
      <c r="B268" s="19" t="s">
        <v>33</v>
      </c>
      <c r="C268" s="19" t="s">
        <v>305</v>
      </c>
      <c r="D268" s="19" t="s">
        <v>62</v>
      </c>
      <c r="E268" s="19">
        <v>589</v>
      </c>
      <c r="F268" s="19">
        <v>3.85</v>
      </c>
      <c r="G268" s="19">
        <f t="shared" si="4"/>
        <v>2267.65</v>
      </c>
      <c r="H268" s="19">
        <v>65.760000000000005</v>
      </c>
    </row>
    <row r="269" spans="1:8" x14ac:dyDescent="0.25">
      <c r="A269" s="30">
        <v>45978</v>
      </c>
      <c r="B269" s="19" t="s">
        <v>42</v>
      </c>
      <c r="C269" s="19" t="s">
        <v>306</v>
      </c>
      <c r="D269" s="19" t="s">
        <v>26</v>
      </c>
      <c r="E269" s="19">
        <v>750</v>
      </c>
      <c r="F269" s="19">
        <v>3.79</v>
      </c>
      <c r="G269" s="19">
        <f t="shared" si="4"/>
        <v>2842.5</v>
      </c>
      <c r="H269" s="19">
        <v>0</v>
      </c>
    </row>
    <row r="270" spans="1:8" x14ac:dyDescent="0.25">
      <c r="A270" s="30">
        <v>45979</v>
      </c>
      <c r="B270" s="19" t="s">
        <v>75</v>
      </c>
      <c r="C270" s="19" t="s">
        <v>307</v>
      </c>
      <c r="D270" s="19" t="s">
        <v>82</v>
      </c>
      <c r="E270" s="19">
        <v>1</v>
      </c>
      <c r="F270" s="19">
        <v>1247.83</v>
      </c>
      <c r="G270" s="19">
        <f t="shared" si="4"/>
        <v>1247.83</v>
      </c>
      <c r="H270" s="19">
        <v>0</v>
      </c>
    </row>
    <row r="271" spans="1:8" x14ac:dyDescent="0.25">
      <c r="A271" s="30">
        <v>45980</v>
      </c>
      <c r="B271" s="19" t="s">
        <v>37</v>
      </c>
      <c r="C271" s="19" t="s">
        <v>308</v>
      </c>
      <c r="D271" s="19" t="s">
        <v>21</v>
      </c>
      <c r="E271" s="19">
        <v>598</v>
      </c>
      <c r="F271" s="19">
        <v>3.85</v>
      </c>
      <c r="G271" s="19">
        <f t="shared" si="4"/>
        <v>2302.3000000000002</v>
      </c>
      <c r="H271" s="19">
        <v>0</v>
      </c>
    </row>
    <row r="272" spans="1:8" x14ac:dyDescent="0.25">
      <c r="A272" s="30">
        <v>45981</v>
      </c>
      <c r="B272" s="19" t="s">
        <v>45</v>
      </c>
      <c r="C272" s="19" t="s">
        <v>309</v>
      </c>
      <c r="D272" s="19" t="s">
        <v>18</v>
      </c>
      <c r="E272" s="19">
        <v>552</v>
      </c>
      <c r="F272" s="19">
        <v>3.83</v>
      </c>
      <c r="G272" s="19">
        <f t="shared" si="4"/>
        <v>2114.16</v>
      </c>
      <c r="H272" s="19">
        <v>61.31</v>
      </c>
    </row>
    <row r="273" spans="1:8" x14ac:dyDescent="0.25">
      <c r="A273" s="30">
        <v>45982</v>
      </c>
      <c r="B273" s="19" t="s">
        <v>16</v>
      </c>
      <c r="C273" s="19" t="s">
        <v>310</v>
      </c>
      <c r="D273" s="19" t="s">
        <v>57</v>
      </c>
      <c r="E273" s="19">
        <v>1</v>
      </c>
      <c r="F273" s="19">
        <v>894.5</v>
      </c>
      <c r="G273" s="19">
        <f t="shared" si="4"/>
        <v>894.5</v>
      </c>
      <c r="H273" s="19">
        <v>25.94</v>
      </c>
    </row>
    <row r="274" spans="1:8" x14ac:dyDescent="0.25">
      <c r="A274" s="30">
        <v>45985</v>
      </c>
      <c r="B274" s="19" t="s">
        <v>33</v>
      </c>
      <c r="C274" s="19" t="s">
        <v>311</v>
      </c>
      <c r="D274" s="19" t="s">
        <v>26</v>
      </c>
      <c r="E274" s="19">
        <v>632</v>
      </c>
      <c r="F274" s="19">
        <v>3.79</v>
      </c>
      <c r="G274" s="19">
        <f t="shared" si="4"/>
        <v>2395.2800000000002</v>
      </c>
      <c r="H274" s="19">
        <v>69.459999999999994</v>
      </c>
    </row>
    <row r="275" spans="1:8" x14ac:dyDescent="0.25">
      <c r="A275" s="30">
        <v>45986</v>
      </c>
      <c r="B275" s="19" t="s">
        <v>22</v>
      </c>
      <c r="C275" s="19" t="s">
        <v>312</v>
      </c>
      <c r="D275" s="19" t="s">
        <v>21</v>
      </c>
      <c r="E275" s="19">
        <v>468</v>
      </c>
      <c r="F275" s="19">
        <v>3.88</v>
      </c>
      <c r="G275" s="19">
        <f t="shared" si="4"/>
        <v>1815.84</v>
      </c>
      <c r="H275" s="19">
        <v>52.66</v>
      </c>
    </row>
    <row r="276" spans="1:8" x14ac:dyDescent="0.25">
      <c r="A276" s="30">
        <v>45987</v>
      </c>
      <c r="B276" s="19" t="s">
        <v>24</v>
      </c>
      <c r="C276" s="19" t="s">
        <v>313</v>
      </c>
      <c r="D276" s="19" t="s">
        <v>62</v>
      </c>
      <c r="E276" s="19">
        <v>441</v>
      </c>
      <c r="F276" s="19">
        <v>3.92</v>
      </c>
      <c r="G276" s="19">
        <f t="shared" si="4"/>
        <v>1728.72</v>
      </c>
      <c r="H276" s="19">
        <v>50.13</v>
      </c>
    </row>
    <row r="277" spans="1:8" x14ac:dyDescent="0.25">
      <c r="A277" s="30">
        <v>45988</v>
      </c>
      <c r="B277" s="19" t="s">
        <v>33</v>
      </c>
      <c r="C277" s="19" t="s">
        <v>314</v>
      </c>
      <c r="D277" s="19" t="s">
        <v>26</v>
      </c>
      <c r="E277" s="19">
        <v>564</v>
      </c>
      <c r="F277" s="19">
        <v>3.92</v>
      </c>
      <c r="G277" s="19">
        <f t="shared" si="4"/>
        <v>2210.88</v>
      </c>
      <c r="H277" s="19">
        <v>64.12</v>
      </c>
    </row>
    <row r="278" spans="1:8" x14ac:dyDescent="0.25">
      <c r="A278" s="30">
        <v>45989</v>
      </c>
      <c r="B278" s="19" t="s">
        <v>37</v>
      </c>
      <c r="C278" s="19" t="s">
        <v>315</v>
      </c>
      <c r="D278" s="19" t="s">
        <v>62</v>
      </c>
      <c r="E278" s="19">
        <v>496</v>
      </c>
      <c r="F278" s="19">
        <v>3.85</v>
      </c>
      <c r="G278" s="19">
        <f t="shared" si="4"/>
        <v>1909.6000000000001</v>
      </c>
      <c r="H278" s="19">
        <v>0</v>
      </c>
    </row>
    <row r="279" spans="1:8" x14ac:dyDescent="0.25">
      <c r="A279" s="30">
        <v>45992</v>
      </c>
      <c r="B279" s="19" t="s">
        <v>33</v>
      </c>
      <c r="C279" s="19" t="s">
        <v>316</v>
      </c>
      <c r="D279" s="19" t="s">
        <v>18</v>
      </c>
      <c r="E279" s="19">
        <v>501</v>
      </c>
      <c r="F279" s="19">
        <v>3.79</v>
      </c>
      <c r="G279" s="19">
        <f t="shared" si="4"/>
        <v>1898.79</v>
      </c>
      <c r="H279" s="19">
        <v>55.06</v>
      </c>
    </row>
    <row r="280" spans="1:8" x14ac:dyDescent="0.25">
      <c r="A280" s="30">
        <v>45993</v>
      </c>
      <c r="B280" s="19" t="s">
        <v>24</v>
      </c>
      <c r="C280" s="19" t="s">
        <v>317</v>
      </c>
      <c r="D280" s="19" t="s">
        <v>62</v>
      </c>
      <c r="E280" s="19">
        <v>459</v>
      </c>
      <c r="F280" s="19">
        <v>3.81</v>
      </c>
      <c r="G280" s="19">
        <f t="shared" si="4"/>
        <v>1748.79</v>
      </c>
      <c r="H280" s="19">
        <v>50.71</v>
      </c>
    </row>
    <row r="281" spans="1:8" x14ac:dyDescent="0.25">
      <c r="A281" s="30">
        <v>45994</v>
      </c>
      <c r="B281" s="19" t="s">
        <v>79</v>
      </c>
      <c r="C281" s="19" t="s">
        <v>318</v>
      </c>
      <c r="D281" s="19" t="s">
        <v>62</v>
      </c>
      <c r="E281" s="19">
        <v>497</v>
      </c>
      <c r="F281" s="19">
        <v>3.82</v>
      </c>
      <c r="G281" s="19">
        <f t="shared" si="4"/>
        <v>1898.54</v>
      </c>
      <c r="H281" s="19">
        <v>0</v>
      </c>
    </row>
    <row r="282" spans="1:8" x14ac:dyDescent="0.25">
      <c r="A282" s="30">
        <v>45995</v>
      </c>
      <c r="B282" s="19" t="s">
        <v>55</v>
      </c>
      <c r="C282" s="19" t="s">
        <v>319</v>
      </c>
      <c r="D282" s="19" t="s">
        <v>18</v>
      </c>
      <c r="E282" s="19">
        <v>469</v>
      </c>
      <c r="F282" s="19">
        <v>3.84</v>
      </c>
      <c r="G282" s="19">
        <f t="shared" si="4"/>
        <v>1800.96</v>
      </c>
      <c r="H282" s="19">
        <v>0</v>
      </c>
    </row>
    <row r="283" spans="1:8" x14ac:dyDescent="0.25">
      <c r="A283" s="30">
        <v>45996</v>
      </c>
      <c r="B283" s="19" t="s">
        <v>33</v>
      </c>
      <c r="C283" s="19" t="s">
        <v>320</v>
      </c>
      <c r="D283" s="19" t="s">
        <v>26</v>
      </c>
      <c r="E283" s="19">
        <v>521</v>
      </c>
      <c r="F283" s="19">
        <v>3.8</v>
      </c>
      <c r="G283" s="19">
        <f t="shared" si="4"/>
        <v>1979.8</v>
      </c>
      <c r="H283" s="19">
        <v>0</v>
      </c>
    </row>
    <row r="284" spans="1:8" x14ac:dyDescent="0.25">
      <c r="A284" s="30">
        <v>45999</v>
      </c>
      <c r="B284" s="19" t="s">
        <v>24</v>
      </c>
      <c r="C284" s="19" t="s">
        <v>321</v>
      </c>
      <c r="D284" s="19" t="s">
        <v>21</v>
      </c>
      <c r="E284" s="19">
        <v>499</v>
      </c>
      <c r="F284" s="19">
        <v>3.79</v>
      </c>
      <c r="G284" s="19">
        <f t="shared" si="4"/>
        <v>1891.21</v>
      </c>
      <c r="H284" s="19">
        <v>54.85</v>
      </c>
    </row>
    <row r="285" spans="1:8" x14ac:dyDescent="0.25">
      <c r="A285" s="30">
        <v>46000</v>
      </c>
      <c r="B285" s="19" t="s">
        <v>42</v>
      </c>
      <c r="C285" s="19" t="s">
        <v>322</v>
      </c>
      <c r="D285" s="19" t="s">
        <v>39</v>
      </c>
      <c r="E285" s="19">
        <v>1</v>
      </c>
      <c r="F285" s="19">
        <v>1154.98</v>
      </c>
      <c r="G285" s="19">
        <f t="shared" si="4"/>
        <v>1154.98</v>
      </c>
      <c r="H285" s="19">
        <v>33.49</v>
      </c>
    </row>
    <row r="286" spans="1:8" x14ac:dyDescent="0.25">
      <c r="A286" s="30">
        <v>46001</v>
      </c>
      <c r="B286" s="19" t="s">
        <v>19</v>
      </c>
      <c r="C286" s="19" t="s">
        <v>323</v>
      </c>
      <c r="D286" s="19" t="s">
        <v>26</v>
      </c>
      <c r="E286" s="19">
        <v>484</v>
      </c>
      <c r="F286" s="19">
        <v>3.86</v>
      </c>
      <c r="G286" s="19">
        <f t="shared" si="4"/>
        <v>1868.24</v>
      </c>
      <c r="H286" s="19">
        <v>54.18</v>
      </c>
    </row>
    <row r="287" spans="1:8" x14ac:dyDescent="0.25">
      <c r="A287" s="30">
        <v>46002</v>
      </c>
      <c r="B287" s="19" t="s">
        <v>79</v>
      </c>
      <c r="C287" s="19" t="s">
        <v>324</v>
      </c>
      <c r="D287" s="19" t="s">
        <v>62</v>
      </c>
      <c r="E287" s="19">
        <v>598</v>
      </c>
      <c r="F287" s="19">
        <v>3.77</v>
      </c>
      <c r="G287" s="19">
        <f t="shared" si="4"/>
        <v>2254.46</v>
      </c>
      <c r="H287" s="19">
        <v>65.38</v>
      </c>
    </row>
    <row r="288" spans="1:8" x14ac:dyDescent="0.25">
      <c r="A288" s="30">
        <v>46003</v>
      </c>
      <c r="B288" s="19" t="s">
        <v>75</v>
      </c>
      <c r="C288" s="19" t="s">
        <v>325</v>
      </c>
      <c r="D288" s="19" t="s">
        <v>44</v>
      </c>
      <c r="E288" s="19">
        <v>591</v>
      </c>
      <c r="F288" s="19">
        <v>3.77</v>
      </c>
      <c r="G288" s="19">
        <f t="shared" si="4"/>
        <v>2228.0700000000002</v>
      </c>
      <c r="H288" s="19">
        <v>64.61</v>
      </c>
    </row>
    <row r="289" spans="1:8" x14ac:dyDescent="0.25">
      <c r="A289" s="30">
        <v>46006</v>
      </c>
      <c r="B289" s="19" t="s">
        <v>33</v>
      </c>
      <c r="C289" s="19" t="s">
        <v>326</v>
      </c>
      <c r="D289" s="19" t="s">
        <v>62</v>
      </c>
      <c r="E289" s="19">
        <v>471</v>
      </c>
      <c r="F289" s="19">
        <v>3.79</v>
      </c>
      <c r="G289" s="19">
        <f t="shared" si="4"/>
        <v>1785.09</v>
      </c>
      <c r="H289" s="19">
        <v>51.77</v>
      </c>
    </row>
    <row r="290" spans="1:8" x14ac:dyDescent="0.25">
      <c r="A290" s="30">
        <v>46007</v>
      </c>
      <c r="B290" s="19" t="s">
        <v>42</v>
      </c>
      <c r="C290" s="19" t="s">
        <v>327</v>
      </c>
      <c r="D290" s="19" t="s">
        <v>18</v>
      </c>
      <c r="E290" s="19">
        <v>382</v>
      </c>
      <c r="F290" s="19">
        <v>3.77</v>
      </c>
      <c r="G290" s="19">
        <f t="shared" si="4"/>
        <v>1440.14</v>
      </c>
      <c r="H290" s="19">
        <v>41.76</v>
      </c>
    </row>
    <row r="291" spans="1:8" x14ac:dyDescent="0.25">
      <c r="A291" s="30">
        <v>46008</v>
      </c>
      <c r="B291" s="19" t="s">
        <v>35</v>
      </c>
      <c r="C291" s="19" t="s">
        <v>328</v>
      </c>
      <c r="D291" s="19" t="s">
        <v>18</v>
      </c>
      <c r="E291" s="19">
        <v>372</v>
      </c>
      <c r="F291" s="19">
        <v>3.78</v>
      </c>
      <c r="G291" s="19">
        <f t="shared" si="4"/>
        <v>1406.1599999999999</v>
      </c>
      <c r="H291" s="19">
        <v>0</v>
      </c>
    </row>
    <row r="292" spans="1:8" x14ac:dyDescent="0.25">
      <c r="A292" s="30">
        <v>46009</v>
      </c>
      <c r="B292" s="19" t="s">
        <v>33</v>
      </c>
      <c r="C292" s="19" t="s">
        <v>329</v>
      </c>
      <c r="D292" s="19" t="s">
        <v>21</v>
      </c>
      <c r="E292" s="19">
        <v>300</v>
      </c>
      <c r="F292" s="19">
        <v>3.78</v>
      </c>
      <c r="G292" s="19">
        <f t="shared" si="4"/>
        <v>1134</v>
      </c>
      <c r="H292" s="19">
        <v>32.89</v>
      </c>
    </row>
    <row r="293" spans="1:8" x14ac:dyDescent="0.25">
      <c r="A293" s="30">
        <v>46010</v>
      </c>
      <c r="B293" s="19" t="s">
        <v>19</v>
      </c>
      <c r="C293" s="19" t="s">
        <v>330</v>
      </c>
      <c r="D293" s="19" t="s">
        <v>21</v>
      </c>
      <c r="E293" s="19">
        <v>408</v>
      </c>
      <c r="F293" s="19">
        <v>3.71</v>
      </c>
      <c r="G293" s="19">
        <f t="shared" si="4"/>
        <v>1513.68</v>
      </c>
      <c r="H293" s="19">
        <v>0</v>
      </c>
    </row>
    <row r="294" spans="1:8" x14ac:dyDescent="0.25">
      <c r="A294" s="30">
        <v>46013</v>
      </c>
      <c r="B294" s="19" t="s">
        <v>55</v>
      </c>
      <c r="C294" s="19" t="s">
        <v>331</v>
      </c>
      <c r="D294" s="19" t="s">
        <v>18</v>
      </c>
      <c r="E294" s="19">
        <v>480</v>
      </c>
      <c r="F294" s="19">
        <v>3.75</v>
      </c>
      <c r="G294" s="19">
        <f t="shared" si="4"/>
        <v>1800</v>
      </c>
      <c r="H294" s="19">
        <v>0</v>
      </c>
    </row>
    <row r="295" spans="1:8" x14ac:dyDescent="0.25">
      <c r="A295" s="30">
        <v>46014</v>
      </c>
      <c r="B295" s="19" t="s">
        <v>45</v>
      </c>
      <c r="C295" s="19" t="s">
        <v>332</v>
      </c>
      <c r="D295" s="19" t="s">
        <v>62</v>
      </c>
      <c r="E295" s="19">
        <v>562</v>
      </c>
      <c r="F295" s="19">
        <v>3.74</v>
      </c>
      <c r="G295" s="19">
        <f t="shared" si="4"/>
        <v>2101.88</v>
      </c>
      <c r="H295" s="19">
        <v>60.95</v>
      </c>
    </row>
    <row r="296" spans="1:8" x14ac:dyDescent="0.25">
      <c r="A296" s="30">
        <v>46015</v>
      </c>
      <c r="B296" s="19" t="s">
        <v>16</v>
      </c>
      <c r="C296" s="19" t="s">
        <v>333</v>
      </c>
      <c r="D296" s="19" t="s">
        <v>44</v>
      </c>
      <c r="E296" s="19">
        <v>550</v>
      </c>
      <c r="F296" s="19">
        <v>3.72</v>
      </c>
      <c r="G296" s="19">
        <f t="shared" si="4"/>
        <v>2046</v>
      </c>
      <c r="H296" s="19">
        <v>0</v>
      </c>
    </row>
    <row r="297" spans="1:8" x14ac:dyDescent="0.25">
      <c r="A297" s="30">
        <v>46016</v>
      </c>
      <c r="B297" s="19" t="s">
        <v>45</v>
      </c>
      <c r="C297" s="19" t="s">
        <v>334</v>
      </c>
      <c r="D297" s="19" t="s">
        <v>57</v>
      </c>
      <c r="E297" s="19">
        <v>1</v>
      </c>
      <c r="F297" s="19">
        <v>894.04</v>
      </c>
      <c r="G297" s="19">
        <f t="shared" si="4"/>
        <v>894.04</v>
      </c>
      <c r="H297" s="19">
        <v>25.93</v>
      </c>
    </row>
    <row r="298" spans="1:8" x14ac:dyDescent="0.25">
      <c r="A298" s="30">
        <v>46017</v>
      </c>
      <c r="B298" s="19" t="s">
        <v>22</v>
      </c>
      <c r="C298" s="19" t="s">
        <v>335</v>
      </c>
      <c r="D298" s="19" t="s">
        <v>18</v>
      </c>
      <c r="E298" s="19">
        <v>472</v>
      </c>
      <c r="F298" s="19">
        <v>3.72</v>
      </c>
      <c r="G298" s="19">
        <f t="shared" si="4"/>
        <v>1755.8400000000001</v>
      </c>
      <c r="H298" s="19">
        <v>0</v>
      </c>
    </row>
    <row r="299" spans="1:8" x14ac:dyDescent="0.25">
      <c r="A299" s="30">
        <v>46020</v>
      </c>
      <c r="B299" s="19" t="s">
        <v>35</v>
      </c>
      <c r="C299" s="19" t="s">
        <v>336</v>
      </c>
      <c r="D299" s="19" t="s">
        <v>44</v>
      </c>
      <c r="E299" s="19">
        <v>488</v>
      </c>
      <c r="F299" s="19">
        <v>3.68</v>
      </c>
      <c r="G299" s="19">
        <f t="shared" si="4"/>
        <v>1795.8400000000001</v>
      </c>
      <c r="H299" s="19">
        <v>52.08</v>
      </c>
    </row>
    <row r="300" spans="1:8" x14ac:dyDescent="0.25">
      <c r="A300" s="30">
        <v>46021</v>
      </c>
      <c r="B300" s="19" t="s">
        <v>22</v>
      </c>
      <c r="C300" s="19" t="s">
        <v>337</v>
      </c>
      <c r="D300" s="19" t="s">
        <v>26</v>
      </c>
      <c r="E300" s="19">
        <v>519</v>
      </c>
      <c r="F300" s="19">
        <v>3.72</v>
      </c>
      <c r="G300" s="19">
        <f t="shared" si="4"/>
        <v>1930.68</v>
      </c>
      <c r="H300" s="19">
        <v>55.99</v>
      </c>
    </row>
    <row r="301" spans="1:8" x14ac:dyDescent="0.25">
      <c r="A301" s="30">
        <v>46022</v>
      </c>
      <c r="B301" s="19" t="s">
        <v>31</v>
      </c>
      <c r="C301" s="19" t="s">
        <v>338</v>
      </c>
      <c r="D301" s="19" t="s">
        <v>21</v>
      </c>
      <c r="E301" s="19">
        <v>471</v>
      </c>
      <c r="F301" s="19">
        <v>3.63</v>
      </c>
      <c r="G301" s="19">
        <f t="shared" si="4"/>
        <v>1709.73</v>
      </c>
      <c r="H301" s="19">
        <v>0</v>
      </c>
    </row>
    <row r="302" spans="1:8" x14ac:dyDescent="0.25">
      <c r="A302" s="30">
        <v>46023</v>
      </c>
      <c r="B302" s="19" t="s">
        <v>22</v>
      </c>
      <c r="C302" s="19" t="s">
        <v>339</v>
      </c>
      <c r="D302" s="19" t="s">
        <v>64</v>
      </c>
      <c r="E302" s="19">
        <v>1</v>
      </c>
      <c r="F302" s="19">
        <v>1425.37</v>
      </c>
      <c r="G302" s="19">
        <f t="shared" si="4"/>
        <v>1425.37</v>
      </c>
      <c r="H302" s="19">
        <v>0</v>
      </c>
    </row>
    <row r="303" spans="1:8" x14ac:dyDescent="0.25">
      <c r="A303" s="30">
        <v>46024</v>
      </c>
      <c r="B303" s="19" t="s">
        <v>75</v>
      </c>
      <c r="C303" s="19" t="s">
        <v>340</v>
      </c>
      <c r="D303" s="19" t="s">
        <v>44</v>
      </c>
      <c r="E303" s="19">
        <v>390</v>
      </c>
      <c r="F303" s="19">
        <v>3.63</v>
      </c>
      <c r="G303" s="19">
        <f t="shared" si="4"/>
        <v>1415.7</v>
      </c>
      <c r="H303" s="19">
        <v>0</v>
      </c>
    </row>
    <row r="304" spans="1:8" x14ac:dyDescent="0.25">
      <c r="A304" s="30">
        <v>46027</v>
      </c>
      <c r="B304" s="19" t="s">
        <v>55</v>
      </c>
      <c r="C304" s="19" t="s">
        <v>341</v>
      </c>
      <c r="D304" s="19" t="s">
        <v>18</v>
      </c>
      <c r="E304" s="19">
        <v>433</v>
      </c>
      <c r="F304" s="19">
        <v>3.64</v>
      </c>
      <c r="G304" s="19">
        <f t="shared" si="4"/>
        <v>1576.1200000000001</v>
      </c>
      <c r="H304" s="19">
        <v>45.71</v>
      </c>
    </row>
    <row r="305" spans="1:8" x14ac:dyDescent="0.25">
      <c r="A305" s="30">
        <v>46028</v>
      </c>
      <c r="B305" s="19" t="s">
        <v>79</v>
      </c>
      <c r="C305" s="19" t="s">
        <v>342</v>
      </c>
      <c r="D305" s="19" t="s">
        <v>57</v>
      </c>
      <c r="E305" s="19">
        <v>1</v>
      </c>
      <c r="F305" s="19">
        <v>908.77</v>
      </c>
      <c r="G305" s="19">
        <f t="shared" si="4"/>
        <v>908.77</v>
      </c>
      <c r="H305" s="19">
        <v>0</v>
      </c>
    </row>
    <row r="306" spans="1:8" x14ac:dyDescent="0.25">
      <c r="A306" s="30">
        <v>46029</v>
      </c>
      <c r="B306" s="19" t="s">
        <v>45</v>
      </c>
      <c r="C306" s="19" t="s">
        <v>343</v>
      </c>
      <c r="D306" s="19" t="s">
        <v>44</v>
      </c>
      <c r="E306" s="19">
        <v>477</v>
      </c>
      <c r="F306" s="19">
        <v>3.64</v>
      </c>
      <c r="G306" s="19">
        <f t="shared" si="4"/>
        <v>1736.28</v>
      </c>
      <c r="H306" s="19">
        <v>50.35</v>
      </c>
    </row>
    <row r="307" spans="1:8" x14ac:dyDescent="0.25">
      <c r="A307" s="30">
        <v>46030</v>
      </c>
      <c r="B307" s="19" t="s">
        <v>28</v>
      </c>
      <c r="C307" s="19" t="s">
        <v>344</v>
      </c>
      <c r="D307" s="19" t="s">
        <v>44</v>
      </c>
      <c r="E307" s="19">
        <v>448</v>
      </c>
      <c r="F307" s="19">
        <v>3.6</v>
      </c>
      <c r="G307" s="19">
        <f t="shared" si="4"/>
        <v>1612.8</v>
      </c>
      <c r="H307" s="19">
        <v>46.77</v>
      </c>
    </row>
    <row r="308" spans="1:8" x14ac:dyDescent="0.25">
      <c r="A308" s="30">
        <v>46031</v>
      </c>
      <c r="B308" s="19" t="s">
        <v>24</v>
      </c>
      <c r="C308" s="19" t="s">
        <v>345</v>
      </c>
      <c r="D308" s="19" t="s">
        <v>62</v>
      </c>
      <c r="E308" s="19">
        <v>329</v>
      </c>
      <c r="F308" s="19">
        <v>3.61</v>
      </c>
      <c r="G308" s="19">
        <f t="shared" si="4"/>
        <v>1187.69</v>
      </c>
      <c r="H308" s="19">
        <v>34.44</v>
      </c>
    </row>
    <row r="309" spans="1:8" x14ac:dyDescent="0.25">
      <c r="A309" s="30">
        <v>46034</v>
      </c>
      <c r="B309" s="19" t="s">
        <v>45</v>
      </c>
      <c r="C309" s="19" t="s">
        <v>346</v>
      </c>
      <c r="D309" s="19" t="s">
        <v>62</v>
      </c>
      <c r="E309" s="19">
        <v>228</v>
      </c>
      <c r="F309" s="19">
        <v>3.57</v>
      </c>
      <c r="G309" s="19">
        <f t="shared" si="4"/>
        <v>813.95999999999992</v>
      </c>
      <c r="H309" s="19">
        <v>23.6</v>
      </c>
    </row>
    <row r="310" spans="1:8" x14ac:dyDescent="0.25">
      <c r="A310" s="30">
        <v>46035</v>
      </c>
      <c r="B310" s="19" t="s">
        <v>16</v>
      </c>
      <c r="C310" s="19" t="s">
        <v>347</v>
      </c>
      <c r="D310" s="19" t="s">
        <v>44</v>
      </c>
      <c r="E310" s="19">
        <v>255</v>
      </c>
      <c r="F310" s="19">
        <v>3.61</v>
      </c>
      <c r="G310" s="19">
        <f t="shared" si="4"/>
        <v>920.55</v>
      </c>
      <c r="H310" s="19">
        <v>0</v>
      </c>
    </row>
    <row r="311" spans="1:8" x14ac:dyDescent="0.25">
      <c r="A311" s="30">
        <v>46036</v>
      </c>
      <c r="B311" s="19" t="s">
        <v>42</v>
      </c>
      <c r="C311" s="19" t="s">
        <v>348</v>
      </c>
      <c r="D311" s="19" t="s">
        <v>26</v>
      </c>
      <c r="E311" s="19">
        <v>266</v>
      </c>
      <c r="F311" s="19">
        <v>3.55</v>
      </c>
      <c r="G311" s="19">
        <f t="shared" si="4"/>
        <v>944.3</v>
      </c>
      <c r="H311" s="19">
        <v>27.38</v>
      </c>
    </row>
    <row r="312" spans="1:8" x14ac:dyDescent="0.25">
      <c r="A312" s="30">
        <v>46037</v>
      </c>
      <c r="B312" s="19" t="s">
        <v>42</v>
      </c>
      <c r="C312" s="19" t="s">
        <v>349</v>
      </c>
      <c r="D312" s="19" t="s">
        <v>44</v>
      </c>
      <c r="E312" s="19">
        <v>287</v>
      </c>
      <c r="F312" s="19">
        <v>3.56</v>
      </c>
      <c r="G312" s="19">
        <f t="shared" si="4"/>
        <v>1021.72</v>
      </c>
      <c r="H312" s="19">
        <v>0</v>
      </c>
    </row>
    <row r="313" spans="1:8" x14ac:dyDescent="0.25">
      <c r="A313" s="30">
        <v>46038</v>
      </c>
      <c r="B313" s="19" t="s">
        <v>79</v>
      </c>
      <c r="C313" s="19" t="s">
        <v>350</v>
      </c>
      <c r="D313" s="19" t="s">
        <v>21</v>
      </c>
      <c r="E313" s="19">
        <v>321</v>
      </c>
      <c r="F313" s="19">
        <v>3.54</v>
      </c>
      <c r="G313" s="19">
        <f t="shared" si="4"/>
        <v>1136.3399999999999</v>
      </c>
      <c r="H313" s="19">
        <v>32.950000000000003</v>
      </c>
    </row>
    <row r="314" spans="1:8" x14ac:dyDescent="0.25">
      <c r="A314" s="30">
        <v>46041</v>
      </c>
      <c r="B314" s="19" t="s">
        <v>47</v>
      </c>
      <c r="C314" s="19" t="s">
        <v>351</v>
      </c>
      <c r="D314" s="19" t="s">
        <v>62</v>
      </c>
      <c r="E314" s="19">
        <v>413</v>
      </c>
      <c r="F314" s="19">
        <v>3.53</v>
      </c>
      <c r="G314" s="19">
        <f t="shared" si="4"/>
        <v>1457.8899999999999</v>
      </c>
      <c r="H314" s="19">
        <v>0</v>
      </c>
    </row>
    <row r="315" spans="1:8" x14ac:dyDescent="0.25">
      <c r="A315" s="30">
        <v>46042</v>
      </c>
      <c r="B315" s="19" t="s">
        <v>31</v>
      </c>
      <c r="C315" s="19" t="s">
        <v>352</v>
      </c>
      <c r="D315" s="19" t="s">
        <v>26</v>
      </c>
      <c r="E315" s="19">
        <v>475</v>
      </c>
      <c r="F315" s="19">
        <v>3.54</v>
      </c>
      <c r="G315" s="19">
        <f t="shared" si="4"/>
        <v>1681.5</v>
      </c>
      <c r="H315" s="19">
        <v>48.76</v>
      </c>
    </row>
    <row r="316" spans="1:8" x14ac:dyDescent="0.25">
      <c r="A316" s="30">
        <v>46043</v>
      </c>
      <c r="B316" s="19" t="s">
        <v>24</v>
      </c>
      <c r="C316" s="19" t="s">
        <v>353</v>
      </c>
      <c r="D316" s="19" t="s">
        <v>62</v>
      </c>
      <c r="E316" s="19">
        <v>548</v>
      </c>
      <c r="F316" s="19">
        <v>3.53</v>
      </c>
      <c r="G316" s="19">
        <f t="shared" si="4"/>
        <v>1934.4399999999998</v>
      </c>
      <c r="H316" s="19">
        <v>56.1</v>
      </c>
    </row>
    <row r="317" spans="1:8" x14ac:dyDescent="0.25">
      <c r="A317" s="30">
        <v>46044</v>
      </c>
      <c r="B317" s="19" t="s">
        <v>37</v>
      </c>
      <c r="C317" s="19" t="s">
        <v>354</v>
      </c>
      <c r="D317" s="19" t="s">
        <v>39</v>
      </c>
      <c r="E317" s="19">
        <v>1</v>
      </c>
      <c r="F317" s="19">
        <v>997.37</v>
      </c>
      <c r="G317" s="19">
        <f t="shared" si="4"/>
        <v>997.37</v>
      </c>
      <c r="H317" s="19">
        <v>28.92</v>
      </c>
    </row>
    <row r="318" spans="1:8" x14ac:dyDescent="0.25">
      <c r="A318" s="30">
        <v>46045</v>
      </c>
      <c r="B318" s="19" t="s">
        <v>75</v>
      </c>
      <c r="C318" s="19" t="s">
        <v>355</v>
      </c>
      <c r="D318" s="19" t="s">
        <v>18</v>
      </c>
      <c r="E318" s="19">
        <v>550</v>
      </c>
      <c r="F318" s="19">
        <v>3.49</v>
      </c>
      <c r="G318" s="19">
        <f t="shared" si="4"/>
        <v>1919.5000000000002</v>
      </c>
      <c r="H318" s="19">
        <v>0</v>
      </c>
    </row>
    <row r="319" spans="1:8" x14ac:dyDescent="0.25">
      <c r="A319" s="30">
        <v>46048</v>
      </c>
      <c r="B319" s="19" t="s">
        <v>45</v>
      </c>
      <c r="C319" s="19" t="s">
        <v>356</v>
      </c>
      <c r="D319" s="19" t="s">
        <v>62</v>
      </c>
      <c r="E319" s="19">
        <v>579</v>
      </c>
      <c r="F319" s="19">
        <v>3.48</v>
      </c>
      <c r="G319" s="19">
        <f t="shared" si="4"/>
        <v>2014.92</v>
      </c>
      <c r="H319" s="19">
        <v>58.43</v>
      </c>
    </row>
    <row r="320" spans="1:8" x14ac:dyDescent="0.25">
      <c r="A320" s="30">
        <v>46049</v>
      </c>
      <c r="B320" s="19" t="s">
        <v>75</v>
      </c>
      <c r="C320" s="19" t="s">
        <v>357</v>
      </c>
      <c r="D320" s="19" t="s">
        <v>62</v>
      </c>
      <c r="E320" s="19">
        <v>506</v>
      </c>
      <c r="F320" s="19">
        <v>3.48</v>
      </c>
      <c r="G320" s="19">
        <f t="shared" si="4"/>
        <v>1760.8799999999999</v>
      </c>
      <c r="H320" s="19">
        <v>51.07</v>
      </c>
    </row>
    <row r="321" spans="1:8" x14ac:dyDescent="0.25">
      <c r="A321" s="30">
        <v>46050</v>
      </c>
      <c r="B321" s="19" t="s">
        <v>79</v>
      </c>
      <c r="C321" s="19" t="s">
        <v>358</v>
      </c>
      <c r="D321" s="19" t="s">
        <v>18</v>
      </c>
      <c r="E321" s="19">
        <v>486</v>
      </c>
      <c r="F321" s="19">
        <v>3.49</v>
      </c>
      <c r="G321" s="19">
        <f t="shared" si="4"/>
        <v>1696.14</v>
      </c>
      <c r="H321" s="19">
        <v>0</v>
      </c>
    </row>
    <row r="322" spans="1:8" x14ac:dyDescent="0.25">
      <c r="A322" s="30">
        <v>46051</v>
      </c>
      <c r="B322" s="19" t="s">
        <v>37</v>
      </c>
      <c r="C322" s="19" t="s">
        <v>359</v>
      </c>
      <c r="D322" s="19" t="s">
        <v>57</v>
      </c>
      <c r="E322" s="19">
        <v>1</v>
      </c>
      <c r="F322" s="19">
        <v>1594.66</v>
      </c>
      <c r="G322" s="19">
        <f t="shared" si="4"/>
        <v>1594.66</v>
      </c>
      <c r="H322" s="19">
        <v>0</v>
      </c>
    </row>
    <row r="323" spans="1:8" x14ac:dyDescent="0.25">
      <c r="A323" s="30">
        <v>46052</v>
      </c>
      <c r="B323" s="19" t="s">
        <v>75</v>
      </c>
      <c r="C323" s="19" t="s">
        <v>360</v>
      </c>
      <c r="D323" s="19" t="s">
        <v>62</v>
      </c>
      <c r="E323" s="19">
        <v>530</v>
      </c>
      <c r="F323" s="19">
        <v>3.47</v>
      </c>
      <c r="G323" s="19">
        <f t="shared" si="4"/>
        <v>1839.1000000000001</v>
      </c>
      <c r="H323" s="19">
        <v>53.33</v>
      </c>
    </row>
    <row r="324" spans="1:8" x14ac:dyDescent="0.25">
      <c r="A324" s="30">
        <v>46055</v>
      </c>
      <c r="B324" s="19" t="s">
        <v>22</v>
      </c>
      <c r="C324" s="19" t="s">
        <v>361</v>
      </c>
      <c r="D324" s="19" t="s">
        <v>18</v>
      </c>
      <c r="E324" s="19">
        <v>517</v>
      </c>
      <c r="F324" s="19">
        <v>3.41</v>
      </c>
      <c r="G324" s="19">
        <f t="shared" si="4"/>
        <v>1762.97</v>
      </c>
      <c r="H324" s="19">
        <v>51.13</v>
      </c>
    </row>
    <row r="325" spans="1:8" x14ac:dyDescent="0.25">
      <c r="A325" s="30">
        <v>46056</v>
      </c>
      <c r="B325" s="19" t="s">
        <v>31</v>
      </c>
      <c r="C325" s="19" t="s">
        <v>362</v>
      </c>
      <c r="D325" s="19" t="s">
        <v>62</v>
      </c>
      <c r="E325" s="19">
        <v>594</v>
      </c>
      <c r="F325" s="19">
        <v>3.43</v>
      </c>
      <c r="G325" s="19">
        <f t="shared" ref="G325:G388" si="5">IF(OR(E325="",F325=""),"",E325*F325)</f>
        <v>2037.42</v>
      </c>
      <c r="H325" s="19">
        <v>0</v>
      </c>
    </row>
    <row r="326" spans="1:8" x14ac:dyDescent="0.25">
      <c r="A326" s="30">
        <v>46057</v>
      </c>
      <c r="B326" s="19" t="s">
        <v>37</v>
      </c>
      <c r="C326" s="19" t="s">
        <v>363</v>
      </c>
      <c r="D326" s="19" t="s">
        <v>26</v>
      </c>
      <c r="E326" s="19">
        <v>553</v>
      </c>
      <c r="F326" s="19">
        <v>3.43</v>
      </c>
      <c r="G326" s="19">
        <f t="shared" si="5"/>
        <v>1896.7900000000002</v>
      </c>
      <c r="H326" s="19">
        <v>55.01</v>
      </c>
    </row>
    <row r="327" spans="1:8" x14ac:dyDescent="0.25">
      <c r="A327" s="30">
        <v>46058</v>
      </c>
      <c r="B327" s="19" t="s">
        <v>22</v>
      </c>
      <c r="C327" s="19" t="s">
        <v>364</v>
      </c>
      <c r="D327" s="19" t="s">
        <v>39</v>
      </c>
      <c r="E327" s="19">
        <v>1</v>
      </c>
      <c r="F327" s="19">
        <v>909.61</v>
      </c>
      <c r="G327" s="19">
        <f t="shared" si="5"/>
        <v>909.61</v>
      </c>
      <c r="H327" s="19">
        <v>26.38</v>
      </c>
    </row>
    <row r="328" spans="1:8" x14ac:dyDescent="0.25">
      <c r="A328" s="30">
        <v>46059</v>
      </c>
      <c r="B328" s="19" t="s">
        <v>19</v>
      </c>
      <c r="C328" s="19" t="s">
        <v>365</v>
      </c>
      <c r="D328" s="19" t="s">
        <v>18</v>
      </c>
      <c r="E328" s="19">
        <v>565</v>
      </c>
      <c r="F328" s="19">
        <v>3.39</v>
      </c>
      <c r="G328" s="19">
        <f t="shared" si="5"/>
        <v>1915.3500000000001</v>
      </c>
      <c r="H328" s="19">
        <v>0</v>
      </c>
    </row>
    <row r="329" spans="1:8" x14ac:dyDescent="0.25">
      <c r="A329" s="30">
        <v>46062</v>
      </c>
      <c r="B329" s="19" t="s">
        <v>47</v>
      </c>
      <c r="C329" s="19" t="s">
        <v>366</v>
      </c>
      <c r="D329" s="19" t="s">
        <v>21</v>
      </c>
      <c r="E329" s="19">
        <v>591</v>
      </c>
      <c r="F329" s="19">
        <v>3.44</v>
      </c>
      <c r="G329" s="19">
        <f t="shared" si="5"/>
        <v>2033.04</v>
      </c>
      <c r="H329" s="19">
        <v>0</v>
      </c>
    </row>
    <row r="330" spans="1:8" x14ac:dyDescent="0.25">
      <c r="A330" s="30">
        <v>46063</v>
      </c>
      <c r="B330" s="19" t="s">
        <v>24</v>
      </c>
      <c r="C330" s="19" t="s">
        <v>367</v>
      </c>
      <c r="D330" s="19" t="s">
        <v>62</v>
      </c>
      <c r="E330" s="19">
        <v>520</v>
      </c>
      <c r="F330" s="19">
        <v>3.4</v>
      </c>
      <c r="G330" s="19">
        <f t="shared" si="5"/>
        <v>1768</v>
      </c>
      <c r="H330" s="19">
        <v>0</v>
      </c>
    </row>
    <row r="331" spans="1:8" x14ac:dyDescent="0.25">
      <c r="A331" s="30">
        <v>46064</v>
      </c>
      <c r="B331" s="19" t="s">
        <v>35</v>
      </c>
      <c r="C331" s="19" t="s">
        <v>368</v>
      </c>
      <c r="D331" s="19" t="s">
        <v>26</v>
      </c>
      <c r="E331" s="19">
        <v>498</v>
      </c>
      <c r="F331" s="19">
        <v>3.38</v>
      </c>
      <c r="G331" s="19">
        <f t="shared" si="5"/>
        <v>1683.24</v>
      </c>
      <c r="H331" s="19">
        <v>0</v>
      </c>
    </row>
    <row r="332" spans="1:8" x14ac:dyDescent="0.25">
      <c r="A332" s="30">
        <v>46065</v>
      </c>
      <c r="B332" s="19" t="s">
        <v>33</v>
      </c>
      <c r="C332" s="19" t="s">
        <v>369</v>
      </c>
      <c r="D332" s="19" t="s">
        <v>64</v>
      </c>
      <c r="E332" s="19">
        <v>1</v>
      </c>
      <c r="F332" s="19">
        <v>1647</v>
      </c>
      <c r="G332" s="19">
        <f t="shared" si="5"/>
        <v>1647</v>
      </c>
      <c r="H332" s="19">
        <v>47.76</v>
      </c>
    </row>
    <row r="333" spans="1:8" x14ac:dyDescent="0.25">
      <c r="A333" s="30">
        <v>46066</v>
      </c>
      <c r="B333" s="19" t="s">
        <v>31</v>
      </c>
      <c r="C333" s="19" t="s">
        <v>370</v>
      </c>
      <c r="D333" s="19" t="s">
        <v>26</v>
      </c>
      <c r="E333" s="19">
        <v>571</v>
      </c>
      <c r="F333" s="19">
        <v>3.42</v>
      </c>
      <c r="G333" s="19">
        <f t="shared" si="5"/>
        <v>1952.82</v>
      </c>
      <c r="H333" s="19">
        <v>0</v>
      </c>
    </row>
    <row r="334" spans="1:8" x14ac:dyDescent="0.25">
      <c r="A334" s="30">
        <v>46069</v>
      </c>
      <c r="B334" s="19" t="s">
        <v>79</v>
      </c>
      <c r="C334" s="19" t="s">
        <v>371</v>
      </c>
      <c r="D334" s="19" t="s">
        <v>18</v>
      </c>
      <c r="E334" s="19">
        <v>549</v>
      </c>
      <c r="F334" s="19">
        <v>3.36</v>
      </c>
      <c r="G334" s="19">
        <f t="shared" si="5"/>
        <v>1844.6399999999999</v>
      </c>
      <c r="H334" s="19">
        <v>53.49</v>
      </c>
    </row>
    <row r="335" spans="1:8" x14ac:dyDescent="0.25">
      <c r="A335" s="30">
        <v>46070</v>
      </c>
      <c r="B335" s="19" t="s">
        <v>79</v>
      </c>
      <c r="C335" s="19" t="s">
        <v>372</v>
      </c>
      <c r="D335" s="19" t="s">
        <v>21</v>
      </c>
      <c r="E335" s="19">
        <v>628</v>
      </c>
      <c r="F335" s="19">
        <v>3.83</v>
      </c>
      <c r="G335" s="19">
        <f t="shared" si="5"/>
        <v>2405.2400000000002</v>
      </c>
      <c r="H335" s="19">
        <v>69.75</v>
      </c>
    </row>
    <row r="336" spans="1:8" x14ac:dyDescent="0.25">
      <c r="A336" s="30">
        <v>46071</v>
      </c>
      <c r="B336" s="19" t="s">
        <v>28</v>
      </c>
      <c r="C336" s="19" t="s">
        <v>373</v>
      </c>
      <c r="D336" s="19" t="s">
        <v>57</v>
      </c>
      <c r="E336" s="19">
        <v>1</v>
      </c>
      <c r="F336" s="19">
        <v>1277.3900000000001</v>
      </c>
      <c r="G336" s="19">
        <f t="shared" si="5"/>
        <v>1277.3900000000001</v>
      </c>
      <c r="H336" s="19">
        <v>37.04</v>
      </c>
    </row>
    <row r="337" spans="1:8" x14ac:dyDescent="0.25">
      <c r="A337" s="30">
        <v>46072</v>
      </c>
      <c r="B337" s="19" t="s">
        <v>75</v>
      </c>
      <c r="C337" s="19" t="s">
        <v>374</v>
      </c>
      <c r="D337" s="19" t="s">
        <v>62</v>
      </c>
      <c r="E337" s="19">
        <v>684</v>
      </c>
      <c r="F337" s="19">
        <v>3.91</v>
      </c>
      <c r="G337" s="19">
        <f t="shared" si="5"/>
        <v>2674.44</v>
      </c>
      <c r="H337" s="19">
        <v>77.56</v>
      </c>
    </row>
    <row r="338" spans="1:8" x14ac:dyDescent="0.25">
      <c r="A338" s="30">
        <v>46073</v>
      </c>
      <c r="B338" s="19" t="s">
        <v>19</v>
      </c>
      <c r="C338" s="19" t="s">
        <v>375</v>
      </c>
      <c r="D338" s="19" t="s">
        <v>62</v>
      </c>
      <c r="E338" s="19">
        <v>592</v>
      </c>
      <c r="F338" s="19">
        <v>3.87</v>
      </c>
      <c r="G338" s="19">
        <f t="shared" si="5"/>
        <v>2291.04</v>
      </c>
      <c r="H338" s="19">
        <v>66.44</v>
      </c>
    </row>
    <row r="339" spans="1:8" x14ac:dyDescent="0.25">
      <c r="A339" s="30">
        <v>46076</v>
      </c>
      <c r="B339" s="19" t="s">
        <v>31</v>
      </c>
      <c r="C339" s="19" t="s">
        <v>376</v>
      </c>
      <c r="D339" s="19" t="s">
        <v>21</v>
      </c>
      <c r="E339" s="19">
        <v>597</v>
      </c>
      <c r="F339" s="19">
        <v>3.87</v>
      </c>
      <c r="G339" s="19">
        <f t="shared" si="5"/>
        <v>2310.39</v>
      </c>
      <c r="H339" s="19">
        <v>0</v>
      </c>
    </row>
    <row r="340" spans="1:8" x14ac:dyDescent="0.25">
      <c r="A340" s="30">
        <v>46077</v>
      </c>
      <c r="B340" s="19" t="s">
        <v>75</v>
      </c>
      <c r="C340" s="19" t="s">
        <v>377</v>
      </c>
      <c r="D340" s="19" t="s">
        <v>64</v>
      </c>
      <c r="E340" s="19">
        <v>1</v>
      </c>
      <c r="F340" s="19">
        <v>1460.31</v>
      </c>
      <c r="G340" s="19">
        <f t="shared" si="5"/>
        <v>1460.31</v>
      </c>
      <c r="H340" s="19">
        <v>0</v>
      </c>
    </row>
    <row r="341" spans="1:8" x14ac:dyDescent="0.25">
      <c r="A341" s="30">
        <v>46078</v>
      </c>
      <c r="B341" s="19" t="s">
        <v>37</v>
      </c>
      <c r="C341" s="19" t="s">
        <v>378</v>
      </c>
      <c r="D341" s="19" t="s">
        <v>62</v>
      </c>
      <c r="E341" s="19">
        <v>515</v>
      </c>
      <c r="F341" s="19">
        <v>3.82</v>
      </c>
      <c r="G341" s="19">
        <f t="shared" si="5"/>
        <v>1967.3</v>
      </c>
      <c r="H341" s="19">
        <v>57.05</v>
      </c>
    </row>
    <row r="342" spans="1:8" x14ac:dyDescent="0.25">
      <c r="A342" s="30">
        <v>46079</v>
      </c>
      <c r="B342" s="19" t="s">
        <v>33</v>
      </c>
      <c r="C342" s="19" t="s">
        <v>379</v>
      </c>
      <c r="D342" s="19" t="s">
        <v>26</v>
      </c>
      <c r="E342" s="19">
        <v>577</v>
      </c>
      <c r="F342" s="19">
        <v>3.84</v>
      </c>
      <c r="G342" s="19">
        <f t="shared" si="5"/>
        <v>2215.6799999999998</v>
      </c>
      <c r="H342" s="19">
        <v>64.25</v>
      </c>
    </row>
    <row r="343" spans="1:8" x14ac:dyDescent="0.25">
      <c r="A343" s="30">
        <v>46080</v>
      </c>
      <c r="B343" s="19" t="s">
        <v>45</v>
      </c>
      <c r="C343" s="19" t="s">
        <v>380</v>
      </c>
      <c r="D343" s="19" t="s">
        <v>44</v>
      </c>
      <c r="E343" s="19">
        <v>596</v>
      </c>
      <c r="F343" s="19">
        <v>3.83</v>
      </c>
      <c r="G343" s="19">
        <f t="shared" si="5"/>
        <v>2282.6799999999998</v>
      </c>
      <c r="H343" s="19">
        <v>0</v>
      </c>
    </row>
    <row r="344" spans="1:8" x14ac:dyDescent="0.25">
      <c r="A344" s="30">
        <v>46083</v>
      </c>
      <c r="B344" s="19" t="s">
        <v>42</v>
      </c>
      <c r="C344" s="19" t="s">
        <v>381</v>
      </c>
      <c r="D344" s="19" t="s">
        <v>26</v>
      </c>
      <c r="E344" s="19">
        <v>564</v>
      </c>
      <c r="F344" s="19">
        <v>3.81</v>
      </c>
      <c r="G344" s="19">
        <f t="shared" si="5"/>
        <v>2148.84</v>
      </c>
      <c r="H344" s="19">
        <v>62.32</v>
      </c>
    </row>
    <row r="345" spans="1:8" x14ac:dyDescent="0.25">
      <c r="A345" s="30">
        <v>46084</v>
      </c>
      <c r="B345" s="19" t="s">
        <v>75</v>
      </c>
      <c r="C345" s="19" t="s">
        <v>382</v>
      </c>
      <c r="D345" s="19" t="s">
        <v>62</v>
      </c>
      <c r="E345" s="19">
        <v>649</v>
      </c>
      <c r="F345" s="19">
        <v>3.82</v>
      </c>
      <c r="G345" s="19">
        <f t="shared" si="5"/>
        <v>2479.1799999999998</v>
      </c>
      <c r="H345" s="19">
        <v>0</v>
      </c>
    </row>
    <row r="346" spans="1:8" x14ac:dyDescent="0.25">
      <c r="A346" s="30">
        <v>46085</v>
      </c>
      <c r="B346" s="19" t="s">
        <v>37</v>
      </c>
      <c r="C346" s="19" t="s">
        <v>383</v>
      </c>
      <c r="D346" s="19" t="s">
        <v>39</v>
      </c>
      <c r="E346" s="19">
        <v>1</v>
      </c>
      <c r="F346" s="19">
        <v>1009.59</v>
      </c>
      <c r="G346" s="19">
        <f t="shared" si="5"/>
        <v>1009.59</v>
      </c>
      <c r="H346" s="19">
        <v>29.28</v>
      </c>
    </row>
    <row r="347" spans="1:8" x14ac:dyDescent="0.25">
      <c r="A347" s="30">
        <v>46086</v>
      </c>
      <c r="B347" s="19" t="s">
        <v>31</v>
      </c>
      <c r="C347" s="19" t="s">
        <v>384</v>
      </c>
      <c r="D347" s="19" t="s">
        <v>26</v>
      </c>
      <c r="E347" s="19">
        <v>688</v>
      </c>
      <c r="F347" s="19">
        <v>3.75</v>
      </c>
      <c r="G347" s="19">
        <f t="shared" si="5"/>
        <v>2580</v>
      </c>
      <c r="H347" s="19">
        <v>74.819999999999993</v>
      </c>
    </row>
    <row r="348" spans="1:8" x14ac:dyDescent="0.25">
      <c r="A348" s="30">
        <v>46087</v>
      </c>
      <c r="B348" s="19" t="s">
        <v>75</v>
      </c>
      <c r="C348" s="19" t="s">
        <v>385</v>
      </c>
      <c r="D348" s="19" t="s">
        <v>44</v>
      </c>
      <c r="E348" s="19">
        <v>655</v>
      </c>
      <c r="F348" s="19">
        <v>3.72</v>
      </c>
      <c r="G348" s="19">
        <f t="shared" si="5"/>
        <v>2436.6</v>
      </c>
      <c r="H348" s="19">
        <v>0</v>
      </c>
    </row>
    <row r="349" spans="1:8" x14ac:dyDescent="0.25">
      <c r="A349" s="30">
        <v>46090</v>
      </c>
      <c r="B349" s="19" t="s">
        <v>42</v>
      </c>
      <c r="C349" s="19" t="s">
        <v>386</v>
      </c>
      <c r="D349" s="19" t="s">
        <v>21</v>
      </c>
      <c r="E349" s="19">
        <v>625</v>
      </c>
      <c r="F349" s="19">
        <v>3.75</v>
      </c>
      <c r="G349" s="19">
        <f t="shared" si="5"/>
        <v>2343.75</v>
      </c>
      <c r="H349" s="19">
        <v>67.97</v>
      </c>
    </row>
    <row r="350" spans="1:8" x14ac:dyDescent="0.25">
      <c r="A350" s="30">
        <v>46091</v>
      </c>
      <c r="B350" s="19" t="s">
        <v>16</v>
      </c>
      <c r="C350" s="19" t="s">
        <v>387</v>
      </c>
      <c r="D350" s="19" t="s">
        <v>39</v>
      </c>
      <c r="E350" s="19">
        <v>1</v>
      </c>
      <c r="F350" s="19">
        <v>1715.4</v>
      </c>
      <c r="G350" s="19">
        <f t="shared" si="5"/>
        <v>1715.4</v>
      </c>
      <c r="H350" s="19">
        <v>49.75</v>
      </c>
    </row>
    <row r="351" spans="1:8" x14ac:dyDescent="0.25">
      <c r="A351" s="30">
        <v>46092</v>
      </c>
      <c r="B351" s="19" t="s">
        <v>45</v>
      </c>
      <c r="C351" s="19" t="s">
        <v>388</v>
      </c>
      <c r="D351" s="19" t="s">
        <v>62</v>
      </c>
      <c r="E351" s="19">
        <v>582</v>
      </c>
      <c r="F351" s="19">
        <v>3.74</v>
      </c>
      <c r="G351" s="19">
        <f t="shared" si="5"/>
        <v>2176.6800000000003</v>
      </c>
      <c r="H351" s="19">
        <v>63.12</v>
      </c>
    </row>
    <row r="352" spans="1:8" x14ac:dyDescent="0.25">
      <c r="A352" s="30">
        <v>46093</v>
      </c>
      <c r="B352" s="19" t="s">
        <v>31</v>
      </c>
      <c r="C352" s="19" t="s">
        <v>389</v>
      </c>
      <c r="D352" s="19" t="s">
        <v>62</v>
      </c>
      <c r="E352" s="19">
        <v>572</v>
      </c>
      <c r="F352" s="19">
        <v>3.75</v>
      </c>
      <c r="G352" s="19">
        <f t="shared" si="5"/>
        <v>2145</v>
      </c>
      <c r="H352" s="19">
        <v>62.21</v>
      </c>
    </row>
    <row r="353" spans="1:8" x14ac:dyDescent="0.25">
      <c r="A353" s="30">
        <v>46094</v>
      </c>
      <c r="B353" s="19" t="s">
        <v>79</v>
      </c>
      <c r="C353" s="19" t="s">
        <v>390</v>
      </c>
      <c r="D353" s="19" t="s">
        <v>21</v>
      </c>
      <c r="E353" s="19">
        <v>617</v>
      </c>
      <c r="F353" s="19">
        <v>3.78</v>
      </c>
      <c r="G353" s="19">
        <f t="shared" si="5"/>
        <v>2332.2599999999998</v>
      </c>
      <c r="H353" s="19">
        <v>67.64</v>
      </c>
    </row>
    <row r="354" spans="1:8" x14ac:dyDescent="0.25">
      <c r="A354" s="30">
        <v>46097</v>
      </c>
      <c r="B354" s="19" t="s">
        <v>28</v>
      </c>
      <c r="C354" s="19" t="s">
        <v>391</v>
      </c>
      <c r="D354" s="19" t="s">
        <v>21</v>
      </c>
      <c r="E354" s="19">
        <v>570</v>
      </c>
      <c r="F354" s="19">
        <v>3.89</v>
      </c>
      <c r="G354" s="19">
        <f t="shared" si="5"/>
        <v>2217.3000000000002</v>
      </c>
      <c r="H354" s="19">
        <v>64.3</v>
      </c>
    </row>
    <row r="355" spans="1:8" x14ac:dyDescent="0.25">
      <c r="A355" s="30">
        <v>46098</v>
      </c>
      <c r="B355" s="19" t="s">
        <v>75</v>
      </c>
      <c r="C355" s="19" t="s">
        <v>392</v>
      </c>
      <c r="D355" s="19" t="s">
        <v>393</v>
      </c>
      <c r="E355" s="19">
        <v>204</v>
      </c>
      <c r="F355" s="19">
        <v>45.4</v>
      </c>
      <c r="G355" s="19">
        <f t="shared" si="5"/>
        <v>9261.6</v>
      </c>
      <c r="H355" s="19">
        <v>0</v>
      </c>
    </row>
    <row r="356" spans="1:8" x14ac:dyDescent="0.25">
      <c r="A356" s="30">
        <v>46099</v>
      </c>
      <c r="B356" s="19" t="s">
        <v>24</v>
      </c>
      <c r="C356" s="19" t="s">
        <v>394</v>
      </c>
      <c r="D356" s="19" t="s">
        <v>39</v>
      </c>
      <c r="E356" s="19">
        <v>1</v>
      </c>
      <c r="F356" s="19">
        <v>1350.18</v>
      </c>
      <c r="G356" s="19">
        <f t="shared" si="5"/>
        <v>1350.18</v>
      </c>
      <c r="H356" s="19">
        <v>39.159999999999997</v>
      </c>
    </row>
    <row r="357" spans="1:8" x14ac:dyDescent="0.25">
      <c r="A357" s="30">
        <v>46100</v>
      </c>
      <c r="B357" s="19" t="s">
        <v>16</v>
      </c>
      <c r="C357" s="19" t="s">
        <v>395</v>
      </c>
      <c r="D357" s="19" t="s">
        <v>62</v>
      </c>
      <c r="E357" s="19">
        <v>715</v>
      </c>
      <c r="F357" s="19">
        <v>3.9</v>
      </c>
      <c r="G357" s="19">
        <f t="shared" si="5"/>
        <v>2788.5</v>
      </c>
      <c r="H357" s="19">
        <v>80.87</v>
      </c>
    </row>
    <row r="358" spans="1:8" x14ac:dyDescent="0.25">
      <c r="A358" s="30">
        <v>46101</v>
      </c>
      <c r="B358" s="19" t="s">
        <v>75</v>
      </c>
      <c r="C358" s="19" t="s">
        <v>396</v>
      </c>
      <c r="D358" s="19" t="s">
        <v>62</v>
      </c>
      <c r="E358" s="19">
        <v>670</v>
      </c>
      <c r="F358" s="19">
        <v>3.86</v>
      </c>
      <c r="G358" s="19">
        <f t="shared" si="5"/>
        <v>2586.1999999999998</v>
      </c>
      <c r="H358" s="19">
        <v>75</v>
      </c>
    </row>
    <row r="359" spans="1:8" x14ac:dyDescent="0.25">
      <c r="A359" s="30">
        <v>46104</v>
      </c>
      <c r="B359" s="19" t="s">
        <v>24</v>
      </c>
      <c r="C359" s="19" t="s">
        <v>397</v>
      </c>
      <c r="D359" s="19" t="s">
        <v>21</v>
      </c>
      <c r="E359" s="19">
        <v>833</v>
      </c>
      <c r="F359" s="19">
        <v>3.79</v>
      </c>
      <c r="G359" s="19">
        <f t="shared" si="5"/>
        <v>3157.07</v>
      </c>
      <c r="H359" s="19">
        <v>91.56</v>
      </c>
    </row>
    <row r="360" spans="1:8" x14ac:dyDescent="0.25">
      <c r="A360" s="30">
        <v>46105</v>
      </c>
      <c r="B360" s="19" t="s">
        <v>37</v>
      </c>
      <c r="C360" s="19" t="s">
        <v>398</v>
      </c>
      <c r="D360" s="19" t="s">
        <v>57</v>
      </c>
      <c r="E360" s="19">
        <v>1</v>
      </c>
      <c r="F360" s="19">
        <v>956.32</v>
      </c>
      <c r="G360" s="19">
        <f t="shared" si="5"/>
        <v>956.32</v>
      </c>
      <c r="H360" s="19">
        <v>27.73</v>
      </c>
    </row>
    <row r="361" spans="1:8" x14ac:dyDescent="0.25">
      <c r="A361" s="30">
        <v>46106</v>
      </c>
      <c r="B361" s="19" t="s">
        <v>22</v>
      </c>
      <c r="C361" s="19" t="s">
        <v>399</v>
      </c>
      <c r="D361" s="19" t="s">
        <v>62</v>
      </c>
      <c r="E361" s="19">
        <v>643</v>
      </c>
      <c r="F361" s="19">
        <v>3.85</v>
      </c>
      <c r="G361" s="19">
        <f t="shared" si="5"/>
        <v>2475.5500000000002</v>
      </c>
      <c r="H361" s="19">
        <v>0</v>
      </c>
    </row>
    <row r="362" spans="1:8" x14ac:dyDescent="0.25">
      <c r="A362" s="30">
        <v>46107</v>
      </c>
      <c r="B362" s="19" t="s">
        <v>75</v>
      </c>
      <c r="C362" s="19" t="s">
        <v>400</v>
      </c>
      <c r="D362" s="19" t="s">
        <v>44</v>
      </c>
      <c r="E362" s="19">
        <v>634</v>
      </c>
      <c r="F362" s="19">
        <v>3.81</v>
      </c>
      <c r="G362" s="19">
        <f t="shared" si="5"/>
        <v>2415.54</v>
      </c>
      <c r="H362" s="19">
        <v>70.05</v>
      </c>
    </row>
    <row r="363" spans="1:8" x14ac:dyDescent="0.25">
      <c r="A363" s="30">
        <v>46108</v>
      </c>
      <c r="B363" s="19" t="s">
        <v>37</v>
      </c>
      <c r="C363" s="19" t="s">
        <v>401</v>
      </c>
      <c r="D363" s="19" t="s">
        <v>39</v>
      </c>
      <c r="E363" s="19">
        <v>1</v>
      </c>
      <c r="F363" s="19">
        <v>959.52</v>
      </c>
      <c r="G363" s="19">
        <f t="shared" si="5"/>
        <v>959.52</v>
      </c>
      <c r="H363" s="19">
        <v>27.83</v>
      </c>
    </row>
    <row r="364" spans="1:8" x14ac:dyDescent="0.25">
      <c r="A364" s="30">
        <v>46111</v>
      </c>
      <c r="B364" s="19" t="s">
        <v>75</v>
      </c>
      <c r="C364" s="19" t="s">
        <v>402</v>
      </c>
      <c r="D364" s="19" t="s">
        <v>62</v>
      </c>
      <c r="E364" s="19">
        <v>684</v>
      </c>
      <c r="F364" s="19">
        <v>3.79</v>
      </c>
      <c r="G364" s="19">
        <f t="shared" si="5"/>
        <v>2592.36</v>
      </c>
      <c r="H364" s="19">
        <v>75.180000000000007</v>
      </c>
    </row>
    <row r="365" spans="1:8" x14ac:dyDescent="0.25">
      <c r="A365" s="30">
        <v>46112</v>
      </c>
      <c r="B365" s="19" t="s">
        <v>24</v>
      </c>
      <c r="C365" s="19" t="s">
        <v>403</v>
      </c>
      <c r="D365" s="19" t="s">
        <v>26</v>
      </c>
      <c r="E365" s="19">
        <v>451</v>
      </c>
      <c r="F365" s="19">
        <v>3.92</v>
      </c>
      <c r="G365" s="19">
        <f t="shared" si="5"/>
        <v>1767.92</v>
      </c>
      <c r="H365" s="19">
        <v>0</v>
      </c>
    </row>
    <row r="366" spans="1:8" x14ac:dyDescent="0.25">
      <c r="A366" s="30">
        <v>46113</v>
      </c>
      <c r="B366" s="19" t="s">
        <v>19</v>
      </c>
      <c r="C366" s="19" t="s">
        <v>404</v>
      </c>
      <c r="D366" s="19" t="s">
        <v>44</v>
      </c>
      <c r="E366" s="19">
        <v>411</v>
      </c>
      <c r="F366" s="19">
        <v>3.94</v>
      </c>
      <c r="G366" s="19">
        <f t="shared" si="5"/>
        <v>1619.34</v>
      </c>
      <c r="H366" s="19">
        <v>46.96</v>
      </c>
    </row>
    <row r="367" spans="1:8" x14ac:dyDescent="0.25">
      <c r="A367" s="30">
        <v>46114</v>
      </c>
      <c r="B367" s="19" t="s">
        <v>24</v>
      </c>
      <c r="C367" s="19" t="s">
        <v>405</v>
      </c>
      <c r="D367" s="19" t="s">
        <v>62</v>
      </c>
      <c r="E367" s="19">
        <v>587</v>
      </c>
      <c r="F367" s="19">
        <v>3.92</v>
      </c>
      <c r="G367" s="19">
        <f t="shared" si="5"/>
        <v>2301.04</v>
      </c>
      <c r="H367" s="19">
        <v>66.73</v>
      </c>
    </row>
    <row r="368" spans="1:8" x14ac:dyDescent="0.25">
      <c r="A368" s="30">
        <v>46115</v>
      </c>
      <c r="B368" s="19" t="s">
        <v>79</v>
      </c>
      <c r="C368" s="19" t="s">
        <v>406</v>
      </c>
      <c r="D368" s="19" t="s">
        <v>18</v>
      </c>
      <c r="E368" s="19">
        <v>530</v>
      </c>
      <c r="F368" s="19">
        <v>3.9</v>
      </c>
      <c r="G368" s="19">
        <f t="shared" si="5"/>
        <v>2067</v>
      </c>
      <c r="H368" s="19">
        <v>0</v>
      </c>
    </row>
    <row r="369" spans="1:8" x14ac:dyDescent="0.25">
      <c r="A369" s="30">
        <v>46118</v>
      </c>
      <c r="B369" s="19" t="s">
        <v>47</v>
      </c>
      <c r="C369" s="19" t="s">
        <v>407</v>
      </c>
      <c r="D369" s="19" t="s">
        <v>44</v>
      </c>
      <c r="E369" s="19">
        <v>540</v>
      </c>
      <c r="F369" s="19">
        <v>3.89</v>
      </c>
      <c r="G369" s="19">
        <f t="shared" si="5"/>
        <v>2100.6</v>
      </c>
      <c r="H369" s="19">
        <v>0</v>
      </c>
    </row>
    <row r="370" spans="1:8" x14ac:dyDescent="0.25">
      <c r="A370" s="30">
        <v>46119</v>
      </c>
      <c r="B370" s="19" t="s">
        <v>35</v>
      </c>
      <c r="C370" s="19" t="s">
        <v>408</v>
      </c>
      <c r="D370" s="19" t="s">
        <v>44</v>
      </c>
      <c r="E370" s="19">
        <v>436</v>
      </c>
      <c r="F370" s="19">
        <v>3.86</v>
      </c>
      <c r="G370" s="19">
        <f t="shared" si="5"/>
        <v>1682.96</v>
      </c>
      <c r="H370" s="19">
        <v>0</v>
      </c>
    </row>
    <row r="371" spans="1:8" x14ac:dyDescent="0.25">
      <c r="A371" s="30">
        <v>46120</v>
      </c>
      <c r="B371" s="19" t="s">
        <v>37</v>
      </c>
      <c r="C371" s="19" t="s">
        <v>409</v>
      </c>
      <c r="D371" s="19" t="s">
        <v>44</v>
      </c>
      <c r="E371" s="19">
        <v>511</v>
      </c>
      <c r="F371" s="19">
        <v>3.82</v>
      </c>
      <c r="G371" s="19">
        <f t="shared" si="5"/>
        <v>1952.02</v>
      </c>
      <c r="H371" s="19">
        <v>56.61</v>
      </c>
    </row>
    <row r="372" spans="1:8" x14ac:dyDescent="0.25">
      <c r="A372" s="30">
        <v>46121</v>
      </c>
      <c r="B372" s="19" t="s">
        <v>28</v>
      </c>
      <c r="C372" s="19" t="s">
        <v>410</v>
      </c>
      <c r="D372" s="19" t="s">
        <v>21</v>
      </c>
      <c r="E372" s="19">
        <v>489</v>
      </c>
      <c r="F372" s="19">
        <v>3.85</v>
      </c>
      <c r="G372" s="19">
        <f t="shared" si="5"/>
        <v>1882.65</v>
      </c>
      <c r="H372" s="19">
        <v>54.6</v>
      </c>
    </row>
    <row r="373" spans="1:8" x14ac:dyDescent="0.25">
      <c r="A373" s="30">
        <v>46122</v>
      </c>
      <c r="B373" s="19" t="s">
        <v>55</v>
      </c>
      <c r="C373" s="19" t="s">
        <v>411</v>
      </c>
      <c r="D373" s="19" t="s">
        <v>21</v>
      </c>
      <c r="E373" s="19">
        <v>498</v>
      </c>
      <c r="F373" s="19">
        <v>3.82</v>
      </c>
      <c r="G373" s="19">
        <f t="shared" si="5"/>
        <v>1902.36</v>
      </c>
      <c r="H373" s="19">
        <v>0</v>
      </c>
    </row>
    <row r="374" spans="1:8" x14ac:dyDescent="0.25">
      <c r="A374" s="30">
        <v>46125</v>
      </c>
      <c r="B374" s="19" t="s">
        <v>75</v>
      </c>
      <c r="C374" s="19" t="s">
        <v>412</v>
      </c>
      <c r="D374" s="19" t="s">
        <v>26</v>
      </c>
      <c r="E374" s="19">
        <v>485</v>
      </c>
      <c r="F374" s="19">
        <v>3.79</v>
      </c>
      <c r="G374" s="19">
        <f t="shared" si="5"/>
        <v>1838.15</v>
      </c>
      <c r="H374" s="19">
        <v>53.31</v>
      </c>
    </row>
    <row r="375" spans="1:8" x14ac:dyDescent="0.25">
      <c r="A375" s="30">
        <v>46126</v>
      </c>
      <c r="B375" s="19" t="s">
        <v>79</v>
      </c>
      <c r="C375" s="19" t="s">
        <v>413</v>
      </c>
      <c r="D375" s="19" t="s">
        <v>64</v>
      </c>
      <c r="E375" s="19">
        <v>1</v>
      </c>
      <c r="F375" s="19">
        <v>1341.84</v>
      </c>
      <c r="G375" s="19">
        <f t="shared" si="5"/>
        <v>1341.84</v>
      </c>
      <c r="H375" s="19">
        <v>38.909999999999997</v>
      </c>
    </row>
    <row r="376" spans="1:8" x14ac:dyDescent="0.25">
      <c r="A376" s="30">
        <v>46127</v>
      </c>
      <c r="B376" s="19" t="s">
        <v>19</v>
      </c>
      <c r="C376" s="19" t="s">
        <v>414</v>
      </c>
      <c r="D376" s="19" t="s">
        <v>21</v>
      </c>
      <c r="E376" s="19">
        <v>507</v>
      </c>
      <c r="F376" s="19">
        <v>3.77</v>
      </c>
      <c r="G376" s="19">
        <f t="shared" si="5"/>
        <v>1911.39</v>
      </c>
      <c r="H376" s="19">
        <v>55.43</v>
      </c>
    </row>
    <row r="377" spans="1:8" x14ac:dyDescent="0.25">
      <c r="A377" s="30">
        <v>46128</v>
      </c>
      <c r="B377" s="19" t="s">
        <v>79</v>
      </c>
      <c r="C377" s="19" t="s">
        <v>415</v>
      </c>
      <c r="D377" s="19" t="s">
        <v>44</v>
      </c>
      <c r="E377" s="19">
        <v>568</v>
      </c>
      <c r="F377" s="19">
        <v>3.81</v>
      </c>
      <c r="G377" s="19">
        <f t="shared" si="5"/>
        <v>2164.08</v>
      </c>
      <c r="H377" s="19">
        <v>0</v>
      </c>
    </row>
    <row r="378" spans="1:8" x14ac:dyDescent="0.25">
      <c r="A378" s="30">
        <v>46129</v>
      </c>
      <c r="B378" s="19" t="s">
        <v>47</v>
      </c>
      <c r="C378" s="19" t="s">
        <v>416</v>
      </c>
      <c r="D378" s="19" t="s">
        <v>18</v>
      </c>
      <c r="E378" s="19">
        <v>574</v>
      </c>
      <c r="F378" s="19">
        <v>3.76</v>
      </c>
      <c r="G378" s="19">
        <f t="shared" si="5"/>
        <v>2158.2399999999998</v>
      </c>
      <c r="H378" s="19">
        <v>62.59</v>
      </c>
    </row>
    <row r="379" spans="1:8" x14ac:dyDescent="0.25">
      <c r="A379" s="30">
        <v>46132</v>
      </c>
      <c r="B379" s="19" t="s">
        <v>22</v>
      </c>
      <c r="C379" s="19" t="s">
        <v>417</v>
      </c>
      <c r="D379" s="19" t="s">
        <v>44</v>
      </c>
      <c r="E379" s="19">
        <v>466</v>
      </c>
      <c r="F379" s="19">
        <v>3.8</v>
      </c>
      <c r="G379" s="19">
        <f t="shared" si="5"/>
        <v>1770.8</v>
      </c>
      <c r="H379" s="19">
        <v>51.35</v>
      </c>
    </row>
    <row r="380" spans="1:8" x14ac:dyDescent="0.25">
      <c r="A380" s="30">
        <v>46133</v>
      </c>
      <c r="B380" s="19" t="s">
        <v>79</v>
      </c>
      <c r="C380" s="19" t="s">
        <v>418</v>
      </c>
      <c r="D380" s="19" t="s">
        <v>18</v>
      </c>
      <c r="E380" s="19">
        <v>416</v>
      </c>
      <c r="F380" s="19">
        <v>3.78</v>
      </c>
      <c r="G380" s="19">
        <f t="shared" si="5"/>
        <v>1572.48</v>
      </c>
      <c r="H380" s="19">
        <v>45.6</v>
      </c>
    </row>
    <row r="381" spans="1:8" x14ac:dyDescent="0.25">
      <c r="A381" s="30">
        <v>46134</v>
      </c>
      <c r="B381" s="19" t="s">
        <v>33</v>
      </c>
      <c r="C381" s="19" t="s">
        <v>419</v>
      </c>
      <c r="D381" s="19" t="s">
        <v>26</v>
      </c>
      <c r="E381" s="19">
        <v>384</v>
      </c>
      <c r="F381" s="19">
        <v>3.73</v>
      </c>
      <c r="G381" s="19">
        <f t="shared" si="5"/>
        <v>1432.32</v>
      </c>
      <c r="H381" s="19">
        <v>41.54</v>
      </c>
    </row>
    <row r="382" spans="1:8" x14ac:dyDescent="0.25">
      <c r="A382" s="30">
        <v>46135</v>
      </c>
      <c r="B382" s="19" t="s">
        <v>45</v>
      </c>
      <c r="C382" s="19" t="s">
        <v>420</v>
      </c>
      <c r="D382" s="19" t="s">
        <v>62</v>
      </c>
      <c r="E382" s="19">
        <v>323</v>
      </c>
      <c r="F382" s="19">
        <v>3.74</v>
      </c>
      <c r="G382" s="19">
        <f t="shared" si="5"/>
        <v>1208.02</v>
      </c>
      <c r="H382" s="19">
        <v>0</v>
      </c>
    </row>
    <row r="383" spans="1:8" x14ac:dyDescent="0.25">
      <c r="A383" s="30">
        <v>46136</v>
      </c>
      <c r="B383" s="19" t="s">
        <v>19</v>
      </c>
      <c r="C383" s="19" t="s">
        <v>421</v>
      </c>
      <c r="D383" s="19" t="s">
        <v>44</v>
      </c>
      <c r="E383" s="19">
        <v>440</v>
      </c>
      <c r="F383" s="19">
        <v>3.75</v>
      </c>
      <c r="G383" s="19">
        <f t="shared" si="5"/>
        <v>1650</v>
      </c>
      <c r="H383" s="19">
        <v>47.85</v>
      </c>
    </row>
    <row r="384" spans="1:8" x14ac:dyDescent="0.25">
      <c r="A384" s="30">
        <v>46139</v>
      </c>
      <c r="B384" s="19" t="s">
        <v>24</v>
      </c>
      <c r="C384" s="19" t="s">
        <v>422</v>
      </c>
      <c r="D384" s="19" t="s">
        <v>62</v>
      </c>
      <c r="E384" s="19">
        <v>493</v>
      </c>
      <c r="F384" s="19">
        <v>3.74</v>
      </c>
      <c r="G384" s="19">
        <f t="shared" si="5"/>
        <v>1843.8200000000002</v>
      </c>
      <c r="H384" s="19">
        <v>0</v>
      </c>
    </row>
    <row r="385" spans="1:8" x14ac:dyDescent="0.25">
      <c r="A385" s="30">
        <v>46140</v>
      </c>
      <c r="B385" s="19" t="s">
        <v>37</v>
      </c>
      <c r="C385" s="19" t="s">
        <v>423</v>
      </c>
      <c r="D385" s="19" t="s">
        <v>26</v>
      </c>
      <c r="E385" s="19">
        <v>533</v>
      </c>
      <c r="F385" s="19">
        <v>3.75</v>
      </c>
      <c r="G385" s="19">
        <f t="shared" si="5"/>
        <v>1998.75</v>
      </c>
      <c r="H385" s="19">
        <v>57.96</v>
      </c>
    </row>
    <row r="386" spans="1:8" x14ac:dyDescent="0.25">
      <c r="A386" s="30">
        <v>46141</v>
      </c>
      <c r="B386" s="19" t="s">
        <v>16</v>
      </c>
      <c r="C386" s="19" t="s">
        <v>424</v>
      </c>
      <c r="D386" s="19" t="s">
        <v>44</v>
      </c>
      <c r="E386" s="19">
        <v>542</v>
      </c>
      <c r="F386" s="19">
        <v>3.7</v>
      </c>
      <c r="G386" s="19">
        <f t="shared" si="5"/>
        <v>2005.4</v>
      </c>
      <c r="H386" s="19">
        <v>58.16</v>
      </c>
    </row>
    <row r="387" spans="1:8" x14ac:dyDescent="0.25">
      <c r="A387" s="30">
        <v>46142</v>
      </c>
      <c r="B387" s="19" t="s">
        <v>33</v>
      </c>
      <c r="C387" s="19" t="s">
        <v>425</v>
      </c>
      <c r="D387" s="19" t="s">
        <v>39</v>
      </c>
      <c r="E387" s="19">
        <v>1</v>
      </c>
      <c r="F387" s="19">
        <v>806.28</v>
      </c>
      <c r="G387" s="19">
        <f t="shared" si="5"/>
        <v>806.28</v>
      </c>
      <c r="H387" s="19">
        <v>0</v>
      </c>
    </row>
    <row r="388" spans="1:8" x14ac:dyDescent="0.25">
      <c r="A388" s="30">
        <v>46143</v>
      </c>
      <c r="B388" s="19" t="s">
        <v>47</v>
      </c>
      <c r="C388" s="19" t="s">
        <v>426</v>
      </c>
      <c r="D388" s="19" t="s">
        <v>18</v>
      </c>
      <c r="E388" s="19">
        <v>467</v>
      </c>
      <c r="F388" s="19">
        <v>3.69</v>
      </c>
      <c r="G388" s="19">
        <f t="shared" si="5"/>
        <v>1723.23</v>
      </c>
      <c r="H388" s="19">
        <v>49.97</v>
      </c>
    </row>
    <row r="389" spans="1:8" x14ac:dyDescent="0.25">
      <c r="A389" s="30">
        <v>46146</v>
      </c>
      <c r="B389" s="19" t="s">
        <v>75</v>
      </c>
      <c r="C389" s="19" t="s">
        <v>427</v>
      </c>
      <c r="D389" s="19" t="s">
        <v>62</v>
      </c>
      <c r="E389" s="19">
        <v>513</v>
      </c>
      <c r="F389" s="19">
        <v>3.71</v>
      </c>
      <c r="G389" s="19">
        <f t="shared" ref="G389:G445" si="6">IF(OR(E389="",F389=""),"",E389*F389)</f>
        <v>1903.23</v>
      </c>
      <c r="H389" s="19">
        <v>55.19</v>
      </c>
    </row>
    <row r="390" spans="1:8" x14ac:dyDescent="0.25">
      <c r="A390" s="30">
        <v>46147</v>
      </c>
      <c r="B390" s="19" t="s">
        <v>35</v>
      </c>
      <c r="C390" s="19" t="s">
        <v>428</v>
      </c>
      <c r="D390" s="19" t="s">
        <v>44</v>
      </c>
      <c r="E390" s="19">
        <v>545</v>
      </c>
      <c r="F390" s="19">
        <v>3.66</v>
      </c>
      <c r="G390" s="19">
        <f t="shared" si="6"/>
        <v>1994.7</v>
      </c>
      <c r="H390" s="19">
        <v>57.85</v>
      </c>
    </row>
    <row r="391" spans="1:8" x14ac:dyDescent="0.25">
      <c r="A391" s="30">
        <v>46148</v>
      </c>
      <c r="B391" s="19" t="s">
        <v>35</v>
      </c>
      <c r="C391" s="19" t="s">
        <v>429</v>
      </c>
      <c r="D391" s="19" t="s">
        <v>26</v>
      </c>
      <c r="E391" s="19">
        <v>513</v>
      </c>
      <c r="F391" s="19">
        <v>3.62</v>
      </c>
      <c r="G391" s="19">
        <f t="shared" si="6"/>
        <v>1857.06</v>
      </c>
      <c r="H391" s="19">
        <v>53.85</v>
      </c>
    </row>
    <row r="392" spans="1:8" x14ac:dyDescent="0.25">
      <c r="A392" s="30">
        <v>46149</v>
      </c>
      <c r="B392" s="19" t="s">
        <v>42</v>
      </c>
      <c r="C392" s="19" t="s">
        <v>430</v>
      </c>
      <c r="D392" s="19" t="s">
        <v>64</v>
      </c>
      <c r="E392" s="19">
        <v>1</v>
      </c>
      <c r="F392" s="19">
        <v>1282.55</v>
      </c>
      <c r="G392" s="19">
        <f t="shared" si="6"/>
        <v>1282.55</v>
      </c>
      <c r="H392" s="19">
        <v>0</v>
      </c>
    </row>
    <row r="393" spans="1:8" x14ac:dyDescent="0.25">
      <c r="A393" s="30">
        <v>46150</v>
      </c>
      <c r="B393" s="19" t="s">
        <v>22</v>
      </c>
      <c r="C393" s="19" t="s">
        <v>431</v>
      </c>
      <c r="D393" s="19" t="s">
        <v>21</v>
      </c>
      <c r="E393" s="19">
        <v>394</v>
      </c>
      <c r="F393" s="19">
        <v>3.67</v>
      </c>
      <c r="G393" s="19">
        <f t="shared" si="6"/>
        <v>1445.98</v>
      </c>
      <c r="H393" s="19">
        <v>0</v>
      </c>
    </row>
    <row r="394" spans="1:8" x14ac:dyDescent="0.25">
      <c r="A394" s="30">
        <v>46153</v>
      </c>
      <c r="B394" s="19" t="s">
        <v>33</v>
      </c>
      <c r="C394" s="19" t="s">
        <v>432</v>
      </c>
      <c r="D394" s="19" t="s">
        <v>18</v>
      </c>
      <c r="E394" s="19">
        <v>438</v>
      </c>
      <c r="F394" s="19">
        <v>3.66</v>
      </c>
      <c r="G394" s="19">
        <f t="shared" si="6"/>
        <v>1603.0800000000002</v>
      </c>
      <c r="H394" s="19">
        <v>46.49</v>
      </c>
    </row>
    <row r="395" spans="1:8" x14ac:dyDescent="0.25">
      <c r="A395" s="30">
        <v>46154</v>
      </c>
      <c r="B395" s="19" t="s">
        <v>42</v>
      </c>
      <c r="C395" s="19" t="s">
        <v>433</v>
      </c>
      <c r="D395" s="19" t="s">
        <v>82</v>
      </c>
      <c r="E395" s="19">
        <v>1</v>
      </c>
      <c r="F395" s="19">
        <v>884.41</v>
      </c>
      <c r="G395" s="19">
        <f t="shared" si="6"/>
        <v>884.41</v>
      </c>
      <c r="H395" s="19">
        <v>25.65</v>
      </c>
    </row>
    <row r="396" spans="1:8" x14ac:dyDescent="0.25">
      <c r="A396" s="30">
        <v>46155</v>
      </c>
      <c r="B396" s="19" t="s">
        <v>24</v>
      </c>
      <c r="C396" s="19" t="s">
        <v>434</v>
      </c>
      <c r="D396" s="19" t="s">
        <v>21</v>
      </c>
      <c r="E396" s="19">
        <v>461</v>
      </c>
      <c r="F396" s="19">
        <v>3.65</v>
      </c>
      <c r="G396" s="19">
        <f t="shared" si="6"/>
        <v>1682.6499999999999</v>
      </c>
      <c r="H396" s="19">
        <v>48.8</v>
      </c>
    </row>
    <row r="397" spans="1:8" x14ac:dyDescent="0.25">
      <c r="A397" s="30">
        <v>46156</v>
      </c>
      <c r="B397" s="19" t="s">
        <v>45</v>
      </c>
      <c r="C397" s="19" t="s">
        <v>435</v>
      </c>
      <c r="D397" s="19" t="s">
        <v>44</v>
      </c>
      <c r="E397" s="19">
        <v>428</v>
      </c>
      <c r="F397" s="19">
        <v>3.59</v>
      </c>
      <c r="G397" s="19">
        <f t="shared" si="6"/>
        <v>1536.52</v>
      </c>
      <c r="H397" s="19">
        <v>44.56</v>
      </c>
    </row>
    <row r="398" spans="1:8" x14ac:dyDescent="0.25">
      <c r="A398" s="30">
        <v>46157</v>
      </c>
      <c r="B398" s="19" t="s">
        <v>55</v>
      </c>
      <c r="C398" s="19" t="s">
        <v>436</v>
      </c>
      <c r="D398" s="19" t="s">
        <v>21</v>
      </c>
      <c r="E398" s="19">
        <v>314</v>
      </c>
      <c r="F398" s="19">
        <v>3.58</v>
      </c>
      <c r="G398" s="19">
        <f t="shared" si="6"/>
        <v>1124.1200000000001</v>
      </c>
      <c r="H398" s="19">
        <v>32.6</v>
      </c>
    </row>
    <row r="399" spans="1:8" x14ac:dyDescent="0.25">
      <c r="A399" s="30">
        <v>46160</v>
      </c>
      <c r="B399" s="19" t="s">
        <v>28</v>
      </c>
      <c r="C399" s="19" t="s">
        <v>437</v>
      </c>
      <c r="D399" s="19" t="s">
        <v>44</v>
      </c>
      <c r="E399" s="19">
        <v>233</v>
      </c>
      <c r="F399" s="19">
        <v>3.57</v>
      </c>
      <c r="G399" s="19">
        <f t="shared" si="6"/>
        <v>831.81</v>
      </c>
      <c r="H399" s="19">
        <v>24.12</v>
      </c>
    </row>
    <row r="400" spans="1:8" x14ac:dyDescent="0.25">
      <c r="A400" s="30">
        <v>46161</v>
      </c>
      <c r="B400" s="19" t="s">
        <v>75</v>
      </c>
      <c r="C400" s="19" t="s">
        <v>438</v>
      </c>
      <c r="D400" s="19" t="s">
        <v>44</v>
      </c>
      <c r="E400" s="19">
        <v>260</v>
      </c>
      <c r="F400" s="19">
        <v>3.55</v>
      </c>
      <c r="G400" s="19">
        <f t="shared" si="6"/>
        <v>923</v>
      </c>
      <c r="H400" s="19">
        <v>0</v>
      </c>
    </row>
    <row r="401" spans="1:8" x14ac:dyDescent="0.25">
      <c r="A401" s="30">
        <v>46162</v>
      </c>
      <c r="B401" s="19" t="s">
        <v>35</v>
      </c>
      <c r="C401" s="19" t="s">
        <v>439</v>
      </c>
      <c r="D401" s="19" t="s">
        <v>62</v>
      </c>
      <c r="E401" s="19">
        <v>288</v>
      </c>
      <c r="F401" s="19">
        <v>3.57</v>
      </c>
      <c r="G401" s="19">
        <f t="shared" si="6"/>
        <v>1028.1599999999999</v>
      </c>
      <c r="H401" s="19">
        <v>0</v>
      </c>
    </row>
    <row r="402" spans="1:8" x14ac:dyDescent="0.25">
      <c r="A402" s="30">
        <v>46163</v>
      </c>
      <c r="B402" s="19" t="s">
        <v>35</v>
      </c>
      <c r="C402" s="19" t="s">
        <v>440</v>
      </c>
      <c r="D402" s="19" t="s">
        <v>44</v>
      </c>
      <c r="E402" s="19">
        <v>311</v>
      </c>
      <c r="F402" s="19">
        <v>3.58</v>
      </c>
      <c r="G402" s="19">
        <f t="shared" si="6"/>
        <v>1113.3800000000001</v>
      </c>
      <c r="H402" s="19">
        <v>0</v>
      </c>
    </row>
    <row r="403" spans="1:8" x14ac:dyDescent="0.25">
      <c r="A403" s="30">
        <v>46164</v>
      </c>
      <c r="B403" s="19" t="s">
        <v>55</v>
      </c>
      <c r="C403" s="19" t="s">
        <v>441</v>
      </c>
      <c r="D403" s="19" t="s">
        <v>18</v>
      </c>
      <c r="E403" s="19">
        <v>316</v>
      </c>
      <c r="F403" s="19">
        <v>3.54</v>
      </c>
      <c r="G403" s="19">
        <f t="shared" si="6"/>
        <v>1118.6400000000001</v>
      </c>
      <c r="H403" s="19">
        <v>32.44</v>
      </c>
    </row>
    <row r="404" spans="1:8" x14ac:dyDescent="0.25">
      <c r="A404" s="30">
        <v>46167</v>
      </c>
      <c r="B404" s="19" t="s">
        <v>75</v>
      </c>
      <c r="C404" s="19" t="s">
        <v>442</v>
      </c>
      <c r="D404" s="19" t="s">
        <v>21</v>
      </c>
      <c r="E404" s="19">
        <v>394</v>
      </c>
      <c r="F404" s="19">
        <v>3.55</v>
      </c>
      <c r="G404" s="19">
        <f t="shared" si="6"/>
        <v>1398.6999999999998</v>
      </c>
      <c r="H404" s="19">
        <v>40.56</v>
      </c>
    </row>
    <row r="405" spans="1:8" x14ac:dyDescent="0.25">
      <c r="A405" s="30">
        <v>46168</v>
      </c>
      <c r="B405" s="19" t="s">
        <v>75</v>
      </c>
      <c r="C405" s="19" t="s">
        <v>443</v>
      </c>
      <c r="D405" s="19" t="s">
        <v>62</v>
      </c>
      <c r="E405" s="19">
        <v>479</v>
      </c>
      <c r="F405" s="19">
        <v>3.49</v>
      </c>
      <c r="G405" s="19">
        <f t="shared" si="6"/>
        <v>1671.71</v>
      </c>
      <c r="H405" s="19">
        <v>48.48</v>
      </c>
    </row>
    <row r="406" spans="1:8" x14ac:dyDescent="0.25">
      <c r="A406" s="30">
        <v>46169</v>
      </c>
      <c r="B406" s="19" t="s">
        <v>24</v>
      </c>
      <c r="C406" s="19" t="s">
        <v>444</v>
      </c>
      <c r="D406" s="19" t="s">
        <v>44</v>
      </c>
      <c r="E406" s="19">
        <v>516</v>
      </c>
      <c r="F406" s="19">
        <v>3.51</v>
      </c>
      <c r="G406" s="19">
        <f t="shared" si="6"/>
        <v>1811.1599999999999</v>
      </c>
      <c r="H406" s="19">
        <v>52.52</v>
      </c>
    </row>
    <row r="407" spans="1:8" x14ac:dyDescent="0.25">
      <c r="A407" s="30">
        <v>46170</v>
      </c>
      <c r="B407" s="19" t="s">
        <v>33</v>
      </c>
      <c r="C407" s="19" t="s">
        <v>445</v>
      </c>
      <c r="D407" s="19" t="s">
        <v>82</v>
      </c>
      <c r="E407" s="19">
        <v>1</v>
      </c>
      <c r="F407" s="19">
        <v>1053.05</v>
      </c>
      <c r="G407" s="19">
        <f t="shared" si="6"/>
        <v>1053.05</v>
      </c>
      <c r="H407" s="19">
        <v>30.54</v>
      </c>
    </row>
    <row r="408" spans="1:8" x14ac:dyDescent="0.25">
      <c r="A408" s="30">
        <v>46171</v>
      </c>
      <c r="B408" s="19" t="s">
        <v>37</v>
      </c>
      <c r="C408" s="19" t="s">
        <v>446</v>
      </c>
      <c r="D408" s="19" t="s">
        <v>62</v>
      </c>
      <c r="E408" s="19">
        <v>550</v>
      </c>
      <c r="F408" s="19">
        <v>3.5</v>
      </c>
      <c r="G408" s="19">
        <f t="shared" si="6"/>
        <v>1925</v>
      </c>
      <c r="H408" s="19">
        <v>55.83</v>
      </c>
    </row>
    <row r="409" spans="1:8" x14ac:dyDescent="0.25">
      <c r="A409" s="30">
        <v>46174</v>
      </c>
      <c r="B409" s="19" t="s">
        <v>42</v>
      </c>
      <c r="C409" s="19" t="s">
        <v>447</v>
      </c>
      <c r="D409" s="19" t="s">
        <v>44</v>
      </c>
      <c r="E409" s="19">
        <v>555</v>
      </c>
      <c r="F409" s="19">
        <v>3.53</v>
      </c>
      <c r="G409" s="19">
        <f t="shared" si="6"/>
        <v>1959.1499999999999</v>
      </c>
      <c r="H409" s="19">
        <v>56.82</v>
      </c>
    </row>
    <row r="410" spans="1:8" x14ac:dyDescent="0.25">
      <c r="A410" s="30">
        <v>46175</v>
      </c>
      <c r="B410" s="19" t="s">
        <v>24</v>
      </c>
      <c r="C410" s="19" t="s">
        <v>448</v>
      </c>
      <c r="D410" s="19" t="s">
        <v>44</v>
      </c>
      <c r="E410" s="19">
        <v>482</v>
      </c>
      <c r="F410" s="19">
        <v>3.47</v>
      </c>
      <c r="G410" s="19">
        <f t="shared" si="6"/>
        <v>1672.5400000000002</v>
      </c>
      <c r="H410" s="19">
        <v>48.5</v>
      </c>
    </row>
    <row r="411" spans="1:8" x14ac:dyDescent="0.25">
      <c r="A411" s="30">
        <v>46176</v>
      </c>
      <c r="B411" s="19" t="s">
        <v>16</v>
      </c>
      <c r="C411" s="19" t="s">
        <v>449</v>
      </c>
      <c r="D411" s="19" t="s">
        <v>62</v>
      </c>
      <c r="E411" s="19">
        <v>502</v>
      </c>
      <c r="F411" s="19">
        <v>3.51</v>
      </c>
      <c r="G411" s="19">
        <f t="shared" si="6"/>
        <v>1762.02</v>
      </c>
      <c r="H411" s="19">
        <v>51.1</v>
      </c>
    </row>
    <row r="412" spans="1:8" x14ac:dyDescent="0.25">
      <c r="A412" s="30">
        <v>46177</v>
      </c>
      <c r="B412" s="19" t="s">
        <v>47</v>
      </c>
      <c r="C412" s="19" t="s">
        <v>450</v>
      </c>
      <c r="D412" s="19" t="s">
        <v>57</v>
      </c>
      <c r="E412" s="19">
        <v>1</v>
      </c>
      <c r="F412" s="19">
        <v>1381.2</v>
      </c>
      <c r="G412" s="19">
        <f t="shared" si="6"/>
        <v>1381.2</v>
      </c>
      <c r="H412" s="19">
        <v>40.049999999999997</v>
      </c>
    </row>
    <row r="413" spans="1:8" x14ac:dyDescent="0.25">
      <c r="A413" s="30">
        <v>46178</v>
      </c>
      <c r="B413" s="19" t="s">
        <v>22</v>
      </c>
      <c r="C413" s="19" t="s">
        <v>451</v>
      </c>
      <c r="D413" s="19" t="s">
        <v>18</v>
      </c>
      <c r="E413" s="19">
        <v>555</v>
      </c>
      <c r="F413" s="19">
        <v>3.44</v>
      </c>
      <c r="G413" s="19">
        <f t="shared" si="6"/>
        <v>1909.2</v>
      </c>
      <c r="H413" s="19">
        <v>55.37</v>
      </c>
    </row>
    <row r="414" spans="1:8" x14ac:dyDescent="0.25">
      <c r="A414" s="30">
        <v>46181</v>
      </c>
      <c r="B414" s="19" t="s">
        <v>22</v>
      </c>
      <c r="C414" s="19" t="s">
        <v>452</v>
      </c>
      <c r="D414" s="19" t="s">
        <v>44</v>
      </c>
      <c r="E414" s="19">
        <v>527</v>
      </c>
      <c r="F414" s="19">
        <v>3.48</v>
      </c>
      <c r="G414" s="19">
        <f t="shared" si="6"/>
        <v>1833.96</v>
      </c>
      <c r="H414" s="19">
        <v>53.18</v>
      </c>
    </row>
    <row r="415" spans="1:8" x14ac:dyDescent="0.25">
      <c r="A415" s="30">
        <v>46182</v>
      </c>
      <c r="B415" s="19" t="s">
        <v>16</v>
      </c>
      <c r="C415" s="19" t="s">
        <v>453</v>
      </c>
      <c r="D415" s="19" t="s">
        <v>21</v>
      </c>
      <c r="E415" s="19">
        <v>568</v>
      </c>
      <c r="F415" s="19">
        <v>3.42</v>
      </c>
      <c r="G415" s="19">
        <f t="shared" si="6"/>
        <v>1942.56</v>
      </c>
      <c r="H415" s="19">
        <v>56.33</v>
      </c>
    </row>
    <row r="416" spans="1:8" x14ac:dyDescent="0.25">
      <c r="A416" s="30">
        <v>46183</v>
      </c>
      <c r="B416" s="19" t="s">
        <v>79</v>
      </c>
      <c r="C416" s="19" t="s">
        <v>454</v>
      </c>
      <c r="D416" s="19" t="s">
        <v>44</v>
      </c>
      <c r="E416" s="19">
        <v>542</v>
      </c>
      <c r="F416" s="19">
        <v>3.45</v>
      </c>
      <c r="G416" s="19">
        <f t="shared" si="6"/>
        <v>1869.9</v>
      </c>
      <c r="H416" s="19">
        <v>0</v>
      </c>
    </row>
    <row r="417" spans="1:8" x14ac:dyDescent="0.25">
      <c r="A417" s="30">
        <v>46184</v>
      </c>
      <c r="B417" s="19" t="s">
        <v>47</v>
      </c>
      <c r="C417" s="19" t="s">
        <v>455</v>
      </c>
      <c r="D417" s="19" t="s">
        <v>64</v>
      </c>
      <c r="E417" s="19">
        <v>1</v>
      </c>
      <c r="F417" s="19">
        <v>884.46</v>
      </c>
      <c r="G417" s="19">
        <f t="shared" si="6"/>
        <v>884.46</v>
      </c>
      <c r="H417" s="19">
        <v>25.65</v>
      </c>
    </row>
    <row r="418" spans="1:8" x14ac:dyDescent="0.25">
      <c r="A418" s="30">
        <v>46185</v>
      </c>
      <c r="B418" s="19" t="s">
        <v>79</v>
      </c>
      <c r="C418" s="19" t="s">
        <v>456</v>
      </c>
      <c r="D418" s="19" t="s">
        <v>62</v>
      </c>
      <c r="E418" s="19">
        <v>573</v>
      </c>
      <c r="F418" s="19">
        <v>3.41</v>
      </c>
      <c r="G418" s="19">
        <f t="shared" si="6"/>
        <v>1953.93</v>
      </c>
      <c r="H418" s="19">
        <v>56.66</v>
      </c>
    </row>
    <row r="419" spans="1:8" x14ac:dyDescent="0.25">
      <c r="A419" s="30">
        <v>46188</v>
      </c>
      <c r="B419" s="19" t="s">
        <v>31</v>
      </c>
      <c r="C419" s="19" t="s">
        <v>457</v>
      </c>
      <c r="D419" s="19" t="s">
        <v>26</v>
      </c>
      <c r="E419" s="19">
        <v>585</v>
      </c>
      <c r="F419" s="19">
        <v>3.42</v>
      </c>
      <c r="G419" s="19">
        <f t="shared" si="6"/>
        <v>2000.7</v>
      </c>
      <c r="H419" s="19">
        <v>58.02</v>
      </c>
    </row>
    <row r="420" spans="1:8" x14ac:dyDescent="0.25">
      <c r="A420" s="30">
        <v>46189</v>
      </c>
      <c r="B420" s="19" t="s">
        <v>47</v>
      </c>
      <c r="C420" s="19" t="s">
        <v>458</v>
      </c>
      <c r="D420" s="19" t="s">
        <v>21</v>
      </c>
      <c r="E420" s="19">
        <v>535</v>
      </c>
      <c r="F420" s="19">
        <v>3.38</v>
      </c>
      <c r="G420" s="19">
        <f t="shared" si="6"/>
        <v>1808.3</v>
      </c>
      <c r="H420" s="19">
        <v>52.44</v>
      </c>
    </row>
    <row r="421" spans="1:8" x14ac:dyDescent="0.25">
      <c r="A421" s="30">
        <v>46190</v>
      </c>
      <c r="B421" s="19" t="s">
        <v>75</v>
      </c>
      <c r="C421" s="19" t="s">
        <v>459</v>
      </c>
      <c r="D421" s="19" t="s">
        <v>18</v>
      </c>
      <c r="E421" s="19">
        <v>527</v>
      </c>
      <c r="F421" s="19">
        <v>3.4</v>
      </c>
      <c r="G421" s="19">
        <f t="shared" si="6"/>
        <v>1791.8</v>
      </c>
      <c r="H421" s="19">
        <v>51.96</v>
      </c>
    </row>
    <row r="422" spans="1:8" x14ac:dyDescent="0.25">
      <c r="A422" s="30">
        <v>46191</v>
      </c>
      <c r="B422" s="19" t="s">
        <v>33</v>
      </c>
      <c r="C422" s="19" t="s">
        <v>460</v>
      </c>
      <c r="D422" s="19" t="s">
        <v>39</v>
      </c>
      <c r="E422" s="19">
        <v>1</v>
      </c>
      <c r="F422" s="19">
        <v>1637.33</v>
      </c>
      <c r="G422" s="19">
        <f t="shared" si="6"/>
        <v>1637.33</v>
      </c>
      <c r="H422" s="19">
        <v>0</v>
      </c>
    </row>
    <row r="423" spans="1:8" x14ac:dyDescent="0.25">
      <c r="A423" s="30">
        <v>46192</v>
      </c>
      <c r="B423" s="19" t="s">
        <v>19</v>
      </c>
      <c r="C423" s="19" t="s">
        <v>461</v>
      </c>
      <c r="D423" s="19" t="s">
        <v>44</v>
      </c>
      <c r="E423" s="19">
        <v>586</v>
      </c>
      <c r="F423" s="19">
        <v>3.37</v>
      </c>
      <c r="G423" s="19">
        <f t="shared" si="6"/>
        <v>1974.8200000000002</v>
      </c>
      <c r="H423" s="19">
        <v>57.27</v>
      </c>
    </row>
    <row r="424" spans="1:8" x14ac:dyDescent="0.25">
      <c r="A424" s="30">
        <v>46195</v>
      </c>
      <c r="B424" s="19" t="s">
        <v>75</v>
      </c>
      <c r="C424" s="19" t="s">
        <v>462</v>
      </c>
      <c r="D424" s="19" t="s">
        <v>21</v>
      </c>
      <c r="E424" s="19">
        <v>555</v>
      </c>
      <c r="F424" s="19">
        <v>3.37</v>
      </c>
      <c r="G424" s="19">
        <f t="shared" si="6"/>
        <v>1870.3500000000001</v>
      </c>
      <c r="H424" s="19">
        <v>54.24</v>
      </c>
    </row>
    <row r="425" spans="1:8" x14ac:dyDescent="0.25">
      <c r="A425" s="30">
        <v>46196</v>
      </c>
      <c r="B425" s="19" t="s">
        <v>28</v>
      </c>
      <c r="C425" s="19" t="s">
        <v>463</v>
      </c>
      <c r="D425" s="19" t="s">
        <v>44</v>
      </c>
      <c r="E425" s="19">
        <v>598</v>
      </c>
      <c r="F425" s="19">
        <v>3.9</v>
      </c>
      <c r="G425" s="19">
        <f t="shared" si="6"/>
        <v>2332.1999999999998</v>
      </c>
      <c r="H425" s="19">
        <v>67.63</v>
      </c>
    </row>
    <row r="426" spans="1:8" x14ac:dyDescent="0.25">
      <c r="A426" s="30">
        <v>46197</v>
      </c>
      <c r="B426" s="19" t="s">
        <v>16</v>
      </c>
      <c r="C426" s="19" t="s">
        <v>464</v>
      </c>
      <c r="D426" s="19" t="s">
        <v>57</v>
      </c>
      <c r="E426" s="19">
        <v>1</v>
      </c>
      <c r="F426" s="19">
        <v>1299.53</v>
      </c>
      <c r="G426" s="19">
        <f t="shared" si="6"/>
        <v>1299.53</v>
      </c>
      <c r="H426" s="19">
        <v>37.69</v>
      </c>
    </row>
    <row r="427" spans="1:8" x14ac:dyDescent="0.25">
      <c r="A427" s="30">
        <v>46198</v>
      </c>
      <c r="B427" s="19" t="s">
        <v>24</v>
      </c>
      <c r="C427" s="19" t="s">
        <v>465</v>
      </c>
      <c r="D427" s="19" t="s">
        <v>21</v>
      </c>
      <c r="E427" s="19">
        <v>623</v>
      </c>
      <c r="F427" s="19">
        <v>3.88</v>
      </c>
      <c r="G427" s="19">
        <f t="shared" si="6"/>
        <v>2417.2399999999998</v>
      </c>
      <c r="H427" s="19">
        <v>70.099999999999994</v>
      </c>
    </row>
    <row r="428" spans="1:8" x14ac:dyDescent="0.25">
      <c r="A428" s="30">
        <v>46199</v>
      </c>
      <c r="B428" s="19" t="s">
        <v>24</v>
      </c>
      <c r="C428" s="19" t="s">
        <v>466</v>
      </c>
      <c r="D428" s="19" t="s">
        <v>62</v>
      </c>
      <c r="E428" s="19">
        <v>584</v>
      </c>
      <c r="F428" s="19">
        <v>3.84</v>
      </c>
      <c r="G428" s="19">
        <f t="shared" si="6"/>
        <v>2242.56</v>
      </c>
      <c r="H428" s="19">
        <v>65.03</v>
      </c>
    </row>
    <row r="429" spans="1:8" x14ac:dyDescent="0.25">
      <c r="A429" s="30">
        <v>46202</v>
      </c>
      <c r="B429" s="19" t="s">
        <v>16</v>
      </c>
      <c r="C429" s="19" t="s">
        <v>467</v>
      </c>
      <c r="D429" s="19" t="s">
        <v>26</v>
      </c>
      <c r="E429" s="19">
        <v>601</v>
      </c>
      <c r="F429" s="19">
        <v>3.86</v>
      </c>
      <c r="G429" s="19">
        <f t="shared" si="6"/>
        <v>2319.86</v>
      </c>
      <c r="H429" s="19">
        <v>0</v>
      </c>
    </row>
    <row r="430" spans="1:8" x14ac:dyDescent="0.25">
      <c r="A430" s="30">
        <v>46203</v>
      </c>
      <c r="B430" s="19" t="s">
        <v>19</v>
      </c>
      <c r="C430" s="19" t="s">
        <v>468</v>
      </c>
      <c r="D430" s="19" t="s">
        <v>57</v>
      </c>
      <c r="E430" s="19">
        <v>1</v>
      </c>
      <c r="F430" s="19">
        <v>1546.59</v>
      </c>
      <c r="G430" s="19">
        <f t="shared" si="6"/>
        <v>1546.59</v>
      </c>
      <c r="H430" s="19">
        <v>44.85</v>
      </c>
    </row>
    <row r="431" spans="1:8" x14ac:dyDescent="0.25">
      <c r="A431" s="30">
        <v>46204</v>
      </c>
      <c r="B431" s="19" t="s">
        <v>19</v>
      </c>
      <c r="C431" s="19" t="s">
        <v>469</v>
      </c>
      <c r="D431" s="19" t="s">
        <v>26</v>
      </c>
      <c r="E431" s="19">
        <v>561</v>
      </c>
      <c r="F431" s="19">
        <v>3.85</v>
      </c>
      <c r="G431" s="19">
        <f t="shared" si="6"/>
        <v>2159.85</v>
      </c>
      <c r="H431" s="19">
        <v>0</v>
      </c>
    </row>
    <row r="432" spans="1:8" x14ac:dyDescent="0.25">
      <c r="A432" s="30">
        <v>46205</v>
      </c>
      <c r="B432" s="19" t="s">
        <v>19</v>
      </c>
      <c r="C432" s="19" t="s">
        <v>470</v>
      </c>
      <c r="D432" s="19" t="s">
        <v>26</v>
      </c>
      <c r="E432" s="19">
        <v>585</v>
      </c>
      <c r="F432" s="19">
        <v>3.87</v>
      </c>
      <c r="G432" s="19">
        <f t="shared" si="6"/>
        <v>2263.9500000000003</v>
      </c>
      <c r="H432" s="19">
        <v>65.650000000000006</v>
      </c>
    </row>
    <row r="433" spans="1:8" x14ac:dyDescent="0.25">
      <c r="A433" s="30">
        <v>46206</v>
      </c>
      <c r="B433" s="19" t="s">
        <v>37</v>
      </c>
      <c r="C433" s="19" t="s">
        <v>471</v>
      </c>
      <c r="D433" s="19" t="s">
        <v>21</v>
      </c>
      <c r="E433" s="19">
        <v>585</v>
      </c>
      <c r="F433" s="19">
        <v>3.85</v>
      </c>
      <c r="G433" s="19">
        <f t="shared" si="6"/>
        <v>2252.25</v>
      </c>
      <c r="H433" s="19">
        <v>65.319999999999993</v>
      </c>
    </row>
    <row r="434" spans="1:8" x14ac:dyDescent="0.25">
      <c r="A434" s="30">
        <v>46209</v>
      </c>
      <c r="B434" s="19" t="s">
        <v>16</v>
      </c>
      <c r="C434" s="19" t="s">
        <v>472</v>
      </c>
      <c r="D434" s="19" t="s">
        <v>26</v>
      </c>
      <c r="E434" s="19">
        <v>582</v>
      </c>
      <c r="F434" s="19">
        <v>3.84</v>
      </c>
      <c r="G434" s="19">
        <f t="shared" si="6"/>
        <v>2234.88</v>
      </c>
      <c r="H434" s="19">
        <v>0</v>
      </c>
    </row>
    <row r="435" spans="1:8" x14ac:dyDescent="0.25">
      <c r="A435" s="30">
        <v>46210</v>
      </c>
      <c r="B435" s="19" t="s">
        <v>55</v>
      </c>
      <c r="C435" s="19" t="s">
        <v>473</v>
      </c>
      <c r="D435" s="19" t="s">
        <v>21</v>
      </c>
      <c r="E435" s="19">
        <v>650</v>
      </c>
      <c r="F435" s="19">
        <v>3.77</v>
      </c>
      <c r="G435" s="19">
        <f t="shared" si="6"/>
        <v>2450.5</v>
      </c>
      <c r="H435" s="19">
        <v>71.06</v>
      </c>
    </row>
    <row r="436" spans="1:8" x14ac:dyDescent="0.25">
      <c r="A436" s="30">
        <v>46211</v>
      </c>
      <c r="B436" s="19" t="s">
        <v>24</v>
      </c>
      <c r="C436" s="19" t="s">
        <v>474</v>
      </c>
      <c r="D436" s="19" t="s">
        <v>64</v>
      </c>
      <c r="E436" s="19">
        <v>1</v>
      </c>
      <c r="F436" s="19">
        <v>837.52</v>
      </c>
      <c r="G436" s="19">
        <f t="shared" si="6"/>
        <v>837.52</v>
      </c>
      <c r="H436" s="19">
        <v>24.29</v>
      </c>
    </row>
    <row r="437" spans="1:8" x14ac:dyDescent="0.25">
      <c r="A437" s="30">
        <v>46212</v>
      </c>
      <c r="B437" s="19" t="s">
        <v>55</v>
      </c>
      <c r="C437" s="19" t="s">
        <v>475</v>
      </c>
      <c r="D437" s="19" t="s">
        <v>18</v>
      </c>
      <c r="E437" s="19">
        <v>668</v>
      </c>
      <c r="F437" s="19">
        <v>3.81</v>
      </c>
      <c r="G437" s="19">
        <f t="shared" si="6"/>
        <v>2545.08</v>
      </c>
      <c r="H437" s="19">
        <v>0</v>
      </c>
    </row>
    <row r="438" spans="1:8" x14ac:dyDescent="0.25">
      <c r="A438" s="30">
        <v>46213</v>
      </c>
      <c r="B438" s="19" t="s">
        <v>42</v>
      </c>
      <c r="C438" s="19" t="s">
        <v>476</v>
      </c>
      <c r="D438" s="19" t="s">
        <v>21</v>
      </c>
      <c r="E438" s="19">
        <v>616</v>
      </c>
      <c r="F438" s="19">
        <v>3.81</v>
      </c>
      <c r="G438" s="19">
        <f t="shared" si="6"/>
        <v>2346.96</v>
      </c>
      <c r="H438" s="19">
        <v>68.06</v>
      </c>
    </row>
    <row r="439" spans="1:8" x14ac:dyDescent="0.25">
      <c r="A439" s="30">
        <v>46216</v>
      </c>
      <c r="B439" s="19" t="s">
        <v>33</v>
      </c>
      <c r="C439" s="19" t="s">
        <v>477</v>
      </c>
      <c r="D439" s="19" t="s">
        <v>21</v>
      </c>
      <c r="E439" s="19">
        <v>603</v>
      </c>
      <c r="F439" s="19">
        <v>3.82</v>
      </c>
      <c r="G439" s="19">
        <f t="shared" si="6"/>
        <v>2303.46</v>
      </c>
      <c r="H439" s="19">
        <v>0</v>
      </c>
    </row>
    <row r="440" spans="1:8" x14ac:dyDescent="0.25">
      <c r="A440" s="30">
        <v>46217</v>
      </c>
      <c r="B440" s="19" t="s">
        <v>28</v>
      </c>
      <c r="C440" s="19" t="s">
        <v>478</v>
      </c>
      <c r="D440" s="19" t="s">
        <v>39</v>
      </c>
      <c r="E440" s="19">
        <v>1</v>
      </c>
      <c r="F440" s="19">
        <v>1863.93</v>
      </c>
      <c r="G440" s="19">
        <f t="shared" si="6"/>
        <v>1863.93</v>
      </c>
      <c r="H440" s="19">
        <v>0</v>
      </c>
    </row>
    <row r="441" spans="1:8" x14ac:dyDescent="0.25">
      <c r="A441" s="30">
        <v>46218</v>
      </c>
      <c r="B441" s="19" t="s">
        <v>79</v>
      </c>
      <c r="C441" s="19" t="s">
        <v>479</v>
      </c>
      <c r="D441" s="19" t="s">
        <v>18</v>
      </c>
      <c r="E441" s="19">
        <v>593</v>
      </c>
      <c r="F441" s="19">
        <v>3.79</v>
      </c>
      <c r="G441" s="19">
        <f t="shared" si="6"/>
        <v>2247.4699999999998</v>
      </c>
      <c r="H441" s="19">
        <v>65.180000000000007</v>
      </c>
    </row>
    <row r="442" spans="1:8" x14ac:dyDescent="0.25">
      <c r="A442" s="30">
        <v>46219</v>
      </c>
      <c r="B442" s="19" t="s">
        <v>28</v>
      </c>
      <c r="C442" s="19" t="s">
        <v>480</v>
      </c>
      <c r="D442" s="19" t="s">
        <v>44</v>
      </c>
      <c r="E442" s="19">
        <v>565</v>
      </c>
      <c r="F442" s="19">
        <v>3.79</v>
      </c>
      <c r="G442" s="19">
        <f t="shared" si="6"/>
        <v>2141.35</v>
      </c>
      <c r="H442" s="19">
        <v>62.1</v>
      </c>
    </row>
    <row r="443" spans="1:8" x14ac:dyDescent="0.25">
      <c r="A443" s="30">
        <v>46220</v>
      </c>
      <c r="B443" s="19" t="s">
        <v>28</v>
      </c>
      <c r="C443" s="19" t="s">
        <v>481</v>
      </c>
      <c r="D443" s="19" t="s">
        <v>62</v>
      </c>
      <c r="E443" s="19">
        <v>599</v>
      </c>
      <c r="F443" s="19">
        <v>3.75</v>
      </c>
      <c r="G443" s="19">
        <f t="shared" si="6"/>
        <v>2246.25</v>
      </c>
      <c r="H443" s="19">
        <v>0</v>
      </c>
    </row>
    <row r="444" spans="1:8" x14ac:dyDescent="0.25">
      <c r="A444" s="30">
        <v>46223</v>
      </c>
      <c r="B444" s="19" t="s">
        <v>16</v>
      </c>
      <c r="C444" s="19" t="s">
        <v>482</v>
      </c>
      <c r="D444" s="19" t="s">
        <v>26</v>
      </c>
      <c r="E444" s="19">
        <v>551</v>
      </c>
      <c r="F444" s="19">
        <v>3.82</v>
      </c>
      <c r="G444" s="19">
        <f t="shared" si="6"/>
        <v>2104.8199999999997</v>
      </c>
      <c r="H444" s="19">
        <v>61.04</v>
      </c>
    </row>
    <row r="445" spans="1:8" x14ac:dyDescent="0.25">
      <c r="A445" s="30">
        <v>46224</v>
      </c>
      <c r="B445" s="19" t="s">
        <v>79</v>
      </c>
      <c r="C445" s="19" t="s">
        <v>483</v>
      </c>
      <c r="D445" s="19" t="s">
        <v>393</v>
      </c>
      <c r="E445" s="19">
        <v>160</v>
      </c>
      <c r="F445" s="19">
        <v>45.38</v>
      </c>
      <c r="G445" s="19">
        <f t="shared" si="6"/>
        <v>7260.8</v>
      </c>
      <c r="H445" s="19">
        <v>210.56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03"/>
  <sheetViews>
    <sheetView zoomScaleNormal="100" workbookViewId="0">
      <pane ySplit="3" topLeftCell="A4" activePane="bottomLeft" state="frozen"/>
      <selection pane="bottomLeft" activeCell="A444" sqref="A3:C444"/>
    </sheetView>
  </sheetViews>
  <sheetFormatPr defaultRowHeight="15" x14ac:dyDescent="0.25"/>
  <cols>
    <col min="1" max="1" width="14.42578125" customWidth="1"/>
    <col min="2" max="2" width="45.85546875" customWidth="1"/>
    <col min="3" max="3" width="73" customWidth="1"/>
  </cols>
  <sheetData>
    <row r="1" spans="1:3" ht="27.95" customHeight="1" x14ac:dyDescent="0.25">
      <c r="A1" s="31" t="s">
        <v>484</v>
      </c>
      <c r="B1" s="32"/>
      <c r="C1" s="32"/>
    </row>
    <row r="2" spans="1:3" ht="18" customHeight="1" x14ac:dyDescent="0.25">
      <c r="A2" s="35" t="s">
        <v>485</v>
      </c>
      <c r="B2" s="32"/>
      <c r="C2" s="32"/>
    </row>
    <row r="3" spans="1:3" ht="21.95" customHeight="1" x14ac:dyDescent="0.25">
      <c r="A3" s="9" t="s">
        <v>2</v>
      </c>
      <c r="B3" s="9" t="s">
        <v>6</v>
      </c>
      <c r="C3" s="9" t="s">
        <v>7</v>
      </c>
    </row>
    <row r="4" spans="1:3" x14ac:dyDescent="0.25">
      <c r="A4" s="10">
        <f>IF(RAW_INPUT!A5="","",RAW_INPUT!A5)</f>
        <v>45600</v>
      </c>
      <c r="B4" s="11">
        <f>IF(RAW_INPUT!A5="","",RAW_INPUT!E5)</f>
        <v>420</v>
      </c>
      <c r="C4" s="12">
        <f>IF(RAW_INPUT!A5="","",RAW_INPUT!F5)</f>
        <v>3.91</v>
      </c>
    </row>
    <row r="5" spans="1:3" x14ac:dyDescent="0.25">
      <c r="A5" s="13">
        <f>IF(RAW_INPUT!A6="","",RAW_INPUT!A6)</f>
        <v>45601</v>
      </c>
      <c r="B5" s="14">
        <f>IF(RAW_INPUT!A6="","",RAW_INPUT!E6)</f>
        <v>380</v>
      </c>
      <c r="C5" s="15">
        <f>IF(RAW_INPUT!A6="","",RAW_INPUT!F6)</f>
        <v>3.91</v>
      </c>
    </row>
    <row r="6" spans="1:3" x14ac:dyDescent="0.25">
      <c r="A6" s="10">
        <f>IF(RAW_INPUT!A7="","",RAW_INPUT!A7)</f>
        <v>45602</v>
      </c>
      <c r="B6" s="11">
        <f>IF(RAW_INPUT!A7="","",RAW_INPUT!E7)</f>
        <v>510</v>
      </c>
      <c r="C6" s="12">
        <f>IF(RAW_INPUT!A7="","",RAW_INPUT!F7)</f>
        <v>3.88</v>
      </c>
    </row>
    <row r="7" spans="1:3" x14ac:dyDescent="0.25">
      <c r="A7" s="13">
        <f>IF(RAW_INPUT!A8="","",RAW_INPUT!A8)</f>
        <v>45603</v>
      </c>
      <c r="B7" s="14">
        <f>IF(RAW_INPUT!A8="","",RAW_INPUT!E8)</f>
        <v>465</v>
      </c>
      <c r="C7" s="15">
        <f>IF(RAW_INPUT!A8="","",RAW_INPUT!F8)</f>
        <v>3.88</v>
      </c>
    </row>
    <row r="8" spans="1:3" x14ac:dyDescent="0.25">
      <c r="A8" s="10">
        <f>IF(RAW_INPUT!A9="","",RAW_INPUT!A9)</f>
        <v>45604</v>
      </c>
      <c r="B8" s="11">
        <f>IF(RAW_INPUT!A9="","",RAW_INPUT!E9)</f>
        <v>490</v>
      </c>
      <c r="C8" s="12">
        <f>IF(RAW_INPUT!A9="","",RAW_INPUT!F9)</f>
        <v>3.85</v>
      </c>
    </row>
    <row r="9" spans="1:3" x14ac:dyDescent="0.25">
      <c r="A9" s="16">
        <f>IF(RAW_INPUT!A10="","",RAW_INPUT!A10)</f>
        <v>45607</v>
      </c>
      <c r="B9" s="17">
        <f>IF(RAW_INPUT!A10="","",RAW_INPUT!E10)</f>
        <v>440</v>
      </c>
      <c r="C9" s="18">
        <f>IF(RAW_INPUT!A10="","",RAW_INPUT!F10)</f>
        <v>3.85</v>
      </c>
    </row>
    <row r="10" spans="1:3" x14ac:dyDescent="0.25">
      <c r="A10" s="16">
        <f>IF(RAW_INPUT!A11="","",RAW_INPUT!A11)</f>
        <v>45608</v>
      </c>
      <c r="B10" s="17">
        <f>IF(RAW_INPUT!A11="","",RAW_INPUT!E11)</f>
        <v>520</v>
      </c>
      <c r="C10" s="18">
        <f>IF(RAW_INPUT!A11="","",RAW_INPUT!F11)</f>
        <v>3.82</v>
      </c>
    </row>
    <row r="11" spans="1:3" x14ac:dyDescent="0.25">
      <c r="A11" s="16">
        <f>IF(RAW_INPUT!A12="","",RAW_INPUT!A12)</f>
        <v>45609</v>
      </c>
      <c r="B11" s="17">
        <f>IF(RAW_INPUT!A12="","",RAW_INPUT!E12)</f>
        <v>478</v>
      </c>
      <c r="C11" s="18">
        <f>IF(RAW_INPUT!A12="","",RAW_INPUT!F12)</f>
        <v>3.82</v>
      </c>
    </row>
    <row r="12" spans="1:3" x14ac:dyDescent="0.25">
      <c r="A12" s="16">
        <f>IF(RAW_INPUT!A13="","",RAW_INPUT!A13)</f>
        <v>45610</v>
      </c>
      <c r="B12" s="17">
        <f>IF(RAW_INPUT!A13="","",RAW_INPUT!E13)</f>
        <v>502</v>
      </c>
      <c r="C12" s="18">
        <f>IF(RAW_INPUT!A13="","",RAW_INPUT!F13)</f>
        <v>3.8</v>
      </c>
    </row>
    <row r="13" spans="1:3" x14ac:dyDescent="0.25">
      <c r="A13" s="16">
        <f>IF(RAW_INPUT!A14="","",RAW_INPUT!A14)</f>
        <v>45611</v>
      </c>
      <c r="B13" s="17">
        <f>IF(RAW_INPUT!A14="","",RAW_INPUT!E14)</f>
        <v>461</v>
      </c>
      <c r="C13" s="18">
        <f>IF(RAW_INPUT!A14="","",RAW_INPUT!F14)</f>
        <v>3.8</v>
      </c>
    </row>
    <row r="14" spans="1:3" x14ac:dyDescent="0.25">
      <c r="A14" s="16">
        <f>IF(RAW_INPUT!A15="","",RAW_INPUT!A15)</f>
        <v>45614</v>
      </c>
      <c r="B14" s="17">
        <f>IF(RAW_INPUT!A15="","",RAW_INPUT!E15)</f>
        <v>1</v>
      </c>
      <c r="C14" s="18">
        <f>IF(RAW_INPUT!A15="","",RAW_INPUT!F15)</f>
        <v>1250</v>
      </c>
    </row>
    <row r="15" spans="1:3" x14ac:dyDescent="0.25">
      <c r="A15" s="16">
        <f>IF(RAW_INPUT!A16="","",RAW_INPUT!A16)</f>
        <v>45615</v>
      </c>
      <c r="B15" s="17">
        <f>IF(RAW_INPUT!A16="","",RAW_INPUT!E16)</f>
        <v>435</v>
      </c>
      <c r="C15" s="18">
        <f>IF(RAW_INPUT!A16="","",RAW_INPUT!F16)</f>
        <v>3.79</v>
      </c>
    </row>
    <row r="16" spans="1:3" x14ac:dyDescent="0.25">
      <c r="A16" s="16">
        <f>IF(RAW_INPUT!A17="","",RAW_INPUT!A17)</f>
        <v>45616</v>
      </c>
      <c r="B16" s="17">
        <f>IF(RAW_INPUT!A17="","",RAW_INPUT!E17)</f>
        <v>498</v>
      </c>
      <c r="C16" s="18">
        <f>IF(RAW_INPUT!A17="","",RAW_INPUT!F17)</f>
        <v>3.79</v>
      </c>
    </row>
    <row r="17" spans="1:3" x14ac:dyDescent="0.25">
      <c r="A17" s="16">
        <f>IF(RAW_INPUT!A18="","",RAW_INPUT!A18)</f>
        <v>45617</v>
      </c>
      <c r="B17" s="17">
        <f>IF(RAW_INPUT!A18="","",RAW_INPUT!E18)</f>
        <v>512</v>
      </c>
      <c r="C17" s="18">
        <f>IF(RAW_INPUT!A18="","",RAW_INPUT!F18)</f>
        <v>3.77</v>
      </c>
    </row>
    <row r="18" spans="1:3" x14ac:dyDescent="0.25">
      <c r="A18" s="16">
        <f>IF(RAW_INPUT!A19="","",RAW_INPUT!A19)</f>
        <v>45618</v>
      </c>
      <c r="B18" s="17">
        <f>IF(RAW_INPUT!A19="","",RAW_INPUT!E19)</f>
        <v>448</v>
      </c>
      <c r="C18" s="18">
        <f>IF(RAW_INPUT!A19="","",RAW_INPUT!F19)</f>
        <v>3.77</v>
      </c>
    </row>
    <row r="19" spans="1:3" x14ac:dyDescent="0.25">
      <c r="A19" s="16">
        <f>IF(RAW_INPUT!A20="","",RAW_INPUT!A20)</f>
        <v>45621</v>
      </c>
      <c r="B19" s="17">
        <f>IF(RAW_INPUT!A20="","",RAW_INPUT!E20)</f>
        <v>402</v>
      </c>
      <c r="C19" s="18">
        <f>IF(RAW_INPUT!A20="","",RAW_INPUT!F20)</f>
        <v>3.76</v>
      </c>
    </row>
    <row r="20" spans="1:3" x14ac:dyDescent="0.25">
      <c r="A20" s="16">
        <f>IF(RAW_INPUT!A21="","",RAW_INPUT!A21)</f>
        <v>45622</v>
      </c>
      <c r="B20" s="17">
        <f>IF(RAW_INPUT!A21="","",RAW_INPUT!E21)</f>
        <v>389</v>
      </c>
      <c r="C20" s="18">
        <f>IF(RAW_INPUT!A21="","",RAW_INPUT!F21)</f>
        <v>3.76</v>
      </c>
    </row>
    <row r="21" spans="1:3" x14ac:dyDescent="0.25">
      <c r="A21" s="16">
        <f>IF(RAW_INPUT!A22="","",RAW_INPUT!A22)</f>
        <v>45623</v>
      </c>
      <c r="B21" s="17">
        <f>IF(RAW_INPUT!A22="","",RAW_INPUT!E22)</f>
        <v>310</v>
      </c>
      <c r="C21" s="18">
        <f>IF(RAW_INPUT!A22="","",RAW_INPUT!F22)</f>
        <v>3.74</v>
      </c>
    </row>
    <row r="22" spans="1:3" x14ac:dyDescent="0.25">
      <c r="A22" s="16">
        <f>IF(RAW_INPUT!A23="","",RAW_INPUT!A23)</f>
        <v>45628</v>
      </c>
      <c r="B22" s="17">
        <f>IF(RAW_INPUT!A23="","",RAW_INPUT!E23)</f>
        <v>428</v>
      </c>
      <c r="C22" s="18">
        <f>IF(RAW_INPUT!A23="","",RAW_INPUT!F23)</f>
        <v>3.74</v>
      </c>
    </row>
    <row r="23" spans="1:3" x14ac:dyDescent="0.25">
      <c r="A23" s="16">
        <f>IF(RAW_INPUT!A24="","",RAW_INPUT!A24)</f>
        <v>45629</v>
      </c>
      <c r="B23" s="17">
        <f>IF(RAW_INPUT!A24="","",RAW_INPUT!E24)</f>
        <v>465</v>
      </c>
      <c r="C23" s="18">
        <f>IF(RAW_INPUT!A24="","",RAW_INPUT!F24)</f>
        <v>3.72</v>
      </c>
    </row>
    <row r="24" spans="1:3" x14ac:dyDescent="0.25">
      <c r="A24" s="16">
        <f>IF(RAW_INPUT!A25="","",RAW_INPUT!A25)</f>
        <v>45630</v>
      </c>
      <c r="B24" s="17">
        <f>IF(RAW_INPUT!A25="","",RAW_INPUT!E25)</f>
        <v>501</v>
      </c>
      <c r="C24" s="18">
        <f>IF(RAW_INPUT!A25="","",RAW_INPUT!F25)</f>
        <v>3.72</v>
      </c>
    </row>
    <row r="25" spans="1:3" x14ac:dyDescent="0.25">
      <c r="A25" s="16">
        <f>IF(RAW_INPUT!A26="","",RAW_INPUT!A26)</f>
        <v>45631</v>
      </c>
      <c r="B25" s="17">
        <f>IF(RAW_INPUT!A26="","",RAW_INPUT!E26)</f>
        <v>488</v>
      </c>
      <c r="C25" s="18">
        <f>IF(RAW_INPUT!A26="","",RAW_INPUT!F26)</f>
        <v>3.7</v>
      </c>
    </row>
    <row r="26" spans="1:3" x14ac:dyDescent="0.25">
      <c r="A26" s="16">
        <f>IF(RAW_INPUT!A27="","",RAW_INPUT!A27)</f>
        <v>45632</v>
      </c>
      <c r="B26" s="17">
        <f>IF(RAW_INPUT!A27="","",RAW_INPUT!E27)</f>
        <v>1</v>
      </c>
      <c r="C26" s="18">
        <f>IF(RAW_INPUT!A27="","",RAW_INPUT!F27)</f>
        <v>875</v>
      </c>
    </row>
    <row r="27" spans="1:3" x14ac:dyDescent="0.25">
      <c r="A27" s="16">
        <f>IF(RAW_INPUT!A28="","",RAW_INPUT!A28)</f>
        <v>45635</v>
      </c>
      <c r="B27" s="17">
        <f>IF(RAW_INPUT!A28="","",RAW_INPUT!E28)</f>
        <v>422</v>
      </c>
      <c r="C27" s="18">
        <f>IF(RAW_INPUT!A28="","",RAW_INPUT!F28)</f>
        <v>3.7</v>
      </c>
    </row>
    <row r="28" spans="1:3" x14ac:dyDescent="0.25">
      <c r="A28" s="16">
        <f>IF(RAW_INPUT!A29="","",RAW_INPUT!A29)</f>
        <v>45636</v>
      </c>
      <c r="B28" s="17">
        <f>IF(RAW_INPUT!A29="","",RAW_INPUT!E29)</f>
        <v>476</v>
      </c>
      <c r="C28" s="18">
        <f>IF(RAW_INPUT!A29="","",RAW_INPUT!F29)</f>
        <v>3.68</v>
      </c>
    </row>
    <row r="29" spans="1:3" x14ac:dyDescent="0.25">
      <c r="A29" s="16">
        <f>IF(RAW_INPUT!A30="","",RAW_INPUT!A30)</f>
        <v>45637</v>
      </c>
      <c r="B29" s="17">
        <f>IF(RAW_INPUT!A30="","",RAW_INPUT!E30)</f>
        <v>518</v>
      </c>
      <c r="C29" s="18">
        <f>IF(RAW_INPUT!A30="","",RAW_INPUT!F30)</f>
        <v>3.68</v>
      </c>
    </row>
    <row r="30" spans="1:3" x14ac:dyDescent="0.25">
      <c r="A30" s="16">
        <f>IF(RAW_INPUT!A31="","",RAW_INPUT!A31)</f>
        <v>45638</v>
      </c>
      <c r="B30" s="17">
        <f>IF(RAW_INPUT!A31="","",RAW_INPUT!E31)</f>
        <v>494</v>
      </c>
      <c r="C30" s="18">
        <f>IF(RAW_INPUT!A31="","",RAW_INPUT!F31)</f>
        <v>3.65</v>
      </c>
    </row>
    <row r="31" spans="1:3" x14ac:dyDescent="0.25">
      <c r="A31" s="16">
        <f>IF(RAW_INPUT!A32="","",RAW_INPUT!A32)</f>
        <v>45639</v>
      </c>
      <c r="B31" s="17">
        <f>IF(RAW_INPUT!A32="","",RAW_INPUT!E32)</f>
        <v>1</v>
      </c>
      <c r="C31" s="18">
        <f>IF(RAW_INPUT!A32="","",RAW_INPUT!F32)</f>
        <v>1450</v>
      </c>
    </row>
    <row r="32" spans="1:3" x14ac:dyDescent="0.25">
      <c r="A32" s="16">
        <f>IF(RAW_INPUT!A33="","",RAW_INPUT!A33)</f>
        <v>45642</v>
      </c>
      <c r="B32" s="17">
        <f>IF(RAW_INPUT!A33="","",RAW_INPUT!E33)</f>
        <v>388</v>
      </c>
      <c r="C32" s="18">
        <f>IF(RAW_INPUT!A33="","",RAW_INPUT!F33)</f>
        <v>3.65</v>
      </c>
    </row>
    <row r="33" spans="1:3" x14ac:dyDescent="0.25">
      <c r="A33" s="16">
        <f>IF(RAW_INPUT!A34="","",RAW_INPUT!A34)</f>
        <v>45643</v>
      </c>
      <c r="B33" s="17">
        <f>IF(RAW_INPUT!A34="","",RAW_INPUT!E34)</f>
        <v>412</v>
      </c>
      <c r="C33" s="18">
        <f>IF(RAW_INPUT!A34="","",RAW_INPUT!F34)</f>
        <v>3.63</v>
      </c>
    </row>
    <row r="34" spans="1:3" x14ac:dyDescent="0.25">
      <c r="A34" s="16">
        <f>IF(RAW_INPUT!A35="","",RAW_INPUT!A35)</f>
        <v>45644</v>
      </c>
      <c r="B34" s="17">
        <f>IF(RAW_INPUT!A35="","",RAW_INPUT!E35)</f>
        <v>1</v>
      </c>
      <c r="C34" s="18">
        <f>IF(RAW_INPUT!A35="","",RAW_INPUT!F35)</f>
        <v>925</v>
      </c>
    </row>
    <row r="35" spans="1:3" x14ac:dyDescent="0.25">
      <c r="A35" s="16">
        <f>IF(RAW_INPUT!A36="","",RAW_INPUT!A36)</f>
        <v>45645</v>
      </c>
      <c r="B35" s="17">
        <f>IF(RAW_INPUT!A36="","",RAW_INPUT!E36)</f>
        <v>398</v>
      </c>
      <c r="C35" s="18">
        <f>IF(RAW_INPUT!A36="","",RAW_INPUT!F36)</f>
        <v>3.63</v>
      </c>
    </row>
    <row r="36" spans="1:3" x14ac:dyDescent="0.25">
      <c r="A36" s="16">
        <f>IF(RAW_INPUT!A37="","",RAW_INPUT!A37)</f>
        <v>45646</v>
      </c>
      <c r="B36" s="17">
        <f>IF(RAW_INPUT!A37="","",RAW_INPUT!E37)</f>
        <v>374</v>
      </c>
      <c r="C36" s="18">
        <f>IF(RAW_INPUT!A37="","",RAW_INPUT!F37)</f>
        <v>3.61</v>
      </c>
    </row>
    <row r="37" spans="1:3" x14ac:dyDescent="0.25">
      <c r="A37" s="16">
        <f>IF(RAW_INPUT!A38="","",RAW_INPUT!A38)</f>
        <v>45649</v>
      </c>
      <c r="B37" s="17">
        <f>IF(RAW_INPUT!A38="","",RAW_INPUT!E38)</f>
        <v>288</v>
      </c>
      <c r="C37" s="18">
        <f>IF(RAW_INPUT!A38="","",RAW_INPUT!F38)</f>
        <v>3.61</v>
      </c>
    </row>
    <row r="38" spans="1:3" x14ac:dyDescent="0.25">
      <c r="A38" s="16">
        <f>IF(RAW_INPUT!A39="","",RAW_INPUT!A39)</f>
        <v>45650</v>
      </c>
      <c r="B38" s="17">
        <f>IF(RAW_INPUT!A39="","",RAW_INPUT!E39)</f>
        <v>210</v>
      </c>
      <c r="C38" s="18">
        <f>IF(RAW_INPUT!A39="","",RAW_INPUT!F39)</f>
        <v>3.58</v>
      </c>
    </row>
    <row r="39" spans="1:3" x14ac:dyDescent="0.25">
      <c r="A39" s="16">
        <f>IF(RAW_INPUT!A40="","",RAW_INPUT!A40)</f>
        <v>45652</v>
      </c>
      <c r="B39" s="17">
        <f>IF(RAW_INPUT!A40="","",RAW_INPUT!E40)</f>
        <v>252</v>
      </c>
      <c r="C39" s="18">
        <f>IF(RAW_INPUT!A40="","",RAW_INPUT!F40)</f>
        <v>3.58</v>
      </c>
    </row>
    <row r="40" spans="1:3" x14ac:dyDescent="0.25">
      <c r="A40" s="16">
        <f>IF(RAW_INPUT!A41="","",RAW_INPUT!A41)</f>
        <v>45653</v>
      </c>
      <c r="B40" s="17">
        <f>IF(RAW_INPUT!A41="","",RAW_INPUT!E41)</f>
        <v>278</v>
      </c>
      <c r="C40" s="18">
        <f>IF(RAW_INPUT!A41="","",RAW_INPUT!F41)</f>
        <v>3.56</v>
      </c>
    </row>
    <row r="41" spans="1:3" x14ac:dyDescent="0.25">
      <c r="A41" s="16">
        <f>IF(RAW_INPUT!A42="","",RAW_INPUT!A42)</f>
        <v>45656</v>
      </c>
      <c r="B41" s="17">
        <f>IF(RAW_INPUT!A42="","",RAW_INPUT!E42)</f>
        <v>295</v>
      </c>
      <c r="C41" s="18">
        <f>IF(RAW_INPUT!A42="","",RAW_INPUT!F42)</f>
        <v>3.56</v>
      </c>
    </row>
    <row r="42" spans="1:3" x14ac:dyDescent="0.25">
      <c r="A42" s="16">
        <f>IF(RAW_INPUT!A43="","",RAW_INPUT!A43)</f>
        <v>45657</v>
      </c>
      <c r="B42" s="17">
        <f>IF(RAW_INPUT!A43="","",RAW_INPUT!E43)</f>
        <v>312</v>
      </c>
      <c r="C42" s="18">
        <f>IF(RAW_INPUT!A43="","",RAW_INPUT!F43)</f>
        <v>3.54</v>
      </c>
    </row>
    <row r="43" spans="1:3" x14ac:dyDescent="0.25">
      <c r="A43" s="16">
        <f>IF(RAW_INPUT!A44="","",RAW_INPUT!A44)</f>
        <v>45659</v>
      </c>
      <c r="B43" s="17">
        <f>IF(RAW_INPUT!A44="","",RAW_INPUT!E44)</f>
        <v>368</v>
      </c>
      <c r="C43" s="18">
        <f>IF(RAW_INPUT!A44="","",RAW_INPUT!F44)</f>
        <v>3.54</v>
      </c>
    </row>
    <row r="44" spans="1:3" x14ac:dyDescent="0.25">
      <c r="A44" s="16">
        <f>IF(RAW_INPUT!A45="","",RAW_INPUT!A45)</f>
        <v>45660</v>
      </c>
      <c r="B44" s="17">
        <f>IF(RAW_INPUT!A45="","",RAW_INPUT!E45)</f>
        <v>422</v>
      </c>
      <c r="C44" s="18">
        <f>IF(RAW_INPUT!A45="","",RAW_INPUT!F45)</f>
        <v>3.52</v>
      </c>
    </row>
    <row r="45" spans="1:3" x14ac:dyDescent="0.25">
      <c r="A45" s="16">
        <f>IF(RAW_INPUT!A46="","",RAW_INPUT!A46)</f>
        <v>45663</v>
      </c>
      <c r="B45" s="17">
        <f>IF(RAW_INPUT!A46="","",RAW_INPUT!E46)</f>
        <v>468</v>
      </c>
      <c r="C45" s="18">
        <f>IF(RAW_INPUT!A46="","",RAW_INPUT!F46)</f>
        <v>3.52</v>
      </c>
    </row>
    <row r="46" spans="1:3" x14ac:dyDescent="0.25">
      <c r="A46" s="16">
        <f>IF(RAW_INPUT!A47="","",RAW_INPUT!A47)</f>
        <v>45664</v>
      </c>
      <c r="B46" s="17">
        <f>IF(RAW_INPUT!A47="","",RAW_INPUT!E47)</f>
        <v>1</v>
      </c>
      <c r="C46" s="18">
        <f>IF(RAW_INPUT!A47="","",RAW_INPUT!F47)</f>
        <v>1100</v>
      </c>
    </row>
    <row r="47" spans="1:3" x14ac:dyDescent="0.25">
      <c r="A47" s="16">
        <f>IF(RAW_INPUT!A48="","",RAW_INPUT!A48)</f>
        <v>45665</v>
      </c>
      <c r="B47" s="17">
        <f>IF(RAW_INPUT!A48="","",RAW_INPUT!E48)</f>
        <v>492</v>
      </c>
      <c r="C47" s="18">
        <f>IF(RAW_INPUT!A48="","",RAW_INPUT!F48)</f>
        <v>3.5</v>
      </c>
    </row>
    <row r="48" spans="1:3" x14ac:dyDescent="0.25">
      <c r="A48" s="16">
        <f>IF(RAW_INPUT!A49="","",RAW_INPUT!A49)</f>
        <v>45666</v>
      </c>
      <c r="B48" s="17">
        <f>IF(RAW_INPUT!A49="","",RAW_INPUT!E49)</f>
        <v>514</v>
      </c>
      <c r="C48" s="18">
        <f>IF(RAW_INPUT!A49="","",RAW_INPUT!F49)</f>
        <v>3.5</v>
      </c>
    </row>
    <row r="49" spans="1:3" x14ac:dyDescent="0.25">
      <c r="A49" s="16">
        <f>IF(RAW_INPUT!A50="","",RAW_INPUT!A50)</f>
        <v>45667</v>
      </c>
      <c r="B49" s="17">
        <f>IF(RAW_INPUT!A50="","",RAW_INPUT!E50)</f>
        <v>478</v>
      </c>
      <c r="C49" s="18">
        <f>IF(RAW_INPUT!A50="","",RAW_INPUT!F50)</f>
        <v>3.48</v>
      </c>
    </row>
    <row r="50" spans="1:3" x14ac:dyDescent="0.25">
      <c r="A50" s="16">
        <f>IF(RAW_INPUT!A51="","",RAW_INPUT!A51)</f>
        <v>45670</v>
      </c>
      <c r="B50" s="17">
        <f>IF(RAW_INPUT!A51="","",RAW_INPUT!E51)</f>
        <v>502</v>
      </c>
      <c r="C50" s="18">
        <f>IF(RAW_INPUT!A51="","",RAW_INPUT!F51)</f>
        <v>3.48</v>
      </c>
    </row>
    <row r="51" spans="1:3" x14ac:dyDescent="0.25">
      <c r="A51" s="16">
        <f>IF(RAW_INPUT!A52="","",RAW_INPUT!A52)</f>
        <v>45671</v>
      </c>
      <c r="B51" s="17">
        <f>IF(RAW_INPUT!A52="","",RAW_INPUT!E52)</f>
        <v>1</v>
      </c>
      <c r="C51" s="18">
        <f>IF(RAW_INPUT!A52="","",RAW_INPUT!F52)</f>
        <v>1350</v>
      </c>
    </row>
    <row r="52" spans="1:3" x14ac:dyDescent="0.25">
      <c r="A52" s="16">
        <f>IF(RAW_INPUT!A53="","",RAW_INPUT!A53)</f>
        <v>45672</v>
      </c>
      <c r="B52" s="17">
        <f>IF(RAW_INPUT!A53="","",RAW_INPUT!E53)</f>
        <v>524</v>
      </c>
      <c r="C52" s="18">
        <f>IF(RAW_INPUT!A53="","",RAW_INPUT!F53)</f>
        <v>3.46</v>
      </c>
    </row>
    <row r="53" spans="1:3" x14ac:dyDescent="0.25">
      <c r="A53" s="16">
        <f>IF(RAW_INPUT!A54="","",RAW_INPUT!A54)</f>
        <v>45673</v>
      </c>
      <c r="B53" s="17">
        <f>IF(RAW_INPUT!A54="","",RAW_INPUT!E54)</f>
        <v>488</v>
      </c>
      <c r="C53" s="18">
        <f>IF(RAW_INPUT!A54="","",RAW_INPUT!F54)</f>
        <v>3.46</v>
      </c>
    </row>
    <row r="54" spans="1:3" x14ac:dyDescent="0.25">
      <c r="A54" s="16">
        <f>IF(RAW_INPUT!A55="","",RAW_INPUT!A55)</f>
        <v>45674</v>
      </c>
      <c r="B54" s="17">
        <f>IF(RAW_INPUT!A55="","",RAW_INPUT!E55)</f>
        <v>512</v>
      </c>
      <c r="C54" s="18">
        <f>IF(RAW_INPUT!A55="","",RAW_INPUT!F55)</f>
        <v>3.44</v>
      </c>
    </row>
    <row r="55" spans="1:3" x14ac:dyDescent="0.25">
      <c r="A55" s="16">
        <f>IF(RAW_INPUT!A56="","",RAW_INPUT!A56)</f>
        <v>45678</v>
      </c>
      <c r="B55" s="17">
        <f>IF(RAW_INPUT!A56="","",RAW_INPUT!E56)</f>
        <v>468</v>
      </c>
      <c r="C55" s="18">
        <f>IF(RAW_INPUT!A56="","",RAW_INPUT!F56)</f>
        <v>3.44</v>
      </c>
    </row>
    <row r="56" spans="1:3" x14ac:dyDescent="0.25">
      <c r="A56" s="16">
        <f>IF(RAW_INPUT!A57="","",RAW_INPUT!A57)</f>
        <v>45679</v>
      </c>
      <c r="B56" s="17">
        <f>IF(RAW_INPUT!A57="","",RAW_INPUT!E57)</f>
        <v>1</v>
      </c>
      <c r="C56" s="18">
        <f>IF(RAW_INPUT!A57="","",RAW_INPUT!F57)</f>
        <v>975</v>
      </c>
    </row>
    <row r="57" spans="1:3" x14ac:dyDescent="0.25">
      <c r="A57" s="16">
        <f>IF(RAW_INPUT!A58="","",RAW_INPUT!A58)</f>
        <v>45680</v>
      </c>
      <c r="B57" s="17">
        <f>IF(RAW_INPUT!A58="","",RAW_INPUT!E58)</f>
        <v>504</v>
      </c>
      <c r="C57" s="18">
        <f>IF(RAW_INPUT!A58="","",RAW_INPUT!F58)</f>
        <v>3.42</v>
      </c>
    </row>
    <row r="58" spans="1:3" x14ac:dyDescent="0.25">
      <c r="A58" s="16">
        <f>IF(RAW_INPUT!A59="","",RAW_INPUT!A59)</f>
        <v>45681</v>
      </c>
      <c r="B58" s="17">
        <f>IF(RAW_INPUT!A59="","",RAW_INPUT!E59)</f>
        <v>536</v>
      </c>
      <c r="C58" s="18">
        <f>IF(RAW_INPUT!A59="","",RAW_INPUT!F59)</f>
        <v>3.42</v>
      </c>
    </row>
    <row r="59" spans="1:3" x14ac:dyDescent="0.25">
      <c r="A59" s="16">
        <f>IF(RAW_INPUT!A60="","",RAW_INPUT!A60)</f>
        <v>45684</v>
      </c>
      <c r="B59" s="17">
        <f>IF(RAW_INPUT!A60="","",RAW_INPUT!E60)</f>
        <v>492</v>
      </c>
      <c r="C59" s="18">
        <f>IF(RAW_INPUT!A60="","",RAW_INPUT!F60)</f>
        <v>3.4</v>
      </c>
    </row>
    <row r="60" spans="1:3" x14ac:dyDescent="0.25">
      <c r="A60" s="16">
        <f>IF(RAW_INPUT!A61="","",RAW_INPUT!A61)</f>
        <v>45685</v>
      </c>
      <c r="B60" s="17">
        <f>IF(RAW_INPUT!A61="","",RAW_INPUT!E61)</f>
        <v>518</v>
      </c>
      <c r="C60" s="18">
        <f>IF(RAW_INPUT!A61="","",RAW_INPUT!F61)</f>
        <v>3.4</v>
      </c>
    </row>
    <row r="61" spans="1:3" x14ac:dyDescent="0.25">
      <c r="A61" s="16">
        <f>IF(RAW_INPUT!A62="","",RAW_INPUT!A62)</f>
        <v>45686</v>
      </c>
      <c r="B61" s="17">
        <f>IF(RAW_INPUT!A62="","",RAW_INPUT!E62)</f>
        <v>1</v>
      </c>
      <c r="C61" s="18">
        <f>IF(RAW_INPUT!A62="","",RAW_INPUT!F62)</f>
        <v>1625</v>
      </c>
    </row>
    <row r="62" spans="1:3" x14ac:dyDescent="0.25">
      <c r="A62" s="16">
        <f>IF(RAW_INPUT!A63="","",RAW_INPUT!A63)</f>
        <v>45687</v>
      </c>
      <c r="B62" s="17">
        <f>IF(RAW_INPUT!A63="","",RAW_INPUT!E63)</f>
        <v>544</v>
      </c>
      <c r="C62" s="18">
        <f>IF(RAW_INPUT!A63="","",RAW_INPUT!F63)</f>
        <v>3.38</v>
      </c>
    </row>
    <row r="63" spans="1:3" x14ac:dyDescent="0.25">
      <c r="A63" s="16">
        <f>IF(RAW_INPUT!A64="","",RAW_INPUT!A64)</f>
        <v>45688</v>
      </c>
      <c r="B63" s="17">
        <f>IF(RAW_INPUT!A64="","",RAW_INPUT!E64)</f>
        <v>508</v>
      </c>
      <c r="C63" s="18">
        <f>IF(RAW_INPUT!A64="","",RAW_INPUT!F64)</f>
        <v>3.38</v>
      </c>
    </row>
    <row r="64" spans="1:3" x14ac:dyDescent="0.25">
      <c r="A64" s="16">
        <f>IF(RAW_INPUT!A65="","",RAW_INPUT!A65)</f>
        <v>45691</v>
      </c>
      <c r="B64" s="17">
        <f>IF(RAW_INPUT!A65="","",RAW_INPUT!E65)</f>
        <v>528</v>
      </c>
      <c r="C64" s="18">
        <f>IF(RAW_INPUT!A65="","",RAW_INPUT!F65)</f>
        <v>3.88</v>
      </c>
    </row>
    <row r="65" spans="1:3" x14ac:dyDescent="0.25">
      <c r="A65" s="16">
        <f>IF(RAW_INPUT!A66="","",RAW_INPUT!A66)</f>
        <v>45692</v>
      </c>
      <c r="B65" s="17">
        <f>IF(RAW_INPUT!A66="","",RAW_INPUT!E66)</f>
        <v>1</v>
      </c>
      <c r="C65" s="18">
        <f>IF(RAW_INPUT!A66="","",RAW_INPUT!F66)</f>
        <v>1250</v>
      </c>
    </row>
    <row r="66" spans="1:3" x14ac:dyDescent="0.25">
      <c r="A66" s="16">
        <f>IF(RAW_INPUT!A67="","",RAW_INPUT!A67)</f>
        <v>45693</v>
      </c>
      <c r="B66" s="17">
        <f>IF(RAW_INPUT!A67="","",RAW_INPUT!E67)</f>
        <v>562</v>
      </c>
      <c r="C66" s="18">
        <f>IF(RAW_INPUT!A67="","",RAW_INPUT!F67)</f>
        <v>3.88</v>
      </c>
    </row>
    <row r="67" spans="1:3" x14ac:dyDescent="0.25">
      <c r="A67" s="16">
        <f>IF(RAW_INPUT!A68="","",RAW_INPUT!A68)</f>
        <v>45694</v>
      </c>
      <c r="B67" s="17">
        <f>IF(RAW_INPUT!A68="","",RAW_INPUT!E68)</f>
        <v>518</v>
      </c>
      <c r="C67" s="18">
        <f>IF(RAW_INPUT!A68="","",RAW_INPUT!F68)</f>
        <v>3.86</v>
      </c>
    </row>
    <row r="68" spans="1:3" x14ac:dyDescent="0.25">
      <c r="A68" s="16">
        <f>IF(RAW_INPUT!A69="","",RAW_INPUT!A69)</f>
        <v>45695</v>
      </c>
      <c r="B68" s="17">
        <f>IF(RAW_INPUT!A69="","",RAW_INPUT!E69)</f>
        <v>544</v>
      </c>
      <c r="C68" s="18">
        <f>IF(RAW_INPUT!A69="","",RAW_INPUT!F69)</f>
        <v>3.86</v>
      </c>
    </row>
    <row r="69" spans="1:3" x14ac:dyDescent="0.25">
      <c r="A69" s="16">
        <f>IF(RAW_INPUT!A70="","",RAW_INPUT!A70)</f>
        <v>45698</v>
      </c>
      <c r="B69" s="17">
        <f>IF(RAW_INPUT!A70="","",RAW_INPUT!E70)</f>
        <v>1</v>
      </c>
      <c r="C69" s="18">
        <f>IF(RAW_INPUT!A70="","",RAW_INPUT!F70)</f>
        <v>1500</v>
      </c>
    </row>
    <row r="70" spans="1:3" x14ac:dyDescent="0.25">
      <c r="A70" s="16">
        <f>IF(RAW_INPUT!A71="","",RAW_INPUT!A71)</f>
        <v>45699</v>
      </c>
      <c r="B70" s="17">
        <f>IF(RAW_INPUT!A71="","",RAW_INPUT!E71)</f>
        <v>536</v>
      </c>
      <c r="C70" s="18">
        <f>IF(RAW_INPUT!A71="","",RAW_INPUT!F71)</f>
        <v>3.84</v>
      </c>
    </row>
    <row r="71" spans="1:3" x14ac:dyDescent="0.25">
      <c r="A71" s="16">
        <f>IF(RAW_INPUT!A72="","",RAW_INPUT!A72)</f>
        <v>45700</v>
      </c>
      <c r="B71" s="17">
        <f>IF(RAW_INPUT!A72="","",RAW_INPUT!E72)</f>
        <v>572</v>
      </c>
      <c r="C71" s="18">
        <f>IF(RAW_INPUT!A72="","",RAW_INPUT!F72)</f>
        <v>3.84</v>
      </c>
    </row>
    <row r="72" spans="1:3" x14ac:dyDescent="0.25">
      <c r="A72" s="16">
        <f>IF(RAW_INPUT!A73="","",RAW_INPUT!A73)</f>
        <v>45701</v>
      </c>
      <c r="B72" s="17">
        <f>IF(RAW_INPUT!A73="","",RAW_INPUT!E73)</f>
        <v>548</v>
      </c>
      <c r="C72" s="18">
        <f>IF(RAW_INPUT!A73="","",RAW_INPUT!F73)</f>
        <v>3.82</v>
      </c>
    </row>
    <row r="73" spans="1:3" x14ac:dyDescent="0.25">
      <c r="A73" s="16">
        <f>IF(RAW_INPUT!A74="","",RAW_INPUT!A74)</f>
        <v>45702</v>
      </c>
      <c r="B73" s="17">
        <f>IF(RAW_INPUT!A74="","",RAW_INPUT!E74)</f>
        <v>524</v>
      </c>
      <c r="C73" s="18">
        <f>IF(RAW_INPUT!A74="","",RAW_INPUT!F74)</f>
        <v>3.82</v>
      </c>
    </row>
    <row r="74" spans="1:3" x14ac:dyDescent="0.25">
      <c r="A74" s="16">
        <f>IF(RAW_INPUT!A75="","",RAW_INPUT!A75)</f>
        <v>45706</v>
      </c>
      <c r="B74" s="17">
        <f>IF(RAW_INPUT!A75="","",RAW_INPUT!E75)</f>
        <v>558</v>
      </c>
      <c r="C74" s="18">
        <f>IF(RAW_INPUT!A75="","",RAW_INPUT!F75)</f>
        <v>3.8</v>
      </c>
    </row>
    <row r="75" spans="1:3" x14ac:dyDescent="0.25">
      <c r="A75" s="16">
        <f>IF(RAW_INPUT!A76="","",RAW_INPUT!A76)</f>
        <v>45707</v>
      </c>
      <c r="B75" s="17">
        <f>IF(RAW_INPUT!A76="","",RAW_INPUT!E76)</f>
        <v>1</v>
      </c>
      <c r="C75" s="18">
        <f>IF(RAW_INPUT!A76="","",RAW_INPUT!F76)</f>
        <v>875</v>
      </c>
    </row>
    <row r="76" spans="1:3" x14ac:dyDescent="0.25">
      <c r="A76" s="16">
        <f>IF(RAW_INPUT!A77="","",RAW_INPUT!A77)</f>
        <v>45708</v>
      </c>
      <c r="B76" s="17">
        <f>IF(RAW_INPUT!A77="","",RAW_INPUT!E77)</f>
        <v>582</v>
      </c>
      <c r="C76" s="18">
        <f>IF(RAW_INPUT!A77="","",RAW_INPUT!F77)</f>
        <v>3.8</v>
      </c>
    </row>
    <row r="77" spans="1:3" x14ac:dyDescent="0.25">
      <c r="A77" s="16">
        <f>IF(RAW_INPUT!A78="","",RAW_INPUT!A78)</f>
        <v>45709</v>
      </c>
      <c r="B77" s="17">
        <f>IF(RAW_INPUT!A78="","",RAW_INPUT!E78)</f>
        <v>544</v>
      </c>
      <c r="C77" s="18">
        <f>IF(RAW_INPUT!A78="","",RAW_INPUT!F78)</f>
        <v>3.78</v>
      </c>
    </row>
    <row r="78" spans="1:3" x14ac:dyDescent="0.25">
      <c r="A78" s="16">
        <f>IF(RAW_INPUT!A79="","",RAW_INPUT!A79)</f>
        <v>45712</v>
      </c>
      <c r="B78" s="17">
        <f>IF(RAW_INPUT!A79="","",RAW_INPUT!E79)</f>
        <v>568</v>
      </c>
      <c r="C78" s="18">
        <f>IF(RAW_INPUT!A79="","",RAW_INPUT!F79)</f>
        <v>3.78</v>
      </c>
    </row>
    <row r="79" spans="1:3" x14ac:dyDescent="0.25">
      <c r="A79" s="16">
        <f>IF(RAW_INPUT!A80="","",RAW_INPUT!A80)</f>
        <v>45713</v>
      </c>
      <c r="B79" s="17">
        <f>IF(RAW_INPUT!A80="","",RAW_INPUT!E80)</f>
        <v>1</v>
      </c>
      <c r="C79" s="18">
        <f>IF(RAW_INPUT!A80="","",RAW_INPUT!F80)</f>
        <v>1750</v>
      </c>
    </row>
    <row r="80" spans="1:3" x14ac:dyDescent="0.25">
      <c r="A80" s="16">
        <f>IF(RAW_INPUT!A81="","",RAW_INPUT!A81)</f>
        <v>45714</v>
      </c>
      <c r="B80" s="17">
        <f>IF(RAW_INPUT!A81="","",RAW_INPUT!E81)</f>
        <v>592</v>
      </c>
      <c r="C80" s="18">
        <f>IF(RAW_INPUT!A81="","",RAW_INPUT!F81)</f>
        <v>3.76</v>
      </c>
    </row>
    <row r="81" spans="1:3" x14ac:dyDescent="0.25">
      <c r="A81" s="16">
        <f>IF(RAW_INPUT!A82="","",RAW_INPUT!A82)</f>
        <v>45715</v>
      </c>
      <c r="B81" s="17">
        <f>IF(RAW_INPUT!A82="","",RAW_INPUT!E82)</f>
        <v>556</v>
      </c>
      <c r="C81" s="18">
        <f>IF(RAW_INPUT!A82="","",RAW_INPUT!F82)</f>
        <v>3.76</v>
      </c>
    </row>
    <row r="82" spans="1:3" x14ac:dyDescent="0.25">
      <c r="A82" s="16">
        <f>IF(RAW_INPUT!A83="","",RAW_INPUT!A83)</f>
        <v>45716</v>
      </c>
      <c r="B82" s="17">
        <f>IF(RAW_INPUT!A83="","",RAW_INPUT!E83)</f>
        <v>578</v>
      </c>
      <c r="C82" s="18">
        <f>IF(RAW_INPUT!A83="","",RAW_INPUT!F83)</f>
        <v>3.74</v>
      </c>
    </row>
    <row r="83" spans="1:3" x14ac:dyDescent="0.25">
      <c r="A83" s="16">
        <f>IF(RAW_INPUT!A84="","",RAW_INPUT!A84)</f>
        <v>45719</v>
      </c>
      <c r="B83" s="17">
        <f>IF(RAW_INPUT!A84="","",RAW_INPUT!E84)</f>
        <v>500</v>
      </c>
      <c r="C83" s="18">
        <f>IF(RAW_INPUT!A84="","",RAW_INPUT!F84)</f>
        <v>3.85</v>
      </c>
    </row>
    <row r="84" spans="1:3" x14ac:dyDescent="0.25">
      <c r="A84" s="16">
        <f>IF(RAW_INPUT!A85="","",RAW_INPUT!A85)</f>
        <v>45720</v>
      </c>
      <c r="B84" s="17">
        <f>IF(RAW_INPUT!A85="","",RAW_INPUT!E85)</f>
        <v>24</v>
      </c>
      <c r="C84" s="18">
        <f>IF(RAW_INPUT!A85="","",RAW_INPUT!F85)</f>
        <v>45</v>
      </c>
    </row>
    <row r="85" spans="1:3" x14ac:dyDescent="0.25">
      <c r="A85" s="16">
        <f>IF(RAW_INPUT!A86="","",RAW_INPUT!A86)</f>
        <v>45721</v>
      </c>
      <c r="B85" s="17">
        <f>IF(RAW_INPUT!A86="","",RAW_INPUT!E86)</f>
        <v>1</v>
      </c>
      <c r="C85" s="18">
        <f>IF(RAW_INPUT!A86="","",RAW_INPUT!F86)</f>
        <v>1250</v>
      </c>
    </row>
    <row r="86" spans="1:3" x14ac:dyDescent="0.25">
      <c r="A86" s="16">
        <f>IF(RAW_INPUT!A87="","",RAW_INPUT!A87)</f>
        <v>45722</v>
      </c>
      <c r="B86" s="17">
        <f>IF(RAW_INPUT!A87="","",RAW_INPUT!E87)</f>
        <v>612</v>
      </c>
      <c r="C86" s="18">
        <f>IF(RAW_INPUT!A87="","",RAW_INPUT!F87)</f>
        <v>3.85</v>
      </c>
    </row>
    <row r="87" spans="1:3" x14ac:dyDescent="0.25">
      <c r="A87" s="16">
        <f>IF(RAW_INPUT!A88="","",RAW_INPUT!A88)</f>
        <v>45723</v>
      </c>
      <c r="B87" s="17">
        <f>IF(RAW_INPUT!A88="","",RAW_INPUT!E88)</f>
        <v>576</v>
      </c>
      <c r="C87" s="18">
        <f>IF(RAW_INPUT!A88="","",RAW_INPUT!F88)</f>
        <v>3.85</v>
      </c>
    </row>
    <row r="88" spans="1:3" x14ac:dyDescent="0.25">
      <c r="A88" s="16">
        <f>IF(RAW_INPUT!A89="","",RAW_INPUT!A89)</f>
        <v>45726</v>
      </c>
      <c r="B88" s="17">
        <f>IF(RAW_INPUT!A89="","",RAW_INPUT!E89)</f>
        <v>750</v>
      </c>
      <c r="C88" s="18">
        <f>IF(RAW_INPUT!A89="","",RAW_INPUT!F89)</f>
        <v>3.82</v>
      </c>
    </row>
    <row r="89" spans="1:3" x14ac:dyDescent="0.25">
      <c r="A89" s="16">
        <f>IF(RAW_INPUT!A90="","",RAW_INPUT!A90)</f>
        <v>45727</v>
      </c>
      <c r="B89" s="17">
        <f>IF(RAW_INPUT!A90="","",RAW_INPUT!E90)</f>
        <v>1</v>
      </c>
      <c r="C89" s="18">
        <f>IF(RAW_INPUT!A90="","",RAW_INPUT!F90)</f>
        <v>1100</v>
      </c>
    </row>
    <row r="90" spans="1:3" x14ac:dyDescent="0.25">
      <c r="A90" s="16">
        <f>IF(RAW_INPUT!A91="","",RAW_INPUT!A91)</f>
        <v>45728</v>
      </c>
      <c r="B90" s="17">
        <f>IF(RAW_INPUT!A91="","",RAW_INPUT!E91)</f>
        <v>624</v>
      </c>
      <c r="C90" s="18">
        <f>IF(RAW_INPUT!A91="","",RAW_INPUT!F91)</f>
        <v>3.82</v>
      </c>
    </row>
    <row r="91" spans="1:3" x14ac:dyDescent="0.25">
      <c r="A91" s="16">
        <f>IF(RAW_INPUT!A92="","",RAW_INPUT!A92)</f>
        <v>45729</v>
      </c>
      <c r="B91" s="17">
        <f>IF(RAW_INPUT!A92="","",RAW_INPUT!E92)</f>
        <v>588</v>
      </c>
      <c r="C91" s="18">
        <f>IF(RAW_INPUT!A92="","",RAW_INPUT!F92)</f>
        <v>3.8</v>
      </c>
    </row>
    <row r="92" spans="1:3" x14ac:dyDescent="0.25">
      <c r="A92" s="16">
        <f>IF(RAW_INPUT!A93="","",RAW_INPUT!A93)</f>
        <v>45730</v>
      </c>
      <c r="B92" s="17">
        <f>IF(RAW_INPUT!A93="","",RAW_INPUT!E93)</f>
        <v>1</v>
      </c>
      <c r="C92" s="18">
        <f>IF(RAW_INPUT!A93="","",RAW_INPUT!F93)</f>
        <v>875</v>
      </c>
    </row>
    <row r="93" spans="1:3" x14ac:dyDescent="0.25">
      <c r="A93" s="16">
        <f>IF(RAW_INPUT!A94="","",RAW_INPUT!A94)</f>
        <v>45733</v>
      </c>
      <c r="B93" s="17">
        <f>IF(RAW_INPUT!A94="","",RAW_INPUT!E94)</f>
        <v>636</v>
      </c>
      <c r="C93" s="18">
        <f>IF(RAW_INPUT!A94="","",RAW_INPUT!F94)</f>
        <v>3.8</v>
      </c>
    </row>
    <row r="94" spans="1:3" x14ac:dyDescent="0.25">
      <c r="A94" s="16">
        <f>IF(RAW_INPUT!A95="","",RAW_INPUT!A95)</f>
        <v>45734</v>
      </c>
      <c r="B94" s="17">
        <f>IF(RAW_INPUT!A95="","",RAW_INPUT!E95)</f>
        <v>438</v>
      </c>
      <c r="C94" s="18">
        <f>IF(RAW_INPUT!A95="","",RAW_INPUT!F95)</f>
        <v>3.91</v>
      </c>
    </row>
    <row r="95" spans="1:3" x14ac:dyDescent="0.25">
      <c r="A95" s="16">
        <f>IF(RAW_INPUT!A96="","",RAW_INPUT!A96)</f>
        <v>45735</v>
      </c>
      <c r="B95" s="17">
        <f>IF(RAW_INPUT!A96="","",RAW_INPUT!E96)</f>
        <v>401</v>
      </c>
      <c r="C95" s="18">
        <f>IF(RAW_INPUT!A96="","",RAW_INPUT!F96)</f>
        <v>3.91</v>
      </c>
    </row>
    <row r="96" spans="1:3" x14ac:dyDescent="0.25">
      <c r="A96" s="16">
        <f>IF(RAW_INPUT!A97="","",RAW_INPUT!A97)</f>
        <v>45736</v>
      </c>
      <c r="B96" s="17">
        <f>IF(RAW_INPUT!A97="","",RAW_INPUT!E97)</f>
        <v>537</v>
      </c>
      <c r="C96" s="18">
        <f>IF(RAW_INPUT!A97="","",RAW_INPUT!F97)</f>
        <v>3.88</v>
      </c>
    </row>
    <row r="97" spans="1:3" x14ac:dyDescent="0.25">
      <c r="A97" s="16">
        <f>IF(RAW_INPUT!A98="","",RAW_INPUT!A98)</f>
        <v>45737</v>
      </c>
      <c r="B97" s="17">
        <f>IF(RAW_INPUT!A98="","",RAW_INPUT!E98)</f>
        <v>483</v>
      </c>
      <c r="C97" s="18">
        <f>IF(RAW_INPUT!A98="","",RAW_INPUT!F98)</f>
        <v>3.87</v>
      </c>
    </row>
    <row r="98" spans="1:3" x14ac:dyDescent="0.25">
      <c r="A98" s="16">
        <f>IF(RAW_INPUT!A99="","",RAW_INPUT!A99)</f>
        <v>45740</v>
      </c>
      <c r="B98" s="17">
        <f>IF(RAW_INPUT!A99="","",RAW_INPUT!E99)</f>
        <v>484</v>
      </c>
      <c r="C98" s="18">
        <f>IF(RAW_INPUT!A99="","",RAW_INPUT!F99)</f>
        <v>3.82</v>
      </c>
    </row>
    <row r="99" spans="1:3" x14ac:dyDescent="0.25">
      <c r="A99" s="16">
        <f>IF(RAW_INPUT!A100="","",RAW_INPUT!A100)</f>
        <v>45741</v>
      </c>
      <c r="B99" s="17">
        <f>IF(RAW_INPUT!A100="","",RAW_INPUT!E100)</f>
        <v>442</v>
      </c>
      <c r="C99" s="18">
        <f>IF(RAW_INPUT!A100="","",RAW_INPUT!F100)</f>
        <v>3.84</v>
      </c>
    </row>
    <row r="100" spans="1:3" x14ac:dyDescent="0.25">
      <c r="A100" s="16">
        <f>IF(RAW_INPUT!A101="","",RAW_INPUT!A101)</f>
        <v>45742</v>
      </c>
      <c r="B100" s="17">
        <f>IF(RAW_INPUT!A101="","",RAW_INPUT!E101)</f>
        <v>514</v>
      </c>
      <c r="C100" s="18">
        <f>IF(RAW_INPUT!A101="","",RAW_INPUT!F101)</f>
        <v>3.85</v>
      </c>
    </row>
    <row r="101" spans="1:3" x14ac:dyDescent="0.25">
      <c r="A101" s="16">
        <f>IF(RAW_INPUT!A102="","",RAW_INPUT!A102)</f>
        <v>45743</v>
      </c>
      <c r="B101" s="17">
        <f>IF(RAW_INPUT!A102="","",RAW_INPUT!E102)</f>
        <v>467</v>
      </c>
      <c r="C101" s="18">
        <f>IF(RAW_INPUT!A102="","",RAW_INPUT!F102)</f>
        <v>3.83</v>
      </c>
    </row>
    <row r="102" spans="1:3" x14ac:dyDescent="0.25">
      <c r="A102" s="16">
        <f>IF(RAW_INPUT!A103="","",RAW_INPUT!A103)</f>
        <v>45744</v>
      </c>
      <c r="B102" s="17">
        <f>IF(RAW_INPUT!A103="","",RAW_INPUT!E103)</f>
        <v>505</v>
      </c>
      <c r="C102" s="18">
        <f>IF(RAW_INPUT!A103="","",RAW_INPUT!F103)</f>
        <v>3.83</v>
      </c>
    </row>
    <row r="103" spans="1:3" x14ac:dyDescent="0.25">
      <c r="A103" s="16">
        <f>IF(RAW_INPUT!A104="","",RAW_INPUT!A104)</f>
        <v>45747</v>
      </c>
      <c r="B103" s="17">
        <f>IF(RAW_INPUT!A104="","",RAW_INPUT!E104)</f>
        <v>466</v>
      </c>
      <c r="C103" s="18">
        <f>IF(RAW_INPUT!A104="","",RAW_INPUT!F104)</f>
        <v>3.78</v>
      </c>
    </row>
    <row r="104" spans="1:3" x14ac:dyDescent="0.25">
      <c r="A104" s="16">
        <f>IF(RAW_INPUT!A105="","",RAW_INPUT!A105)</f>
        <v>45748</v>
      </c>
      <c r="B104" s="17">
        <f>IF(RAW_INPUT!A105="","",RAW_INPUT!E105)</f>
        <v>1</v>
      </c>
      <c r="C104" s="18">
        <f>IF(RAW_INPUT!A105="","",RAW_INPUT!F105)</f>
        <v>1161.3699999999999</v>
      </c>
    </row>
    <row r="105" spans="1:3" x14ac:dyDescent="0.25">
      <c r="A105" s="16">
        <f>IF(RAW_INPUT!A106="","",RAW_INPUT!A106)</f>
        <v>45749</v>
      </c>
      <c r="B105" s="17">
        <f>IF(RAW_INPUT!A106="","",RAW_INPUT!E106)</f>
        <v>454</v>
      </c>
      <c r="C105" s="18">
        <f>IF(RAW_INPUT!A106="","",RAW_INPUT!F106)</f>
        <v>3.82</v>
      </c>
    </row>
    <row r="106" spans="1:3" x14ac:dyDescent="0.25">
      <c r="A106" s="16">
        <f>IF(RAW_INPUT!A107="","",RAW_INPUT!A107)</f>
        <v>45750</v>
      </c>
      <c r="B106" s="17">
        <f>IF(RAW_INPUT!A107="","",RAW_INPUT!E107)</f>
        <v>533</v>
      </c>
      <c r="C106" s="18">
        <f>IF(RAW_INPUT!A107="","",RAW_INPUT!F107)</f>
        <v>3.78</v>
      </c>
    </row>
    <row r="107" spans="1:3" x14ac:dyDescent="0.25">
      <c r="A107" s="16">
        <f>IF(RAW_INPUT!A108="","",RAW_INPUT!A108)</f>
        <v>45751</v>
      </c>
      <c r="B107" s="17">
        <f>IF(RAW_INPUT!A108="","",RAW_INPUT!E108)</f>
        <v>537</v>
      </c>
      <c r="C107" s="18">
        <f>IF(RAW_INPUT!A108="","",RAW_INPUT!F108)</f>
        <v>3.78</v>
      </c>
    </row>
    <row r="108" spans="1:3" x14ac:dyDescent="0.25">
      <c r="A108" s="16">
        <f>IF(RAW_INPUT!A109="","",RAW_INPUT!A109)</f>
        <v>45754</v>
      </c>
      <c r="B108" s="17">
        <f>IF(RAW_INPUT!A109="","",RAW_INPUT!E109)</f>
        <v>442</v>
      </c>
      <c r="C108" s="18">
        <f>IF(RAW_INPUT!A109="","",RAW_INPUT!F109)</f>
        <v>3.77</v>
      </c>
    </row>
    <row r="109" spans="1:3" x14ac:dyDescent="0.25">
      <c r="A109" s="16">
        <f>IF(RAW_INPUT!A110="","",RAW_INPUT!A110)</f>
        <v>45755</v>
      </c>
      <c r="B109" s="17">
        <f>IF(RAW_INPUT!A110="","",RAW_INPUT!E110)</f>
        <v>391</v>
      </c>
      <c r="C109" s="18">
        <f>IF(RAW_INPUT!A110="","",RAW_INPUT!F110)</f>
        <v>3.75</v>
      </c>
    </row>
    <row r="110" spans="1:3" x14ac:dyDescent="0.25">
      <c r="A110" s="16">
        <f>IF(RAW_INPUT!A111="","",RAW_INPUT!A111)</f>
        <v>45756</v>
      </c>
      <c r="B110" s="17">
        <f>IF(RAW_INPUT!A111="","",RAW_INPUT!E111)</f>
        <v>380</v>
      </c>
      <c r="C110" s="18">
        <f>IF(RAW_INPUT!A111="","",RAW_INPUT!F111)</f>
        <v>3.75</v>
      </c>
    </row>
    <row r="111" spans="1:3" x14ac:dyDescent="0.25">
      <c r="A111" s="16">
        <f>IF(RAW_INPUT!A112="","",RAW_INPUT!A112)</f>
        <v>45757</v>
      </c>
      <c r="B111" s="17">
        <f>IF(RAW_INPUT!A112="","",RAW_INPUT!E112)</f>
        <v>309</v>
      </c>
      <c r="C111" s="18">
        <f>IF(RAW_INPUT!A112="","",RAW_INPUT!F112)</f>
        <v>3.77</v>
      </c>
    </row>
    <row r="112" spans="1:3" x14ac:dyDescent="0.25">
      <c r="A112" s="16">
        <f>IF(RAW_INPUT!A113="","",RAW_INPUT!A113)</f>
        <v>45758</v>
      </c>
      <c r="B112" s="17">
        <f>IF(RAW_INPUT!A113="","",RAW_INPUT!E113)</f>
        <v>421</v>
      </c>
      <c r="C112" s="18">
        <f>IF(RAW_INPUT!A113="","",RAW_INPUT!F113)</f>
        <v>3.73</v>
      </c>
    </row>
    <row r="113" spans="1:3" x14ac:dyDescent="0.25">
      <c r="A113" s="16">
        <f>IF(RAW_INPUT!A114="","",RAW_INPUT!A114)</f>
        <v>45761</v>
      </c>
      <c r="B113" s="17">
        <f>IF(RAW_INPUT!A114="","",RAW_INPUT!E114)</f>
        <v>459</v>
      </c>
      <c r="C113" s="18">
        <f>IF(RAW_INPUT!A114="","",RAW_INPUT!F114)</f>
        <v>3.74</v>
      </c>
    </row>
    <row r="114" spans="1:3" x14ac:dyDescent="0.25">
      <c r="A114" s="16">
        <f>IF(RAW_INPUT!A115="","",RAW_INPUT!A115)</f>
        <v>45762</v>
      </c>
      <c r="B114" s="17">
        <f>IF(RAW_INPUT!A115="","",RAW_INPUT!E115)</f>
        <v>513</v>
      </c>
      <c r="C114" s="18">
        <f>IF(RAW_INPUT!A115="","",RAW_INPUT!F115)</f>
        <v>3.72</v>
      </c>
    </row>
    <row r="115" spans="1:3" x14ac:dyDescent="0.25">
      <c r="A115" s="16">
        <f>IF(RAW_INPUT!A116="","",RAW_INPUT!A116)</f>
        <v>45763</v>
      </c>
      <c r="B115" s="17">
        <f>IF(RAW_INPUT!A116="","",RAW_INPUT!E116)</f>
        <v>520</v>
      </c>
      <c r="C115" s="18">
        <f>IF(RAW_INPUT!A116="","",RAW_INPUT!F116)</f>
        <v>3.73</v>
      </c>
    </row>
    <row r="116" spans="1:3" x14ac:dyDescent="0.25">
      <c r="A116" s="16">
        <f>IF(RAW_INPUT!A117="","",RAW_INPUT!A117)</f>
        <v>45764</v>
      </c>
      <c r="B116" s="17">
        <f>IF(RAW_INPUT!A117="","",RAW_INPUT!E117)</f>
        <v>1</v>
      </c>
      <c r="C116" s="18">
        <f>IF(RAW_INPUT!A117="","",RAW_INPUT!F117)</f>
        <v>935.86</v>
      </c>
    </row>
    <row r="117" spans="1:3" x14ac:dyDescent="0.25">
      <c r="A117" s="16">
        <f>IF(RAW_INPUT!A118="","",RAW_INPUT!A118)</f>
        <v>45765</v>
      </c>
      <c r="B117" s="17">
        <f>IF(RAW_INPUT!A118="","",RAW_INPUT!E118)</f>
        <v>445</v>
      </c>
      <c r="C117" s="18">
        <f>IF(RAW_INPUT!A118="","",RAW_INPUT!F118)</f>
        <v>3.69</v>
      </c>
    </row>
    <row r="118" spans="1:3" x14ac:dyDescent="0.25">
      <c r="A118" s="16">
        <f>IF(RAW_INPUT!A119="","",RAW_INPUT!A119)</f>
        <v>45768</v>
      </c>
      <c r="B118" s="17">
        <f>IF(RAW_INPUT!A119="","",RAW_INPUT!E119)</f>
        <v>471</v>
      </c>
      <c r="C118" s="18">
        <f>IF(RAW_INPUT!A119="","",RAW_INPUT!F119)</f>
        <v>3.66</v>
      </c>
    </row>
    <row r="119" spans="1:3" x14ac:dyDescent="0.25">
      <c r="A119" s="16">
        <f>IF(RAW_INPUT!A120="","",RAW_INPUT!A120)</f>
        <v>45769</v>
      </c>
      <c r="B119" s="17">
        <f>IF(RAW_INPUT!A120="","",RAW_INPUT!E120)</f>
        <v>501</v>
      </c>
      <c r="C119" s="18">
        <f>IF(RAW_INPUT!A120="","",RAW_INPUT!F120)</f>
        <v>3.69</v>
      </c>
    </row>
    <row r="120" spans="1:3" x14ac:dyDescent="0.25">
      <c r="A120" s="16">
        <f>IF(RAW_INPUT!A121="","",RAW_INPUT!A121)</f>
        <v>45770</v>
      </c>
      <c r="B120" s="17">
        <f>IF(RAW_INPUT!A121="","",RAW_INPUT!E121)</f>
        <v>476</v>
      </c>
      <c r="C120" s="18">
        <f>IF(RAW_INPUT!A121="","",RAW_INPUT!F121)</f>
        <v>3.64</v>
      </c>
    </row>
    <row r="121" spans="1:3" x14ac:dyDescent="0.25">
      <c r="A121" s="16">
        <f>IF(RAW_INPUT!A122="","",RAW_INPUT!A122)</f>
        <v>45771</v>
      </c>
      <c r="B121" s="17">
        <f>IF(RAW_INPUT!A122="","",RAW_INPUT!E122)</f>
        <v>1</v>
      </c>
      <c r="C121" s="18">
        <f>IF(RAW_INPUT!A122="","",RAW_INPUT!F122)</f>
        <v>1463.53</v>
      </c>
    </row>
    <row r="122" spans="1:3" x14ac:dyDescent="0.25">
      <c r="A122" s="16">
        <f>IF(RAW_INPUT!A123="","",RAW_INPUT!A123)</f>
        <v>45772</v>
      </c>
      <c r="B122" s="17">
        <f>IF(RAW_INPUT!A123="","",RAW_INPUT!E123)</f>
        <v>387</v>
      </c>
      <c r="C122" s="18">
        <f>IF(RAW_INPUT!A123="","",RAW_INPUT!F123)</f>
        <v>3.63</v>
      </c>
    </row>
    <row r="123" spans="1:3" x14ac:dyDescent="0.25">
      <c r="A123" s="16">
        <f>IF(RAW_INPUT!A124="","",RAW_INPUT!A124)</f>
        <v>45775</v>
      </c>
      <c r="B123" s="17">
        <f>IF(RAW_INPUT!A124="","",RAW_INPUT!E124)</f>
        <v>423</v>
      </c>
      <c r="C123" s="18">
        <f>IF(RAW_INPUT!A124="","",RAW_INPUT!F124)</f>
        <v>3.63</v>
      </c>
    </row>
    <row r="124" spans="1:3" x14ac:dyDescent="0.25">
      <c r="A124" s="16">
        <f>IF(RAW_INPUT!A125="","",RAW_INPUT!A125)</f>
        <v>45776</v>
      </c>
      <c r="B124" s="17">
        <f>IF(RAW_INPUT!A125="","",RAW_INPUT!E125)</f>
        <v>1</v>
      </c>
      <c r="C124" s="18">
        <f>IF(RAW_INPUT!A125="","",RAW_INPUT!F125)</f>
        <v>977.39</v>
      </c>
    </row>
    <row r="125" spans="1:3" x14ac:dyDescent="0.25">
      <c r="A125" s="16">
        <f>IF(RAW_INPUT!A126="","",RAW_INPUT!A126)</f>
        <v>45777</v>
      </c>
      <c r="B125" s="17">
        <f>IF(RAW_INPUT!A126="","",RAW_INPUT!E126)</f>
        <v>429</v>
      </c>
      <c r="C125" s="18">
        <f>IF(RAW_INPUT!A126="","",RAW_INPUT!F126)</f>
        <v>3.64</v>
      </c>
    </row>
    <row r="126" spans="1:3" x14ac:dyDescent="0.25">
      <c r="A126" s="16">
        <f>IF(RAW_INPUT!A127="","",RAW_INPUT!A127)</f>
        <v>45778</v>
      </c>
      <c r="B126" s="17">
        <f>IF(RAW_INPUT!A127="","",RAW_INPUT!E127)</f>
        <v>401</v>
      </c>
      <c r="C126" s="18">
        <f>IF(RAW_INPUT!A127="","",RAW_INPUT!F127)</f>
        <v>3.61</v>
      </c>
    </row>
    <row r="127" spans="1:3" x14ac:dyDescent="0.25">
      <c r="A127" s="16">
        <f>IF(RAW_INPUT!A128="","",RAW_INPUT!A128)</f>
        <v>45779</v>
      </c>
      <c r="B127" s="17">
        <f>IF(RAW_INPUT!A128="","",RAW_INPUT!E128)</f>
        <v>298</v>
      </c>
      <c r="C127" s="18">
        <f>IF(RAW_INPUT!A128="","",RAW_INPUT!F128)</f>
        <v>3.6</v>
      </c>
    </row>
    <row r="128" spans="1:3" x14ac:dyDescent="0.25">
      <c r="A128" s="16">
        <f>IF(RAW_INPUT!A129="","",RAW_INPUT!A129)</f>
        <v>45782</v>
      </c>
      <c r="B128" s="17">
        <f>IF(RAW_INPUT!A129="","",RAW_INPUT!E129)</f>
        <v>210</v>
      </c>
      <c r="C128" s="18">
        <f>IF(RAW_INPUT!A129="","",RAW_INPUT!F129)</f>
        <v>3.58</v>
      </c>
    </row>
    <row r="129" spans="1:3" x14ac:dyDescent="0.25">
      <c r="A129" s="16">
        <f>IF(RAW_INPUT!A130="","",RAW_INPUT!A130)</f>
        <v>45783</v>
      </c>
      <c r="B129" s="17">
        <f>IF(RAW_INPUT!A130="","",RAW_INPUT!E130)</f>
        <v>251</v>
      </c>
      <c r="C129" s="18">
        <f>IF(RAW_INPUT!A130="","",RAW_INPUT!F130)</f>
        <v>3.59</v>
      </c>
    </row>
    <row r="130" spans="1:3" x14ac:dyDescent="0.25">
      <c r="A130" s="16">
        <f>IF(RAW_INPUT!A131="","",RAW_INPUT!A131)</f>
        <v>45784</v>
      </c>
      <c r="B130" s="17">
        <f>IF(RAW_INPUT!A131="","",RAW_INPUT!E131)</f>
        <v>270</v>
      </c>
      <c r="C130" s="18">
        <f>IF(RAW_INPUT!A131="","",RAW_INPUT!F131)</f>
        <v>3.54</v>
      </c>
    </row>
    <row r="131" spans="1:3" x14ac:dyDescent="0.25">
      <c r="A131" s="16">
        <f>IF(RAW_INPUT!A132="","",RAW_INPUT!A132)</f>
        <v>45785</v>
      </c>
      <c r="B131" s="17">
        <f>IF(RAW_INPUT!A132="","",RAW_INPUT!E132)</f>
        <v>295</v>
      </c>
      <c r="C131" s="18">
        <f>IF(RAW_INPUT!A132="","",RAW_INPUT!F132)</f>
        <v>3.53</v>
      </c>
    </row>
    <row r="132" spans="1:3" x14ac:dyDescent="0.25">
      <c r="A132" s="16">
        <f>IF(RAW_INPUT!A133="","",RAW_INPUT!A133)</f>
        <v>45786</v>
      </c>
      <c r="B132" s="17">
        <f>IF(RAW_INPUT!A133="","",RAW_INPUT!E133)</f>
        <v>316</v>
      </c>
      <c r="C132" s="18">
        <f>IF(RAW_INPUT!A133="","",RAW_INPUT!F133)</f>
        <v>3.56</v>
      </c>
    </row>
    <row r="133" spans="1:3" x14ac:dyDescent="0.25">
      <c r="A133" s="16">
        <f>IF(RAW_INPUT!A134="","",RAW_INPUT!A134)</f>
        <v>45789</v>
      </c>
      <c r="B133" s="17">
        <f>IF(RAW_INPUT!A134="","",RAW_INPUT!E134)</f>
        <v>386</v>
      </c>
      <c r="C133" s="18">
        <f>IF(RAW_INPUT!A134="","",RAW_INPUT!F134)</f>
        <v>3.53</v>
      </c>
    </row>
    <row r="134" spans="1:3" x14ac:dyDescent="0.25">
      <c r="A134" s="16">
        <f>IF(RAW_INPUT!A135="","",RAW_INPUT!A135)</f>
        <v>45790</v>
      </c>
      <c r="B134" s="17">
        <f>IF(RAW_INPUT!A135="","",RAW_INPUT!E135)</f>
        <v>444</v>
      </c>
      <c r="C134" s="18">
        <f>IF(RAW_INPUT!A135="","",RAW_INPUT!F135)</f>
        <v>3.51</v>
      </c>
    </row>
    <row r="135" spans="1:3" x14ac:dyDescent="0.25">
      <c r="A135" s="16">
        <f>IF(RAW_INPUT!A136="","",RAW_INPUT!A136)</f>
        <v>45791</v>
      </c>
      <c r="B135" s="17">
        <f>IF(RAW_INPUT!A136="","",RAW_INPUT!E136)</f>
        <v>510</v>
      </c>
      <c r="C135" s="18">
        <f>IF(RAW_INPUT!A136="","",RAW_INPUT!F136)</f>
        <v>3.5</v>
      </c>
    </row>
    <row r="136" spans="1:3" x14ac:dyDescent="0.25">
      <c r="A136" s="16">
        <f>IF(RAW_INPUT!A137="","",RAW_INPUT!A137)</f>
        <v>45792</v>
      </c>
      <c r="B136" s="17">
        <f>IF(RAW_INPUT!A137="","",RAW_INPUT!E137)</f>
        <v>1</v>
      </c>
      <c r="C136" s="18">
        <f>IF(RAW_INPUT!A137="","",RAW_INPUT!F137)</f>
        <v>1020.45</v>
      </c>
    </row>
    <row r="137" spans="1:3" x14ac:dyDescent="0.25">
      <c r="A137" s="16">
        <f>IF(RAW_INPUT!A138="","",RAW_INPUT!A138)</f>
        <v>45793</v>
      </c>
      <c r="B137" s="17">
        <f>IF(RAW_INPUT!A138="","",RAW_INPUT!E138)</f>
        <v>511</v>
      </c>
      <c r="C137" s="18">
        <f>IF(RAW_INPUT!A138="","",RAW_INPUT!F138)</f>
        <v>3.47</v>
      </c>
    </row>
    <row r="138" spans="1:3" x14ac:dyDescent="0.25">
      <c r="A138" s="16">
        <f>IF(RAW_INPUT!A139="","",RAW_INPUT!A139)</f>
        <v>45796</v>
      </c>
      <c r="B138" s="17">
        <f>IF(RAW_INPUT!A139="","",RAW_INPUT!E139)</f>
        <v>533</v>
      </c>
      <c r="C138" s="18">
        <f>IF(RAW_INPUT!A139="","",RAW_INPUT!F139)</f>
        <v>3.49</v>
      </c>
    </row>
    <row r="139" spans="1:3" x14ac:dyDescent="0.25">
      <c r="A139" s="16">
        <f>IF(RAW_INPUT!A140="","",RAW_INPUT!A140)</f>
        <v>45797</v>
      </c>
      <c r="B139" s="17">
        <f>IF(RAW_INPUT!A140="","",RAW_INPUT!E140)</f>
        <v>493</v>
      </c>
      <c r="C139" s="18">
        <f>IF(RAW_INPUT!A140="","",RAW_INPUT!F140)</f>
        <v>3.45</v>
      </c>
    </row>
    <row r="140" spans="1:3" x14ac:dyDescent="0.25">
      <c r="A140" s="16">
        <f>IF(RAW_INPUT!A141="","",RAW_INPUT!A141)</f>
        <v>45798</v>
      </c>
      <c r="B140" s="17">
        <f>IF(RAW_INPUT!A141="","",RAW_INPUT!E141)</f>
        <v>489</v>
      </c>
      <c r="C140" s="18">
        <f>IF(RAW_INPUT!A141="","",RAW_INPUT!F141)</f>
        <v>3.47</v>
      </c>
    </row>
    <row r="141" spans="1:3" x14ac:dyDescent="0.25">
      <c r="A141" s="16">
        <f>IF(RAW_INPUT!A142="","",RAW_INPUT!A142)</f>
        <v>45799</v>
      </c>
      <c r="B141" s="17">
        <f>IF(RAW_INPUT!A142="","",RAW_INPUT!E142)</f>
        <v>1</v>
      </c>
      <c r="C141" s="18">
        <f>IF(RAW_INPUT!A142="","",RAW_INPUT!F142)</f>
        <v>1478.58</v>
      </c>
    </row>
    <row r="142" spans="1:3" x14ac:dyDescent="0.25">
      <c r="A142" s="16">
        <f>IF(RAW_INPUT!A143="","",RAW_INPUT!A143)</f>
        <v>45800</v>
      </c>
      <c r="B142" s="17">
        <f>IF(RAW_INPUT!A143="","",RAW_INPUT!E143)</f>
        <v>516</v>
      </c>
      <c r="C142" s="18">
        <f>IF(RAW_INPUT!A143="","",RAW_INPUT!F143)</f>
        <v>3.46</v>
      </c>
    </row>
    <row r="143" spans="1:3" x14ac:dyDescent="0.25">
      <c r="A143" s="16">
        <f>IF(RAW_INPUT!A144="","",RAW_INPUT!A144)</f>
        <v>45803</v>
      </c>
      <c r="B143" s="17">
        <f>IF(RAW_INPUT!A144="","",RAW_INPUT!E144)</f>
        <v>495</v>
      </c>
      <c r="C143" s="18">
        <f>IF(RAW_INPUT!A144="","",RAW_INPUT!F144)</f>
        <v>3.44</v>
      </c>
    </row>
    <row r="144" spans="1:3" x14ac:dyDescent="0.25">
      <c r="A144" s="16">
        <f>IF(RAW_INPUT!A145="","",RAW_INPUT!A145)</f>
        <v>45804</v>
      </c>
      <c r="B144" s="17">
        <f>IF(RAW_INPUT!A145="","",RAW_INPUT!E145)</f>
        <v>556</v>
      </c>
      <c r="C144" s="18">
        <f>IF(RAW_INPUT!A145="","",RAW_INPUT!F145)</f>
        <v>3.43</v>
      </c>
    </row>
    <row r="145" spans="1:3" x14ac:dyDescent="0.25">
      <c r="A145" s="16">
        <f>IF(RAW_INPUT!A146="","",RAW_INPUT!A146)</f>
        <v>45805</v>
      </c>
      <c r="B145" s="17">
        <f>IF(RAW_INPUT!A146="","",RAW_INPUT!E146)</f>
        <v>498</v>
      </c>
      <c r="C145" s="18">
        <f>IF(RAW_INPUT!A146="","",RAW_INPUT!F146)</f>
        <v>3.43</v>
      </c>
    </row>
    <row r="146" spans="1:3" x14ac:dyDescent="0.25">
      <c r="A146" s="16">
        <f>IF(RAW_INPUT!A147="","",RAW_INPUT!A147)</f>
        <v>45806</v>
      </c>
      <c r="B146" s="17">
        <f>IF(RAW_INPUT!A147="","",RAW_INPUT!E147)</f>
        <v>1</v>
      </c>
      <c r="C146" s="18">
        <f>IF(RAW_INPUT!A147="","",RAW_INPUT!F147)</f>
        <v>1028.7</v>
      </c>
    </row>
    <row r="147" spans="1:3" x14ac:dyDescent="0.25">
      <c r="A147" s="16">
        <f>IF(RAW_INPUT!A148="","",RAW_INPUT!A148)</f>
        <v>45807</v>
      </c>
      <c r="B147" s="17">
        <f>IF(RAW_INPUT!A148="","",RAW_INPUT!E148)</f>
        <v>535</v>
      </c>
      <c r="C147" s="18">
        <f>IF(RAW_INPUT!A148="","",RAW_INPUT!F148)</f>
        <v>3.42</v>
      </c>
    </row>
    <row r="148" spans="1:3" x14ac:dyDescent="0.25">
      <c r="A148" s="16">
        <f>IF(RAW_INPUT!A149="","",RAW_INPUT!A149)</f>
        <v>45810</v>
      </c>
      <c r="B148" s="17">
        <f>IF(RAW_INPUT!A149="","",RAW_INPUT!E149)</f>
        <v>560</v>
      </c>
      <c r="C148" s="18">
        <f>IF(RAW_INPUT!A149="","",RAW_INPUT!F149)</f>
        <v>3.43</v>
      </c>
    </row>
    <row r="149" spans="1:3" x14ac:dyDescent="0.25">
      <c r="A149" s="16">
        <f>IF(RAW_INPUT!A150="","",RAW_INPUT!A150)</f>
        <v>45811</v>
      </c>
      <c r="B149" s="17">
        <f>IF(RAW_INPUT!A150="","",RAW_INPUT!E150)</f>
        <v>494</v>
      </c>
      <c r="C149" s="18">
        <f>IF(RAW_INPUT!A150="","",RAW_INPUT!F150)</f>
        <v>3.39</v>
      </c>
    </row>
    <row r="150" spans="1:3" x14ac:dyDescent="0.25">
      <c r="A150" s="16">
        <f>IF(RAW_INPUT!A151="","",RAW_INPUT!A151)</f>
        <v>45812</v>
      </c>
      <c r="B150" s="17">
        <f>IF(RAW_INPUT!A151="","",RAW_INPUT!E151)</f>
        <v>503</v>
      </c>
      <c r="C150" s="18">
        <f>IF(RAW_INPUT!A151="","",RAW_INPUT!F151)</f>
        <v>3.38</v>
      </c>
    </row>
    <row r="151" spans="1:3" x14ac:dyDescent="0.25">
      <c r="A151" s="16">
        <f>IF(RAW_INPUT!A152="","",RAW_INPUT!A152)</f>
        <v>45813</v>
      </c>
      <c r="B151" s="17">
        <f>IF(RAW_INPUT!A152="","",RAW_INPUT!E152)</f>
        <v>1</v>
      </c>
      <c r="C151" s="18">
        <f>IF(RAW_INPUT!A152="","",RAW_INPUT!F152)</f>
        <v>1725.8</v>
      </c>
    </row>
    <row r="152" spans="1:3" x14ac:dyDescent="0.25">
      <c r="A152" s="16">
        <f>IF(RAW_INPUT!A153="","",RAW_INPUT!A153)</f>
        <v>45814</v>
      </c>
      <c r="B152" s="17">
        <f>IF(RAW_INPUT!A153="","",RAW_INPUT!E153)</f>
        <v>545</v>
      </c>
      <c r="C152" s="18">
        <f>IF(RAW_INPUT!A153="","",RAW_INPUT!F153)</f>
        <v>3.4</v>
      </c>
    </row>
    <row r="153" spans="1:3" x14ac:dyDescent="0.25">
      <c r="A153" s="16">
        <f>IF(RAW_INPUT!A154="","",RAW_INPUT!A154)</f>
        <v>45817</v>
      </c>
      <c r="B153" s="17">
        <f>IF(RAW_INPUT!A154="","",RAW_INPUT!E154)</f>
        <v>525</v>
      </c>
      <c r="C153" s="18">
        <f>IF(RAW_INPUT!A154="","",RAW_INPUT!F154)</f>
        <v>3.36</v>
      </c>
    </row>
    <row r="154" spans="1:3" x14ac:dyDescent="0.25">
      <c r="A154" s="16">
        <f>IF(RAW_INPUT!A155="","",RAW_INPUT!A155)</f>
        <v>45818</v>
      </c>
      <c r="B154" s="17">
        <f>IF(RAW_INPUT!A155="","",RAW_INPUT!E155)</f>
        <v>560</v>
      </c>
      <c r="C154" s="18">
        <f>IF(RAW_INPUT!A155="","",RAW_INPUT!F155)</f>
        <v>3.86</v>
      </c>
    </row>
    <row r="155" spans="1:3" x14ac:dyDescent="0.25">
      <c r="A155" s="16">
        <f>IF(RAW_INPUT!A156="","",RAW_INPUT!A156)</f>
        <v>45819</v>
      </c>
      <c r="B155" s="17">
        <f>IF(RAW_INPUT!A156="","",RAW_INPUT!E156)</f>
        <v>1</v>
      </c>
      <c r="C155" s="18">
        <f>IF(RAW_INPUT!A156="","",RAW_INPUT!F156)</f>
        <v>1158.6600000000001</v>
      </c>
    </row>
    <row r="156" spans="1:3" x14ac:dyDescent="0.25">
      <c r="A156" s="16">
        <f>IF(RAW_INPUT!A157="","",RAW_INPUT!A157)</f>
        <v>45820</v>
      </c>
      <c r="B156" s="17">
        <f>IF(RAW_INPUT!A157="","",RAW_INPUT!E157)</f>
        <v>623</v>
      </c>
      <c r="C156" s="18">
        <f>IF(RAW_INPUT!A157="","",RAW_INPUT!F157)</f>
        <v>3.9</v>
      </c>
    </row>
    <row r="157" spans="1:3" x14ac:dyDescent="0.25">
      <c r="A157" s="16">
        <f>IF(RAW_INPUT!A158="","",RAW_INPUT!A158)</f>
        <v>45821</v>
      </c>
      <c r="B157" s="17">
        <f>IF(RAW_INPUT!A158="","",RAW_INPUT!E158)</f>
        <v>545</v>
      </c>
      <c r="C157" s="18">
        <f>IF(RAW_INPUT!A158="","",RAW_INPUT!F158)</f>
        <v>3.85</v>
      </c>
    </row>
    <row r="158" spans="1:3" x14ac:dyDescent="0.25">
      <c r="A158" s="16">
        <f>IF(RAW_INPUT!A159="","",RAW_INPUT!A159)</f>
        <v>45824</v>
      </c>
      <c r="B158" s="17">
        <f>IF(RAW_INPUT!A159="","",RAW_INPUT!E159)</f>
        <v>565</v>
      </c>
      <c r="C158" s="18">
        <f>IF(RAW_INPUT!A159="","",RAW_INPUT!F159)</f>
        <v>3.85</v>
      </c>
    </row>
    <row r="159" spans="1:3" x14ac:dyDescent="0.25">
      <c r="A159" s="16">
        <f>IF(RAW_INPUT!A160="","",RAW_INPUT!A160)</f>
        <v>45825</v>
      </c>
      <c r="B159" s="17">
        <f>IF(RAW_INPUT!A160="","",RAW_INPUT!E160)</f>
        <v>1</v>
      </c>
      <c r="C159" s="18">
        <f>IF(RAW_INPUT!A160="","",RAW_INPUT!F160)</f>
        <v>1440.35</v>
      </c>
    </row>
    <row r="160" spans="1:3" x14ac:dyDescent="0.25">
      <c r="A160" s="16">
        <f>IF(RAW_INPUT!A161="","",RAW_INPUT!A161)</f>
        <v>45826</v>
      </c>
      <c r="B160" s="17">
        <f>IF(RAW_INPUT!A161="","",RAW_INPUT!E161)</f>
        <v>531</v>
      </c>
      <c r="C160" s="18">
        <f>IF(RAW_INPUT!A161="","",RAW_INPUT!F161)</f>
        <v>3.81</v>
      </c>
    </row>
    <row r="161" spans="1:3" x14ac:dyDescent="0.25">
      <c r="A161" s="16">
        <f>IF(RAW_INPUT!A162="","",RAW_INPUT!A162)</f>
        <v>45827</v>
      </c>
      <c r="B161" s="17">
        <f>IF(RAW_INPUT!A162="","",RAW_INPUT!E162)</f>
        <v>592</v>
      </c>
      <c r="C161" s="18">
        <f>IF(RAW_INPUT!A162="","",RAW_INPUT!F162)</f>
        <v>3.83</v>
      </c>
    </row>
    <row r="162" spans="1:3" x14ac:dyDescent="0.25">
      <c r="A162" s="16">
        <f>IF(RAW_INPUT!A163="","",RAW_INPUT!A163)</f>
        <v>45828</v>
      </c>
      <c r="B162" s="17">
        <f>IF(RAW_INPUT!A163="","",RAW_INPUT!E163)</f>
        <v>569</v>
      </c>
      <c r="C162" s="18">
        <f>IF(RAW_INPUT!A163="","",RAW_INPUT!F163)</f>
        <v>3.82</v>
      </c>
    </row>
    <row r="163" spans="1:3" x14ac:dyDescent="0.25">
      <c r="A163" s="16">
        <f>IF(RAW_INPUT!A164="","",RAW_INPUT!A164)</f>
        <v>45831</v>
      </c>
      <c r="B163" s="17">
        <f>IF(RAW_INPUT!A164="","",RAW_INPUT!E164)</f>
        <v>554</v>
      </c>
      <c r="C163" s="18">
        <f>IF(RAW_INPUT!A164="","",RAW_INPUT!F164)</f>
        <v>3.83</v>
      </c>
    </row>
    <row r="164" spans="1:3" x14ac:dyDescent="0.25">
      <c r="A164" s="16">
        <f>IF(RAW_INPUT!A165="","",RAW_INPUT!A165)</f>
        <v>45832</v>
      </c>
      <c r="B164" s="17">
        <f>IF(RAW_INPUT!A165="","",RAW_INPUT!E165)</f>
        <v>586</v>
      </c>
      <c r="C164" s="18">
        <f>IF(RAW_INPUT!A165="","",RAW_INPUT!F165)</f>
        <v>3.83</v>
      </c>
    </row>
    <row r="165" spans="1:3" x14ac:dyDescent="0.25">
      <c r="A165" s="16">
        <f>IF(RAW_INPUT!A166="","",RAW_INPUT!A166)</f>
        <v>45833</v>
      </c>
      <c r="B165" s="17">
        <f>IF(RAW_INPUT!A166="","",RAW_INPUT!E166)</f>
        <v>1</v>
      </c>
      <c r="C165" s="18">
        <f>IF(RAW_INPUT!A166="","",RAW_INPUT!F166)</f>
        <v>900.42</v>
      </c>
    </row>
    <row r="166" spans="1:3" x14ac:dyDescent="0.25">
      <c r="A166" s="16">
        <f>IF(RAW_INPUT!A167="","",RAW_INPUT!A167)</f>
        <v>45834</v>
      </c>
      <c r="B166" s="17">
        <f>IF(RAW_INPUT!A167="","",RAW_INPUT!E167)</f>
        <v>620</v>
      </c>
      <c r="C166" s="18">
        <f>IF(RAW_INPUT!A167="","",RAW_INPUT!F167)</f>
        <v>3.78</v>
      </c>
    </row>
    <row r="167" spans="1:3" x14ac:dyDescent="0.25">
      <c r="A167" s="16">
        <f>IF(RAW_INPUT!A168="","",RAW_INPUT!A168)</f>
        <v>45835</v>
      </c>
      <c r="B167" s="17">
        <f>IF(RAW_INPUT!A168="","",RAW_INPUT!E168)</f>
        <v>581</v>
      </c>
      <c r="C167" s="18">
        <f>IF(RAW_INPUT!A168="","",RAW_INPUT!F168)</f>
        <v>3.75</v>
      </c>
    </row>
    <row r="168" spans="1:3" x14ac:dyDescent="0.25">
      <c r="A168" s="16">
        <f>IF(RAW_INPUT!A169="","",RAW_INPUT!A169)</f>
        <v>45838</v>
      </c>
      <c r="B168" s="17">
        <f>IF(RAW_INPUT!A169="","",RAW_INPUT!E169)</f>
        <v>613</v>
      </c>
      <c r="C168" s="18">
        <f>IF(RAW_INPUT!A169="","",RAW_INPUT!F169)</f>
        <v>3.77</v>
      </c>
    </row>
    <row r="169" spans="1:3" x14ac:dyDescent="0.25">
      <c r="A169" s="16">
        <f>IF(RAW_INPUT!A170="","",RAW_INPUT!A170)</f>
        <v>45839</v>
      </c>
      <c r="B169" s="17">
        <f>IF(RAW_INPUT!A170="","",RAW_INPUT!E170)</f>
        <v>1</v>
      </c>
      <c r="C169" s="18">
        <f>IF(RAW_INPUT!A170="","",RAW_INPUT!F170)</f>
        <v>1761.65</v>
      </c>
    </row>
    <row r="170" spans="1:3" x14ac:dyDescent="0.25">
      <c r="A170" s="16">
        <f>IF(RAW_INPUT!A171="","",RAW_INPUT!A171)</f>
        <v>45840</v>
      </c>
      <c r="B170" s="17">
        <f>IF(RAW_INPUT!A171="","",RAW_INPUT!E171)</f>
        <v>590</v>
      </c>
      <c r="C170" s="18">
        <f>IF(RAW_INPUT!A171="","",RAW_INPUT!F171)</f>
        <v>3.75</v>
      </c>
    </row>
    <row r="171" spans="1:3" x14ac:dyDescent="0.25">
      <c r="A171" s="16">
        <f>IF(RAW_INPUT!A172="","",RAW_INPUT!A172)</f>
        <v>45841</v>
      </c>
      <c r="B171" s="17">
        <f>IF(RAW_INPUT!A172="","",RAW_INPUT!E172)</f>
        <v>573</v>
      </c>
      <c r="C171" s="18">
        <f>IF(RAW_INPUT!A172="","",RAW_INPUT!F172)</f>
        <v>3.77</v>
      </c>
    </row>
    <row r="172" spans="1:3" x14ac:dyDescent="0.25">
      <c r="A172" s="16">
        <f>IF(RAW_INPUT!A173="","",RAW_INPUT!A173)</f>
        <v>45842</v>
      </c>
      <c r="B172" s="17">
        <f>IF(RAW_INPUT!A173="","",RAW_INPUT!E173)</f>
        <v>606</v>
      </c>
      <c r="C172" s="18">
        <f>IF(RAW_INPUT!A173="","",RAW_INPUT!F173)</f>
        <v>3.76</v>
      </c>
    </row>
    <row r="173" spans="1:3" x14ac:dyDescent="0.25">
      <c r="A173" s="16">
        <f>IF(RAW_INPUT!A174="","",RAW_INPUT!A174)</f>
        <v>45845</v>
      </c>
      <c r="B173" s="17">
        <f>IF(RAW_INPUT!A174="","",RAW_INPUT!E174)</f>
        <v>522</v>
      </c>
      <c r="C173" s="18">
        <f>IF(RAW_INPUT!A174="","",RAW_INPUT!F174)</f>
        <v>3.88</v>
      </c>
    </row>
    <row r="174" spans="1:3" x14ac:dyDescent="0.25">
      <c r="A174" s="16">
        <f>IF(RAW_INPUT!A175="","",RAW_INPUT!A175)</f>
        <v>45846</v>
      </c>
      <c r="B174" s="17">
        <f>IF(RAW_INPUT!A175="","",RAW_INPUT!E175)</f>
        <v>180</v>
      </c>
      <c r="C174" s="18">
        <f>IF(RAW_INPUT!A175="","",RAW_INPUT!F175)</f>
        <v>45.01</v>
      </c>
    </row>
    <row r="175" spans="1:3" x14ac:dyDescent="0.25">
      <c r="A175" s="16">
        <f>IF(RAW_INPUT!A176="","",RAW_INPUT!A176)</f>
        <v>45847</v>
      </c>
      <c r="B175" s="17">
        <f>IF(RAW_INPUT!A176="","",RAW_INPUT!E176)</f>
        <v>1</v>
      </c>
      <c r="C175" s="18">
        <f>IF(RAW_INPUT!A176="","",RAW_INPUT!F176)</f>
        <v>1218.26</v>
      </c>
    </row>
    <row r="176" spans="1:3" x14ac:dyDescent="0.25">
      <c r="A176" s="16">
        <f>IF(RAW_INPUT!A177="","",RAW_INPUT!A177)</f>
        <v>45848</v>
      </c>
      <c r="B176" s="17">
        <f>IF(RAW_INPUT!A177="","",RAW_INPUT!E177)</f>
        <v>660</v>
      </c>
      <c r="C176" s="18">
        <f>IF(RAW_INPUT!A177="","",RAW_INPUT!F177)</f>
        <v>3.88</v>
      </c>
    </row>
    <row r="177" spans="1:3" x14ac:dyDescent="0.25">
      <c r="A177" s="16">
        <f>IF(RAW_INPUT!A178="","",RAW_INPUT!A178)</f>
        <v>45849</v>
      </c>
      <c r="B177" s="17">
        <f>IF(RAW_INPUT!A178="","",RAW_INPUT!E178)</f>
        <v>606</v>
      </c>
      <c r="C177" s="18">
        <f>IF(RAW_INPUT!A178="","",RAW_INPUT!F178)</f>
        <v>3.88</v>
      </c>
    </row>
    <row r="178" spans="1:3" x14ac:dyDescent="0.25">
      <c r="A178" s="16">
        <f>IF(RAW_INPUT!A179="","",RAW_INPUT!A179)</f>
        <v>45852</v>
      </c>
      <c r="B178" s="17">
        <f>IF(RAW_INPUT!A179="","",RAW_INPUT!E179)</f>
        <v>784</v>
      </c>
      <c r="C178" s="18">
        <f>IF(RAW_INPUT!A179="","",RAW_INPUT!F179)</f>
        <v>3.81</v>
      </c>
    </row>
    <row r="179" spans="1:3" x14ac:dyDescent="0.25">
      <c r="A179" s="16">
        <f>IF(RAW_INPUT!A180="","",RAW_INPUT!A180)</f>
        <v>45853</v>
      </c>
      <c r="B179" s="17">
        <f>IF(RAW_INPUT!A180="","",RAW_INPUT!E180)</f>
        <v>1</v>
      </c>
      <c r="C179" s="18">
        <f>IF(RAW_INPUT!A180="","",RAW_INPUT!F180)</f>
        <v>1069.76</v>
      </c>
    </row>
    <row r="180" spans="1:3" x14ac:dyDescent="0.25">
      <c r="A180" s="16">
        <f>IF(RAW_INPUT!A181="","",RAW_INPUT!A181)</f>
        <v>45854</v>
      </c>
      <c r="B180" s="17">
        <f>IF(RAW_INPUT!A181="","",RAW_INPUT!E181)</f>
        <v>637</v>
      </c>
      <c r="C180" s="18">
        <f>IF(RAW_INPUT!A181="","",RAW_INPUT!F181)</f>
        <v>3.83</v>
      </c>
    </row>
    <row r="181" spans="1:3" x14ac:dyDescent="0.25">
      <c r="A181" s="16">
        <f>IF(RAW_INPUT!A182="","",RAW_INPUT!A182)</f>
        <v>45855</v>
      </c>
      <c r="B181" s="17">
        <f>IF(RAW_INPUT!A182="","",RAW_INPUT!E182)</f>
        <v>609</v>
      </c>
      <c r="C181" s="18">
        <f>IF(RAW_INPUT!A182="","",RAW_INPUT!F182)</f>
        <v>3.82</v>
      </c>
    </row>
    <row r="182" spans="1:3" x14ac:dyDescent="0.25">
      <c r="A182" s="16">
        <f>IF(RAW_INPUT!A183="","",RAW_INPUT!A183)</f>
        <v>45856</v>
      </c>
      <c r="B182" s="17">
        <f>IF(RAW_INPUT!A183="","",RAW_INPUT!E183)</f>
        <v>1</v>
      </c>
      <c r="C182" s="18">
        <f>IF(RAW_INPUT!A183="","",RAW_INPUT!F183)</f>
        <v>888.36</v>
      </c>
    </row>
    <row r="183" spans="1:3" x14ac:dyDescent="0.25">
      <c r="A183" s="16">
        <f>IF(RAW_INPUT!A184="","",RAW_INPUT!A184)</f>
        <v>45859</v>
      </c>
      <c r="B183" s="17">
        <f>IF(RAW_INPUT!A184="","",RAW_INPUT!E184)</f>
        <v>664</v>
      </c>
      <c r="C183" s="18">
        <f>IF(RAW_INPUT!A184="","",RAW_INPUT!F184)</f>
        <v>3.77</v>
      </c>
    </row>
    <row r="184" spans="1:3" x14ac:dyDescent="0.25">
      <c r="A184" s="16">
        <f>IF(RAW_INPUT!A185="","",RAW_INPUT!A185)</f>
        <v>45860</v>
      </c>
      <c r="B184" s="17">
        <f>IF(RAW_INPUT!A185="","",RAW_INPUT!E185)</f>
        <v>435</v>
      </c>
      <c r="C184" s="18">
        <f>IF(RAW_INPUT!A185="","",RAW_INPUT!F185)</f>
        <v>3.95</v>
      </c>
    </row>
    <row r="185" spans="1:3" x14ac:dyDescent="0.25">
      <c r="A185" s="16">
        <f>IF(RAW_INPUT!A186="","",RAW_INPUT!A186)</f>
        <v>45861</v>
      </c>
      <c r="B185" s="17">
        <f>IF(RAW_INPUT!A186="","",RAW_INPUT!E186)</f>
        <v>407</v>
      </c>
      <c r="C185" s="18">
        <f>IF(RAW_INPUT!A186="","",RAW_INPUT!F186)</f>
        <v>3.9</v>
      </c>
    </row>
    <row r="186" spans="1:3" x14ac:dyDescent="0.25">
      <c r="A186" s="16">
        <f>IF(RAW_INPUT!A187="","",RAW_INPUT!A187)</f>
        <v>45862</v>
      </c>
      <c r="B186" s="17">
        <f>IF(RAW_INPUT!A187="","",RAW_INPUT!E187)</f>
        <v>533</v>
      </c>
      <c r="C186" s="18">
        <f>IF(RAW_INPUT!A187="","",RAW_INPUT!F187)</f>
        <v>3.9</v>
      </c>
    </row>
    <row r="187" spans="1:3" x14ac:dyDescent="0.25">
      <c r="A187" s="16">
        <f>IF(RAW_INPUT!A188="","",RAW_INPUT!A188)</f>
        <v>45863</v>
      </c>
      <c r="B187" s="17">
        <f>IF(RAW_INPUT!A188="","",RAW_INPUT!E188)</f>
        <v>481</v>
      </c>
      <c r="C187" s="18">
        <f>IF(RAW_INPUT!A188="","",RAW_INPUT!F188)</f>
        <v>3.91</v>
      </c>
    </row>
    <row r="188" spans="1:3" x14ac:dyDescent="0.25">
      <c r="A188" s="16">
        <f>IF(RAW_INPUT!A189="","",RAW_INPUT!A189)</f>
        <v>45866</v>
      </c>
      <c r="B188" s="17">
        <f>IF(RAW_INPUT!A189="","",RAW_INPUT!E189)</f>
        <v>503</v>
      </c>
      <c r="C188" s="18">
        <f>IF(RAW_INPUT!A189="","",RAW_INPUT!F189)</f>
        <v>3.88</v>
      </c>
    </row>
    <row r="189" spans="1:3" x14ac:dyDescent="0.25">
      <c r="A189" s="16">
        <f>IF(RAW_INPUT!A190="","",RAW_INPUT!A190)</f>
        <v>45867</v>
      </c>
      <c r="B189" s="17">
        <f>IF(RAW_INPUT!A190="","",RAW_INPUT!E190)</f>
        <v>438</v>
      </c>
      <c r="C189" s="18">
        <f>IF(RAW_INPUT!A190="","",RAW_INPUT!F190)</f>
        <v>3.84</v>
      </c>
    </row>
    <row r="190" spans="1:3" x14ac:dyDescent="0.25">
      <c r="A190" s="16">
        <f>IF(RAW_INPUT!A191="","",RAW_INPUT!A191)</f>
        <v>45868</v>
      </c>
      <c r="B190" s="17">
        <f>IF(RAW_INPUT!A191="","",RAW_INPUT!E191)</f>
        <v>487</v>
      </c>
      <c r="C190" s="18">
        <f>IF(RAW_INPUT!A191="","",RAW_INPUT!F191)</f>
        <v>3.84</v>
      </c>
    </row>
    <row r="191" spans="1:3" x14ac:dyDescent="0.25">
      <c r="A191" s="16">
        <f>IF(RAW_INPUT!A192="","",RAW_INPUT!A192)</f>
        <v>45869</v>
      </c>
      <c r="B191" s="17">
        <f>IF(RAW_INPUT!A192="","",RAW_INPUT!E192)</f>
        <v>465</v>
      </c>
      <c r="C191" s="18">
        <f>IF(RAW_INPUT!A192="","",RAW_INPUT!F192)</f>
        <v>3.86</v>
      </c>
    </row>
    <row r="192" spans="1:3" x14ac:dyDescent="0.25">
      <c r="A192" s="16">
        <f>IF(RAW_INPUT!A193="","",RAW_INPUT!A193)</f>
        <v>45870</v>
      </c>
      <c r="B192" s="17">
        <f>IF(RAW_INPUT!A193="","",RAW_INPUT!E193)</f>
        <v>468</v>
      </c>
      <c r="C192" s="18">
        <f>IF(RAW_INPUT!A193="","",RAW_INPUT!F193)</f>
        <v>3.78</v>
      </c>
    </row>
    <row r="193" spans="1:3" x14ac:dyDescent="0.25">
      <c r="A193" s="16">
        <f>IF(RAW_INPUT!A194="","",RAW_INPUT!A194)</f>
        <v>45873</v>
      </c>
      <c r="B193" s="17">
        <f>IF(RAW_INPUT!A194="","",RAW_INPUT!E194)</f>
        <v>478</v>
      </c>
      <c r="C193" s="18">
        <f>IF(RAW_INPUT!A194="","",RAW_INPUT!F194)</f>
        <v>3.82</v>
      </c>
    </row>
    <row r="194" spans="1:3" x14ac:dyDescent="0.25">
      <c r="A194" s="16">
        <f>IF(RAW_INPUT!A195="","",RAW_INPUT!A195)</f>
        <v>45874</v>
      </c>
      <c r="B194" s="17">
        <f>IF(RAW_INPUT!A195="","",RAW_INPUT!E195)</f>
        <v>1</v>
      </c>
      <c r="C194" s="18">
        <f>IF(RAW_INPUT!A195="","",RAW_INPUT!F195)</f>
        <v>1215.72</v>
      </c>
    </row>
    <row r="195" spans="1:3" x14ac:dyDescent="0.25">
      <c r="A195" s="16">
        <f>IF(RAW_INPUT!A196="","",RAW_INPUT!A196)</f>
        <v>45875</v>
      </c>
      <c r="B195" s="17">
        <f>IF(RAW_INPUT!A196="","",RAW_INPUT!E196)</f>
        <v>469</v>
      </c>
      <c r="C195" s="18">
        <f>IF(RAW_INPUT!A196="","",RAW_INPUT!F196)</f>
        <v>3.8</v>
      </c>
    </row>
    <row r="196" spans="1:3" x14ac:dyDescent="0.25">
      <c r="A196" s="16">
        <f>IF(RAW_INPUT!A197="","",RAW_INPUT!A197)</f>
        <v>45876</v>
      </c>
      <c r="B196" s="17">
        <f>IF(RAW_INPUT!A197="","",RAW_INPUT!E197)</f>
        <v>538</v>
      </c>
      <c r="C196" s="18">
        <f>IF(RAW_INPUT!A197="","",RAW_INPUT!F197)</f>
        <v>3.81</v>
      </c>
    </row>
    <row r="197" spans="1:3" x14ac:dyDescent="0.25">
      <c r="A197" s="16">
        <f>IF(RAW_INPUT!A198="","",RAW_INPUT!A198)</f>
        <v>45877</v>
      </c>
      <c r="B197" s="17">
        <f>IF(RAW_INPUT!A198="","",RAW_INPUT!E198)</f>
        <v>539</v>
      </c>
      <c r="C197" s="18">
        <f>IF(RAW_INPUT!A198="","",RAW_INPUT!F198)</f>
        <v>3.76</v>
      </c>
    </row>
    <row r="198" spans="1:3" x14ac:dyDescent="0.25">
      <c r="A198" s="16">
        <f>IF(RAW_INPUT!A199="","",RAW_INPUT!A199)</f>
        <v>45880</v>
      </c>
      <c r="B198" s="17">
        <f>IF(RAW_INPUT!A199="","",RAW_INPUT!E199)</f>
        <v>448</v>
      </c>
      <c r="C198" s="18">
        <f>IF(RAW_INPUT!A199="","",RAW_INPUT!F199)</f>
        <v>3.75</v>
      </c>
    </row>
    <row r="199" spans="1:3" x14ac:dyDescent="0.25">
      <c r="A199" s="16">
        <f>IF(RAW_INPUT!A200="","",RAW_INPUT!A200)</f>
        <v>45881</v>
      </c>
      <c r="B199" s="17">
        <f>IF(RAW_INPUT!A200="","",RAW_INPUT!E200)</f>
        <v>406</v>
      </c>
      <c r="C199" s="18">
        <f>IF(RAW_INPUT!A200="","",RAW_INPUT!F200)</f>
        <v>3.76</v>
      </c>
    </row>
    <row r="200" spans="1:3" x14ac:dyDescent="0.25">
      <c r="A200" s="16">
        <f>IF(RAW_INPUT!A201="","",RAW_INPUT!A201)</f>
        <v>45882</v>
      </c>
      <c r="B200" s="17">
        <f>IF(RAW_INPUT!A201="","",RAW_INPUT!E201)</f>
        <v>378</v>
      </c>
      <c r="C200" s="18">
        <f>IF(RAW_INPUT!A201="","",RAW_INPUT!F201)</f>
        <v>3.78</v>
      </c>
    </row>
    <row r="201" spans="1:3" x14ac:dyDescent="0.25">
      <c r="A201" s="16">
        <f>IF(RAW_INPUT!A202="","",RAW_INPUT!A202)</f>
        <v>45883</v>
      </c>
      <c r="B201" s="17">
        <f>IF(RAW_INPUT!A202="","",RAW_INPUT!E202)</f>
        <v>284</v>
      </c>
      <c r="C201" s="18">
        <f>IF(RAW_INPUT!A202="","",RAW_INPUT!F202)</f>
        <v>3.73</v>
      </c>
    </row>
    <row r="202" spans="1:3" x14ac:dyDescent="0.25">
      <c r="A202" s="16">
        <f>IF(RAW_INPUT!A203="","",RAW_INPUT!A203)</f>
        <v>45884</v>
      </c>
      <c r="B202" s="17">
        <f>IF(RAW_INPUT!A203="","",RAW_INPUT!E203)</f>
        <v>412</v>
      </c>
      <c r="C202" s="18">
        <f>IF(RAW_INPUT!A203="","",RAW_INPUT!F203)</f>
        <v>3.76</v>
      </c>
    </row>
    <row r="203" spans="1:3" x14ac:dyDescent="0.25">
      <c r="A203" s="16">
        <f>IF(RAW_INPUT!A204="","",RAW_INPUT!A204)</f>
        <v>45887</v>
      </c>
      <c r="B203" s="17">
        <f>IF(RAW_INPUT!A204="","",RAW_INPUT!E204)</f>
        <v>472</v>
      </c>
      <c r="C203" s="18">
        <f>IF(RAW_INPUT!A204="","",RAW_INPUT!F204)</f>
        <v>3.71</v>
      </c>
    </row>
    <row r="204" spans="1:3" x14ac:dyDescent="0.25">
      <c r="A204" s="16">
        <f>IF(RAW_INPUT!A205="","",RAW_INPUT!A205)</f>
        <v>45888</v>
      </c>
      <c r="B204" s="17">
        <f>IF(RAW_INPUT!A205="","",RAW_INPUT!E205)</f>
        <v>538</v>
      </c>
      <c r="C204" s="18">
        <f>IF(RAW_INPUT!A205="","",RAW_INPUT!F205)</f>
        <v>3.7</v>
      </c>
    </row>
    <row r="205" spans="1:3" x14ac:dyDescent="0.25">
      <c r="A205" s="16">
        <f>IF(RAW_INPUT!A206="","",RAW_INPUT!A206)</f>
        <v>45889</v>
      </c>
      <c r="B205" s="17">
        <f>IF(RAW_INPUT!A206="","",RAW_INPUT!E206)</f>
        <v>536</v>
      </c>
      <c r="C205" s="18">
        <f>IF(RAW_INPUT!A206="","",RAW_INPUT!F206)</f>
        <v>3.73</v>
      </c>
    </row>
    <row r="206" spans="1:3" x14ac:dyDescent="0.25">
      <c r="A206" s="16">
        <f>IF(RAW_INPUT!A207="","",RAW_INPUT!A207)</f>
        <v>45890</v>
      </c>
      <c r="B206" s="17">
        <f>IF(RAW_INPUT!A207="","",RAW_INPUT!E207)</f>
        <v>1</v>
      </c>
      <c r="C206" s="18">
        <f>IF(RAW_INPUT!A207="","",RAW_INPUT!F207)</f>
        <v>856.48</v>
      </c>
    </row>
    <row r="207" spans="1:3" x14ac:dyDescent="0.25">
      <c r="A207" s="16">
        <f>IF(RAW_INPUT!A208="","",RAW_INPUT!A208)</f>
        <v>45891</v>
      </c>
      <c r="B207" s="17">
        <f>IF(RAW_INPUT!A208="","",RAW_INPUT!E208)</f>
        <v>456</v>
      </c>
      <c r="C207" s="18">
        <f>IF(RAW_INPUT!A208="","",RAW_INPUT!F208)</f>
        <v>3.68</v>
      </c>
    </row>
    <row r="208" spans="1:3" x14ac:dyDescent="0.25">
      <c r="A208" s="16">
        <f>IF(RAW_INPUT!A209="","",RAW_INPUT!A209)</f>
        <v>45894</v>
      </c>
      <c r="B208" s="17">
        <f>IF(RAW_INPUT!A209="","",RAW_INPUT!E209)</f>
        <v>491</v>
      </c>
      <c r="C208" s="18">
        <f>IF(RAW_INPUT!A209="","",RAW_INPUT!F209)</f>
        <v>3.69</v>
      </c>
    </row>
    <row r="209" spans="1:3" x14ac:dyDescent="0.25">
      <c r="A209" s="16">
        <f>IF(RAW_INPUT!A210="","",RAW_INPUT!A210)</f>
        <v>45895</v>
      </c>
      <c r="B209" s="17">
        <f>IF(RAW_INPUT!A210="","",RAW_INPUT!E210)</f>
        <v>505</v>
      </c>
      <c r="C209" s="18">
        <f>IF(RAW_INPUT!A210="","",RAW_INPUT!F210)</f>
        <v>3.71</v>
      </c>
    </row>
    <row r="210" spans="1:3" x14ac:dyDescent="0.25">
      <c r="A210" s="16">
        <f>IF(RAW_INPUT!A211="","",RAW_INPUT!A211)</f>
        <v>45896</v>
      </c>
      <c r="B210" s="17">
        <f>IF(RAW_INPUT!A211="","",RAW_INPUT!E211)</f>
        <v>487</v>
      </c>
      <c r="C210" s="18">
        <f>IF(RAW_INPUT!A211="","",RAW_INPUT!F211)</f>
        <v>3.63</v>
      </c>
    </row>
    <row r="211" spans="1:3" x14ac:dyDescent="0.25">
      <c r="A211" s="16">
        <f>IF(RAW_INPUT!A212="","",RAW_INPUT!A212)</f>
        <v>45897</v>
      </c>
      <c r="B211" s="17">
        <f>IF(RAW_INPUT!A212="","",RAW_INPUT!E212)</f>
        <v>1</v>
      </c>
      <c r="C211" s="18">
        <f>IF(RAW_INPUT!A212="","",RAW_INPUT!F212)</f>
        <v>1285.18</v>
      </c>
    </row>
    <row r="212" spans="1:3" x14ac:dyDescent="0.25">
      <c r="A212" s="16">
        <f>IF(RAW_INPUT!A213="","",RAW_INPUT!A213)</f>
        <v>45898</v>
      </c>
      <c r="B212" s="17">
        <f>IF(RAW_INPUT!A213="","",RAW_INPUT!E213)</f>
        <v>389</v>
      </c>
      <c r="C212" s="18">
        <f>IF(RAW_INPUT!A213="","",RAW_INPUT!F213)</f>
        <v>3.63</v>
      </c>
    </row>
    <row r="213" spans="1:3" x14ac:dyDescent="0.25">
      <c r="A213" s="16">
        <f>IF(RAW_INPUT!A214="","",RAW_INPUT!A214)</f>
        <v>45901</v>
      </c>
      <c r="B213" s="17">
        <f>IF(RAW_INPUT!A214="","",RAW_INPUT!E214)</f>
        <v>401</v>
      </c>
      <c r="C213" s="18">
        <f>IF(RAW_INPUT!A214="","",RAW_INPUT!F214)</f>
        <v>3.62</v>
      </c>
    </row>
    <row r="214" spans="1:3" x14ac:dyDescent="0.25">
      <c r="A214" s="16">
        <f>IF(RAW_INPUT!A215="","",RAW_INPUT!A215)</f>
        <v>45902</v>
      </c>
      <c r="B214" s="17">
        <f>IF(RAW_INPUT!A215="","",RAW_INPUT!E215)</f>
        <v>1</v>
      </c>
      <c r="C214" s="18">
        <f>IF(RAW_INPUT!A215="","",RAW_INPUT!F215)</f>
        <v>875.65</v>
      </c>
    </row>
    <row r="215" spans="1:3" x14ac:dyDescent="0.25">
      <c r="A215" s="16">
        <f>IF(RAW_INPUT!A216="","",RAW_INPUT!A216)</f>
        <v>45903</v>
      </c>
      <c r="B215" s="17">
        <f>IF(RAW_INPUT!A216="","",RAW_INPUT!E216)</f>
        <v>428</v>
      </c>
      <c r="C215" s="18">
        <f>IF(RAW_INPUT!A216="","",RAW_INPUT!F216)</f>
        <v>3.6</v>
      </c>
    </row>
    <row r="216" spans="1:3" x14ac:dyDescent="0.25">
      <c r="A216" s="16">
        <f>IF(RAW_INPUT!A217="","",RAW_INPUT!A217)</f>
        <v>45904</v>
      </c>
      <c r="B216" s="17">
        <f>IF(RAW_INPUT!A217="","",RAW_INPUT!E217)</f>
        <v>393</v>
      </c>
      <c r="C216" s="18">
        <f>IF(RAW_INPUT!A217="","",RAW_INPUT!F217)</f>
        <v>3.58</v>
      </c>
    </row>
    <row r="217" spans="1:3" x14ac:dyDescent="0.25">
      <c r="A217" s="16">
        <f>IF(RAW_INPUT!A218="","",RAW_INPUT!A218)</f>
        <v>45905</v>
      </c>
      <c r="B217" s="17">
        <f>IF(RAW_INPUT!A218="","",RAW_INPUT!E218)</f>
        <v>299</v>
      </c>
      <c r="C217" s="18">
        <f>IF(RAW_INPUT!A218="","",RAW_INPUT!F218)</f>
        <v>3.6</v>
      </c>
    </row>
    <row r="218" spans="1:3" x14ac:dyDescent="0.25">
      <c r="A218" s="16">
        <f>IF(RAW_INPUT!A219="","",RAW_INPUT!A219)</f>
        <v>45908</v>
      </c>
      <c r="B218" s="17">
        <f>IF(RAW_INPUT!A219="","",RAW_INPUT!E219)</f>
        <v>220</v>
      </c>
      <c r="C218" s="18">
        <f>IF(RAW_INPUT!A219="","",RAW_INPUT!F219)</f>
        <v>3.56</v>
      </c>
    </row>
    <row r="219" spans="1:3" x14ac:dyDescent="0.25">
      <c r="A219" s="16">
        <f>IF(RAW_INPUT!A220="","",RAW_INPUT!A220)</f>
        <v>45909</v>
      </c>
      <c r="B219" s="17">
        <f>IF(RAW_INPUT!A220="","",RAW_INPUT!E220)</f>
        <v>247</v>
      </c>
      <c r="C219" s="18">
        <f>IF(RAW_INPUT!A220="","",RAW_INPUT!F220)</f>
        <v>3.59</v>
      </c>
    </row>
    <row r="220" spans="1:3" x14ac:dyDescent="0.25">
      <c r="A220" s="16">
        <f>IF(RAW_INPUT!A221="","",RAW_INPUT!A221)</f>
        <v>45910</v>
      </c>
      <c r="B220" s="17">
        <f>IF(RAW_INPUT!A221="","",RAW_INPUT!E221)</f>
        <v>258</v>
      </c>
      <c r="C220" s="18">
        <f>IF(RAW_INPUT!A221="","",RAW_INPUT!F221)</f>
        <v>3.54</v>
      </c>
    </row>
    <row r="221" spans="1:3" x14ac:dyDescent="0.25">
      <c r="A221" s="16">
        <f>IF(RAW_INPUT!A222="","",RAW_INPUT!A222)</f>
        <v>45911</v>
      </c>
      <c r="B221" s="17">
        <f>IF(RAW_INPUT!A222="","",RAW_INPUT!E222)</f>
        <v>289</v>
      </c>
      <c r="C221" s="18">
        <f>IF(RAW_INPUT!A222="","",RAW_INPUT!F222)</f>
        <v>3.59</v>
      </c>
    </row>
    <row r="222" spans="1:3" x14ac:dyDescent="0.25">
      <c r="A222" s="16">
        <f>IF(RAW_INPUT!A223="","",RAW_INPUT!A223)</f>
        <v>45912</v>
      </c>
      <c r="B222" s="17">
        <f>IF(RAW_INPUT!A223="","",RAW_INPUT!E223)</f>
        <v>316</v>
      </c>
      <c r="C222" s="18">
        <f>IF(RAW_INPUT!A223="","",RAW_INPUT!F223)</f>
        <v>3.52</v>
      </c>
    </row>
    <row r="223" spans="1:3" x14ac:dyDescent="0.25">
      <c r="A223" s="16">
        <f>IF(RAW_INPUT!A224="","",RAW_INPUT!A224)</f>
        <v>45915</v>
      </c>
      <c r="B223" s="17">
        <f>IF(RAW_INPUT!A224="","",RAW_INPUT!E224)</f>
        <v>380</v>
      </c>
      <c r="C223" s="18">
        <f>IF(RAW_INPUT!A224="","",RAW_INPUT!F224)</f>
        <v>3.57</v>
      </c>
    </row>
    <row r="224" spans="1:3" x14ac:dyDescent="0.25">
      <c r="A224" s="16">
        <f>IF(RAW_INPUT!A225="","",RAW_INPUT!A225)</f>
        <v>45916</v>
      </c>
      <c r="B224" s="17">
        <f>IF(RAW_INPUT!A225="","",RAW_INPUT!E225)</f>
        <v>454</v>
      </c>
      <c r="C224" s="18">
        <f>IF(RAW_INPUT!A225="","",RAW_INPUT!F225)</f>
        <v>3.52</v>
      </c>
    </row>
    <row r="225" spans="1:3" x14ac:dyDescent="0.25">
      <c r="A225" s="16">
        <f>IF(RAW_INPUT!A226="","",RAW_INPUT!A226)</f>
        <v>45917</v>
      </c>
      <c r="B225" s="17">
        <f>IF(RAW_INPUT!A226="","",RAW_INPUT!E226)</f>
        <v>516</v>
      </c>
      <c r="C225" s="18">
        <f>IF(RAW_INPUT!A226="","",RAW_INPUT!F226)</f>
        <v>3.51</v>
      </c>
    </row>
    <row r="226" spans="1:3" x14ac:dyDescent="0.25">
      <c r="A226" s="16">
        <f>IF(RAW_INPUT!A227="","",RAW_INPUT!A227)</f>
        <v>45918</v>
      </c>
      <c r="B226" s="17">
        <f>IF(RAW_INPUT!A227="","",RAW_INPUT!E227)</f>
        <v>1</v>
      </c>
      <c r="C226" s="18">
        <f>IF(RAW_INPUT!A227="","",RAW_INPUT!F227)</f>
        <v>1123.3499999999999</v>
      </c>
    </row>
    <row r="227" spans="1:3" x14ac:dyDescent="0.25">
      <c r="A227" s="16">
        <f>IF(RAW_INPUT!A228="","",RAW_INPUT!A228)</f>
        <v>45919</v>
      </c>
      <c r="B227" s="17">
        <f>IF(RAW_INPUT!A228="","",RAW_INPUT!E228)</f>
        <v>512</v>
      </c>
      <c r="C227" s="18">
        <f>IF(RAW_INPUT!A228="","",RAW_INPUT!F228)</f>
        <v>3.49</v>
      </c>
    </row>
    <row r="228" spans="1:3" x14ac:dyDescent="0.25">
      <c r="A228" s="16">
        <f>IF(RAW_INPUT!A229="","",RAW_INPUT!A229)</f>
        <v>45922</v>
      </c>
      <c r="B228" s="17">
        <f>IF(RAW_INPUT!A229="","",RAW_INPUT!E229)</f>
        <v>512</v>
      </c>
      <c r="C228" s="18">
        <f>IF(RAW_INPUT!A229="","",RAW_INPUT!F229)</f>
        <v>3.48</v>
      </c>
    </row>
    <row r="229" spans="1:3" x14ac:dyDescent="0.25">
      <c r="A229" s="16">
        <f>IF(RAW_INPUT!A230="","",RAW_INPUT!A230)</f>
        <v>45923</v>
      </c>
      <c r="B229" s="17">
        <f>IF(RAW_INPUT!A230="","",RAW_INPUT!E230)</f>
        <v>466</v>
      </c>
      <c r="C229" s="18">
        <f>IF(RAW_INPUT!A230="","",RAW_INPUT!F230)</f>
        <v>3.5</v>
      </c>
    </row>
    <row r="230" spans="1:3" x14ac:dyDescent="0.25">
      <c r="A230" s="16">
        <f>IF(RAW_INPUT!A231="","",RAW_INPUT!A231)</f>
        <v>45924</v>
      </c>
      <c r="B230" s="17">
        <f>IF(RAW_INPUT!A231="","",RAW_INPUT!E231)</f>
        <v>470</v>
      </c>
      <c r="C230" s="18">
        <f>IF(RAW_INPUT!A231="","",RAW_INPUT!F231)</f>
        <v>3.49</v>
      </c>
    </row>
    <row r="231" spans="1:3" x14ac:dyDescent="0.25">
      <c r="A231" s="16">
        <f>IF(RAW_INPUT!A232="","",RAW_INPUT!A232)</f>
        <v>45925</v>
      </c>
      <c r="B231" s="17">
        <f>IF(RAW_INPUT!A232="","",RAW_INPUT!E232)</f>
        <v>1</v>
      </c>
      <c r="C231" s="18">
        <f>IF(RAW_INPUT!A232="","",RAW_INPUT!F232)</f>
        <v>1263.78</v>
      </c>
    </row>
    <row r="232" spans="1:3" x14ac:dyDescent="0.25">
      <c r="A232" s="16">
        <f>IF(RAW_INPUT!A233="","",RAW_INPUT!A233)</f>
        <v>45926</v>
      </c>
      <c r="B232" s="17">
        <f>IF(RAW_INPUT!A233="","",RAW_INPUT!E233)</f>
        <v>536</v>
      </c>
      <c r="C232" s="18">
        <f>IF(RAW_INPUT!A233="","",RAW_INPUT!F233)</f>
        <v>3.46</v>
      </c>
    </row>
    <row r="233" spans="1:3" x14ac:dyDescent="0.25">
      <c r="A233" s="16">
        <f>IF(RAW_INPUT!A234="","",RAW_INPUT!A234)</f>
        <v>45929</v>
      </c>
      <c r="B233" s="17">
        <f>IF(RAW_INPUT!A234="","",RAW_INPUT!E234)</f>
        <v>508</v>
      </c>
      <c r="C233" s="18">
        <f>IF(RAW_INPUT!A234="","",RAW_INPUT!F234)</f>
        <v>3.44</v>
      </c>
    </row>
    <row r="234" spans="1:3" x14ac:dyDescent="0.25">
      <c r="A234" s="16">
        <f>IF(RAW_INPUT!A235="","",RAW_INPUT!A235)</f>
        <v>45930</v>
      </c>
      <c r="B234" s="17">
        <f>IF(RAW_INPUT!A235="","",RAW_INPUT!E235)</f>
        <v>556</v>
      </c>
      <c r="C234" s="18">
        <f>IF(RAW_INPUT!A235="","",RAW_INPUT!F235)</f>
        <v>3.45</v>
      </c>
    </row>
    <row r="235" spans="1:3" x14ac:dyDescent="0.25">
      <c r="A235" s="16">
        <f>IF(RAW_INPUT!A236="","",RAW_INPUT!A236)</f>
        <v>45931</v>
      </c>
      <c r="B235" s="17">
        <f>IF(RAW_INPUT!A236="","",RAW_INPUT!E236)</f>
        <v>483</v>
      </c>
      <c r="C235" s="18">
        <f>IF(RAW_INPUT!A236="","",RAW_INPUT!F236)</f>
        <v>3.46</v>
      </c>
    </row>
    <row r="236" spans="1:3" x14ac:dyDescent="0.25">
      <c r="A236" s="16">
        <f>IF(RAW_INPUT!A237="","",RAW_INPUT!A237)</f>
        <v>45932</v>
      </c>
      <c r="B236" s="17">
        <f>IF(RAW_INPUT!A237="","",RAW_INPUT!E237)</f>
        <v>1</v>
      </c>
      <c r="C236" s="18">
        <f>IF(RAW_INPUT!A237="","",RAW_INPUT!F237)</f>
        <v>1106.3900000000001</v>
      </c>
    </row>
    <row r="237" spans="1:3" x14ac:dyDescent="0.25">
      <c r="A237" s="16">
        <f>IF(RAW_INPUT!A238="","",RAW_INPUT!A238)</f>
        <v>45933</v>
      </c>
      <c r="B237" s="17">
        <f>IF(RAW_INPUT!A238="","",RAW_INPUT!E238)</f>
        <v>515</v>
      </c>
      <c r="C237" s="18">
        <f>IF(RAW_INPUT!A238="","",RAW_INPUT!F238)</f>
        <v>3.4</v>
      </c>
    </row>
    <row r="238" spans="1:3" x14ac:dyDescent="0.25">
      <c r="A238" s="16">
        <f>IF(RAW_INPUT!A239="","",RAW_INPUT!A239)</f>
        <v>45936</v>
      </c>
      <c r="B238" s="17">
        <f>IF(RAW_INPUT!A239="","",RAW_INPUT!E239)</f>
        <v>548</v>
      </c>
      <c r="C238" s="18">
        <f>IF(RAW_INPUT!A239="","",RAW_INPUT!F239)</f>
        <v>3.43</v>
      </c>
    </row>
    <row r="239" spans="1:3" x14ac:dyDescent="0.25">
      <c r="A239" s="16">
        <f>IF(RAW_INPUT!A240="","",RAW_INPUT!A240)</f>
        <v>45937</v>
      </c>
      <c r="B239" s="17">
        <f>IF(RAW_INPUT!A240="","",RAW_INPUT!E240)</f>
        <v>500</v>
      </c>
      <c r="C239" s="18">
        <f>IF(RAW_INPUT!A240="","",RAW_INPUT!F240)</f>
        <v>3.43</v>
      </c>
    </row>
    <row r="240" spans="1:3" x14ac:dyDescent="0.25">
      <c r="A240" s="16">
        <f>IF(RAW_INPUT!A241="","",RAW_INPUT!A241)</f>
        <v>45938</v>
      </c>
      <c r="B240" s="17">
        <f>IF(RAW_INPUT!A241="","",RAW_INPUT!E241)</f>
        <v>518</v>
      </c>
      <c r="C240" s="18">
        <f>IF(RAW_INPUT!A241="","",RAW_INPUT!F241)</f>
        <v>3.43</v>
      </c>
    </row>
    <row r="241" spans="1:3" x14ac:dyDescent="0.25">
      <c r="A241" s="16">
        <f>IF(RAW_INPUT!A242="","",RAW_INPUT!A242)</f>
        <v>45939</v>
      </c>
      <c r="B241" s="17">
        <f>IF(RAW_INPUT!A242="","",RAW_INPUT!E242)</f>
        <v>1</v>
      </c>
      <c r="C241" s="18">
        <f>IF(RAW_INPUT!A242="","",RAW_INPUT!F242)</f>
        <v>1514.93</v>
      </c>
    </row>
    <row r="242" spans="1:3" x14ac:dyDescent="0.25">
      <c r="A242" s="16">
        <f>IF(RAW_INPUT!A243="","",RAW_INPUT!A243)</f>
        <v>45940</v>
      </c>
      <c r="B242" s="17">
        <f>IF(RAW_INPUT!A243="","",RAW_INPUT!E243)</f>
        <v>523</v>
      </c>
      <c r="C242" s="18">
        <f>IF(RAW_INPUT!A243="","",RAW_INPUT!F243)</f>
        <v>3.39</v>
      </c>
    </row>
    <row r="243" spans="1:3" x14ac:dyDescent="0.25">
      <c r="A243" s="16">
        <f>IF(RAW_INPUT!A244="","",RAW_INPUT!A244)</f>
        <v>45943</v>
      </c>
      <c r="B243" s="17">
        <f>IF(RAW_INPUT!A244="","",RAW_INPUT!E244)</f>
        <v>528</v>
      </c>
      <c r="C243" s="18">
        <f>IF(RAW_INPUT!A244="","",RAW_INPUT!F244)</f>
        <v>3.36</v>
      </c>
    </row>
    <row r="244" spans="1:3" x14ac:dyDescent="0.25">
      <c r="A244" s="16">
        <f>IF(RAW_INPUT!A245="","",RAW_INPUT!A245)</f>
        <v>45944</v>
      </c>
      <c r="B244" s="17">
        <f>IF(RAW_INPUT!A245="","",RAW_INPUT!E245)</f>
        <v>557</v>
      </c>
      <c r="C244" s="18">
        <f>IF(RAW_INPUT!A245="","",RAW_INPUT!F245)</f>
        <v>3.85</v>
      </c>
    </row>
    <row r="245" spans="1:3" x14ac:dyDescent="0.25">
      <c r="A245" s="16">
        <f>IF(RAW_INPUT!A246="","",RAW_INPUT!A246)</f>
        <v>45945</v>
      </c>
      <c r="B245" s="17">
        <f>IF(RAW_INPUT!A246="","",RAW_INPUT!E246)</f>
        <v>1</v>
      </c>
      <c r="C245" s="18">
        <f>IF(RAW_INPUT!A246="","",RAW_INPUT!F246)</f>
        <v>1255.23</v>
      </c>
    </row>
    <row r="246" spans="1:3" x14ac:dyDescent="0.25">
      <c r="A246" s="16">
        <f>IF(RAW_INPUT!A247="","",RAW_INPUT!A247)</f>
        <v>45946</v>
      </c>
      <c r="B246" s="17">
        <f>IF(RAW_INPUT!A247="","",RAW_INPUT!E247)</f>
        <v>620</v>
      </c>
      <c r="C246" s="18">
        <f>IF(RAW_INPUT!A247="","",RAW_INPUT!F247)</f>
        <v>3.91</v>
      </c>
    </row>
    <row r="247" spans="1:3" x14ac:dyDescent="0.25">
      <c r="A247" s="16">
        <f>IF(RAW_INPUT!A248="","",RAW_INPUT!A248)</f>
        <v>45947</v>
      </c>
      <c r="B247" s="17">
        <f>IF(RAW_INPUT!A248="","",RAW_INPUT!E248)</f>
        <v>559</v>
      </c>
      <c r="C247" s="18">
        <f>IF(RAW_INPUT!A248="","",RAW_INPUT!F248)</f>
        <v>3.84</v>
      </c>
    </row>
    <row r="248" spans="1:3" x14ac:dyDescent="0.25">
      <c r="A248" s="16">
        <f>IF(RAW_INPUT!A249="","",RAW_INPUT!A249)</f>
        <v>45950</v>
      </c>
      <c r="B248" s="17">
        <f>IF(RAW_INPUT!A249="","",RAW_INPUT!E249)</f>
        <v>547</v>
      </c>
      <c r="C248" s="18">
        <f>IF(RAW_INPUT!A249="","",RAW_INPUT!F249)</f>
        <v>3.83</v>
      </c>
    </row>
    <row r="249" spans="1:3" x14ac:dyDescent="0.25">
      <c r="A249" s="16">
        <f>IF(RAW_INPUT!A250="","",RAW_INPUT!A250)</f>
        <v>45951</v>
      </c>
      <c r="B249" s="17">
        <f>IF(RAW_INPUT!A250="","",RAW_INPUT!E250)</f>
        <v>1</v>
      </c>
      <c r="C249" s="18">
        <f>IF(RAW_INPUT!A250="","",RAW_INPUT!F250)</f>
        <v>1436.11</v>
      </c>
    </row>
    <row r="250" spans="1:3" x14ac:dyDescent="0.25">
      <c r="A250" s="16">
        <f>IF(RAW_INPUT!A251="","",RAW_INPUT!A251)</f>
        <v>45952</v>
      </c>
      <c r="B250" s="17">
        <f>IF(RAW_INPUT!A251="","",RAW_INPUT!E251)</f>
        <v>529</v>
      </c>
      <c r="C250" s="18">
        <f>IF(RAW_INPUT!A251="","",RAW_INPUT!F251)</f>
        <v>3.81</v>
      </c>
    </row>
    <row r="251" spans="1:3" x14ac:dyDescent="0.25">
      <c r="A251" s="16">
        <f>IF(RAW_INPUT!A252="","",RAW_INPUT!A252)</f>
        <v>45953</v>
      </c>
      <c r="B251" s="17">
        <f>IF(RAW_INPUT!A252="","",RAW_INPUT!E252)</f>
        <v>553</v>
      </c>
      <c r="C251" s="18">
        <f>IF(RAW_INPUT!A252="","",RAW_INPUT!F252)</f>
        <v>3.81</v>
      </c>
    </row>
    <row r="252" spans="1:3" x14ac:dyDescent="0.25">
      <c r="A252" s="16">
        <f>IF(RAW_INPUT!A253="","",RAW_INPUT!A253)</f>
        <v>45954</v>
      </c>
      <c r="B252" s="17">
        <f>IF(RAW_INPUT!A253="","",RAW_INPUT!E253)</f>
        <v>541</v>
      </c>
      <c r="C252" s="18">
        <f>IF(RAW_INPUT!A253="","",RAW_INPUT!F253)</f>
        <v>3.79</v>
      </c>
    </row>
    <row r="253" spans="1:3" x14ac:dyDescent="0.25">
      <c r="A253" s="16">
        <f>IF(RAW_INPUT!A254="","",RAW_INPUT!A254)</f>
        <v>45957</v>
      </c>
      <c r="B253" s="17">
        <f>IF(RAW_INPUT!A254="","",RAW_INPUT!E254)</f>
        <v>556</v>
      </c>
      <c r="C253" s="18">
        <f>IF(RAW_INPUT!A254="","",RAW_INPUT!F254)</f>
        <v>3.81</v>
      </c>
    </row>
    <row r="254" spans="1:3" x14ac:dyDescent="0.25">
      <c r="A254" s="16">
        <f>IF(RAW_INPUT!A255="","",RAW_INPUT!A255)</f>
        <v>45958</v>
      </c>
      <c r="B254" s="17">
        <f>IF(RAW_INPUT!A255="","",RAW_INPUT!E255)</f>
        <v>607</v>
      </c>
      <c r="C254" s="18">
        <f>IF(RAW_INPUT!A255="","",RAW_INPUT!F255)</f>
        <v>3.81</v>
      </c>
    </row>
    <row r="255" spans="1:3" x14ac:dyDescent="0.25">
      <c r="A255" s="16">
        <f>IF(RAW_INPUT!A256="","",RAW_INPUT!A256)</f>
        <v>45959</v>
      </c>
      <c r="B255" s="17">
        <f>IF(RAW_INPUT!A256="","",RAW_INPUT!E256)</f>
        <v>1</v>
      </c>
      <c r="C255" s="18">
        <f>IF(RAW_INPUT!A256="","",RAW_INPUT!F256)</f>
        <v>915.5</v>
      </c>
    </row>
    <row r="256" spans="1:3" x14ac:dyDescent="0.25">
      <c r="A256" s="16">
        <f>IF(RAW_INPUT!A257="","",RAW_INPUT!A257)</f>
        <v>45960</v>
      </c>
      <c r="B256" s="17">
        <f>IF(RAW_INPUT!A257="","",RAW_INPUT!E257)</f>
        <v>627</v>
      </c>
      <c r="C256" s="18">
        <f>IF(RAW_INPUT!A257="","",RAW_INPUT!F257)</f>
        <v>3.8</v>
      </c>
    </row>
    <row r="257" spans="1:3" x14ac:dyDescent="0.25">
      <c r="A257" s="16">
        <f>IF(RAW_INPUT!A258="","",RAW_INPUT!A258)</f>
        <v>45961</v>
      </c>
      <c r="B257" s="17">
        <f>IF(RAW_INPUT!A258="","",RAW_INPUT!E258)</f>
        <v>569</v>
      </c>
      <c r="C257" s="18">
        <f>IF(RAW_INPUT!A258="","",RAW_INPUT!F258)</f>
        <v>3.75</v>
      </c>
    </row>
    <row r="258" spans="1:3" x14ac:dyDescent="0.25">
      <c r="A258" s="16">
        <f>IF(RAW_INPUT!A259="","",RAW_INPUT!A259)</f>
        <v>45964</v>
      </c>
      <c r="B258" s="17">
        <f>IF(RAW_INPUT!A259="","",RAW_INPUT!E259)</f>
        <v>563</v>
      </c>
      <c r="C258" s="18">
        <f>IF(RAW_INPUT!A259="","",RAW_INPUT!F259)</f>
        <v>3.8</v>
      </c>
    </row>
    <row r="259" spans="1:3" x14ac:dyDescent="0.25">
      <c r="A259" s="16">
        <f>IF(RAW_INPUT!A260="","",RAW_INPUT!A260)</f>
        <v>45965</v>
      </c>
      <c r="B259" s="17">
        <f>IF(RAW_INPUT!A260="","",RAW_INPUT!E260)</f>
        <v>1</v>
      </c>
      <c r="C259" s="18">
        <f>IF(RAW_INPUT!A260="","",RAW_INPUT!F260)</f>
        <v>1889.62</v>
      </c>
    </row>
    <row r="260" spans="1:3" x14ac:dyDescent="0.25">
      <c r="A260" s="16">
        <f>IF(RAW_INPUT!A261="","",RAW_INPUT!A261)</f>
        <v>45966</v>
      </c>
      <c r="B260" s="17">
        <f>IF(RAW_INPUT!A261="","",RAW_INPUT!E261)</f>
        <v>568</v>
      </c>
      <c r="C260" s="18">
        <f>IF(RAW_INPUT!A261="","",RAW_INPUT!F261)</f>
        <v>3.79</v>
      </c>
    </row>
    <row r="261" spans="1:3" x14ac:dyDescent="0.25">
      <c r="A261" s="16">
        <f>IF(RAW_INPUT!A262="","",RAW_INPUT!A262)</f>
        <v>45967</v>
      </c>
      <c r="B261" s="17">
        <f>IF(RAW_INPUT!A262="","",RAW_INPUT!E262)</f>
        <v>561</v>
      </c>
      <c r="C261" s="18">
        <f>IF(RAW_INPUT!A262="","",RAW_INPUT!F262)</f>
        <v>3.77</v>
      </c>
    </row>
    <row r="262" spans="1:3" x14ac:dyDescent="0.25">
      <c r="A262" s="16">
        <f>IF(RAW_INPUT!A263="","",RAW_INPUT!A263)</f>
        <v>45968</v>
      </c>
      <c r="B262" s="17">
        <f>IF(RAW_INPUT!A263="","",RAW_INPUT!E263)</f>
        <v>578</v>
      </c>
      <c r="C262" s="18">
        <f>IF(RAW_INPUT!A263="","",RAW_INPUT!F263)</f>
        <v>3.76</v>
      </c>
    </row>
    <row r="263" spans="1:3" x14ac:dyDescent="0.25">
      <c r="A263" s="16">
        <f>IF(RAW_INPUT!A264="","",RAW_INPUT!A264)</f>
        <v>45971</v>
      </c>
      <c r="B263" s="17">
        <f>IF(RAW_INPUT!A264="","",RAW_INPUT!E264)</f>
        <v>494</v>
      </c>
      <c r="C263" s="18">
        <f>IF(RAW_INPUT!A264="","",RAW_INPUT!F264)</f>
        <v>3.82</v>
      </c>
    </row>
    <row r="264" spans="1:3" x14ac:dyDescent="0.25">
      <c r="A264" s="16">
        <f>IF(RAW_INPUT!A265="","",RAW_INPUT!A265)</f>
        <v>45972</v>
      </c>
      <c r="B264" s="17">
        <f>IF(RAW_INPUT!A265="","",RAW_INPUT!E265)</f>
        <v>160</v>
      </c>
      <c r="C264" s="18">
        <f>IF(RAW_INPUT!A265="","",RAW_INPUT!F265)</f>
        <v>45.13</v>
      </c>
    </row>
    <row r="265" spans="1:3" x14ac:dyDescent="0.25">
      <c r="A265" s="16">
        <f>IF(RAW_INPUT!A266="","",RAW_INPUT!A266)</f>
        <v>45973</v>
      </c>
      <c r="B265" s="17">
        <f>IF(RAW_INPUT!A266="","",RAW_INPUT!E266)</f>
        <v>1</v>
      </c>
      <c r="C265" s="18">
        <f>IF(RAW_INPUT!A266="","",RAW_INPUT!F266)</f>
        <v>1352.35</v>
      </c>
    </row>
    <row r="266" spans="1:3" x14ac:dyDescent="0.25">
      <c r="A266" s="16">
        <f>IF(RAW_INPUT!A267="","",RAW_INPUT!A267)</f>
        <v>45974</v>
      </c>
      <c r="B266" s="17">
        <f>IF(RAW_INPUT!A267="","",RAW_INPUT!E267)</f>
        <v>652</v>
      </c>
      <c r="C266" s="18">
        <f>IF(RAW_INPUT!A267="","",RAW_INPUT!F267)</f>
        <v>3.85</v>
      </c>
    </row>
    <row r="267" spans="1:3" x14ac:dyDescent="0.25">
      <c r="A267" s="16">
        <f>IF(RAW_INPUT!A268="","",RAW_INPUT!A268)</f>
        <v>45975</v>
      </c>
      <c r="B267" s="17">
        <f>IF(RAW_INPUT!A268="","",RAW_INPUT!E268)</f>
        <v>589</v>
      </c>
      <c r="C267" s="18">
        <f>IF(RAW_INPUT!A268="","",RAW_INPUT!F268)</f>
        <v>3.85</v>
      </c>
    </row>
    <row r="268" spans="1:3" x14ac:dyDescent="0.25">
      <c r="A268" s="16">
        <f>IF(RAW_INPUT!A269="","",RAW_INPUT!A269)</f>
        <v>45978</v>
      </c>
      <c r="B268" s="17">
        <f>IF(RAW_INPUT!A269="","",RAW_INPUT!E269)</f>
        <v>750</v>
      </c>
      <c r="C268" s="18">
        <f>IF(RAW_INPUT!A269="","",RAW_INPUT!F269)</f>
        <v>3.79</v>
      </c>
    </row>
    <row r="269" spans="1:3" x14ac:dyDescent="0.25">
      <c r="A269" s="16">
        <f>IF(RAW_INPUT!A270="","",RAW_INPUT!A270)</f>
        <v>45979</v>
      </c>
      <c r="B269" s="17">
        <f>IF(RAW_INPUT!A270="","",RAW_INPUT!E270)</f>
        <v>1</v>
      </c>
      <c r="C269" s="18">
        <f>IF(RAW_INPUT!A270="","",RAW_INPUT!F270)</f>
        <v>1247.83</v>
      </c>
    </row>
    <row r="270" spans="1:3" x14ac:dyDescent="0.25">
      <c r="A270" s="16">
        <f>IF(RAW_INPUT!A271="","",RAW_INPUT!A271)</f>
        <v>45980</v>
      </c>
      <c r="B270" s="17">
        <f>IF(RAW_INPUT!A271="","",RAW_INPUT!E271)</f>
        <v>598</v>
      </c>
      <c r="C270" s="18">
        <f>IF(RAW_INPUT!A271="","",RAW_INPUT!F271)</f>
        <v>3.85</v>
      </c>
    </row>
    <row r="271" spans="1:3" x14ac:dyDescent="0.25">
      <c r="A271" s="16">
        <f>IF(RAW_INPUT!A272="","",RAW_INPUT!A272)</f>
        <v>45981</v>
      </c>
      <c r="B271" s="17">
        <f>IF(RAW_INPUT!A272="","",RAW_INPUT!E272)</f>
        <v>552</v>
      </c>
      <c r="C271" s="18">
        <f>IF(RAW_INPUT!A272="","",RAW_INPUT!F272)</f>
        <v>3.83</v>
      </c>
    </row>
    <row r="272" spans="1:3" x14ac:dyDescent="0.25">
      <c r="A272" s="16">
        <f>IF(RAW_INPUT!A273="","",RAW_INPUT!A273)</f>
        <v>45982</v>
      </c>
      <c r="B272" s="17">
        <f>IF(RAW_INPUT!A273="","",RAW_INPUT!E273)</f>
        <v>1</v>
      </c>
      <c r="C272" s="18">
        <f>IF(RAW_INPUT!A273="","",RAW_INPUT!F273)</f>
        <v>894.5</v>
      </c>
    </row>
    <row r="273" spans="1:3" x14ac:dyDescent="0.25">
      <c r="A273" s="16">
        <f>IF(RAW_INPUT!A274="","",RAW_INPUT!A274)</f>
        <v>45985</v>
      </c>
      <c r="B273" s="17">
        <f>IF(RAW_INPUT!A274="","",RAW_INPUT!E274)</f>
        <v>632</v>
      </c>
      <c r="C273" s="18">
        <f>IF(RAW_INPUT!A274="","",RAW_INPUT!F274)</f>
        <v>3.79</v>
      </c>
    </row>
    <row r="274" spans="1:3" x14ac:dyDescent="0.25">
      <c r="A274" s="16">
        <f>IF(RAW_INPUT!A275="","",RAW_INPUT!A275)</f>
        <v>45986</v>
      </c>
      <c r="B274" s="17">
        <f>IF(RAW_INPUT!A275="","",RAW_INPUT!E275)</f>
        <v>468</v>
      </c>
      <c r="C274" s="18">
        <f>IF(RAW_INPUT!A275="","",RAW_INPUT!F275)</f>
        <v>3.88</v>
      </c>
    </row>
    <row r="275" spans="1:3" x14ac:dyDescent="0.25">
      <c r="A275" s="16">
        <f>IF(RAW_INPUT!A276="","",RAW_INPUT!A276)</f>
        <v>45987</v>
      </c>
      <c r="B275" s="17">
        <f>IF(RAW_INPUT!A276="","",RAW_INPUT!E276)</f>
        <v>441</v>
      </c>
      <c r="C275" s="18">
        <f>IF(RAW_INPUT!A276="","",RAW_INPUT!F276)</f>
        <v>3.92</v>
      </c>
    </row>
    <row r="276" spans="1:3" x14ac:dyDescent="0.25">
      <c r="A276" s="16">
        <f>IF(RAW_INPUT!A277="","",RAW_INPUT!A277)</f>
        <v>45988</v>
      </c>
      <c r="B276" s="17">
        <f>IF(RAW_INPUT!A277="","",RAW_INPUT!E277)</f>
        <v>564</v>
      </c>
      <c r="C276" s="18">
        <f>IF(RAW_INPUT!A277="","",RAW_INPUT!F277)</f>
        <v>3.92</v>
      </c>
    </row>
    <row r="277" spans="1:3" x14ac:dyDescent="0.25">
      <c r="A277" s="16">
        <f>IF(RAW_INPUT!A278="","",RAW_INPUT!A278)</f>
        <v>45989</v>
      </c>
      <c r="B277" s="17">
        <f>IF(RAW_INPUT!A278="","",RAW_INPUT!E278)</f>
        <v>496</v>
      </c>
      <c r="C277" s="18">
        <f>IF(RAW_INPUT!A278="","",RAW_INPUT!F278)</f>
        <v>3.85</v>
      </c>
    </row>
    <row r="278" spans="1:3" x14ac:dyDescent="0.25">
      <c r="A278" s="16">
        <f>IF(RAW_INPUT!A279="","",RAW_INPUT!A279)</f>
        <v>45992</v>
      </c>
      <c r="B278" s="17">
        <f>IF(RAW_INPUT!A279="","",RAW_INPUT!E279)</f>
        <v>501</v>
      </c>
      <c r="C278" s="18">
        <f>IF(RAW_INPUT!A279="","",RAW_INPUT!F279)</f>
        <v>3.79</v>
      </c>
    </row>
    <row r="279" spans="1:3" x14ac:dyDescent="0.25">
      <c r="A279" s="16">
        <f>IF(RAW_INPUT!A280="","",RAW_INPUT!A280)</f>
        <v>45993</v>
      </c>
      <c r="B279" s="17">
        <f>IF(RAW_INPUT!A280="","",RAW_INPUT!E280)</f>
        <v>459</v>
      </c>
      <c r="C279" s="18">
        <f>IF(RAW_INPUT!A280="","",RAW_INPUT!F280)</f>
        <v>3.81</v>
      </c>
    </row>
    <row r="280" spans="1:3" x14ac:dyDescent="0.25">
      <c r="A280" s="16">
        <f>IF(RAW_INPUT!A281="","",RAW_INPUT!A281)</f>
        <v>45994</v>
      </c>
      <c r="B280" s="17">
        <f>IF(RAW_INPUT!A281="","",RAW_INPUT!E281)</f>
        <v>497</v>
      </c>
      <c r="C280" s="18">
        <f>IF(RAW_INPUT!A281="","",RAW_INPUT!F281)</f>
        <v>3.82</v>
      </c>
    </row>
    <row r="281" spans="1:3" x14ac:dyDescent="0.25">
      <c r="A281" s="16">
        <f>IF(RAW_INPUT!A282="","",RAW_INPUT!A282)</f>
        <v>45995</v>
      </c>
      <c r="B281" s="17">
        <f>IF(RAW_INPUT!A282="","",RAW_INPUT!E282)</f>
        <v>469</v>
      </c>
      <c r="C281" s="18">
        <f>IF(RAW_INPUT!A282="","",RAW_INPUT!F282)</f>
        <v>3.84</v>
      </c>
    </row>
    <row r="282" spans="1:3" x14ac:dyDescent="0.25">
      <c r="A282" s="16">
        <f>IF(RAW_INPUT!A283="","",RAW_INPUT!A283)</f>
        <v>45996</v>
      </c>
      <c r="B282" s="17">
        <f>IF(RAW_INPUT!A283="","",RAW_INPUT!E283)</f>
        <v>521</v>
      </c>
      <c r="C282" s="18">
        <f>IF(RAW_INPUT!A283="","",RAW_INPUT!F283)</f>
        <v>3.8</v>
      </c>
    </row>
    <row r="283" spans="1:3" x14ac:dyDescent="0.25">
      <c r="A283" s="16">
        <f>IF(RAW_INPUT!A284="","",RAW_INPUT!A284)</f>
        <v>45999</v>
      </c>
      <c r="B283" s="17">
        <f>IF(RAW_INPUT!A284="","",RAW_INPUT!E284)</f>
        <v>499</v>
      </c>
      <c r="C283" s="18">
        <f>IF(RAW_INPUT!A284="","",RAW_INPUT!F284)</f>
        <v>3.79</v>
      </c>
    </row>
    <row r="284" spans="1:3" x14ac:dyDescent="0.25">
      <c r="A284" s="16">
        <f>IF(RAW_INPUT!A285="","",RAW_INPUT!A285)</f>
        <v>46000</v>
      </c>
      <c r="B284" s="17">
        <f>IF(RAW_INPUT!A285="","",RAW_INPUT!E285)</f>
        <v>1</v>
      </c>
      <c r="C284" s="18">
        <f>IF(RAW_INPUT!A285="","",RAW_INPUT!F285)</f>
        <v>1154.98</v>
      </c>
    </row>
    <row r="285" spans="1:3" x14ac:dyDescent="0.25">
      <c r="A285" s="16">
        <f>IF(RAW_INPUT!A286="","",RAW_INPUT!A286)</f>
        <v>46001</v>
      </c>
      <c r="B285" s="17">
        <f>IF(RAW_INPUT!A286="","",RAW_INPUT!E286)</f>
        <v>484</v>
      </c>
      <c r="C285" s="18">
        <f>IF(RAW_INPUT!A286="","",RAW_INPUT!F286)</f>
        <v>3.86</v>
      </c>
    </row>
    <row r="286" spans="1:3" x14ac:dyDescent="0.25">
      <c r="A286" s="16">
        <f>IF(RAW_INPUT!A287="","",RAW_INPUT!A287)</f>
        <v>46002</v>
      </c>
      <c r="B286" s="17">
        <f>IF(RAW_INPUT!A287="","",RAW_INPUT!E287)</f>
        <v>598</v>
      </c>
      <c r="C286" s="18">
        <f>IF(RAW_INPUT!A287="","",RAW_INPUT!F287)</f>
        <v>3.77</v>
      </c>
    </row>
    <row r="287" spans="1:3" x14ac:dyDescent="0.25">
      <c r="A287" s="16">
        <f>IF(RAW_INPUT!A288="","",RAW_INPUT!A288)</f>
        <v>46003</v>
      </c>
      <c r="B287" s="17">
        <f>IF(RAW_INPUT!A288="","",RAW_INPUT!E288)</f>
        <v>591</v>
      </c>
      <c r="C287" s="18">
        <f>IF(RAW_INPUT!A288="","",RAW_INPUT!F288)</f>
        <v>3.77</v>
      </c>
    </row>
    <row r="288" spans="1:3" x14ac:dyDescent="0.25">
      <c r="A288" s="16">
        <f>IF(RAW_INPUT!A289="","",RAW_INPUT!A289)</f>
        <v>46006</v>
      </c>
      <c r="B288" s="17">
        <f>IF(RAW_INPUT!A289="","",RAW_INPUT!E289)</f>
        <v>471</v>
      </c>
      <c r="C288" s="18">
        <f>IF(RAW_INPUT!A289="","",RAW_INPUT!F289)</f>
        <v>3.79</v>
      </c>
    </row>
    <row r="289" spans="1:3" x14ac:dyDescent="0.25">
      <c r="A289" s="16">
        <f>IF(RAW_INPUT!A290="","",RAW_INPUT!A290)</f>
        <v>46007</v>
      </c>
      <c r="B289" s="17">
        <f>IF(RAW_INPUT!A290="","",RAW_INPUT!E290)</f>
        <v>382</v>
      </c>
      <c r="C289" s="18">
        <f>IF(RAW_INPUT!A290="","",RAW_INPUT!F290)</f>
        <v>3.77</v>
      </c>
    </row>
    <row r="290" spans="1:3" x14ac:dyDescent="0.25">
      <c r="A290" s="16">
        <f>IF(RAW_INPUT!A291="","",RAW_INPUT!A291)</f>
        <v>46008</v>
      </c>
      <c r="B290" s="17">
        <f>IF(RAW_INPUT!A291="","",RAW_INPUT!E291)</f>
        <v>372</v>
      </c>
      <c r="C290" s="18">
        <f>IF(RAW_INPUT!A291="","",RAW_INPUT!F291)</f>
        <v>3.78</v>
      </c>
    </row>
    <row r="291" spans="1:3" x14ac:dyDescent="0.25">
      <c r="A291" s="16">
        <f>IF(RAW_INPUT!A292="","",RAW_INPUT!A292)</f>
        <v>46009</v>
      </c>
      <c r="B291" s="17">
        <f>IF(RAW_INPUT!A292="","",RAW_INPUT!E292)</f>
        <v>300</v>
      </c>
      <c r="C291" s="18">
        <f>IF(RAW_INPUT!A292="","",RAW_INPUT!F292)</f>
        <v>3.78</v>
      </c>
    </row>
    <row r="292" spans="1:3" x14ac:dyDescent="0.25">
      <c r="A292" s="16">
        <f>IF(RAW_INPUT!A293="","",RAW_INPUT!A293)</f>
        <v>46010</v>
      </c>
      <c r="B292" s="17">
        <f>IF(RAW_INPUT!A293="","",RAW_INPUT!E293)</f>
        <v>408</v>
      </c>
      <c r="C292" s="18">
        <f>IF(RAW_INPUT!A293="","",RAW_INPUT!F293)</f>
        <v>3.71</v>
      </c>
    </row>
    <row r="293" spans="1:3" x14ac:dyDescent="0.25">
      <c r="A293" s="16">
        <f>IF(RAW_INPUT!A294="","",RAW_INPUT!A294)</f>
        <v>46013</v>
      </c>
      <c r="B293" s="17">
        <f>IF(RAW_INPUT!A294="","",RAW_INPUT!E294)</f>
        <v>480</v>
      </c>
      <c r="C293" s="18">
        <f>IF(RAW_INPUT!A294="","",RAW_INPUT!F294)</f>
        <v>3.75</v>
      </c>
    </row>
    <row r="294" spans="1:3" x14ac:dyDescent="0.25">
      <c r="A294" s="16">
        <f>IF(RAW_INPUT!A295="","",RAW_INPUT!A295)</f>
        <v>46014</v>
      </c>
      <c r="B294" s="17">
        <f>IF(RAW_INPUT!A295="","",RAW_INPUT!E295)</f>
        <v>562</v>
      </c>
      <c r="C294" s="18">
        <f>IF(RAW_INPUT!A295="","",RAW_INPUT!F295)</f>
        <v>3.74</v>
      </c>
    </row>
    <row r="295" spans="1:3" x14ac:dyDescent="0.25">
      <c r="A295" s="16">
        <f>IF(RAW_INPUT!A296="","",RAW_INPUT!A296)</f>
        <v>46015</v>
      </c>
      <c r="B295" s="17">
        <f>IF(RAW_INPUT!A296="","",RAW_INPUT!E296)</f>
        <v>550</v>
      </c>
      <c r="C295" s="18">
        <f>IF(RAW_INPUT!A296="","",RAW_INPUT!F296)</f>
        <v>3.72</v>
      </c>
    </row>
    <row r="296" spans="1:3" x14ac:dyDescent="0.25">
      <c r="A296" s="16">
        <f>IF(RAW_INPUT!A297="","",RAW_INPUT!A297)</f>
        <v>46016</v>
      </c>
      <c r="B296" s="17">
        <f>IF(RAW_INPUT!A297="","",RAW_INPUT!E297)</f>
        <v>1</v>
      </c>
      <c r="C296" s="18">
        <f>IF(RAW_INPUT!A297="","",RAW_INPUT!F297)</f>
        <v>894.04</v>
      </c>
    </row>
    <row r="297" spans="1:3" x14ac:dyDescent="0.25">
      <c r="A297" s="16">
        <f>IF(RAW_INPUT!A298="","",RAW_INPUT!A298)</f>
        <v>46017</v>
      </c>
      <c r="B297" s="17">
        <f>IF(RAW_INPUT!A298="","",RAW_INPUT!E298)</f>
        <v>472</v>
      </c>
      <c r="C297" s="18">
        <f>IF(RAW_INPUT!A298="","",RAW_INPUT!F298)</f>
        <v>3.72</v>
      </c>
    </row>
    <row r="298" spans="1:3" x14ac:dyDescent="0.25">
      <c r="A298" s="16">
        <f>IF(RAW_INPUT!A299="","",RAW_INPUT!A299)</f>
        <v>46020</v>
      </c>
      <c r="B298" s="17">
        <f>IF(RAW_INPUT!A299="","",RAW_INPUT!E299)</f>
        <v>488</v>
      </c>
      <c r="C298" s="18">
        <f>IF(RAW_INPUT!A299="","",RAW_INPUT!F299)</f>
        <v>3.68</v>
      </c>
    </row>
    <row r="299" spans="1:3" x14ac:dyDescent="0.25">
      <c r="A299" s="16">
        <f>IF(RAW_INPUT!A300="","",RAW_INPUT!A300)</f>
        <v>46021</v>
      </c>
      <c r="B299" s="17">
        <f>IF(RAW_INPUT!A300="","",RAW_INPUT!E300)</f>
        <v>519</v>
      </c>
      <c r="C299" s="18">
        <f>IF(RAW_INPUT!A300="","",RAW_INPUT!F300)</f>
        <v>3.72</v>
      </c>
    </row>
    <row r="300" spans="1:3" x14ac:dyDescent="0.25">
      <c r="A300" s="16">
        <f>IF(RAW_INPUT!A301="","",RAW_INPUT!A301)</f>
        <v>46022</v>
      </c>
      <c r="B300" s="17">
        <f>IF(RAW_INPUT!A301="","",RAW_INPUT!E301)</f>
        <v>471</v>
      </c>
      <c r="C300" s="18">
        <f>IF(RAW_INPUT!A301="","",RAW_INPUT!F301)</f>
        <v>3.63</v>
      </c>
    </row>
    <row r="301" spans="1:3" x14ac:dyDescent="0.25">
      <c r="A301" s="16">
        <f>IF(RAW_INPUT!A302="","",RAW_INPUT!A302)</f>
        <v>46023</v>
      </c>
      <c r="B301" s="17">
        <f>IF(RAW_INPUT!A302="","",RAW_INPUT!E302)</f>
        <v>1</v>
      </c>
      <c r="C301" s="18">
        <f>IF(RAW_INPUT!A302="","",RAW_INPUT!F302)</f>
        <v>1425.37</v>
      </c>
    </row>
    <row r="302" spans="1:3" x14ac:dyDescent="0.25">
      <c r="A302" s="16">
        <f>IF(RAW_INPUT!A303="","",RAW_INPUT!A303)</f>
        <v>46024</v>
      </c>
      <c r="B302" s="17">
        <f>IF(RAW_INPUT!A303="","",RAW_INPUT!E303)</f>
        <v>390</v>
      </c>
      <c r="C302" s="18">
        <f>IF(RAW_INPUT!A303="","",RAW_INPUT!F303)</f>
        <v>3.63</v>
      </c>
    </row>
    <row r="303" spans="1:3" x14ac:dyDescent="0.25">
      <c r="A303" s="16">
        <f>IF(RAW_INPUT!A304="","",RAW_INPUT!A304)</f>
        <v>46027</v>
      </c>
      <c r="B303" s="17">
        <f>IF(RAW_INPUT!A304="","",RAW_INPUT!E304)</f>
        <v>433</v>
      </c>
      <c r="C303" s="18">
        <f>IF(RAW_INPUT!A304="","",RAW_INPUT!F304)</f>
        <v>3.64</v>
      </c>
    </row>
    <row r="304" spans="1:3" x14ac:dyDescent="0.25">
      <c r="A304" s="16">
        <f>IF(RAW_INPUT!A305="","",RAW_INPUT!A305)</f>
        <v>46028</v>
      </c>
      <c r="B304" s="17">
        <f>IF(RAW_INPUT!A305="","",RAW_INPUT!E305)</f>
        <v>1</v>
      </c>
      <c r="C304" s="18">
        <f>IF(RAW_INPUT!A305="","",RAW_INPUT!F305)</f>
        <v>908.77</v>
      </c>
    </row>
    <row r="305" spans="1:3" x14ac:dyDescent="0.25">
      <c r="A305" s="16">
        <f>IF(RAW_INPUT!A306="","",RAW_INPUT!A306)</f>
        <v>46029</v>
      </c>
      <c r="B305" s="17">
        <f>IF(RAW_INPUT!A306="","",RAW_INPUT!E306)</f>
        <v>477</v>
      </c>
      <c r="C305" s="18">
        <f>IF(RAW_INPUT!A306="","",RAW_INPUT!F306)</f>
        <v>3.64</v>
      </c>
    </row>
    <row r="306" spans="1:3" x14ac:dyDescent="0.25">
      <c r="A306" s="16">
        <f>IF(RAW_INPUT!A307="","",RAW_INPUT!A307)</f>
        <v>46030</v>
      </c>
      <c r="B306" s="17">
        <f>IF(RAW_INPUT!A307="","",RAW_INPUT!E307)</f>
        <v>448</v>
      </c>
      <c r="C306" s="18">
        <f>IF(RAW_INPUT!A307="","",RAW_INPUT!F307)</f>
        <v>3.6</v>
      </c>
    </row>
    <row r="307" spans="1:3" x14ac:dyDescent="0.25">
      <c r="A307" s="16">
        <f>IF(RAW_INPUT!A308="","",RAW_INPUT!A308)</f>
        <v>46031</v>
      </c>
      <c r="B307" s="17">
        <f>IF(RAW_INPUT!A308="","",RAW_INPUT!E308)</f>
        <v>329</v>
      </c>
      <c r="C307" s="18">
        <f>IF(RAW_INPUT!A308="","",RAW_INPUT!F308)</f>
        <v>3.61</v>
      </c>
    </row>
    <row r="308" spans="1:3" x14ac:dyDescent="0.25">
      <c r="A308" s="16">
        <f>IF(RAW_INPUT!A309="","",RAW_INPUT!A309)</f>
        <v>46034</v>
      </c>
      <c r="B308" s="17">
        <f>IF(RAW_INPUT!A309="","",RAW_INPUT!E309)</f>
        <v>228</v>
      </c>
      <c r="C308" s="18">
        <f>IF(RAW_INPUT!A309="","",RAW_INPUT!F309)</f>
        <v>3.57</v>
      </c>
    </row>
    <row r="309" spans="1:3" x14ac:dyDescent="0.25">
      <c r="A309" s="16">
        <f>IF(RAW_INPUT!A310="","",RAW_INPUT!A310)</f>
        <v>46035</v>
      </c>
      <c r="B309" s="17">
        <f>IF(RAW_INPUT!A310="","",RAW_INPUT!E310)</f>
        <v>255</v>
      </c>
      <c r="C309" s="18">
        <f>IF(RAW_INPUT!A310="","",RAW_INPUT!F310)</f>
        <v>3.61</v>
      </c>
    </row>
    <row r="310" spans="1:3" x14ac:dyDescent="0.25">
      <c r="A310" s="16">
        <f>IF(RAW_INPUT!A311="","",RAW_INPUT!A311)</f>
        <v>46036</v>
      </c>
      <c r="B310" s="17">
        <f>IF(RAW_INPUT!A311="","",RAW_INPUT!E311)</f>
        <v>266</v>
      </c>
      <c r="C310" s="18">
        <f>IF(RAW_INPUT!A311="","",RAW_INPUT!F311)</f>
        <v>3.55</v>
      </c>
    </row>
    <row r="311" spans="1:3" x14ac:dyDescent="0.25">
      <c r="A311" s="16">
        <f>IF(RAW_INPUT!A312="","",RAW_INPUT!A312)</f>
        <v>46037</v>
      </c>
      <c r="B311" s="17">
        <f>IF(RAW_INPUT!A312="","",RAW_INPUT!E312)</f>
        <v>287</v>
      </c>
      <c r="C311" s="18">
        <f>IF(RAW_INPUT!A312="","",RAW_INPUT!F312)</f>
        <v>3.56</v>
      </c>
    </row>
    <row r="312" spans="1:3" x14ac:dyDescent="0.25">
      <c r="A312" s="16">
        <f>IF(RAW_INPUT!A313="","",RAW_INPUT!A313)</f>
        <v>46038</v>
      </c>
      <c r="B312" s="17">
        <f>IF(RAW_INPUT!A313="","",RAW_INPUT!E313)</f>
        <v>321</v>
      </c>
      <c r="C312" s="18">
        <f>IF(RAW_INPUT!A313="","",RAW_INPUT!F313)</f>
        <v>3.54</v>
      </c>
    </row>
    <row r="313" spans="1:3" x14ac:dyDescent="0.25">
      <c r="A313" s="16">
        <f>IF(RAW_INPUT!A314="","",RAW_INPUT!A314)</f>
        <v>46041</v>
      </c>
      <c r="B313" s="17">
        <f>IF(RAW_INPUT!A314="","",RAW_INPUT!E314)</f>
        <v>413</v>
      </c>
      <c r="C313" s="18">
        <f>IF(RAW_INPUT!A314="","",RAW_INPUT!F314)</f>
        <v>3.53</v>
      </c>
    </row>
    <row r="314" spans="1:3" x14ac:dyDescent="0.25">
      <c r="A314" s="16">
        <f>IF(RAW_INPUT!A315="","",RAW_INPUT!A315)</f>
        <v>46042</v>
      </c>
      <c r="B314" s="17">
        <f>IF(RAW_INPUT!A315="","",RAW_INPUT!E315)</f>
        <v>475</v>
      </c>
      <c r="C314" s="18">
        <f>IF(RAW_INPUT!A315="","",RAW_INPUT!F315)</f>
        <v>3.54</v>
      </c>
    </row>
    <row r="315" spans="1:3" x14ac:dyDescent="0.25">
      <c r="A315" s="16">
        <f>IF(RAW_INPUT!A316="","",RAW_INPUT!A316)</f>
        <v>46043</v>
      </c>
      <c r="B315" s="17">
        <f>IF(RAW_INPUT!A316="","",RAW_INPUT!E316)</f>
        <v>548</v>
      </c>
      <c r="C315" s="18">
        <f>IF(RAW_INPUT!A316="","",RAW_INPUT!F316)</f>
        <v>3.53</v>
      </c>
    </row>
    <row r="316" spans="1:3" x14ac:dyDescent="0.25">
      <c r="A316" s="16">
        <f>IF(RAW_INPUT!A317="","",RAW_INPUT!A317)</f>
        <v>46044</v>
      </c>
      <c r="B316" s="17">
        <f>IF(RAW_INPUT!A317="","",RAW_INPUT!E317)</f>
        <v>1</v>
      </c>
      <c r="C316" s="18">
        <f>IF(RAW_INPUT!A317="","",RAW_INPUT!F317)</f>
        <v>997.37</v>
      </c>
    </row>
    <row r="317" spans="1:3" x14ac:dyDescent="0.25">
      <c r="A317" s="16">
        <f>IF(RAW_INPUT!A318="","",RAW_INPUT!A318)</f>
        <v>46045</v>
      </c>
      <c r="B317" s="17">
        <f>IF(RAW_INPUT!A318="","",RAW_INPUT!E318)</f>
        <v>550</v>
      </c>
      <c r="C317" s="18">
        <f>IF(RAW_INPUT!A318="","",RAW_INPUT!F318)</f>
        <v>3.49</v>
      </c>
    </row>
    <row r="318" spans="1:3" x14ac:dyDescent="0.25">
      <c r="A318" s="16">
        <f>IF(RAW_INPUT!A319="","",RAW_INPUT!A319)</f>
        <v>46048</v>
      </c>
      <c r="B318" s="17">
        <f>IF(RAW_INPUT!A319="","",RAW_INPUT!E319)</f>
        <v>579</v>
      </c>
      <c r="C318" s="18">
        <f>IF(RAW_INPUT!A319="","",RAW_INPUT!F319)</f>
        <v>3.48</v>
      </c>
    </row>
    <row r="319" spans="1:3" x14ac:dyDescent="0.25">
      <c r="A319" s="16">
        <f>IF(RAW_INPUT!A320="","",RAW_INPUT!A320)</f>
        <v>46049</v>
      </c>
      <c r="B319" s="17">
        <f>IF(RAW_INPUT!A320="","",RAW_INPUT!E320)</f>
        <v>506</v>
      </c>
      <c r="C319" s="18">
        <f>IF(RAW_INPUT!A320="","",RAW_INPUT!F320)</f>
        <v>3.48</v>
      </c>
    </row>
    <row r="320" spans="1:3" x14ac:dyDescent="0.25">
      <c r="A320" s="16">
        <f>IF(RAW_INPUT!A321="","",RAW_INPUT!A321)</f>
        <v>46050</v>
      </c>
      <c r="B320" s="17">
        <f>IF(RAW_INPUT!A321="","",RAW_INPUT!E321)</f>
        <v>486</v>
      </c>
      <c r="C320" s="18">
        <f>IF(RAW_INPUT!A321="","",RAW_INPUT!F321)</f>
        <v>3.49</v>
      </c>
    </row>
    <row r="321" spans="1:3" x14ac:dyDescent="0.25">
      <c r="A321" s="16">
        <f>IF(RAW_INPUT!A322="","",RAW_INPUT!A322)</f>
        <v>46051</v>
      </c>
      <c r="B321" s="17">
        <f>IF(RAW_INPUT!A322="","",RAW_INPUT!E322)</f>
        <v>1</v>
      </c>
      <c r="C321" s="18">
        <f>IF(RAW_INPUT!A322="","",RAW_INPUT!F322)</f>
        <v>1594.66</v>
      </c>
    </row>
    <row r="322" spans="1:3" x14ac:dyDescent="0.25">
      <c r="A322" s="16">
        <f>IF(RAW_INPUT!A323="","",RAW_INPUT!A323)</f>
        <v>46052</v>
      </c>
      <c r="B322" s="17">
        <f>IF(RAW_INPUT!A323="","",RAW_INPUT!E323)</f>
        <v>530</v>
      </c>
      <c r="C322" s="18">
        <f>IF(RAW_INPUT!A323="","",RAW_INPUT!F323)</f>
        <v>3.47</v>
      </c>
    </row>
    <row r="323" spans="1:3" x14ac:dyDescent="0.25">
      <c r="A323" s="16">
        <f>IF(RAW_INPUT!A324="","",RAW_INPUT!A324)</f>
        <v>46055</v>
      </c>
      <c r="B323" s="17">
        <f>IF(RAW_INPUT!A324="","",RAW_INPUT!E324)</f>
        <v>517</v>
      </c>
      <c r="C323" s="18">
        <f>IF(RAW_INPUT!A324="","",RAW_INPUT!F324)</f>
        <v>3.41</v>
      </c>
    </row>
    <row r="324" spans="1:3" x14ac:dyDescent="0.25">
      <c r="A324" s="16">
        <f>IF(RAW_INPUT!A325="","",RAW_INPUT!A325)</f>
        <v>46056</v>
      </c>
      <c r="B324" s="17">
        <f>IF(RAW_INPUT!A325="","",RAW_INPUT!E325)</f>
        <v>594</v>
      </c>
      <c r="C324" s="18">
        <f>IF(RAW_INPUT!A325="","",RAW_INPUT!F325)</f>
        <v>3.43</v>
      </c>
    </row>
    <row r="325" spans="1:3" x14ac:dyDescent="0.25">
      <c r="A325" s="16">
        <f>IF(RAW_INPUT!A326="","",RAW_INPUT!A326)</f>
        <v>46057</v>
      </c>
      <c r="B325" s="17">
        <f>IF(RAW_INPUT!A326="","",RAW_INPUT!E326)</f>
        <v>553</v>
      </c>
      <c r="C325" s="18">
        <f>IF(RAW_INPUT!A326="","",RAW_INPUT!F326)</f>
        <v>3.43</v>
      </c>
    </row>
    <row r="326" spans="1:3" x14ac:dyDescent="0.25">
      <c r="A326" s="16">
        <f>IF(RAW_INPUT!A327="","",RAW_INPUT!A327)</f>
        <v>46058</v>
      </c>
      <c r="B326" s="17">
        <f>IF(RAW_INPUT!A327="","",RAW_INPUT!E327)</f>
        <v>1</v>
      </c>
      <c r="C326" s="18">
        <f>IF(RAW_INPUT!A327="","",RAW_INPUT!F327)</f>
        <v>909.61</v>
      </c>
    </row>
    <row r="327" spans="1:3" x14ac:dyDescent="0.25">
      <c r="A327" s="16">
        <f>IF(RAW_INPUT!A328="","",RAW_INPUT!A328)</f>
        <v>46059</v>
      </c>
      <c r="B327" s="17">
        <f>IF(RAW_INPUT!A328="","",RAW_INPUT!E328)</f>
        <v>565</v>
      </c>
      <c r="C327" s="18">
        <f>IF(RAW_INPUT!A328="","",RAW_INPUT!F328)</f>
        <v>3.39</v>
      </c>
    </row>
    <row r="328" spans="1:3" x14ac:dyDescent="0.25">
      <c r="A328" s="16">
        <f>IF(RAW_INPUT!A329="","",RAW_INPUT!A329)</f>
        <v>46062</v>
      </c>
      <c r="B328" s="17">
        <f>IF(RAW_INPUT!A329="","",RAW_INPUT!E329)</f>
        <v>591</v>
      </c>
      <c r="C328" s="18">
        <f>IF(RAW_INPUT!A329="","",RAW_INPUT!F329)</f>
        <v>3.44</v>
      </c>
    </row>
    <row r="329" spans="1:3" x14ac:dyDescent="0.25">
      <c r="A329" s="16">
        <f>IF(RAW_INPUT!A330="","",RAW_INPUT!A330)</f>
        <v>46063</v>
      </c>
      <c r="B329" s="17">
        <f>IF(RAW_INPUT!A330="","",RAW_INPUT!E330)</f>
        <v>520</v>
      </c>
      <c r="C329" s="18">
        <f>IF(RAW_INPUT!A330="","",RAW_INPUT!F330)</f>
        <v>3.4</v>
      </c>
    </row>
    <row r="330" spans="1:3" x14ac:dyDescent="0.25">
      <c r="A330" s="16">
        <f>IF(RAW_INPUT!A331="","",RAW_INPUT!A331)</f>
        <v>46064</v>
      </c>
      <c r="B330" s="17">
        <f>IF(RAW_INPUT!A331="","",RAW_INPUT!E331)</f>
        <v>498</v>
      </c>
      <c r="C330" s="18">
        <f>IF(RAW_INPUT!A331="","",RAW_INPUT!F331)</f>
        <v>3.38</v>
      </c>
    </row>
    <row r="331" spans="1:3" x14ac:dyDescent="0.25">
      <c r="A331" s="16">
        <f>IF(RAW_INPUT!A332="","",RAW_INPUT!A332)</f>
        <v>46065</v>
      </c>
      <c r="B331" s="17">
        <f>IF(RAW_INPUT!A332="","",RAW_INPUT!E332)</f>
        <v>1</v>
      </c>
      <c r="C331" s="18">
        <f>IF(RAW_INPUT!A332="","",RAW_INPUT!F332)</f>
        <v>1647</v>
      </c>
    </row>
    <row r="332" spans="1:3" x14ac:dyDescent="0.25">
      <c r="A332" s="16">
        <f>IF(RAW_INPUT!A333="","",RAW_INPUT!A333)</f>
        <v>46066</v>
      </c>
      <c r="B332" s="17">
        <f>IF(RAW_INPUT!A333="","",RAW_INPUT!E333)</f>
        <v>571</v>
      </c>
      <c r="C332" s="18">
        <f>IF(RAW_INPUT!A333="","",RAW_INPUT!F333)</f>
        <v>3.42</v>
      </c>
    </row>
    <row r="333" spans="1:3" x14ac:dyDescent="0.25">
      <c r="A333" s="16">
        <f>IF(RAW_INPUT!A334="","",RAW_INPUT!A334)</f>
        <v>46069</v>
      </c>
      <c r="B333" s="17">
        <f>IF(RAW_INPUT!A334="","",RAW_INPUT!E334)</f>
        <v>549</v>
      </c>
      <c r="C333" s="18">
        <f>IF(RAW_INPUT!A334="","",RAW_INPUT!F334)</f>
        <v>3.36</v>
      </c>
    </row>
    <row r="334" spans="1:3" x14ac:dyDescent="0.25">
      <c r="A334" s="16">
        <f>IF(RAW_INPUT!A335="","",RAW_INPUT!A335)</f>
        <v>46070</v>
      </c>
      <c r="B334" s="17">
        <f>IF(RAW_INPUT!A335="","",RAW_INPUT!E335)</f>
        <v>628</v>
      </c>
      <c r="C334" s="18">
        <f>IF(RAW_INPUT!A335="","",RAW_INPUT!F335)</f>
        <v>3.83</v>
      </c>
    </row>
    <row r="335" spans="1:3" x14ac:dyDescent="0.25">
      <c r="A335" s="16">
        <f>IF(RAW_INPUT!A336="","",RAW_INPUT!A336)</f>
        <v>46071</v>
      </c>
      <c r="B335" s="17">
        <f>IF(RAW_INPUT!A336="","",RAW_INPUT!E336)</f>
        <v>1</v>
      </c>
      <c r="C335" s="18">
        <f>IF(RAW_INPUT!A336="","",RAW_INPUT!F336)</f>
        <v>1277.3900000000001</v>
      </c>
    </row>
    <row r="336" spans="1:3" x14ac:dyDescent="0.25">
      <c r="A336" s="16">
        <f>IF(RAW_INPUT!A337="","",RAW_INPUT!A337)</f>
        <v>46072</v>
      </c>
      <c r="B336" s="17">
        <f>IF(RAW_INPUT!A337="","",RAW_INPUT!E337)</f>
        <v>684</v>
      </c>
      <c r="C336" s="18">
        <f>IF(RAW_INPUT!A337="","",RAW_INPUT!F337)</f>
        <v>3.91</v>
      </c>
    </row>
    <row r="337" spans="1:3" x14ac:dyDescent="0.25">
      <c r="A337" s="16">
        <f>IF(RAW_INPUT!A338="","",RAW_INPUT!A338)</f>
        <v>46073</v>
      </c>
      <c r="B337" s="17">
        <f>IF(RAW_INPUT!A338="","",RAW_INPUT!E338)</f>
        <v>592</v>
      </c>
      <c r="C337" s="18">
        <f>IF(RAW_INPUT!A338="","",RAW_INPUT!F338)</f>
        <v>3.87</v>
      </c>
    </row>
    <row r="338" spans="1:3" x14ac:dyDescent="0.25">
      <c r="A338" s="16">
        <f>IF(RAW_INPUT!A339="","",RAW_INPUT!A339)</f>
        <v>46076</v>
      </c>
      <c r="B338" s="17">
        <f>IF(RAW_INPUT!A339="","",RAW_INPUT!E339)</f>
        <v>597</v>
      </c>
      <c r="C338" s="18">
        <f>IF(RAW_INPUT!A339="","",RAW_INPUT!F339)</f>
        <v>3.87</v>
      </c>
    </row>
    <row r="339" spans="1:3" x14ac:dyDescent="0.25">
      <c r="A339" s="16">
        <f>IF(RAW_INPUT!A340="","",RAW_INPUT!A340)</f>
        <v>46077</v>
      </c>
      <c r="B339" s="17">
        <f>IF(RAW_INPUT!A340="","",RAW_INPUT!E340)</f>
        <v>1</v>
      </c>
      <c r="C339" s="18">
        <f>IF(RAW_INPUT!A340="","",RAW_INPUT!F340)</f>
        <v>1460.31</v>
      </c>
    </row>
    <row r="340" spans="1:3" x14ac:dyDescent="0.25">
      <c r="A340" s="16">
        <f>IF(RAW_INPUT!A341="","",RAW_INPUT!A341)</f>
        <v>46078</v>
      </c>
      <c r="B340" s="17">
        <f>IF(RAW_INPUT!A341="","",RAW_INPUT!E341)</f>
        <v>515</v>
      </c>
      <c r="C340" s="18">
        <f>IF(RAW_INPUT!A341="","",RAW_INPUT!F341)</f>
        <v>3.82</v>
      </c>
    </row>
    <row r="341" spans="1:3" x14ac:dyDescent="0.25">
      <c r="A341" s="16">
        <f>IF(RAW_INPUT!A342="","",RAW_INPUT!A342)</f>
        <v>46079</v>
      </c>
      <c r="B341" s="17">
        <f>IF(RAW_INPUT!A342="","",RAW_INPUT!E342)</f>
        <v>577</v>
      </c>
      <c r="C341" s="18">
        <f>IF(RAW_INPUT!A342="","",RAW_INPUT!F342)</f>
        <v>3.84</v>
      </c>
    </row>
    <row r="342" spans="1:3" x14ac:dyDescent="0.25">
      <c r="A342" s="16">
        <f>IF(RAW_INPUT!A343="","",RAW_INPUT!A343)</f>
        <v>46080</v>
      </c>
      <c r="B342" s="17">
        <f>IF(RAW_INPUT!A343="","",RAW_INPUT!E343)</f>
        <v>596</v>
      </c>
      <c r="C342" s="18">
        <f>IF(RAW_INPUT!A343="","",RAW_INPUT!F343)</f>
        <v>3.83</v>
      </c>
    </row>
    <row r="343" spans="1:3" x14ac:dyDescent="0.25">
      <c r="A343" s="16">
        <f>IF(RAW_INPUT!A344="","",RAW_INPUT!A344)</f>
        <v>46083</v>
      </c>
      <c r="B343" s="17">
        <f>IF(RAW_INPUT!A344="","",RAW_INPUT!E344)</f>
        <v>564</v>
      </c>
      <c r="C343" s="18">
        <f>IF(RAW_INPUT!A344="","",RAW_INPUT!F344)</f>
        <v>3.81</v>
      </c>
    </row>
    <row r="344" spans="1:3" x14ac:dyDescent="0.25">
      <c r="A344" s="16">
        <f>IF(RAW_INPUT!A345="","",RAW_INPUT!A345)</f>
        <v>46084</v>
      </c>
      <c r="B344" s="17">
        <f>IF(RAW_INPUT!A345="","",RAW_INPUT!E345)</f>
        <v>649</v>
      </c>
      <c r="C344" s="18">
        <f>IF(RAW_INPUT!A345="","",RAW_INPUT!F345)</f>
        <v>3.82</v>
      </c>
    </row>
    <row r="345" spans="1:3" x14ac:dyDescent="0.25">
      <c r="A345" s="16">
        <f>IF(RAW_INPUT!A346="","",RAW_INPUT!A346)</f>
        <v>46085</v>
      </c>
      <c r="B345" s="17">
        <f>IF(RAW_INPUT!A346="","",RAW_INPUT!E346)</f>
        <v>1</v>
      </c>
      <c r="C345" s="18">
        <f>IF(RAW_INPUT!A346="","",RAW_INPUT!F346)</f>
        <v>1009.59</v>
      </c>
    </row>
    <row r="346" spans="1:3" x14ac:dyDescent="0.25">
      <c r="A346" s="16">
        <f>IF(RAW_INPUT!A347="","",RAW_INPUT!A347)</f>
        <v>46086</v>
      </c>
      <c r="B346" s="17">
        <f>IF(RAW_INPUT!A347="","",RAW_INPUT!E347)</f>
        <v>688</v>
      </c>
      <c r="C346" s="18">
        <f>IF(RAW_INPUT!A347="","",RAW_INPUT!F347)</f>
        <v>3.75</v>
      </c>
    </row>
    <row r="347" spans="1:3" x14ac:dyDescent="0.25">
      <c r="A347" s="16">
        <f>IF(RAW_INPUT!A348="","",RAW_INPUT!A348)</f>
        <v>46087</v>
      </c>
      <c r="B347" s="17">
        <f>IF(RAW_INPUT!A348="","",RAW_INPUT!E348)</f>
        <v>655</v>
      </c>
      <c r="C347" s="18">
        <f>IF(RAW_INPUT!A348="","",RAW_INPUT!F348)</f>
        <v>3.72</v>
      </c>
    </row>
    <row r="348" spans="1:3" x14ac:dyDescent="0.25">
      <c r="A348" s="16">
        <f>IF(RAW_INPUT!A349="","",RAW_INPUT!A349)</f>
        <v>46090</v>
      </c>
      <c r="B348" s="17">
        <f>IF(RAW_INPUT!A349="","",RAW_INPUT!E349)</f>
        <v>625</v>
      </c>
      <c r="C348" s="18">
        <f>IF(RAW_INPUT!A349="","",RAW_INPUT!F349)</f>
        <v>3.75</v>
      </c>
    </row>
    <row r="349" spans="1:3" x14ac:dyDescent="0.25">
      <c r="A349" s="16">
        <f>IF(RAW_INPUT!A350="","",RAW_INPUT!A350)</f>
        <v>46091</v>
      </c>
      <c r="B349" s="17">
        <f>IF(RAW_INPUT!A350="","",RAW_INPUT!E350)</f>
        <v>1</v>
      </c>
      <c r="C349" s="18">
        <f>IF(RAW_INPUT!A350="","",RAW_INPUT!F350)</f>
        <v>1715.4</v>
      </c>
    </row>
    <row r="350" spans="1:3" x14ac:dyDescent="0.25">
      <c r="A350" s="16">
        <f>IF(RAW_INPUT!A351="","",RAW_INPUT!A351)</f>
        <v>46092</v>
      </c>
      <c r="B350" s="17">
        <f>IF(RAW_INPUT!A351="","",RAW_INPUT!E351)</f>
        <v>582</v>
      </c>
      <c r="C350" s="18">
        <f>IF(RAW_INPUT!A351="","",RAW_INPUT!F351)</f>
        <v>3.74</v>
      </c>
    </row>
    <row r="351" spans="1:3" x14ac:dyDescent="0.25">
      <c r="A351" s="16">
        <f>IF(RAW_INPUT!A352="","",RAW_INPUT!A352)</f>
        <v>46093</v>
      </c>
      <c r="B351" s="17">
        <f>IF(RAW_INPUT!A352="","",RAW_INPUT!E352)</f>
        <v>572</v>
      </c>
      <c r="C351" s="18">
        <f>IF(RAW_INPUT!A352="","",RAW_INPUT!F352)</f>
        <v>3.75</v>
      </c>
    </row>
    <row r="352" spans="1:3" x14ac:dyDescent="0.25">
      <c r="A352" s="16">
        <f>IF(RAW_INPUT!A353="","",RAW_INPUT!A353)</f>
        <v>46094</v>
      </c>
      <c r="B352" s="17">
        <f>IF(RAW_INPUT!A353="","",RAW_INPUT!E353)</f>
        <v>617</v>
      </c>
      <c r="C352" s="18">
        <f>IF(RAW_INPUT!A353="","",RAW_INPUT!F353)</f>
        <v>3.78</v>
      </c>
    </row>
    <row r="353" spans="1:3" x14ac:dyDescent="0.25">
      <c r="A353" s="16">
        <f>IF(RAW_INPUT!A354="","",RAW_INPUT!A354)</f>
        <v>46097</v>
      </c>
      <c r="B353" s="17">
        <f>IF(RAW_INPUT!A354="","",RAW_INPUT!E354)</f>
        <v>570</v>
      </c>
      <c r="C353" s="18">
        <f>IF(RAW_INPUT!A354="","",RAW_INPUT!F354)</f>
        <v>3.89</v>
      </c>
    </row>
    <row r="354" spans="1:3" x14ac:dyDescent="0.25">
      <c r="A354" s="16">
        <f>IF(RAW_INPUT!A355="","",RAW_INPUT!A355)</f>
        <v>46098</v>
      </c>
      <c r="B354" s="17">
        <f>IF(RAW_INPUT!A355="","",RAW_INPUT!E355)</f>
        <v>204</v>
      </c>
      <c r="C354" s="18">
        <f>IF(RAW_INPUT!A355="","",RAW_INPUT!F355)</f>
        <v>45.4</v>
      </c>
    </row>
    <row r="355" spans="1:3" x14ac:dyDescent="0.25">
      <c r="A355" s="16">
        <f>IF(RAW_INPUT!A356="","",RAW_INPUT!A356)</f>
        <v>46099</v>
      </c>
      <c r="B355" s="17">
        <f>IF(RAW_INPUT!A356="","",RAW_INPUT!E356)</f>
        <v>1</v>
      </c>
      <c r="C355" s="18">
        <f>IF(RAW_INPUT!A356="","",RAW_INPUT!F356)</f>
        <v>1350.18</v>
      </c>
    </row>
    <row r="356" spans="1:3" x14ac:dyDescent="0.25">
      <c r="A356" s="16">
        <f>IF(RAW_INPUT!A357="","",RAW_INPUT!A357)</f>
        <v>46100</v>
      </c>
      <c r="B356" s="17">
        <f>IF(RAW_INPUT!A357="","",RAW_INPUT!E357)</f>
        <v>715</v>
      </c>
      <c r="C356" s="18">
        <f>IF(RAW_INPUT!A357="","",RAW_INPUT!F357)</f>
        <v>3.9</v>
      </c>
    </row>
    <row r="357" spans="1:3" x14ac:dyDescent="0.25">
      <c r="A357" s="16">
        <f>IF(RAW_INPUT!A358="","",RAW_INPUT!A358)</f>
        <v>46101</v>
      </c>
      <c r="B357" s="17">
        <f>IF(RAW_INPUT!A358="","",RAW_INPUT!E358)</f>
        <v>670</v>
      </c>
      <c r="C357" s="18">
        <f>IF(RAW_INPUT!A358="","",RAW_INPUT!F358)</f>
        <v>3.86</v>
      </c>
    </row>
    <row r="358" spans="1:3" x14ac:dyDescent="0.25">
      <c r="A358" s="16">
        <f>IF(RAW_INPUT!A359="","",RAW_INPUT!A359)</f>
        <v>46104</v>
      </c>
      <c r="B358" s="17">
        <f>IF(RAW_INPUT!A359="","",RAW_INPUT!E359)</f>
        <v>833</v>
      </c>
      <c r="C358" s="18">
        <f>IF(RAW_INPUT!A359="","",RAW_INPUT!F359)</f>
        <v>3.79</v>
      </c>
    </row>
    <row r="359" spans="1:3" x14ac:dyDescent="0.25">
      <c r="A359" s="16">
        <f>IF(RAW_INPUT!A360="","",RAW_INPUT!A360)</f>
        <v>46105</v>
      </c>
      <c r="B359" s="17">
        <f>IF(RAW_INPUT!A360="","",RAW_INPUT!E360)</f>
        <v>1</v>
      </c>
      <c r="C359" s="18">
        <f>IF(RAW_INPUT!A360="","",RAW_INPUT!F360)</f>
        <v>956.32</v>
      </c>
    </row>
    <row r="360" spans="1:3" x14ac:dyDescent="0.25">
      <c r="A360" s="16">
        <f>IF(RAW_INPUT!A361="","",RAW_INPUT!A361)</f>
        <v>46106</v>
      </c>
      <c r="B360" s="17">
        <f>IF(RAW_INPUT!A361="","",RAW_INPUT!E361)</f>
        <v>643</v>
      </c>
      <c r="C360" s="18">
        <f>IF(RAW_INPUT!A361="","",RAW_INPUT!F361)</f>
        <v>3.85</v>
      </c>
    </row>
    <row r="361" spans="1:3" x14ac:dyDescent="0.25">
      <c r="A361" s="16">
        <f>IF(RAW_INPUT!A362="","",RAW_INPUT!A362)</f>
        <v>46107</v>
      </c>
      <c r="B361" s="17">
        <f>IF(RAW_INPUT!A362="","",RAW_INPUT!E362)</f>
        <v>634</v>
      </c>
      <c r="C361" s="18">
        <f>IF(RAW_INPUT!A362="","",RAW_INPUT!F362)</f>
        <v>3.81</v>
      </c>
    </row>
    <row r="362" spans="1:3" x14ac:dyDescent="0.25">
      <c r="A362" s="16">
        <f>IF(RAW_INPUT!A363="","",RAW_INPUT!A363)</f>
        <v>46108</v>
      </c>
      <c r="B362" s="17">
        <f>IF(RAW_INPUT!A363="","",RAW_INPUT!E363)</f>
        <v>1</v>
      </c>
      <c r="C362" s="18">
        <f>IF(RAW_INPUT!A363="","",RAW_INPUT!F363)</f>
        <v>959.52</v>
      </c>
    </row>
    <row r="363" spans="1:3" x14ac:dyDescent="0.25">
      <c r="A363" s="16">
        <f>IF(RAW_INPUT!A364="","",RAW_INPUT!A364)</f>
        <v>46111</v>
      </c>
      <c r="B363" s="17">
        <f>IF(RAW_INPUT!A364="","",RAW_INPUT!E364)</f>
        <v>684</v>
      </c>
      <c r="C363" s="18">
        <f>IF(RAW_INPUT!A364="","",RAW_INPUT!F364)</f>
        <v>3.79</v>
      </c>
    </row>
    <row r="364" spans="1:3" x14ac:dyDescent="0.25">
      <c r="A364" s="16">
        <f>IF(RAW_INPUT!A365="","",RAW_INPUT!A365)</f>
        <v>46112</v>
      </c>
      <c r="B364" s="17">
        <f>IF(RAW_INPUT!A365="","",RAW_INPUT!E365)</f>
        <v>451</v>
      </c>
      <c r="C364" s="18">
        <f>IF(RAW_INPUT!A365="","",RAW_INPUT!F365)</f>
        <v>3.92</v>
      </c>
    </row>
    <row r="365" spans="1:3" x14ac:dyDescent="0.25">
      <c r="A365" s="16">
        <f>IF(RAW_INPUT!A366="","",RAW_INPUT!A366)</f>
        <v>46113</v>
      </c>
      <c r="B365" s="17">
        <f>IF(RAW_INPUT!A366="","",RAW_INPUT!E366)</f>
        <v>411</v>
      </c>
      <c r="C365" s="18">
        <f>IF(RAW_INPUT!A366="","",RAW_INPUT!F366)</f>
        <v>3.94</v>
      </c>
    </row>
    <row r="366" spans="1:3" x14ac:dyDescent="0.25">
      <c r="A366" s="16">
        <f>IF(RAW_INPUT!A367="","",RAW_INPUT!A367)</f>
        <v>46114</v>
      </c>
      <c r="B366" s="17">
        <f>IF(RAW_INPUT!A367="","",RAW_INPUT!E367)</f>
        <v>587</v>
      </c>
      <c r="C366" s="18">
        <f>IF(RAW_INPUT!A367="","",RAW_INPUT!F367)</f>
        <v>3.92</v>
      </c>
    </row>
    <row r="367" spans="1:3" x14ac:dyDescent="0.25">
      <c r="A367" s="16">
        <f>IF(RAW_INPUT!A368="","",RAW_INPUT!A368)</f>
        <v>46115</v>
      </c>
      <c r="B367" s="17">
        <f>IF(RAW_INPUT!A368="","",RAW_INPUT!E368)</f>
        <v>530</v>
      </c>
      <c r="C367" s="18">
        <f>IF(RAW_INPUT!A368="","",RAW_INPUT!F368)</f>
        <v>3.9</v>
      </c>
    </row>
    <row r="368" spans="1:3" x14ac:dyDescent="0.25">
      <c r="A368" s="16">
        <f>IF(RAW_INPUT!A369="","",RAW_INPUT!A369)</f>
        <v>46118</v>
      </c>
      <c r="B368" s="17">
        <f>IF(RAW_INPUT!A369="","",RAW_INPUT!E369)</f>
        <v>540</v>
      </c>
      <c r="C368" s="18">
        <f>IF(RAW_INPUT!A369="","",RAW_INPUT!F369)</f>
        <v>3.89</v>
      </c>
    </row>
    <row r="369" spans="1:3" x14ac:dyDescent="0.25">
      <c r="A369" s="16">
        <f>IF(RAW_INPUT!A370="","",RAW_INPUT!A370)</f>
        <v>46119</v>
      </c>
      <c r="B369" s="17">
        <f>IF(RAW_INPUT!A370="","",RAW_INPUT!E370)</f>
        <v>436</v>
      </c>
      <c r="C369" s="18">
        <f>IF(RAW_INPUT!A370="","",RAW_INPUT!F370)</f>
        <v>3.86</v>
      </c>
    </row>
    <row r="370" spans="1:3" x14ac:dyDescent="0.25">
      <c r="A370" s="16">
        <f>IF(RAW_INPUT!A371="","",RAW_INPUT!A371)</f>
        <v>46120</v>
      </c>
      <c r="B370" s="17">
        <f>IF(RAW_INPUT!A371="","",RAW_INPUT!E371)</f>
        <v>511</v>
      </c>
      <c r="C370" s="18">
        <f>IF(RAW_INPUT!A371="","",RAW_INPUT!F371)</f>
        <v>3.82</v>
      </c>
    </row>
    <row r="371" spans="1:3" x14ac:dyDescent="0.25">
      <c r="A371" s="16">
        <f>IF(RAW_INPUT!A372="","",RAW_INPUT!A372)</f>
        <v>46121</v>
      </c>
      <c r="B371" s="17">
        <f>IF(RAW_INPUT!A372="","",RAW_INPUT!E372)</f>
        <v>489</v>
      </c>
      <c r="C371" s="18">
        <f>IF(RAW_INPUT!A372="","",RAW_INPUT!F372)</f>
        <v>3.85</v>
      </c>
    </row>
    <row r="372" spans="1:3" x14ac:dyDescent="0.25">
      <c r="A372" s="16">
        <f>IF(RAW_INPUT!A373="","",RAW_INPUT!A373)</f>
        <v>46122</v>
      </c>
      <c r="B372" s="17">
        <f>IF(RAW_INPUT!A373="","",RAW_INPUT!E373)</f>
        <v>498</v>
      </c>
      <c r="C372" s="18">
        <f>IF(RAW_INPUT!A373="","",RAW_INPUT!F373)</f>
        <v>3.82</v>
      </c>
    </row>
    <row r="373" spans="1:3" x14ac:dyDescent="0.25">
      <c r="A373" s="16">
        <f>IF(RAW_INPUT!A374="","",RAW_INPUT!A374)</f>
        <v>46125</v>
      </c>
      <c r="B373" s="17">
        <f>IF(RAW_INPUT!A374="","",RAW_INPUT!E374)</f>
        <v>485</v>
      </c>
      <c r="C373" s="18">
        <f>IF(RAW_INPUT!A374="","",RAW_INPUT!F374)</f>
        <v>3.79</v>
      </c>
    </row>
    <row r="374" spans="1:3" x14ac:dyDescent="0.25">
      <c r="A374" s="16">
        <f>IF(RAW_INPUT!A375="","",RAW_INPUT!A375)</f>
        <v>46126</v>
      </c>
      <c r="B374" s="17">
        <f>IF(RAW_INPUT!A375="","",RAW_INPUT!E375)</f>
        <v>1</v>
      </c>
      <c r="C374" s="18">
        <f>IF(RAW_INPUT!A375="","",RAW_INPUT!F375)</f>
        <v>1341.84</v>
      </c>
    </row>
    <row r="375" spans="1:3" x14ac:dyDescent="0.25">
      <c r="A375" s="16">
        <f>IF(RAW_INPUT!A376="","",RAW_INPUT!A376)</f>
        <v>46127</v>
      </c>
      <c r="B375" s="17">
        <f>IF(RAW_INPUT!A376="","",RAW_INPUT!E376)</f>
        <v>507</v>
      </c>
      <c r="C375" s="18">
        <f>IF(RAW_INPUT!A376="","",RAW_INPUT!F376)</f>
        <v>3.77</v>
      </c>
    </row>
    <row r="376" spans="1:3" x14ac:dyDescent="0.25">
      <c r="A376" s="16">
        <f>IF(RAW_INPUT!A377="","",RAW_INPUT!A377)</f>
        <v>46128</v>
      </c>
      <c r="B376" s="17">
        <f>IF(RAW_INPUT!A377="","",RAW_INPUT!E377)</f>
        <v>568</v>
      </c>
      <c r="C376" s="18">
        <f>IF(RAW_INPUT!A377="","",RAW_INPUT!F377)</f>
        <v>3.81</v>
      </c>
    </row>
    <row r="377" spans="1:3" x14ac:dyDescent="0.25">
      <c r="A377" s="16">
        <f>IF(RAW_INPUT!A378="","",RAW_INPUT!A378)</f>
        <v>46129</v>
      </c>
      <c r="B377" s="17">
        <f>IF(RAW_INPUT!A378="","",RAW_INPUT!E378)</f>
        <v>574</v>
      </c>
      <c r="C377" s="18">
        <f>IF(RAW_INPUT!A378="","",RAW_INPUT!F378)</f>
        <v>3.76</v>
      </c>
    </row>
    <row r="378" spans="1:3" x14ac:dyDescent="0.25">
      <c r="A378" s="16">
        <f>IF(RAW_INPUT!A379="","",RAW_INPUT!A379)</f>
        <v>46132</v>
      </c>
      <c r="B378" s="17">
        <f>IF(RAW_INPUT!A379="","",RAW_INPUT!E379)</f>
        <v>466</v>
      </c>
      <c r="C378" s="18">
        <f>IF(RAW_INPUT!A379="","",RAW_INPUT!F379)</f>
        <v>3.8</v>
      </c>
    </row>
    <row r="379" spans="1:3" x14ac:dyDescent="0.25">
      <c r="A379" s="16">
        <f>IF(RAW_INPUT!A380="","",RAW_INPUT!A380)</f>
        <v>46133</v>
      </c>
      <c r="B379" s="17">
        <f>IF(RAW_INPUT!A380="","",RAW_INPUT!E380)</f>
        <v>416</v>
      </c>
      <c r="C379" s="18">
        <f>IF(RAW_INPUT!A380="","",RAW_INPUT!F380)</f>
        <v>3.78</v>
      </c>
    </row>
    <row r="380" spans="1:3" x14ac:dyDescent="0.25">
      <c r="A380" s="16">
        <f>IF(RAW_INPUT!A381="","",RAW_INPUT!A381)</f>
        <v>46134</v>
      </c>
      <c r="B380" s="17">
        <f>IF(RAW_INPUT!A381="","",RAW_INPUT!E381)</f>
        <v>384</v>
      </c>
      <c r="C380" s="18">
        <f>IF(RAW_INPUT!A381="","",RAW_INPUT!F381)</f>
        <v>3.73</v>
      </c>
    </row>
    <row r="381" spans="1:3" x14ac:dyDescent="0.25">
      <c r="A381" s="16">
        <f>IF(RAW_INPUT!A382="","",RAW_INPUT!A382)</f>
        <v>46135</v>
      </c>
      <c r="B381" s="17">
        <f>IF(RAW_INPUT!A382="","",RAW_INPUT!E382)</f>
        <v>323</v>
      </c>
      <c r="C381" s="18">
        <f>IF(RAW_INPUT!A382="","",RAW_INPUT!F382)</f>
        <v>3.74</v>
      </c>
    </row>
    <row r="382" spans="1:3" x14ac:dyDescent="0.25">
      <c r="A382" s="16">
        <f>IF(RAW_INPUT!A383="","",RAW_INPUT!A383)</f>
        <v>46136</v>
      </c>
      <c r="B382" s="17">
        <f>IF(RAW_INPUT!A383="","",RAW_INPUT!E383)</f>
        <v>440</v>
      </c>
      <c r="C382" s="18">
        <f>IF(RAW_INPUT!A383="","",RAW_INPUT!F383)</f>
        <v>3.75</v>
      </c>
    </row>
    <row r="383" spans="1:3" x14ac:dyDescent="0.25">
      <c r="A383" s="16">
        <f>IF(RAW_INPUT!A384="","",RAW_INPUT!A384)</f>
        <v>46139</v>
      </c>
      <c r="B383" s="17">
        <f>IF(RAW_INPUT!A384="","",RAW_INPUT!E384)</f>
        <v>493</v>
      </c>
      <c r="C383" s="18">
        <f>IF(RAW_INPUT!A384="","",RAW_INPUT!F384)</f>
        <v>3.74</v>
      </c>
    </row>
    <row r="384" spans="1:3" x14ac:dyDescent="0.25">
      <c r="A384" s="16">
        <f>IF(RAW_INPUT!A385="","",RAW_INPUT!A385)</f>
        <v>46140</v>
      </c>
      <c r="B384" s="17">
        <f>IF(RAW_INPUT!A385="","",RAW_INPUT!E385)</f>
        <v>533</v>
      </c>
      <c r="C384" s="18">
        <f>IF(RAW_INPUT!A385="","",RAW_INPUT!F385)</f>
        <v>3.75</v>
      </c>
    </row>
    <row r="385" spans="1:3" x14ac:dyDescent="0.25">
      <c r="A385" s="16">
        <f>IF(RAW_INPUT!A386="","",RAW_INPUT!A386)</f>
        <v>46141</v>
      </c>
      <c r="B385" s="17">
        <f>IF(RAW_INPUT!A386="","",RAW_INPUT!E386)</f>
        <v>542</v>
      </c>
      <c r="C385" s="18">
        <f>IF(RAW_INPUT!A386="","",RAW_INPUT!F386)</f>
        <v>3.7</v>
      </c>
    </row>
    <row r="386" spans="1:3" x14ac:dyDescent="0.25">
      <c r="A386" s="16">
        <f>IF(RAW_INPUT!A387="","",RAW_INPUT!A387)</f>
        <v>46142</v>
      </c>
      <c r="B386" s="17">
        <f>IF(RAW_INPUT!A387="","",RAW_INPUT!E387)</f>
        <v>1</v>
      </c>
      <c r="C386" s="18">
        <f>IF(RAW_INPUT!A387="","",RAW_INPUT!F387)</f>
        <v>806.28</v>
      </c>
    </row>
    <row r="387" spans="1:3" x14ac:dyDescent="0.25">
      <c r="A387" s="16">
        <f>IF(RAW_INPUT!A388="","",RAW_INPUT!A388)</f>
        <v>46143</v>
      </c>
      <c r="B387" s="17">
        <f>IF(RAW_INPUT!A388="","",RAW_INPUT!E388)</f>
        <v>467</v>
      </c>
      <c r="C387" s="18">
        <f>IF(RAW_INPUT!A388="","",RAW_INPUT!F388)</f>
        <v>3.69</v>
      </c>
    </row>
    <row r="388" spans="1:3" x14ac:dyDescent="0.25">
      <c r="A388" s="16">
        <f>IF(RAW_INPUT!A389="","",RAW_INPUT!A389)</f>
        <v>46146</v>
      </c>
      <c r="B388" s="17">
        <f>IF(RAW_INPUT!A389="","",RAW_INPUT!E389)</f>
        <v>513</v>
      </c>
      <c r="C388" s="18">
        <f>IF(RAW_INPUT!A389="","",RAW_INPUT!F389)</f>
        <v>3.71</v>
      </c>
    </row>
    <row r="389" spans="1:3" x14ac:dyDescent="0.25">
      <c r="A389" s="16">
        <f>IF(RAW_INPUT!A390="","",RAW_INPUT!A390)</f>
        <v>46147</v>
      </c>
      <c r="B389" s="17">
        <f>IF(RAW_INPUT!A390="","",RAW_INPUT!E390)</f>
        <v>545</v>
      </c>
      <c r="C389" s="18">
        <f>IF(RAW_INPUT!A390="","",RAW_INPUT!F390)</f>
        <v>3.66</v>
      </c>
    </row>
    <row r="390" spans="1:3" x14ac:dyDescent="0.25">
      <c r="A390" s="16">
        <f>IF(RAW_INPUT!A391="","",RAW_INPUT!A391)</f>
        <v>46148</v>
      </c>
      <c r="B390" s="17">
        <f>IF(RAW_INPUT!A391="","",RAW_INPUT!E391)</f>
        <v>513</v>
      </c>
      <c r="C390" s="18">
        <f>IF(RAW_INPUT!A391="","",RAW_INPUT!F391)</f>
        <v>3.62</v>
      </c>
    </row>
    <row r="391" spans="1:3" x14ac:dyDescent="0.25">
      <c r="A391" s="16">
        <f>IF(RAW_INPUT!A392="","",RAW_INPUT!A392)</f>
        <v>46149</v>
      </c>
      <c r="B391" s="17">
        <f>IF(RAW_INPUT!A392="","",RAW_INPUT!E392)</f>
        <v>1</v>
      </c>
      <c r="C391" s="18">
        <f>IF(RAW_INPUT!A392="","",RAW_INPUT!F392)</f>
        <v>1282.55</v>
      </c>
    </row>
    <row r="392" spans="1:3" x14ac:dyDescent="0.25">
      <c r="A392" s="16">
        <f>IF(RAW_INPUT!A393="","",RAW_INPUT!A393)</f>
        <v>46150</v>
      </c>
      <c r="B392" s="17">
        <f>IF(RAW_INPUT!A393="","",RAW_INPUT!E393)</f>
        <v>394</v>
      </c>
      <c r="C392" s="18">
        <f>IF(RAW_INPUT!A393="","",RAW_INPUT!F393)</f>
        <v>3.67</v>
      </c>
    </row>
    <row r="393" spans="1:3" x14ac:dyDescent="0.25">
      <c r="A393" s="16">
        <f>IF(RAW_INPUT!A394="","",RAW_INPUT!A394)</f>
        <v>46153</v>
      </c>
      <c r="B393" s="17">
        <f>IF(RAW_INPUT!A394="","",RAW_INPUT!E394)</f>
        <v>438</v>
      </c>
      <c r="C393" s="18">
        <f>IF(RAW_INPUT!A394="","",RAW_INPUT!F394)</f>
        <v>3.66</v>
      </c>
    </row>
    <row r="394" spans="1:3" x14ac:dyDescent="0.25">
      <c r="A394" s="16">
        <f>IF(RAW_INPUT!A395="","",RAW_INPUT!A395)</f>
        <v>46154</v>
      </c>
      <c r="B394" s="17">
        <f>IF(RAW_INPUT!A395="","",RAW_INPUT!E395)</f>
        <v>1</v>
      </c>
      <c r="C394" s="18">
        <f>IF(RAW_INPUT!A395="","",RAW_INPUT!F395)</f>
        <v>884.41</v>
      </c>
    </row>
    <row r="395" spans="1:3" x14ac:dyDescent="0.25">
      <c r="A395" s="16">
        <f>IF(RAW_INPUT!A396="","",RAW_INPUT!A396)</f>
        <v>46155</v>
      </c>
      <c r="B395" s="17">
        <f>IF(RAW_INPUT!A396="","",RAW_INPUT!E396)</f>
        <v>461</v>
      </c>
      <c r="C395" s="18">
        <f>IF(RAW_INPUT!A396="","",RAW_INPUT!F396)</f>
        <v>3.65</v>
      </c>
    </row>
    <row r="396" spans="1:3" x14ac:dyDescent="0.25">
      <c r="A396" s="16">
        <f>IF(RAW_INPUT!A397="","",RAW_INPUT!A397)</f>
        <v>46156</v>
      </c>
      <c r="B396" s="17">
        <f>IF(RAW_INPUT!A397="","",RAW_INPUT!E397)</f>
        <v>428</v>
      </c>
      <c r="C396" s="18">
        <f>IF(RAW_INPUT!A397="","",RAW_INPUT!F397)</f>
        <v>3.59</v>
      </c>
    </row>
    <row r="397" spans="1:3" x14ac:dyDescent="0.25">
      <c r="A397" s="16">
        <f>IF(RAW_INPUT!A398="","",RAW_INPUT!A398)</f>
        <v>46157</v>
      </c>
      <c r="B397" s="17">
        <f>IF(RAW_INPUT!A398="","",RAW_INPUT!E398)</f>
        <v>314</v>
      </c>
      <c r="C397" s="18">
        <f>IF(RAW_INPUT!A398="","",RAW_INPUT!F398)</f>
        <v>3.58</v>
      </c>
    </row>
    <row r="398" spans="1:3" x14ac:dyDescent="0.25">
      <c r="A398" s="16">
        <f>IF(RAW_INPUT!A399="","",RAW_INPUT!A399)</f>
        <v>46160</v>
      </c>
      <c r="B398" s="17">
        <f>IF(RAW_INPUT!A399="","",RAW_INPUT!E399)</f>
        <v>233</v>
      </c>
      <c r="C398" s="18">
        <f>IF(RAW_INPUT!A399="","",RAW_INPUT!F399)</f>
        <v>3.57</v>
      </c>
    </row>
    <row r="399" spans="1:3" x14ac:dyDescent="0.25">
      <c r="A399" s="16">
        <f>IF(RAW_INPUT!A400="","",RAW_INPUT!A400)</f>
        <v>46161</v>
      </c>
      <c r="B399" s="17">
        <f>IF(RAW_INPUT!A400="","",RAW_INPUT!E400)</f>
        <v>260</v>
      </c>
      <c r="C399" s="18">
        <f>IF(RAW_INPUT!A400="","",RAW_INPUT!F400)</f>
        <v>3.55</v>
      </c>
    </row>
    <row r="400" spans="1:3" x14ac:dyDescent="0.25">
      <c r="A400" s="16">
        <f>IF(RAW_INPUT!A401="","",RAW_INPUT!A401)</f>
        <v>46162</v>
      </c>
      <c r="B400" s="17">
        <f>IF(RAW_INPUT!A401="","",RAW_INPUT!E401)</f>
        <v>288</v>
      </c>
      <c r="C400" s="18">
        <f>IF(RAW_INPUT!A401="","",RAW_INPUT!F401)</f>
        <v>3.57</v>
      </c>
    </row>
    <row r="401" spans="1:3" x14ac:dyDescent="0.25">
      <c r="A401" s="16">
        <f>IF(RAW_INPUT!A402="","",RAW_INPUT!A402)</f>
        <v>46163</v>
      </c>
      <c r="B401" s="17">
        <f>IF(RAW_INPUT!A402="","",RAW_INPUT!E402)</f>
        <v>311</v>
      </c>
      <c r="C401" s="18">
        <f>IF(RAW_INPUT!A402="","",RAW_INPUT!F402)</f>
        <v>3.58</v>
      </c>
    </row>
    <row r="402" spans="1:3" x14ac:dyDescent="0.25">
      <c r="A402" s="16">
        <f>IF(RAW_INPUT!A403="","",RAW_INPUT!A403)</f>
        <v>46164</v>
      </c>
      <c r="B402" s="17">
        <f>IF(RAW_INPUT!A403="","",RAW_INPUT!E403)</f>
        <v>316</v>
      </c>
      <c r="C402" s="18">
        <f>IF(RAW_INPUT!A403="","",RAW_INPUT!F403)</f>
        <v>3.54</v>
      </c>
    </row>
    <row r="403" spans="1:3" x14ac:dyDescent="0.25">
      <c r="A403" s="16">
        <f>IF(RAW_INPUT!A404="","",RAW_INPUT!A404)</f>
        <v>46167</v>
      </c>
      <c r="B403" s="17">
        <f>IF(RAW_INPUT!A404="","",RAW_INPUT!E404)</f>
        <v>394</v>
      </c>
      <c r="C403" s="18">
        <f>IF(RAW_INPUT!A404="","",RAW_INPUT!F404)</f>
        <v>3.55</v>
      </c>
    </row>
    <row r="404" spans="1:3" x14ac:dyDescent="0.25">
      <c r="A404" s="16">
        <f>IF(RAW_INPUT!A405="","",RAW_INPUT!A405)</f>
        <v>46168</v>
      </c>
      <c r="B404" s="17">
        <f>IF(RAW_INPUT!A405="","",RAW_INPUT!E405)</f>
        <v>479</v>
      </c>
      <c r="C404" s="18">
        <f>IF(RAW_INPUT!A405="","",RAW_INPUT!F405)</f>
        <v>3.49</v>
      </c>
    </row>
    <row r="405" spans="1:3" x14ac:dyDescent="0.25">
      <c r="A405" s="16">
        <f>IF(RAW_INPUT!A406="","",RAW_INPUT!A406)</f>
        <v>46169</v>
      </c>
      <c r="B405" s="17">
        <f>IF(RAW_INPUT!A406="","",RAW_INPUT!E406)</f>
        <v>516</v>
      </c>
      <c r="C405" s="18">
        <f>IF(RAW_INPUT!A406="","",RAW_INPUT!F406)</f>
        <v>3.51</v>
      </c>
    </row>
    <row r="406" spans="1:3" x14ac:dyDescent="0.25">
      <c r="A406" s="16">
        <f>IF(RAW_INPUT!A407="","",RAW_INPUT!A407)</f>
        <v>46170</v>
      </c>
      <c r="B406" s="17">
        <f>IF(RAW_INPUT!A407="","",RAW_INPUT!E407)</f>
        <v>1</v>
      </c>
      <c r="C406" s="18">
        <f>IF(RAW_INPUT!A407="","",RAW_INPUT!F407)</f>
        <v>1053.05</v>
      </c>
    </row>
    <row r="407" spans="1:3" x14ac:dyDescent="0.25">
      <c r="A407" s="16">
        <f>IF(RAW_INPUT!A408="","",RAW_INPUT!A408)</f>
        <v>46171</v>
      </c>
      <c r="B407" s="17">
        <f>IF(RAW_INPUT!A408="","",RAW_INPUT!E408)</f>
        <v>550</v>
      </c>
      <c r="C407" s="18">
        <f>IF(RAW_INPUT!A408="","",RAW_INPUT!F408)</f>
        <v>3.5</v>
      </c>
    </row>
    <row r="408" spans="1:3" x14ac:dyDescent="0.25">
      <c r="A408" s="16">
        <f>IF(RAW_INPUT!A409="","",RAW_INPUT!A409)</f>
        <v>46174</v>
      </c>
      <c r="B408" s="17">
        <f>IF(RAW_INPUT!A409="","",RAW_INPUT!E409)</f>
        <v>555</v>
      </c>
      <c r="C408" s="18">
        <f>IF(RAW_INPUT!A409="","",RAW_INPUT!F409)</f>
        <v>3.53</v>
      </c>
    </row>
    <row r="409" spans="1:3" x14ac:dyDescent="0.25">
      <c r="A409" s="16">
        <f>IF(RAW_INPUT!A410="","",RAW_INPUT!A410)</f>
        <v>46175</v>
      </c>
      <c r="B409" s="17">
        <f>IF(RAW_INPUT!A410="","",RAW_INPUT!E410)</f>
        <v>482</v>
      </c>
      <c r="C409" s="18">
        <f>IF(RAW_INPUT!A410="","",RAW_INPUT!F410)</f>
        <v>3.47</v>
      </c>
    </row>
    <row r="410" spans="1:3" x14ac:dyDescent="0.25">
      <c r="A410" s="16">
        <f>IF(RAW_INPUT!A411="","",RAW_INPUT!A411)</f>
        <v>46176</v>
      </c>
      <c r="B410" s="17">
        <f>IF(RAW_INPUT!A411="","",RAW_INPUT!E411)</f>
        <v>502</v>
      </c>
      <c r="C410" s="18">
        <f>IF(RAW_INPUT!A411="","",RAW_INPUT!F411)</f>
        <v>3.51</v>
      </c>
    </row>
    <row r="411" spans="1:3" x14ac:dyDescent="0.25">
      <c r="A411" s="16">
        <f>IF(RAW_INPUT!A412="","",RAW_INPUT!A412)</f>
        <v>46177</v>
      </c>
      <c r="B411" s="17">
        <f>IF(RAW_INPUT!A412="","",RAW_INPUT!E412)</f>
        <v>1</v>
      </c>
      <c r="C411" s="18">
        <f>IF(RAW_INPUT!A412="","",RAW_INPUT!F412)</f>
        <v>1381.2</v>
      </c>
    </row>
    <row r="412" spans="1:3" x14ac:dyDescent="0.25">
      <c r="A412" s="16">
        <f>IF(RAW_INPUT!A413="","",RAW_INPUT!A413)</f>
        <v>46178</v>
      </c>
      <c r="B412" s="17">
        <f>IF(RAW_INPUT!A413="","",RAW_INPUT!E413)</f>
        <v>555</v>
      </c>
      <c r="C412" s="18">
        <f>IF(RAW_INPUT!A413="","",RAW_INPUT!F413)</f>
        <v>3.44</v>
      </c>
    </row>
    <row r="413" spans="1:3" x14ac:dyDescent="0.25">
      <c r="A413" s="16">
        <f>IF(RAW_INPUT!A414="","",RAW_INPUT!A414)</f>
        <v>46181</v>
      </c>
      <c r="B413" s="17">
        <f>IF(RAW_INPUT!A414="","",RAW_INPUT!E414)</f>
        <v>527</v>
      </c>
      <c r="C413" s="18">
        <f>IF(RAW_INPUT!A414="","",RAW_INPUT!F414)</f>
        <v>3.48</v>
      </c>
    </row>
    <row r="414" spans="1:3" x14ac:dyDescent="0.25">
      <c r="A414" s="16">
        <f>IF(RAW_INPUT!A415="","",RAW_INPUT!A415)</f>
        <v>46182</v>
      </c>
      <c r="B414" s="17">
        <f>IF(RAW_INPUT!A415="","",RAW_INPUT!E415)</f>
        <v>568</v>
      </c>
      <c r="C414" s="18">
        <f>IF(RAW_INPUT!A415="","",RAW_INPUT!F415)</f>
        <v>3.42</v>
      </c>
    </row>
    <row r="415" spans="1:3" x14ac:dyDescent="0.25">
      <c r="A415" s="16">
        <f>IF(RAW_INPUT!A416="","",RAW_INPUT!A416)</f>
        <v>46183</v>
      </c>
      <c r="B415" s="17">
        <f>IF(RAW_INPUT!A416="","",RAW_INPUT!E416)</f>
        <v>542</v>
      </c>
      <c r="C415" s="18">
        <f>IF(RAW_INPUT!A416="","",RAW_INPUT!F416)</f>
        <v>3.45</v>
      </c>
    </row>
    <row r="416" spans="1:3" x14ac:dyDescent="0.25">
      <c r="A416" s="16">
        <f>IF(RAW_INPUT!A417="","",RAW_INPUT!A417)</f>
        <v>46184</v>
      </c>
      <c r="B416" s="17">
        <f>IF(RAW_INPUT!A417="","",RAW_INPUT!E417)</f>
        <v>1</v>
      </c>
      <c r="C416" s="18">
        <f>IF(RAW_INPUT!A417="","",RAW_INPUT!F417)</f>
        <v>884.46</v>
      </c>
    </row>
    <row r="417" spans="1:3" x14ac:dyDescent="0.25">
      <c r="A417" s="16">
        <f>IF(RAW_INPUT!A418="","",RAW_INPUT!A418)</f>
        <v>46185</v>
      </c>
      <c r="B417" s="17">
        <f>IF(RAW_INPUT!A418="","",RAW_INPUT!E418)</f>
        <v>573</v>
      </c>
      <c r="C417" s="18">
        <f>IF(RAW_INPUT!A418="","",RAW_INPUT!F418)</f>
        <v>3.41</v>
      </c>
    </row>
    <row r="418" spans="1:3" x14ac:dyDescent="0.25">
      <c r="A418" s="16">
        <f>IF(RAW_INPUT!A419="","",RAW_INPUT!A419)</f>
        <v>46188</v>
      </c>
      <c r="B418" s="17">
        <f>IF(RAW_INPUT!A419="","",RAW_INPUT!E419)</f>
        <v>585</v>
      </c>
      <c r="C418" s="18">
        <f>IF(RAW_INPUT!A419="","",RAW_INPUT!F419)</f>
        <v>3.42</v>
      </c>
    </row>
    <row r="419" spans="1:3" x14ac:dyDescent="0.25">
      <c r="A419" s="16">
        <f>IF(RAW_INPUT!A420="","",RAW_INPUT!A420)</f>
        <v>46189</v>
      </c>
      <c r="B419" s="17">
        <f>IF(RAW_INPUT!A420="","",RAW_INPUT!E420)</f>
        <v>535</v>
      </c>
      <c r="C419" s="18">
        <f>IF(RAW_INPUT!A420="","",RAW_INPUT!F420)</f>
        <v>3.38</v>
      </c>
    </row>
    <row r="420" spans="1:3" x14ac:dyDescent="0.25">
      <c r="A420" s="16">
        <f>IF(RAW_INPUT!A421="","",RAW_INPUT!A421)</f>
        <v>46190</v>
      </c>
      <c r="B420" s="17">
        <f>IF(RAW_INPUT!A421="","",RAW_INPUT!E421)</f>
        <v>527</v>
      </c>
      <c r="C420" s="18">
        <f>IF(RAW_INPUT!A421="","",RAW_INPUT!F421)</f>
        <v>3.4</v>
      </c>
    </row>
    <row r="421" spans="1:3" x14ac:dyDescent="0.25">
      <c r="A421" s="16">
        <f>IF(RAW_INPUT!A422="","",RAW_INPUT!A422)</f>
        <v>46191</v>
      </c>
      <c r="B421" s="17">
        <f>IF(RAW_INPUT!A422="","",RAW_INPUT!E422)</f>
        <v>1</v>
      </c>
      <c r="C421" s="18">
        <f>IF(RAW_INPUT!A422="","",RAW_INPUT!F422)</f>
        <v>1637.33</v>
      </c>
    </row>
    <row r="422" spans="1:3" x14ac:dyDescent="0.25">
      <c r="A422" s="16">
        <f>IF(RAW_INPUT!A423="","",RAW_INPUT!A423)</f>
        <v>46192</v>
      </c>
      <c r="B422" s="17">
        <f>IF(RAW_INPUT!A423="","",RAW_INPUT!E423)</f>
        <v>586</v>
      </c>
      <c r="C422" s="18">
        <f>IF(RAW_INPUT!A423="","",RAW_INPUT!F423)</f>
        <v>3.37</v>
      </c>
    </row>
    <row r="423" spans="1:3" x14ac:dyDescent="0.25">
      <c r="A423" s="16">
        <f>IF(RAW_INPUT!A424="","",RAW_INPUT!A424)</f>
        <v>46195</v>
      </c>
      <c r="B423" s="17">
        <f>IF(RAW_INPUT!A424="","",RAW_INPUT!E424)</f>
        <v>555</v>
      </c>
      <c r="C423" s="18">
        <f>IF(RAW_INPUT!A424="","",RAW_INPUT!F424)</f>
        <v>3.37</v>
      </c>
    </row>
    <row r="424" spans="1:3" x14ac:dyDescent="0.25">
      <c r="A424" s="16">
        <f>IF(RAW_INPUT!A425="","",RAW_INPUT!A425)</f>
        <v>46196</v>
      </c>
      <c r="B424" s="17">
        <f>IF(RAW_INPUT!A425="","",RAW_INPUT!E425)</f>
        <v>598</v>
      </c>
      <c r="C424" s="18">
        <f>IF(RAW_INPUT!A425="","",RAW_INPUT!F425)</f>
        <v>3.9</v>
      </c>
    </row>
    <row r="425" spans="1:3" x14ac:dyDescent="0.25">
      <c r="A425" s="16">
        <f>IF(RAW_INPUT!A426="","",RAW_INPUT!A426)</f>
        <v>46197</v>
      </c>
      <c r="B425" s="17">
        <f>IF(RAW_INPUT!A426="","",RAW_INPUT!E426)</f>
        <v>1</v>
      </c>
      <c r="C425" s="18">
        <f>IF(RAW_INPUT!A426="","",RAW_INPUT!F426)</f>
        <v>1299.53</v>
      </c>
    </row>
    <row r="426" spans="1:3" x14ac:dyDescent="0.25">
      <c r="A426" s="16">
        <f>IF(RAW_INPUT!A427="","",RAW_INPUT!A427)</f>
        <v>46198</v>
      </c>
      <c r="B426" s="17">
        <f>IF(RAW_INPUT!A427="","",RAW_INPUT!E427)</f>
        <v>623</v>
      </c>
      <c r="C426" s="18">
        <f>IF(RAW_INPUT!A427="","",RAW_INPUT!F427)</f>
        <v>3.88</v>
      </c>
    </row>
    <row r="427" spans="1:3" x14ac:dyDescent="0.25">
      <c r="A427" s="16">
        <f>IF(RAW_INPUT!A428="","",RAW_INPUT!A428)</f>
        <v>46199</v>
      </c>
      <c r="B427" s="17">
        <f>IF(RAW_INPUT!A428="","",RAW_INPUT!E428)</f>
        <v>584</v>
      </c>
      <c r="C427" s="18">
        <f>IF(RAW_INPUT!A428="","",RAW_INPUT!F428)</f>
        <v>3.84</v>
      </c>
    </row>
    <row r="428" spans="1:3" x14ac:dyDescent="0.25">
      <c r="A428" s="16">
        <f>IF(RAW_INPUT!A429="","",RAW_INPUT!A429)</f>
        <v>46202</v>
      </c>
      <c r="B428" s="17">
        <f>IF(RAW_INPUT!A429="","",RAW_INPUT!E429)</f>
        <v>601</v>
      </c>
      <c r="C428" s="18">
        <f>IF(RAW_INPUT!A429="","",RAW_INPUT!F429)</f>
        <v>3.86</v>
      </c>
    </row>
    <row r="429" spans="1:3" x14ac:dyDescent="0.25">
      <c r="A429" s="16">
        <f>IF(RAW_INPUT!A430="","",RAW_INPUT!A430)</f>
        <v>46203</v>
      </c>
      <c r="B429" s="17">
        <f>IF(RAW_INPUT!A430="","",RAW_INPUT!E430)</f>
        <v>1</v>
      </c>
      <c r="C429" s="18">
        <f>IF(RAW_INPUT!A430="","",RAW_INPUT!F430)</f>
        <v>1546.59</v>
      </c>
    </row>
    <row r="430" spans="1:3" x14ac:dyDescent="0.25">
      <c r="A430" s="16">
        <f>IF(RAW_INPUT!A431="","",RAW_INPUT!A431)</f>
        <v>46204</v>
      </c>
      <c r="B430" s="17">
        <f>IF(RAW_INPUT!A431="","",RAW_INPUT!E431)</f>
        <v>561</v>
      </c>
      <c r="C430" s="18">
        <f>IF(RAW_INPUT!A431="","",RAW_INPUT!F431)</f>
        <v>3.85</v>
      </c>
    </row>
    <row r="431" spans="1:3" x14ac:dyDescent="0.25">
      <c r="A431" s="16">
        <f>IF(RAW_INPUT!A432="","",RAW_INPUT!A432)</f>
        <v>46205</v>
      </c>
      <c r="B431" s="17">
        <f>IF(RAW_INPUT!A432="","",RAW_INPUT!E432)</f>
        <v>585</v>
      </c>
      <c r="C431" s="18">
        <f>IF(RAW_INPUT!A432="","",RAW_INPUT!F432)</f>
        <v>3.87</v>
      </c>
    </row>
    <row r="432" spans="1:3" x14ac:dyDescent="0.25">
      <c r="A432" s="16">
        <f>IF(RAW_INPUT!A433="","",RAW_INPUT!A433)</f>
        <v>46206</v>
      </c>
      <c r="B432" s="17">
        <f>IF(RAW_INPUT!A433="","",RAW_INPUT!E433)</f>
        <v>585</v>
      </c>
      <c r="C432" s="18">
        <f>IF(RAW_INPUT!A433="","",RAW_INPUT!F433)</f>
        <v>3.85</v>
      </c>
    </row>
    <row r="433" spans="1:3" x14ac:dyDescent="0.25">
      <c r="A433" s="16">
        <f>IF(RAW_INPUT!A434="","",RAW_INPUT!A434)</f>
        <v>46209</v>
      </c>
      <c r="B433" s="17">
        <f>IF(RAW_INPUT!A434="","",RAW_INPUT!E434)</f>
        <v>582</v>
      </c>
      <c r="C433" s="18">
        <f>IF(RAW_INPUT!A434="","",RAW_INPUT!F434)</f>
        <v>3.84</v>
      </c>
    </row>
    <row r="434" spans="1:3" x14ac:dyDescent="0.25">
      <c r="A434" s="16">
        <f>IF(RAW_INPUT!A435="","",RAW_INPUT!A435)</f>
        <v>46210</v>
      </c>
      <c r="B434" s="17">
        <f>IF(RAW_INPUT!A435="","",RAW_INPUT!E435)</f>
        <v>650</v>
      </c>
      <c r="C434" s="18">
        <f>IF(RAW_INPUT!A435="","",RAW_INPUT!F435)</f>
        <v>3.77</v>
      </c>
    </row>
    <row r="435" spans="1:3" x14ac:dyDescent="0.25">
      <c r="A435" s="16">
        <f>IF(RAW_INPUT!A436="","",RAW_INPUT!A436)</f>
        <v>46211</v>
      </c>
      <c r="B435" s="17">
        <f>IF(RAW_INPUT!A436="","",RAW_INPUT!E436)</f>
        <v>1</v>
      </c>
      <c r="C435" s="18">
        <f>IF(RAW_INPUT!A436="","",RAW_INPUT!F436)</f>
        <v>837.52</v>
      </c>
    </row>
    <row r="436" spans="1:3" x14ac:dyDescent="0.25">
      <c r="A436" s="16">
        <f>IF(RAW_INPUT!A437="","",RAW_INPUT!A437)</f>
        <v>46212</v>
      </c>
      <c r="B436" s="17">
        <f>IF(RAW_INPUT!A437="","",RAW_INPUT!E437)</f>
        <v>668</v>
      </c>
      <c r="C436" s="18">
        <f>IF(RAW_INPUT!A437="","",RAW_INPUT!F437)</f>
        <v>3.81</v>
      </c>
    </row>
    <row r="437" spans="1:3" x14ac:dyDescent="0.25">
      <c r="A437" s="16">
        <f>IF(RAW_INPUT!A438="","",RAW_INPUT!A438)</f>
        <v>46213</v>
      </c>
      <c r="B437" s="17">
        <f>IF(RAW_INPUT!A438="","",RAW_INPUT!E438)</f>
        <v>616</v>
      </c>
      <c r="C437" s="18">
        <f>IF(RAW_INPUT!A438="","",RAW_INPUT!F438)</f>
        <v>3.81</v>
      </c>
    </row>
    <row r="438" spans="1:3" x14ac:dyDescent="0.25">
      <c r="A438" s="16">
        <f>IF(RAW_INPUT!A439="","",RAW_INPUT!A439)</f>
        <v>46216</v>
      </c>
      <c r="B438" s="17">
        <f>IF(RAW_INPUT!A439="","",RAW_INPUT!E439)</f>
        <v>603</v>
      </c>
      <c r="C438" s="18">
        <f>IF(RAW_INPUT!A439="","",RAW_INPUT!F439)</f>
        <v>3.82</v>
      </c>
    </row>
    <row r="439" spans="1:3" x14ac:dyDescent="0.25">
      <c r="A439" s="16">
        <f>IF(RAW_INPUT!A440="","",RAW_INPUT!A440)</f>
        <v>46217</v>
      </c>
      <c r="B439" s="17">
        <f>IF(RAW_INPUT!A440="","",RAW_INPUT!E440)</f>
        <v>1</v>
      </c>
      <c r="C439" s="18">
        <f>IF(RAW_INPUT!A440="","",RAW_INPUT!F440)</f>
        <v>1863.93</v>
      </c>
    </row>
    <row r="440" spans="1:3" x14ac:dyDescent="0.25">
      <c r="A440" s="16">
        <f>IF(RAW_INPUT!A441="","",RAW_INPUT!A441)</f>
        <v>46218</v>
      </c>
      <c r="B440" s="17">
        <f>IF(RAW_INPUT!A441="","",RAW_INPUT!E441)</f>
        <v>593</v>
      </c>
      <c r="C440" s="18">
        <f>IF(RAW_INPUT!A441="","",RAW_INPUT!F441)</f>
        <v>3.79</v>
      </c>
    </row>
    <row r="441" spans="1:3" x14ac:dyDescent="0.25">
      <c r="A441" s="16">
        <f>IF(RAW_INPUT!A442="","",RAW_INPUT!A442)</f>
        <v>46219</v>
      </c>
      <c r="B441" s="17">
        <f>IF(RAW_INPUT!A442="","",RAW_INPUT!E442)</f>
        <v>565</v>
      </c>
      <c r="C441" s="18">
        <f>IF(RAW_INPUT!A442="","",RAW_INPUT!F442)</f>
        <v>3.79</v>
      </c>
    </row>
    <row r="442" spans="1:3" x14ac:dyDescent="0.25">
      <c r="A442" s="16">
        <f>IF(RAW_INPUT!A443="","",RAW_INPUT!A443)</f>
        <v>46220</v>
      </c>
      <c r="B442" s="17">
        <f>IF(RAW_INPUT!A443="","",RAW_INPUT!E443)</f>
        <v>599</v>
      </c>
      <c r="C442" s="18">
        <f>IF(RAW_INPUT!A443="","",RAW_INPUT!F443)</f>
        <v>3.75</v>
      </c>
    </row>
    <row r="443" spans="1:3" x14ac:dyDescent="0.25">
      <c r="A443" s="16">
        <f>IF(RAW_INPUT!A444="","",RAW_INPUT!A444)</f>
        <v>46223</v>
      </c>
      <c r="B443" s="17">
        <f>IF(RAW_INPUT!A444="","",RAW_INPUT!E444)</f>
        <v>551</v>
      </c>
      <c r="C443" s="18">
        <f>IF(RAW_INPUT!A444="","",RAW_INPUT!F444)</f>
        <v>3.82</v>
      </c>
    </row>
    <row r="444" spans="1:3" x14ac:dyDescent="0.25">
      <c r="A444" s="16">
        <f>IF(RAW_INPUT!A445="","",RAW_INPUT!A445)</f>
        <v>46224</v>
      </c>
      <c r="B444" s="17">
        <f>IF(RAW_INPUT!A445="","",RAW_INPUT!E445)</f>
        <v>160</v>
      </c>
      <c r="C444" s="18">
        <f>IF(RAW_INPUT!A445="","",RAW_INPUT!F445)</f>
        <v>45.38</v>
      </c>
    </row>
    <row r="445" spans="1:3" x14ac:dyDescent="0.25">
      <c r="A445" t="str">
        <f>IF(RAW_INPUT!A446="","",RAW_INPUT!A446)</f>
        <v/>
      </c>
      <c r="B445" t="str">
        <f>IF(RAW_INPUT!A446="","",RAW_INPUT!E446)</f>
        <v/>
      </c>
      <c r="C445" t="str">
        <f>IF(RAW_INPUT!A446="","",RAW_INPUT!F446)</f>
        <v/>
      </c>
    </row>
    <row r="446" spans="1:3" x14ac:dyDescent="0.25">
      <c r="A446" t="str">
        <f>IF(RAW_INPUT!A447="","",RAW_INPUT!A447)</f>
        <v/>
      </c>
      <c r="B446" t="str">
        <f>IF(RAW_INPUT!A447="","",RAW_INPUT!E447)</f>
        <v/>
      </c>
      <c r="C446" t="str">
        <f>IF(RAW_INPUT!A447="","",RAW_INPUT!F447)</f>
        <v/>
      </c>
    </row>
    <row r="447" spans="1:3" x14ac:dyDescent="0.25">
      <c r="A447" t="str">
        <f>IF(RAW_INPUT!A448="","",RAW_INPUT!A448)</f>
        <v/>
      </c>
      <c r="B447" t="str">
        <f>IF(RAW_INPUT!A448="","",RAW_INPUT!E448)</f>
        <v/>
      </c>
      <c r="C447" t="str">
        <f>IF(RAW_INPUT!A448="","",RAW_INPUT!F448)</f>
        <v/>
      </c>
    </row>
    <row r="448" spans="1:3" x14ac:dyDescent="0.25">
      <c r="A448" t="str">
        <f>IF(RAW_INPUT!A449="","",RAW_INPUT!A449)</f>
        <v/>
      </c>
      <c r="B448" t="str">
        <f>IF(RAW_INPUT!A449="","",RAW_INPUT!E449)</f>
        <v/>
      </c>
      <c r="C448" t="str">
        <f>IF(RAW_INPUT!A449="","",RAW_INPUT!F449)</f>
        <v/>
      </c>
    </row>
    <row r="449" spans="1:3" x14ac:dyDescent="0.25">
      <c r="A449" t="str">
        <f>IF(RAW_INPUT!A450="","",RAW_INPUT!A450)</f>
        <v/>
      </c>
      <c r="B449" t="str">
        <f>IF(RAW_INPUT!A450="","",RAW_INPUT!E450)</f>
        <v/>
      </c>
      <c r="C449" t="str">
        <f>IF(RAW_INPUT!A450="","",RAW_INPUT!F450)</f>
        <v/>
      </c>
    </row>
    <row r="450" spans="1:3" x14ac:dyDescent="0.25">
      <c r="A450" t="str">
        <f>IF(RAW_INPUT!A451="","",RAW_INPUT!A451)</f>
        <v/>
      </c>
      <c r="B450" t="str">
        <f>IF(RAW_INPUT!A451="","",RAW_INPUT!E451)</f>
        <v/>
      </c>
      <c r="C450" t="str">
        <f>IF(RAW_INPUT!A451="","",RAW_INPUT!F451)</f>
        <v/>
      </c>
    </row>
    <row r="451" spans="1:3" x14ac:dyDescent="0.25">
      <c r="A451" t="str">
        <f>IF(RAW_INPUT!A452="","",RAW_INPUT!A452)</f>
        <v/>
      </c>
      <c r="B451" t="str">
        <f>IF(RAW_INPUT!A452="","",RAW_INPUT!E452)</f>
        <v/>
      </c>
      <c r="C451" t="str">
        <f>IF(RAW_INPUT!A452="","",RAW_INPUT!F452)</f>
        <v/>
      </c>
    </row>
    <row r="452" spans="1:3" x14ac:dyDescent="0.25">
      <c r="A452" t="str">
        <f>IF(RAW_INPUT!A453="","",RAW_INPUT!A453)</f>
        <v/>
      </c>
      <c r="B452" t="str">
        <f>IF(RAW_INPUT!A453="","",RAW_INPUT!E453)</f>
        <v/>
      </c>
      <c r="C452" t="str">
        <f>IF(RAW_INPUT!A453="","",RAW_INPUT!F453)</f>
        <v/>
      </c>
    </row>
    <row r="453" spans="1:3" x14ac:dyDescent="0.25">
      <c r="A453" t="str">
        <f>IF(RAW_INPUT!A454="","",RAW_INPUT!A454)</f>
        <v/>
      </c>
      <c r="B453" t="str">
        <f>IF(RAW_INPUT!A454="","",RAW_INPUT!E454)</f>
        <v/>
      </c>
      <c r="C453" t="str">
        <f>IF(RAW_INPUT!A454="","",RAW_INPUT!F454)</f>
        <v/>
      </c>
    </row>
    <row r="454" spans="1:3" x14ac:dyDescent="0.25">
      <c r="A454" t="str">
        <f>IF(RAW_INPUT!A455="","",RAW_INPUT!A455)</f>
        <v/>
      </c>
      <c r="B454" t="str">
        <f>IF(RAW_INPUT!A455="","",RAW_INPUT!E455)</f>
        <v/>
      </c>
      <c r="C454" t="str">
        <f>IF(RAW_INPUT!A455="","",RAW_INPUT!F455)</f>
        <v/>
      </c>
    </row>
    <row r="455" spans="1:3" x14ac:dyDescent="0.25">
      <c r="A455" t="str">
        <f>IF(RAW_INPUT!A456="","",RAW_INPUT!A456)</f>
        <v/>
      </c>
      <c r="B455" t="str">
        <f>IF(RAW_INPUT!A456="","",RAW_INPUT!E456)</f>
        <v/>
      </c>
      <c r="C455" t="str">
        <f>IF(RAW_INPUT!A456="","",RAW_INPUT!F456)</f>
        <v/>
      </c>
    </row>
    <row r="456" spans="1:3" x14ac:dyDescent="0.25">
      <c r="A456" t="str">
        <f>IF(RAW_INPUT!A457="","",RAW_INPUT!A457)</f>
        <v/>
      </c>
      <c r="B456" t="str">
        <f>IF(RAW_INPUT!A457="","",RAW_INPUT!E457)</f>
        <v/>
      </c>
      <c r="C456" t="str">
        <f>IF(RAW_INPUT!A457="","",RAW_INPUT!F457)</f>
        <v/>
      </c>
    </row>
    <row r="457" spans="1:3" x14ac:dyDescent="0.25">
      <c r="A457" t="str">
        <f>IF(RAW_INPUT!A458="","",RAW_INPUT!A458)</f>
        <v/>
      </c>
      <c r="B457" t="str">
        <f>IF(RAW_INPUT!A458="","",RAW_INPUT!E458)</f>
        <v/>
      </c>
      <c r="C457" t="str">
        <f>IF(RAW_INPUT!A458="","",RAW_INPUT!F458)</f>
        <v/>
      </c>
    </row>
    <row r="458" spans="1:3" x14ac:dyDescent="0.25">
      <c r="A458" t="str">
        <f>IF(RAW_INPUT!A459="","",RAW_INPUT!A459)</f>
        <v/>
      </c>
      <c r="B458" t="str">
        <f>IF(RAW_INPUT!A459="","",RAW_INPUT!E459)</f>
        <v/>
      </c>
      <c r="C458" t="str">
        <f>IF(RAW_INPUT!A459="","",RAW_INPUT!F459)</f>
        <v/>
      </c>
    </row>
    <row r="459" spans="1:3" x14ac:dyDescent="0.25">
      <c r="A459" t="str">
        <f>IF(RAW_INPUT!A460="","",RAW_INPUT!A460)</f>
        <v/>
      </c>
      <c r="B459" t="str">
        <f>IF(RAW_INPUT!A460="","",RAW_INPUT!E460)</f>
        <v/>
      </c>
      <c r="C459" t="str">
        <f>IF(RAW_INPUT!A460="","",RAW_INPUT!F460)</f>
        <v/>
      </c>
    </row>
    <row r="460" spans="1:3" x14ac:dyDescent="0.25">
      <c r="A460" t="str">
        <f>IF(RAW_INPUT!A461="","",RAW_INPUT!A461)</f>
        <v/>
      </c>
      <c r="B460" t="str">
        <f>IF(RAW_INPUT!A461="","",RAW_INPUT!E461)</f>
        <v/>
      </c>
      <c r="C460" t="str">
        <f>IF(RAW_INPUT!A461="","",RAW_INPUT!F461)</f>
        <v/>
      </c>
    </row>
    <row r="461" spans="1:3" x14ac:dyDescent="0.25">
      <c r="A461" t="str">
        <f>IF(RAW_INPUT!A462="","",RAW_INPUT!A462)</f>
        <v/>
      </c>
      <c r="B461" t="str">
        <f>IF(RAW_INPUT!A462="","",RAW_INPUT!E462)</f>
        <v/>
      </c>
      <c r="C461" t="str">
        <f>IF(RAW_INPUT!A462="","",RAW_INPUT!F462)</f>
        <v/>
      </c>
    </row>
    <row r="462" spans="1:3" x14ac:dyDescent="0.25">
      <c r="A462" t="str">
        <f>IF(RAW_INPUT!A463="","",RAW_INPUT!A463)</f>
        <v/>
      </c>
      <c r="B462" t="str">
        <f>IF(RAW_INPUT!A463="","",RAW_INPUT!E463)</f>
        <v/>
      </c>
      <c r="C462" t="str">
        <f>IF(RAW_INPUT!A463="","",RAW_INPUT!F463)</f>
        <v/>
      </c>
    </row>
    <row r="463" spans="1:3" x14ac:dyDescent="0.25">
      <c r="A463" t="str">
        <f>IF(RAW_INPUT!A464="","",RAW_INPUT!A464)</f>
        <v/>
      </c>
      <c r="B463" t="str">
        <f>IF(RAW_INPUT!A464="","",RAW_INPUT!E464)</f>
        <v/>
      </c>
      <c r="C463" t="str">
        <f>IF(RAW_INPUT!A464="","",RAW_INPUT!F464)</f>
        <v/>
      </c>
    </row>
    <row r="464" spans="1:3" x14ac:dyDescent="0.25">
      <c r="A464" t="str">
        <f>IF(RAW_INPUT!A465="","",RAW_INPUT!A465)</f>
        <v/>
      </c>
      <c r="B464" t="str">
        <f>IF(RAW_INPUT!A465="","",RAW_INPUT!E465)</f>
        <v/>
      </c>
      <c r="C464" t="str">
        <f>IF(RAW_INPUT!A465="","",RAW_INPUT!F465)</f>
        <v/>
      </c>
    </row>
    <row r="465" spans="1:3" x14ac:dyDescent="0.25">
      <c r="A465" t="str">
        <f>IF(RAW_INPUT!A466="","",RAW_INPUT!A466)</f>
        <v/>
      </c>
      <c r="B465" t="str">
        <f>IF(RAW_INPUT!A466="","",RAW_INPUT!E466)</f>
        <v/>
      </c>
      <c r="C465" t="str">
        <f>IF(RAW_INPUT!A466="","",RAW_INPUT!F466)</f>
        <v/>
      </c>
    </row>
    <row r="466" spans="1:3" x14ac:dyDescent="0.25">
      <c r="A466" t="str">
        <f>IF(RAW_INPUT!A467="","",RAW_INPUT!A467)</f>
        <v/>
      </c>
      <c r="B466" t="str">
        <f>IF(RAW_INPUT!A467="","",RAW_INPUT!E467)</f>
        <v/>
      </c>
      <c r="C466" t="str">
        <f>IF(RAW_INPUT!A467="","",RAW_INPUT!F467)</f>
        <v/>
      </c>
    </row>
    <row r="467" spans="1:3" x14ac:dyDescent="0.25">
      <c r="A467" t="str">
        <f>IF(RAW_INPUT!A468="","",RAW_INPUT!A468)</f>
        <v/>
      </c>
      <c r="B467" t="str">
        <f>IF(RAW_INPUT!A468="","",RAW_INPUT!E468)</f>
        <v/>
      </c>
      <c r="C467" t="str">
        <f>IF(RAW_INPUT!A468="","",RAW_INPUT!F468)</f>
        <v/>
      </c>
    </row>
    <row r="468" spans="1:3" x14ac:dyDescent="0.25">
      <c r="A468" t="str">
        <f>IF(RAW_INPUT!A469="","",RAW_INPUT!A469)</f>
        <v/>
      </c>
      <c r="B468" t="str">
        <f>IF(RAW_INPUT!A469="","",RAW_INPUT!E469)</f>
        <v/>
      </c>
      <c r="C468" t="str">
        <f>IF(RAW_INPUT!A469="","",RAW_INPUT!F469)</f>
        <v/>
      </c>
    </row>
    <row r="469" spans="1:3" x14ac:dyDescent="0.25">
      <c r="A469" t="str">
        <f>IF(RAW_INPUT!A470="","",RAW_INPUT!A470)</f>
        <v/>
      </c>
      <c r="B469" t="str">
        <f>IF(RAW_INPUT!A470="","",RAW_INPUT!E470)</f>
        <v/>
      </c>
      <c r="C469" t="str">
        <f>IF(RAW_INPUT!A470="","",RAW_INPUT!F470)</f>
        <v/>
      </c>
    </row>
    <row r="470" spans="1:3" x14ac:dyDescent="0.25">
      <c r="A470" t="str">
        <f>IF(RAW_INPUT!A471="","",RAW_INPUT!A471)</f>
        <v/>
      </c>
      <c r="B470" t="str">
        <f>IF(RAW_INPUT!A471="","",RAW_INPUT!E471)</f>
        <v/>
      </c>
      <c r="C470" t="str">
        <f>IF(RAW_INPUT!A471="","",RAW_INPUT!F471)</f>
        <v/>
      </c>
    </row>
    <row r="471" spans="1:3" x14ac:dyDescent="0.25">
      <c r="A471" t="str">
        <f>IF(RAW_INPUT!A472="","",RAW_INPUT!A472)</f>
        <v/>
      </c>
      <c r="B471" t="str">
        <f>IF(RAW_INPUT!A472="","",RAW_INPUT!E472)</f>
        <v/>
      </c>
      <c r="C471" t="str">
        <f>IF(RAW_INPUT!A472="","",RAW_INPUT!F472)</f>
        <v/>
      </c>
    </row>
    <row r="472" spans="1:3" x14ac:dyDescent="0.25">
      <c r="A472" t="str">
        <f>IF(RAW_INPUT!A473="","",RAW_INPUT!A473)</f>
        <v/>
      </c>
      <c r="B472" t="str">
        <f>IF(RAW_INPUT!A473="","",RAW_INPUT!E473)</f>
        <v/>
      </c>
      <c r="C472" t="str">
        <f>IF(RAW_INPUT!A473="","",RAW_INPUT!F473)</f>
        <v/>
      </c>
    </row>
    <row r="473" spans="1:3" x14ac:dyDescent="0.25">
      <c r="A473" t="str">
        <f>IF(RAW_INPUT!A474="","",RAW_INPUT!A474)</f>
        <v/>
      </c>
      <c r="B473" t="str">
        <f>IF(RAW_INPUT!A474="","",RAW_INPUT!E474)</f>
        <v/>
      </c>
      <c r="C473" t="str">
        <f>IF(RAW_INPUT!A474="","",RAW_INPUT!F474)</f>
        <v/>
      </c>
    </row>
    <row r="474" spans="1:3" x14ac:dyDescent="0.25">
      <c r="A474" t="str">
        <f>IF(RAW_INPUT!A475="","",RAW_INPUT!A475)</f>
        <v/>
      </c>
      <c r="B474" t="str">
        <f>IF(RAW_INPUT!A475="","",RAW_INPUT!E475)</f>
        <v/>
      </c>
      <c r="C474" t="str">
        <f>IF(RAW_INPUT!A475="","",RAW_INPUT!F475)</f>
        <v/>
      </c>
    </row>
    <row r="475" spans="1:3" x14ac:dyDescent="0.25">
      <c r="A475" t="str">
        <f>IF(RAW_INPUT!A476="","",RAW_INPUT!A476)</f>
        <v/>
      </c>
      <c r="B475" t="str">
        <f>IF(RAW_INPUT!A476="","",RAW_INPUT!E476)</f>
        <v/>
      </c>
      <c r="C475" t="str">
        <f>IF(RAW_INPUT!A476="","",RAW_INPUT!F476)</f>
        <v/>
      </c>
    </row>
    <row r="476" spans="1:3" x14ac:dyDescent="0.25">
      <c r="A476" t="str">
        <f>IF(RAW_INPUT!A477="","",RAW_INPUT!A477)</f>
        <v/>
      </c>
      <c r="B476" t="str">
        <f>IF(RAW_INPUT!A477="","",RAW_INPUT!E477)</f>
        <v/>
      </c>
      <c r="C476" t="str">
        <f>IF(RAW_INPUT!A477="","",RAW_INPUT!F477)</f>
        <v/>
      </c>
    </row>
    <row r="477" spans="1:3" x14ac:dyDescent="0.25">
      <c r="A477" t="str">
        <f>IF(RAW_INPUT!A478="","",RAW_INPUT!A478)</f>
        <v/>
      </c>
      <c r="B477" t="str">
        <f>IF(RAW_INPUT!A478="","",RAW_INPUT!E478)</f>
        <v/>
      </c>
      <c r="C477" t="str">
        <f>IF(RAW_INPUT!A478="","",RAW_INPUT!F478)</f>
        <v/>
      </c>
    </row>
    <row r="478" spans="1:3" x14ac:dyDescent="0.25">
      <c r="A478" t="str">
        <f>IF(RAW_INPUT!A479="","",RAW_INPUT!A479)</f>
        <v/>
      </c>
      <c r="B478" t="str">
        <f>IF(RAW_INPUT!A479="","",RAW_INPUT!E479)</f>
        <v/>
      </c>
      <c r="C478" t="str">
        <f>IF(RAW_INPUT!A479="","",RAW_INPUT!F479)</f>
        <v/>
      </c>
    </row>
    <row r="479" spans="1:3" x14ac:dyDescent="0.25">
      <c r="A479" t="str">
        <f>IF(RAW_INPUT!A480="","",RAW_INPUT!A480)</f>
        <v/>
      </c>
      <c r="B479" t="str">
        <f>IF(RAW_INPUT!A480="","",RAW_INPUT!E480)</f>
        <v/>
      </c>
      <c r="C479" t="str">
        <f>IF(RAW_INPUT!A480="","",RAW_INPUT!F480)</f>
        <v/>
      </c>
    </row>
    <row r="480" spans="1:3" x14ac:dyDescent="0.25">
      <c r="A480" t="str">
        <f>IF(RAW_INPUT!A481="","",RAW_INPUT!A481)</f>
        <v/>
      </c>
      <c r="B480" t="str">
        <f>IF(RAW_INPUT!A481="","",RAW_INPUT!E481)</f>
        <v/>
      </c>
      <c r="C480" t="str">
        <f>IF(RAW_INPUT!A481="","",RAW_INPUT!F481)</f>
        <v/>
      </c>
    </row>
    <row r="481" spans="1:3" x14ac:dyDescent="0.25">
      <c r="A481" t="str">
        <f>IF(RAW_INPUT!A482="","",RAW_INPUT!A482)</f>
        <v/>
      </c>
      <c r="B481" t="str">
        <f>IF(RAW_INPUT!A482="","",RAW_INPUT!E482)</f>
        <v/>
      </c>
      <c r="C481" t="str">
        <f>IF(RAW_INPUT!A482="","",RAW_INPUT!F482)</f>
        <v/>
      </c>
    </row>
    <row r="482" spans="1:3" x14ac:dyDescent="0.25">
      <c r="A482" t="str">
        <f>IF(RAW_INPUT!A483="","",RAW_INPUT!A483)</f>
        <v/>
      </c>
      <c r="B482" t="str">
        <f>IF(RAW_INPUT!A483="","",RAW_INPUT!E483)</f>
        <v/>
      </c>
      <c r="C482" t="str">
        <f>IF(RAW_INPUT!A483="","",RAW_INPUT!F483)</f>
        <v/>
      </c>
    </row>
    <row r="483" spans="1:3" x14ac:dyDescent="0.25">
      <c r="A483" t="str">
        <f>IF(RAW_INPUT!A484="","",RAW_INPUT!A484)</f>
        <v/>
      </c>
      <c r="B483" t="str">
        <f>IF(RAW_INPUT!A484="","",RAW_INPUT!E484)</f>
        <v/>
      </c>
      <c r="C483" t="str">
        <f>IF(RAW_INPUT!A484="","",RAW_INPUT!F484)</f>
        <v/>
      </c>
    </row>
    <row r="484" spans="1:3" x14ac:dyDescent="0.25">
      <c r="A484" t="str">
        <f>IF(RAW_INPUT!A485="","",RAW_INPUT!A485)</f>
        <v/>
      </c>
      <c r="B484" t="str">
        <f>IF(RAW_INPUT!A485="","",RAW_INPUT!E485)</f>
        <v/>
      </c>
      <c r="C484" t="str">
        <f>IF(RAW_INPUT!A485="","",RAW_INPUT!F485)</f>
        <v/>
      </c>
    </row>
    <row r="485" spans="1:3" x14ac:dyDescent="0.25">
      <c r="A485" t="str">
        <f>IF(RAW_INPUT!A486="","",RAW_INPUT!A486)</f>
        <v/>
      </c>
      <c r="B485" t="str">
        <f>IF(RAW_INPUT!A486="","",RAW_INPUT!E486)</f>
        <v/>
      </c>
      <c r="C485" t="str">
        <f>IF(RAW_INPUT!A486="","",RAW_INPUT!F486)</f>
        <v/>
      </c>
    </row>
    <row r="486" spans="1:3" x14ac:dyDescent="0.25">
      <c r="A486" t="str">
        <f>IF(RAW_INPUT!A487="","",RAW_INPUT!A487)</f>
        <v/>
      </c>
      <c r="B486" t="str">
        <f>IF(RAW_INPUT!A487="","",RAW_INPUT!E487)</f>
        <v/>
      </c>
      <c r="C486" t="str">
        <f>IF(RAW_INPUT!A487="","",RAW_INPUT!F487)</f>
        <v/>
      </c>
    </row>
    <row r="487" spans="1:3" x14ac:dyDescent="0.25">
      <c r="A487" t="str">
        <f>IF(RAW_INPUT!A488="","",RAW_INPUT!A488)</f>
        <v/>
      </c>
      <c r="B487" t="str">
        <f>IF(RAW_INPUT!A488="","",RAW_INPUT!E488)</f>
        <v/>
      </c>
      <c r="C487" t="str">
        <f>IF(RAW_INPUT!A488="","",RAW_INPUT!F488)</f>
        <v/>
      </c>
    </row>
    <row r="488" spans="1:3" x14ac:dyDescent="0.25">
      <c r="A488" t="str">
        <f>IF(RAW_INPUT!A489="","",RAW_INPUT!A489)</f>
        <v/>
      </c>
      <c r="B488" t="str">
        <f>IF(RAW_INPUT!A489="","",RAW_INPUT!E489)</f>
        <v/>
      </c>
      <c r="C488" t="str">
        <f>IF(RAW_INPUT!A489="","",RAW_INPUT!F489)</f>
        <v/>
      </c>
    </row>
    <row r="489" spans="1:3" x14ac:dyDescent="0.25">
      <c r="A489" t="str">
        <f>IF(RAW_INPUT!A490="","",RAW_INPUT!A490)</f>
        <v/>
      </c>
      <c r="B489" t="str">
        <f>IF(RAW_INPUT!A490="","",RAW_INPUT!E490)</f>
        <v/>
      </c>
      <c r="C489" t="str">
        <f>IF(RAW_INPUT!A490="","",RAW_INPUT!F490)</f>
        <v/>
      </c>
    </row>
    <row r="490" spans="1:3" x14ac:dyDescent="0.25">
      <c r="A490" t="str">
        <f>IF(RAW_INPUT!A491="","",RAW_INPUT!A491)</f>
        <v/>
      </c>
      <c r="B490" t="str">
        <f>IF(RAW_INPUT!A491="","",RAW_INPUT!E491)</f>
        <v/>
      </c>
      <c r="C490" t="str">
        <f>IF(RAW_INPUT!A491="","",RAW_INPUT!F491)</f>
        <v/>
      </c>
    </row>
    <row r="491" spans="1:3" x14ac:dyDescent="0.25">
      <c r="A491" t="str">
        <f>IF(RAW_INPUT!A492="","",RAW_INPUT!A492)</f>
        <v/>
      </c>
      <c r="B491" t="str">
        <f>IF(RAW_INPUT!A492="","",RAW_INPUT!E492)</f>
        <v/>
      </c>
      <c r="C491" t="str">
        <f>IF(RAW_INPUT!A492="","",RAW_INPUT!F492)</f>
        <v/>
      </c>
    </row>
    <row r="492" spans="1:3" x14ac:dyDescent="0.25">
      <c r="A492" t="str">
        <f>IF(RAW_INPUT!A493="","",RAW_INPUT!A493)</f>
        <v/>
      </c>
      <c r="B492" t="str">
        <f>IF(RAW_INPUT!A493="","",RAW_INPUT!E493)</f>
        <v/>
      </c>
      <c r="C492" t="str">
        <f>IF(RAW_INPUT!A493="","",RAW_INPUT!F493)</f>
        <v/>
      </c>
    </row>
    <row r="493" spans="1:3" x14ac:dyDescent="0.25">
      <c r="A493" t="str">
        <f>IF(RAW_INPUT!A494="","",RAW_INPUT!A494)</f>
        <v/>
      </c>
      <c r="B493" t="str">
        <f>IF(RAW_INPUT!A494="","",RAW_INPUT!E494)</f>
        <v/>
      </c>
      <c r="C493" t="str">
        <f>IF(RAW_INPUT!A494="","",RAW_INPUT!F494)</f>
        <v/>
      </c>
    </row>
    <row r="494" spans="1:3" x14ac:dyDescent="0.25">
      <c r="A494" t="str">
        <f>IF(RAW_INPUT!A495="","",RAW_INPUT!A495)</f>
        <v/>
      </c>
      <c r="B494" t="str">
        <f>IF(RAW_INPUT!A495="","",RAW_INPUT!E495)</f>
        <v/>
      </c>
      <c r="C494" t="str">
        <f>IF(RAW_INPUT!A495="","",RAW_INPUT!F495)</f>
        <v/>
      </c>
    </row>
    <row r="495" spans="1:3" x14ac:dyDescent="0.25">
      <c r="A495" t="str">
        <f>IF(RAW_INPUT!A496="","",RAW_INPUT!A496)</f>
        <v/>
      </c>
      <c r="B495" t="str">
        <f>IF(RAW_INPUT!A496="","",RAW_INPUT!E496)</f>
        <v/>
      </c>
      <c r="C495" t="str">
        <f>IF(RAW_INPUT!A496="","",RAW_INPUT!F496)</f>
        <v/>
      </c>
    </row>
    <row r="496" spans="1:3" x14ac:dyDescent="0.25">
      <c r="A496" t="str">
        <f>IF(RAW_INPUT!A497="","",RAW_INPUT!A497)</f>
        <v/>
      </c>
      <c r="B496" t="str">
        <f>IF(RAW_INPUT!A497="","",RAW_INPUT!E497)</f>
        <v/>
      </c>
      <c r="C496" t="str">
        <f>IF(RAW_INPUT!A497="","",RAW_INPUT!F497)</f>
        <v/>
      </c>
    </row>
    <row r="497" spans="1:3" x14ac:dyDescent="0.25">
      <c r="A497" t="str">
        <f>IF(RAW_INPUT!A498="","",RAW_INPUT!A498)</f>
        <v/>
      </c>
      <c r="B497" t="str">
        <f>IF(RAW_INPUT!A498="","",RAW_INPUT!E498)</f>
        <v/>
      </c>
      <c r="C497" t="str">
        <f>IF(RAW_INPUT!A498="","",RAW_INPUT!F498)</f>
        <v/>
      </c>
    </row>
    <row r="498" spans="1:3" x14ac:dyDescent="0.25">
      <c r="A498" t="str">
        <f>IF(RAW_INPUT!A499="","",RAW_INPUT!A499)</f>
        <v/>
      </c>
      <c r="B498" t="str">
        <f>IF(RAW_INPUT!A499="","",RAW_INPUT!E499)</f>
        <v/>
      </c>
      <c r="C498" t="str">
        <f>IF(RAW_INPUT!A499="","",RAW_INPUT!F499)</f>
        <v/>
      </c>
    </row>
    <row r="499" spans="1:3" x14ac:dyDescent="0.25">
      <c r="A499" t="str">
        <f>IF(RAW_INPUT!A500="","",RAW_INPUT!A500)</f>
        <v/>
      </c>
      <c r="B499" t="str">
        <f>IF(RAW_INPUT!A500="","",RAW_INPUT!E500)</f>
        <v/>
      </c>
      <c r="C499" t="str">
        <f>IF(RAW_INPUT!A500="","",RAW_INPUT!F500)</f>
        <v/>
      </c>
    </row>
    <row r="500" spans="1:3" x14ac:dyDescent="0.25">
      <c r="A500" t="str">
        <f>IF(RAW_INPUT!A501="","",RAW_INPUT!A501)</f>
        <v/>
      </c>
      <c r="B500" t="str">
        <f>IF(RAW_INPUT!A501="","",RAW_INPUT!E501)</f>
        <v/>
      </c>
      <c r="C500" t="str">
        <f>IF(RAW_INPUT!A501="","",RAW_INPUT!F501)</f>
        <v/>
      </c>
    </row>
    <row r="501" spans="1:3" x14ac:dyDescent="0.25">
      <c r="A501" t="str">
        <f>IF(RAW_INPUT!A502="","",RAW_INPUT!A502)</f>
        <v/>
      </c>
      <c r="B501" t="str">
        <f>IF(RAW_INPUT!A502="","",RAW_INPUT!E502)</f>
        <v/>
      </c>
      <c r="C501" t="str">
        <f>IF(RAW_INPUT!A502="","",RAW_INPUT!F502)</f>
        <v/>
      </c>
    </row>
    <row r="502" spans="1:3" x14ac:dyDescent="0.25">
      <c r="A502" t="str">
        <f>IF(RAW_INPUT!A503="","",RAW_INPUT!A503)</f>
        <v/>
      </c>
      <c r="B502" t="str">
        <f>IF(RAW_INPUT!A503="","",RAW_INPUT!E503)</f>
        <v/>
      </c>
      <c r="C502" t="str">
        <f>IF(RAW_INPUT!A503="","",RAW_INPUT!F503)</f>
        <v/>
      </c>
    </row>
    <row r="503" spans="1:3" x14ac:dyDescent="0.25">
      <c r="A503" t="str">
        <f>IF(RAW_INPUT!A504="","",RAW_INPUT!A504)</f>
        <v/>
      </c>
      <c r="B503" t="str">
        <f>IF(RAW_INPUT!A504="","",RAW_INPUT!E504)</f>
        <v/>
      </c>
      <c r="C503" t="str">
        <f>IF(RAW_INPUT!A504="","",RAW_INPUT!F504)</f>
        <v/>
      </c>
    </row>
    <row r="504" spans="1:3" x14ac:dyDescent="0.25">
      <c r="A504" t="str">
        <f>IF(RAW_INPUT!A505="","",RAW_INPUT!A505)</f>
        <v/>
      </c>
      <c r="B504" t="str">
        <f>IF(RAW_INPUT!A505="","",RAW_INPUT!E505)</f>
        <v/>
      </c>
      <c r="C504" t="str">
        <f>IF(RAW_INPUT!A505="","",RAW_INPUT!F505)</f>
        <v/>
      </c>
    </row>
    <row r="505" spans="1:3" x14ac:dyDescent="0.25">
      <c r="A505" t="str">
        <f>IF(RAW_INPUT!A506="","",RAW_INPUT!A506)</f>
        <v/>
      </c>
      <c r="B505" t="str">
        <f>IF(RAW_INPUT!A506="","",RAW_INPUT!E506)</f>
        <v/>
      </c>
      <c r="C505" t="str">
        <f>IF(RAW_INPUT!A506="","",RAW_INPUT!F506)</f>
        <v/>
      </c>
    </row>
    <row r="506" spans="1:3" x14ac:dyDescent="0.25">
      <c r="A506" t="str">
        <f>IF(RAW_INPUT!A507="","",RAW_INPUT!A507)</f>
        <v/>
      </c>
      <c r="B506" t="str">
        <f>IF(RAW_INPUT!A507="","",RAW_INPUT!E507)</f>
        <v/>
      </c>
      <c r="C506" t="str">
        <f>IF(RAW_INPUT!A507="","",RAW_INPUT!F507)</f>
        <v/>
      </c>
    </row>
    <row r="507" spans="1:3" x14ac:dyDescent="0.25">
      <c r="A507" t="str">
        <f>IF(RAW_INPUT!A508="","",RAW_INPUT!A508)</f>
        <v/>
      </c>
      <c r="B507" t="str">
        <f>IF(RAW_INPUT!A508="","",RAW_INPUT!E508)</f>
        <v/>
      </c>
      <c r="C507" t="str">
        <f>IF(RAW_INPUT!A508="","",RAW_INPUT!F508)</f>
        <v/>
      </c>
    </row>
    <row r="508" spans="1:3" x14ac:dyDescent="0.25">
      <c r="A508" t="str">
        <f>IF(RAW_INPUT!A509="","",RAW_INPUT!A509)</f>
        <v/>
      </c>
      <c r="B508" t="str">
        <f>IF(RAW_INPUT!A509="","",RAW_INPUT!E509)</f>
        <v/>
      </c>
      <c r="C508" t="str">
        <f>IF(RAW_INPUT!A509="","",RAW_INPUT!F509)</f>
        <v/>
      </c>
    </row>
    <row r="509" spans="1:3" x14ac:dyDescent="0.25">
      <c r="A509" t="str">
        <f>IF(RAW_INPUT!A510="","",RAW_INPUT!A510)</f>
        <v/>
      </c>
      <c r="B509" t="str">
        <f>IF(RAW_INPUT!A510="","",RAW_INPUT!E510)</f>
        <v/>
      </c>
      <c r="C509" t="str">
        <f>IF(RAW_INPUT!A510="","",RAW_INPUT!F510)</f>
        <v/>
      </c>
    </row>
    <row r="510" spans="1:3" x14ac:dyDescent="0.25">
      <c r="A510" t="str">
        <f>IF(RAW_INPUT!A511="","",RAW_INPUT!A511)</f>
        <v/>
      </c>
      <c r="B510" t="str">
        <f>IF(RAW_INPUT!A511="","",RAW_INPUT!E511)</f>
        <v/>
      </c>
      <c r="C510" t="str">
        <f>IF(RAW_INPUT!A511="","",RAW_INPUT!F511)</f>
        <v/>
      </c>
    </row>
    <row r="511" spans="1:3" x14ac:dyDescent="0.25">
      <c r="A511" t="str">
        <f>IF(RAW_INPUT!A512="","",RAW_INPUT!A512)</f>
        <v/>
      </c>
      <c r="B511" t="str">
        <f>IF(RAW_INPUT!A512="","",RAW_INPUT!E512)</f>
        <v/>
      </c>
      <c r="C511" t="str">
        <f>IF(RAW_INPUT!A512="","",RAW_INPUT!F512)</f>
        <v/>
      </c>
    </row>
    <row r="512" spans="1:3" x14ac:dyDescent="0.25">
      <c r="A512" t="str">
        <f>IF(RAW_INPUT!A513="","",RAW_INPUT!A513)</f>
        <v/>
      </c>
      <c r="B512" t="str">
        <f>IF(RAW_INPUT!A513="","",RAW_INPUT!E513)</f>
        <v/>
      </c>
      <c r="C512" t="str">
        <f>IF(RAW_INPUT!A513="","",RAW_INPUT!F513)</f>
        <v/>
      </c>
    </row>
    <row r="513" spans="1:3" x14ac:dyDescent="0.25">
      <c r="A513" t="str">
        <f>IF(RAW_INPUT!A514="","",RAW_INPUT!A514)</f>
        <v/>
      </c>
      <c r="B513" t="str">
        <f>IF(RAW_INPUT!A514="","",RAW_INPUT!E514)</f>
        <v/>
      </c>
      <c r="C513" t="str">
        <f>IF(RAW_INPUT!A514="","",RAW_INPUT!F514)</f>
        <v/>
      </c>
    </row>
    <row r="514" spans="1:3" x14ac:dyDescent="0.25">
      <c r="A514" t="str">
        <f>IF(RAW_INPUT!A515="","",RAW_INPUT!A515)</f>
        <v/>
      </c>
      <c r="B514" t="str">
        <f>IF(RAW_INPUT!A515="","",RAW_INPUT!E515)</f>
        <v/>
      </c>
      <c r="C514" t="str">
        <f>IF(RAW_INPUT!A515="","",RAW_INPUT!F515)</f>
        <v/>
      </c>
    </row>
    <row r="515" spans="1:3" x14ac:dyDescent="0.25">
      <c r="A515" t="str">
        <f>IF(RAW_INPUT!A516="","",RAW_INPUT!A516)</f>
        <v/>
      </c>
      <c r="B515" t="str">
        <f>IF(RAW_INPUT!A516="","",RAW_INPUT!E516)</f>
        <v/>
      </c>
      <c r="C515" t="str">
        <f>IF(RAW_INPUT!A516="","",RAW_INPUT!F516)</f>
        <v/>
      </c>
    </row>
    <row r="516" spans="1:3" x14ac:dyDescent="0.25">
      <c r="A516" t="str">
        <f>IF(RAW_INPUT!A517="","",RAW_INPUT!A517)</f>
        <v/>
      </c>
      <c r="B516" t="str">
        <f>IF(RAW_INPUT!A517="","",RAW_INPUT!E517)</f>
        <v/>
      </c>
      <c r="C516" t="str">
        <f>IF(RAW_INPUT!A517="","",RAW_INPUT!F517)</f>
        <v/>
      </c>
    </row>
    <row r="517" spans="1:3" x14ac:dyDescent="0.25">
      <c r="A517" t="str">
        <f>IF(RAW_INPUT!A518="","",RAW_INPUT!A518)</f>
        <v/>
      </c>
      <c r="B517" t="str">
        <f>IF(RAW_INPUT!A518="","",RAW_INPUT!E518)</f>
        <v/>
      </c>
      <c r="C517" t="str">
        <f>IF(RAW_INPUT!A518="","",RAW_INPUT!F518)</f>
        <v/>
      </c>
    </row>
    <row r="518" spans="1:3" x14ac:dyDescent="0.25">
      <c r="A518" t="str">
        <f>IF(RAW_INPUT!A519="","",RAW_INPUT!A519)</f>
        <v/>
      </c>
      <c r="B518" t="str">
        <f>IF(RAW_INPUT!A519="","",RAW_INPUT!E519)</f>
        <v/>
      </c>
      <c r="C518" t="str">
        <f>IF(RAW_INPUT!A519="","",RAW_INPUT!F519)</f>
        <v/>
      </c>
    </row>
    <row r="519" spans="1:3" x14ac:dyDescent="0.25">
      <c r="A519" t="str">
        <f>IF(RAW_INPUT!A520="","",RAW_INPUT!A520)</f>
        <v/>
      </c>
      <c r="B519" t="str">
        <f>IF(RAW_INPUT!A520="","",RAW_INPUT!E520)</f>
        <v/>
      </c>
      <c r="C519" t="str">
        <f>IF(RAW_INPUT!A520="","",RAW_INPUT!F520)</f>
        <v/>
      </c>
    </row>
    <row r="520" spans="1:3" x14ac:dyDescent="0.25">
      <c r="A520" t="str">
        <f>IF(RAW_INPUT!A521="","",RAW_INPUT!A521)</f>
        <v/>
      </c>
      <c r="B520" t="str">
        <f>IF(RAW_INPUT!A521="","",RAW_INPUT!E521)</f>
        <v/>
      </c>
      <c r="C520" t="str">
        <f>IF(RAW_INPUT!A521="","",RAW_INPUT!F521)</f>
        <v/>
      </c>
    </row>
    <row r="521" spans="1:3" x14ac:dyDescent="0.25">
      <c r="A521" t="str">
        <f>IF(RAW_INPUT!A522="","",RAW_INPUT!A522)</f>
        <v/>
      </c>
      <c r="B521" t="str">
        <f>IF(RAW_INPUT!A522="","",RAW_INPUT!E522)</f>
        <v/>
      </c>
      <c r="C521" t="str">
        <f>IF(RAW_INPUT!A522="","",RAW_INPUT!F522)</f>
        <v/>
      </c>
    </row>
    <row r="522" spans="1:3" x14ac:dyDescent="0.25">
      <c r="A522" t="str">
        <f>IF(RAW_INPUT!A523="","",RAW_INPUT!A523)</f>
        <v/>
      </c>
      <c r="B522" t="str">
        <f>IF(RAW_INPUT!A523="","",RAW_INPUT!E523)</f>
        <v/>
      </c>
      <c r="C522" t="str">
        <f>IF(RAW_INPUT!A523="","",RAW_INPUT!F523)</f>
        <v/>
      </c>
    </row>
    <row r="523" spans="1:3" x14ac:dyDescent="0.25">
      <c r="A523" t="str">
        <f>IF(RAW_INPUT!A524="","",RAW_INPUT!A524)</f>
        <v/>
      </c>
      <c r="B523" t="str">
        <f>IF(RAW_INPUT!A524="","",RAW_INPUT!E524)</f>
        <v/>
      </c>
      <c r="C523" t="str">
        <f>IF(RAW_INPUT!A524="","",RAW_INPUT!F524)</f>
        <v/>
      </c>
    </row>
    <row r="524" spans="1:3" x14ac:dyDescent="0.25">
      <c r="A524" t="str">
        <f>IF(RAW_INPUT!A525="","",RAW_INPUT!A525)</f>
        <v/>
      </c>
      <c r="B524" t="str">
        <f>IF(RAW_INPUT!A525="","",RAW_INPUT!E525)</f>
        <v/>
      </c>
      <c r="C524" t="str">
        <f>IF(RAW_INPUT!A525="","",RAW_INPUT!F525)</f>
        <v/>
      </c>
    </row>
    <row r="525" spans="1:3" x14ac:dyDescent="0.25">
      <c r="A525" t="str">
        <f>IF(RAW_INPUT!A526="","",RAW_INPUT!A526)</f>
        <v/>
      </c>
      <c r="B525" t="str">
        <f>IF(RAW_INPUT!A526="","",RAW_INPUT!E526)</f>
        <v/>
      </c>
      <c r="C525" t="str">
        <f>IF(RAW_INPUT!A526="","",RAW_INPUT!F526)</f>
        <v/>
      </c>
    </row>
    <row r="526" spans="1:3" x14ac:dyDescent="0.25">
      <c r="A526" t="str">
        <f>IF(RAW_INPUT!A527="","",RAW_INPUT!A527)</f>
        <v/>
      </c>
      <c r="B526" t="str">
        <f>IF(RAW_INPUT!A527="","",RAW_INPUT!E527)</f>
        <v/>
      </c>
      <c r="C526" t="str">
        <f>IF(RAW_INPUT!A527="","",RAW_INPUT!F527)</f>
        <v/>
      </c>
    </row>
    <row r="527" spans="1:3" x14ac:dyDescent="0.25">
      <c r="A527" t="str">
        <f>IF(RAW_INPUT!A528="","",RAW_INPUT!A528)</f>
        <v/>
      </c>
      <c r="B527" t="str">
        <f>IF(RAW_INPUT!A528="","",RAW_INPUT!E528)</f>
        <v/>
      </c>
      <c r="C527" t="str">
        <f>IF(RAW_INPUT!A528="","",RAW_INPUT!F528)</f>
        <v/>
      </c>
    </row>
    <row r="528" spans="1:3" x14ac:dyDescent="0.25">
      <c r="A528" t="str">
        <f>IF(RAW_INPUT!A529="","",RAW_INPUT!A529)</f>
        <v/>
      </c>
      <c r="B528" t="str">
        <f>IF(RAW_INPUT!A529="","",RAW_INPUT!E529)</f>
        <v/>
      </c>
      <c r="C528" t="str">
        <f>IF(RAW_INPUT!A529="","",RAW_INPUT!F529)</f>
        <v/>
      </c>
    </row>
    <row r="529" spans="1:3" x14ac:dyDescent="0.25">
      <c r="A529" t="str">
        <f>IF(RAW_INPUT!A530="","",RAW_INPUT!A530)</f>
        <v/>
      </c>
      <c r="B529" t="str">
        <f>IF(RAW_INPUT!A530="","",RAW_INPUT!E530)</f>
        <v/>
      </c>
      <c r="C529" t="str">
        <f>IF(RAW_INPUT!A530="","",RAW_INPUT!F530)</f>
        <v/>
      </c>
    </row>
    <row r="530" spans="1:3" x14ac:dyDescent="0.25">
      <c r="A530" t="str">
        <f>IF(RAW_INPUT!A531="","",RAW_INPUT!A531)</f>
        <v/>
      </c>
      <c r="B530" t="str">
        <f>IF(RAW_INPUT!A531="","",RAW_INPUT!E531)</f>
        <v/>
      </c>
      <c r="C530" t="str">
        <f>IF(RAW_INPUT!A531="","",RAW_INPUT!F531)</f>
        <v/>
      </c>
    </row>
    <row r="531" spans="1:3" x14ac:dyDescent="0.25">
      <c r="A531" t="str">
        <f>IF(RAW_INPUT!A532="","",RAW_INPUT!A532)</f>
        <v/>
      </c>
      <c r="B531" t="str">
        <f>IF(RAW_INPUT!A532="","",RAW_INPUT!E532)</f>
        <v/>
      </c>
      <c r="C531" t="str">
        <f>IF(RAW_INPUT!A532="","",RAW_INPUT!F532)</f>
        <v/>
      </c>
    </row>
    <row r="532" spans="1:3" x14ac:dyDescent="0.25">
      <c r="A532" t="str">
        <f>IF(RAW_INPUT!A533="","",RAW_INPUT!A533)</f>
        <v/>
      </c>
      <c r="B532" t="str">
        <f>IF(RAW_INPUT!A533="","",RAW_INPUT!E533)</f>
        <v/>
      </c>
      <c r="C532" t="str">
        <f>IF(RAW_INPUT!A533="","",RAW_INPUT!F533)</f>
        <v/>
      </c>
    </row>
    <row r="533" spans="1:3" x14ac:dyDescent="0.25">
      <c r="A533" t="str">
        <f>IF(RAW_INPUT!A534="","",RAW_INPUT!A534)</f>
        <v/>
      </c>
      <c r="B533" t="str">
        <f>IF(RAW_INPUT!A534="","",RAW_INPUT!E534)</f>
        <v/>
      </c>
      <c r="C533" t="str">
        <f>IF(RAW_INPUT!A534="","",RAW_INPUT!F534)</f>
        <v/>
      </c>
    </row>
    <row r="534" spans="1:3" x14ac:dyDescent="0.25">
      <c r="A534" t="str">
        <f>IF(RAW_INPUT!A535="","",RAW_INPUT!A535)</f>
        <v/>
      </c>
      <c r="B534" t="str">
        <f>IF(RAW_INPUT!A535="","",RAW_INPUT!E535)</f>
        <v/>
      </c>
      <c r="C534" t="str">
        <f>IF(RAW_INPUT!A535="","",RAW_INPUT!F535)</f>
        <v/>
      </c>
    </row>
    <row r="535" spans="1:3" x14ac:dyDescent="0.25">
      <c r="A535" t="str">
        <f>IF(RAW_INPUT!A536="","",RAW_INPUT!A536)</f>
        <v/>
      </c>
      <c r="B535" t="str">
        <f>IF(RAW_INPUT!A536="","",RAW_INPUT!E536)</f>
        <v/>
      </c>
      <c r="C535" t="str">
        <f>IF(RAW_INPUT!A536="","",RAW_INPUT!F536)</f>
        <v/>
      </c>
    </row>
    <row r="536" spans="1:3" x14ac:dyDescent="0.25">
      <c r="A536" t="str">
        <f>IF(RAW_INPUT!A537="","",RAW_INPUT!A537)</f>
        <v/>
      </c>
      <c r="B536" t="str">
        <f>IF(RAW_INPUT!A537="","",RAW_INPUT!E537)</f>
        <v/>
      </c>
      <c r="C536" t="str">
        <f>IF(RAW_INPUT!A537="","",RAW_INPUT!F537)</f>
        <v/>
      </c>
    </row>
    <row r="537" spans="1:3" x14ac:dyDescent="0.25">
      <c r="A537" t="str">
        <f>IF(RAW_INPUT!A538="","",RAW_INPUT!A538)</f>
        <v/>
      </c>
      <c r="B537" t="str">
        <f>IF(RAW_INPUT!A538="","",RAW_INPUT!E538)</f>
        <v/>
      </c>
      <c r="C537" t="str">
        <f>IF(RAW_INPUT!A538="","",RAW_INPUT!F538)</f>
        <v/>
      </c>
    </row>
    <row r="538" spans="1:3" x14ac:dyDescent="0.25">
      <c r="A538" t="str">
        <f>IF(RAW_INPUT!A539="","",RAW_INPUT!A539)</f>
        <v/>
      </c>
      <c r="B538" t="str">
        <f>IF(RAW_INPUT!A539="","",RAW_INPUT!E539)</f>
        <v/>
      </c>
      <c r="C538" t="str">
        <f>IF(RAW_INPUT!A539="","",RAW_INPUT!F539)</f>
        <v/>
      </c>
    </row>
    <row r="539" spans="1:3" x14ac:dyDescent="0.25">
      <c r="A539" t="str">
        <f>IF(RAW_INPUT!A540="","",RAW_INPUT!A540)</f>
        <v/>
      </c>
      <c r="B539" t="str">
        <f>IF(RAW_INPUT!A540="","",RAW_INPUT!E540)</f>
        <v/>
      </c>
      <c r="C539" t="str">
        <f>IF(RAW_INPUT!A540="","",RAW_INPUT!F540)</f>
        <v/>
      </c>
    </row>
    <row r="540" spans="1:3" x14ac:dyDescent="0.25">
      <c r="A540" t="str">
        <f>IF(RAW_INPUT!A541="","",RAW_INPUT!A541)</f>
        <v/>
      </c>
      <c r="B540" t="str">
        <f>IF(RAW_INPUT!A541="","",RAW_INPUT!E541)</f>
        <v/>
      </c>
      <c r="C540" t="str">
        <f>IF(RAW_INPUT!A541="","",RAW_INPUT!F541)</f>
        <v/>
      </c>
    </row>
    <row r="541" spans="1:3" x14ac:dyDescent="0.25">
      <c r="A541" t="str">
        <f>IF(RAW_INPUT!A542="","",RAW_INPUT!A542)</f>
        <v/>
      </c>
      <c r="B541" t="str">
        <f>IF(RAW_INPUT!A542="","",RAW_INPUT!E542)</f>
        <v/>
      </c>
      <c r="C541" t="str">
        <f>IF(RAW_INPUT!A542="","",RAW_INPUT!F542)</f>
        <v/>
      </c>
    </row>
    <row r="542" spans="1:3" x14ac:dyDescent="0.25">
      <c r="A542" t="str">
        <f>IF(RAW_INPUT!A543="","",RAW_INPUT!A543)</f>
        <v/>
      </c>
      <c r="B542" t="str">
        <f>IF(RAW_INPUT!A543="","",RAW_INPUT!E543)</f>
        <v/>
      </c>
      <c r="C542" t="str">
        <f>IF(RAW_INPUT!A543="","",RAW_INPUT!F543)</f>
        <v/>
      </c>
    </row>
    <row r="543" spans="1:3" x14ac:dyDescent="0.25">
      <c r="A543" t="str">
        <f>IF(RAW_INPUT!A544="","",RAW_INPUT!A544)</f>
        <v/>
      </c>
      <c r="B543" t="str">
        <f>IF(RAW_INPUT!A544="","",RAW_INPUT!E544)</f>
        <v/>
      </c>
      <c r="C543" t="str">
        <f>IF(RAW_INPUT!A544="","",RAW_INPUT!F544)</f>
        <v/>
      </c>
    </row>
    <row r="544" spans="1:3" x14ac:dyDescent="0.25">
      <c r="A544" t="str">
        <f>IF(RAW_INPUT!A545="","",RAW_INPUT!A545)</f>
        <v/>
      </c>
      <c r="B544" t="str">
        <f>IF(RAW_INPUT!A545="","",RAW_INPUT!E545)</f>
        <v/>
      </c>
      <c r="C544" t="str">
        <f>IF(RAW_INPUT!A545="","",RAW_INPUT!F545)</f>
        <v/>
      </c>
    </row>
    <row r="545" spans="1:3" x14ac:dyDescent="0.25">
      <c r="A545" t="str">
        <f>IF(RAW_INPUT!A546="","",RAW_INPUT!A546)</f>
        <v/>
      </c>
      <c r="B545" t="str">
        <f>IF(RAW_INPUT!A546="","",RAW_INPUT!E546)</f>
        <v/>
      </c>
      <c r="C545" t="str">
        <f>IF(RAW_INPUT!A546="","",RAW_INPUT!F546)</f>
        <v/>
      </c>
    </row>
    <row r="546" spans="1:3" x14ac:dyDescent="0.25">
      <c r="A546" t="str">
        <f>IF(RAW_INPUT!A547="","",RAW_INPUT!A547)</f>
        <v/>
      </c>
      <c r="B546" t="str">
        <f>IF(RAW_INPUT!A547="","",RAW_INPUT!E547)</f>
        <v/>
      </c>
      <c r="C546" t="str">
        <f>IF(RAW_INPUT!A547="","",RAW_INPUT!F547)</f>
        <v/>
      </c>
    </row>
    <row r="547" spans="1:3" x14ac:dyDescent="0.25">
      <c r="A547" t="str">
        <f>IF(RAW_INPUT!A548="","",RAW_INPUT!A548)</f>
        <v/>
      </c>
      <c r="B547" t="str">
        <f>IF(RAW_INPUT!A548="","",RAW_INPUT!E548)</f>
        <v/>
      </c>
      <c r="C547" t="str">
        <f>IF(RAW_INPUT!A548="","",RAW_INPUT!F548)</f>
        <v/>
      </c>
    </row>
    <row r="548" spans="1:3" x14ac:dyDescent="0.25">
      <c r="A548" t="str">
        <f>IF(RAW_INPUT!A549="","",RAW_INPUT!A549)</f>
        <v/>
      </c>
      <c r="B548" t="str">
        <f>IF(RAW_INPUT!A549="","",RAW_INPUT!E549)</f>
        <v/>
      </c>
      <c r="C548" t="str">
        <f>IF(RAW_INPUT!A549="","",RAW_INPUT!F549)</f>
        <v/>
      </c>
    </row>
    <row r="549" spans="1:3" x14ac:dyDescent="0.25">
      <c r="A549" t="str">
        <f>IF(RAW_INPUT!A550="","",RAW_INPUT!A550)</f>
        <v/>
      </c>
      <c r="B549" t="str">
        <f>IF(RAW_INPUT!A550="","",RAW_INPUT!E550)</f>
        <v/>
      </c>
      <c r="C549" t="str">
        <f>IF(RAW_INPUT!A550="","",RAW_INPUT!F550)</f>
        <v/>
      </c>
    </row>
    <row r="550" spans="1:3" x14ac:dyDescent="0.25">
      <c r="A550" t="str">
        <f>IF(RAW_INPUT!A551="","",RAW_INPUT!A551)</f>
        <v/>
      </c>
      <c r="B550" t="str">
        <f>IF(RAW_INPUT!A551="","",RAW_INPUT!E551)</f>
        <v/>
      </c>
      <c r="C550" t="str">
        <f>IF(RAW_INPUT!A551="","",RAW_INPUT!F551)</f>
        <v/>
      </c>
    </row>
    <row r="551" spans="1:3" x14ac:dyDescent="0.25">
      <c r="A551" t="str">
        <f>IF(RAW_INPUT!A552="","",RAW_INPUT!A552)</f>
        <v/>
      </c>
      <c r="B551" t="str">
        <f>IF(RAW_INPUT!A552="","",RAW_INPUT!E552)</f>
        <v/>
      </c>
      <c r="C551" t="str">
        <f>IF(RAW_INPUT!A552="","",RAW_INPUT!F552)</f>
        <v/>
      </c>
    </row>
    <row r="552" spans="1:3" x14ac:dyDescent="0.25">
      <c r="A552" t="str">
        <f>IF(RAW_INPUT!A553="","",RAW_INPUT!A553)</f>
        <v/>
      </c>
      <c r="B552" t="str">
        <f>IF(RAW_INPUT!A553="","",RAW_INPUT!E553)</f>
        <v/>
      </c>
      <c r="C552" t="str">
        <f>IF(RAW_INPUT!A553="","",RAW_INPUT!F553)</f>
        <v/>
      </c>
    </row>
    <row r="553" spans="1:3" x14ac:dyDescent="0.25">
      <c r="A553" t="str">
        <f>IF(RAW_INPUT!A554="","",RAW_INPUT!A554)</f>
        <v/>
      </c>
      <c r="B553" t="str">
        <f>IF(RAW_INPUT!A554="","",RAW_INPUT!E554)</f>
        <v/>
      </c>
      <c r="C553" t="str">
        <f>IF(RAW_INPUT!A554="","",RAW_INPUT!F554)</f>
        <v/>
      </c>
    </row>
    <row r="554" spans="1:3" x14ac:dyDescent="0.25">
      <c r="A554" t="str">
        <f>IF(RAW_INPUT!A555="","",RAW_INPUT!A555)</f>
        <v/>
      </c>
      <c r="B554" t="str">
        <f>IF(RAW_INPUT!A555="","",RAW_INPUT!E555)</f>
        <v/>
      </c>
      <c r="C554" t="str">
        <f>IF(RAW_INPUT!A555="","",RAW_INPUT!F555)</f>
        <v/>
      </c>
    </row>
    <row r="555" spans="1:3" x14ac:dyDescent="0.25">
      <c r="A555" t="str">
        <f>IF(RAW_INPUT!A556="","",RAW_INPUT!A556)</f>
        <v/>
      </c>
      <c r="B555" t="str">
        <f>IF(RAW_INPUT!A556="","",RAW_INPUT!E556)</f>
        <v/>
      </c>
      <c r="C555" t="str">
        <f>IF(RAW_INPUT!A556="","",RAW_INPUT!F556)</f>
        <v/>
      </c>
    </row>
    <row r="556" spans="1:3" x14ac:dyDescent="0.25">
      <c r="A556" t="str">
        <f>IF(RAW_INPUT!A557="","",RAW_INPUT!A557)</f>
        <v/>
      </c>
      <c r="B556" t="str">
        <f>IF(RAW_INPUT!A557="","",RAW_INPUT!E557)</f>
        <v/>
      </c>
      <c r="C556" t="str">
        <f>IF(RAW_INPUT!A557="","",RAW_INPUT!F557)</f>
        <v/>
      </c>
    </row>
    <row r="557" spans="1:3" x14ac:dyDescent="0.25">
      <c r="A557" t="str">
        <f>IF(RAW_INPUT!A558="","",RAW_INPUT!A558)</f>
        <v/>
      </c>
      <c r="B557" t="str">
        <f>IF(RAW_INPUT!A558="","",RAW_INPUT!E558)</f>
        <v/>
      </c>
      <c r="C557" t="str">
        <f>IF(RAW_INPUT!A558="","",RAW_INPUT!F558)</f>
        <v/>
      </c>
    </row>
    <row r="558" spans="1:3" x14ac:dyDescent="0.25">
      <c r="A558" t="str">
        <f>IF(RAW_INPUT!A559="","",RAW_INPUT!A559)</f>
        <v/>
      </c>
      <c r="B558" t="str">
        <f>IF(RAW_INPUT!A559="","",RAW_INPUT!E559)</f>
        <v/>
      </c>
      <c r="C558" t="str">
        <f>IF(RAW_INPUT!A559="","",RAW_INPUT!F559)</f>
        <v/>
      </c>
    </row>
    <row r="559" spans="1:3" x14ac:dyDescent="0.25">
      <c r="A559" t="str">
        <f>IF(RAW_INPUT!A560="","",RAW_INPUT!A560)</f>
        <v/>
      </c>
      <c r="B559" t="str">
        <f>IF(RAW_INPUT!A560="","",RAW_INPUT!E560)</f>
        <v/>
      </c>
      <c r="C559" t="str">
        <f>IF(RAW_INPUT!A560="","",RAW_INPUT!F560)</f>
        <v/>
      </c>
    </row>
    <row r="560" spans="1:3" x14ac:dyDescent="0.25">
      <c r="A560" t="str">
        <f>IF(RAW_INPUT!A561="","",RAW_INPUT!A561)</f>
        <v/>
      </c>
      <c r="B560" t="str">
        <f>IF(RAW_INPUT!A561="","",RAW_INPUT!E561)</f>
        <v/>
      </c>
      <c r="C560" t="str">
        <f>IF(RAW_INPUT!A561="","",RAW_INPUT!F561)</f>
        <v/>
      </c>
    </row>
    <row r="561" spans="1:3" x14ac:dyDescent="0.25">
      <c r="A561" t="str">
        <f>IF(RAW_INPUT!A562="","",RAW_INPUT!A562)</f>
        <v/>
      </c>
      <c r="B561" t="str">
        <f>IF(RAW_INPUT!A562="","",RAW_INPUT!E562)</f>
        <v/>
      </c>
      <c r="C561" t="str">
        <f>IF(RAW_INPUT!A562="","",RAW_INPUT!F562)</f>
        <v/>
      </c>
    </row>
    <row r="562" spans="1:3" x14ac:dyDescent="0.25">
      <c r="A562" t="str">
        <f>IF(RAW_INPUT!A563="","",RAW_INPUT!A563)</f>
        <v/>
      </c>
      <c r="B562" t="str">
        <f>IF(RAW_INPUT!A563="","",RAW_INPUT!E563)</f>
        <v/>
      </c>
      <c r="C562" t="str">
        <f>IF(RAW_INPUT!A563="","",RAW_INPUT!F563)</f>
        <v/>
      </c>
    </row>
    <row r="563" spans="1:3" x14ac:dyDescent="0.25">
      <c r="A563" t="str">
        <f>IF(RAW_INPUT!A564="","",RAW_INPUT!A564)</f>
        <v/>
      </c>
      <c r="B563" t="str">
        <f>IF(RAW_INPUT!A564="","",RAW_INPUT!E564)</f>
        <v/>
      </c>
      <c r="C563" t="str">
        <f>IF(RAW_INPUT!A564="","",RAW_INPUT!F564)</f>
        <v/>
      </c>
    </row>
    <row r="564" spans="1:3" x14ac:dyDescent="0.25">
      <c r="A564" t="str">
        <f>IF(RAW_INPUT!A565="","",RAW_INPUT!A565)</f>
        <v/>
      </c>
      <c r="B564" t="str">
        <f>IF(RAW_INPUT!A565="","",RAW_INPUT!E565)</f>
        <v/>
      </c>
      <c r="C564" t="str">
        <f>IF(RAW_INPUT!A565="","",RAW_INPUT!F565)</f>
        <v/>
      </c>
    </row>
    <row r="565" spans="1:3" x14ac:dyDescent="0.25">
      <c r="A565" t="str">
        <f>IF(RAW_INPUT!A566="","",RAW_INPUT!A566)</f>
        <v/>
      </c>
      <c r="B565" t="str">
        <f>IF(RAW_INPUT!A566="","",RAW_INPUT!E566)</f>
        <v/>
      </c>
      <c r="C565" t="str">
        <f>IF(RAW_INPUT!A566="","",RAW_INPUT!F566)</f>
        <v/>
      </c>
    </row>
    <row r="566" spans="1:3" x14ac:dyDescent="0.25">
      <c r="A566" t="str">
        <f>IF(RAW_INPUT!A567="","",RAW_INPUT!A567)</f>
        <v/>
      </c>
      <c r="B566" t="str">
        <f>IF(RAW_INPUT!A567="","",RAW_INPUT!E567)</f>
        <v/>
      </c>
      <c r="C566" t="str">
        <f>IF(RAW_INPUT!A567="","",RAW_INPUT!F567)</f>
        <v/>
      </c>
    </row>
    <row r="567" spans="1:3" x14ac:dyDescent="0.25">
      <c r="A567" t="str">
        <f>IF(RAW_INPUT!A568="","",RAW_INPUT!A568)</f>
        <v/>
      </c>
      <c r="B567" t="str">
        <f>IF(RAW_INPUT!A568="","",RAW_INPUT!E568)</f>
        <v/>
      </c>
      <c r="C567" t="str">
        <f>IF(RAW_INPUT!A568="","",RAW_INPUT!F568)</f>
        <v/>
      </c>
    </row>
    <row r="568" spans="1:3" x14ac:dyDescent="0.25">
      <c r="A568" t="str">
        <f>IF(RAW_INPUT!A569="","",RAW_INPUT!A569)</f>
        <v/>
      </c>
      <c r="B568" t="str">
        <f>IF(RAW_INPUT!A569="","",RAW_INPUT!E569)</f>
        <v/>
      </c>
      <c r="C568" t="str">
        <f>IF(RAW_INPUT!A569="","",RAW_INPUT!F569)</f>
        <v/>
      </c>
    </row>
    <row r="569" spans="1:3" x14ac:dyDescent="0.25">
      <c r="A569" t="str">
        <f>IF(RAW_INPUT!A570="","",RAW_INPUT!A570)</f>
        <v/>
      </c>
      <c r="B569" t="str">
        <f>IF(RAW_INPUT!A570="","",RAW_INPUT!E570)</f>
        <v/>
      </c>
      <c r="C569" t="str">
        <f>IF(RAW_INPUT!A570="","",RAW_INPUT!F570)</f>
        <v/>
      </c>
    </row>
    <row r="570" spans="1:3" x14ac:dyDescent="0.25">
      <c r="A570" t="str">
        <f>IF(RAW_INPUT!A571="","",RAW_INPUT!A571)</f>
        <v/>
      </c>
      <c r="B570" t="str">
        <f>IF(RAW_INPUT!A571="","",RAW_INPUT!E571)</f>
        <v/>
      </c>
      <c r="C570" t="str">
        <f>IF(RAW_INPUT!A571="","",RAW_INPUT!F571)</f>
        <v/>
      </c>
    </row>
    <row r="571" spans="1:3" x14ac:dyDescent="0.25">
      <c r="A571" t="str">
        <f>IF(RAW_INPUT!A572="","",RAW_INPUT!A572)</f>
        <v/>
      </c>
      <c r="B571" t="str">
        <f>IF(RAW_INPUT!A572="","",RAW_INPUT!E572)</f>
        <v/>
      </c>
      <c r="C571" t="str">
        <f>IF(RAW_INPUT!A572="","",RAW_INPUT!F572)</f>
        <v/>
      </c>
    </row>
    <row r="572" spans="1:3" x14ac:dyDescent="0.25">
      <c r="A572" t="str">
        <f>IF(RAW_INPUT!A573="","",RAW_INPUT!A573)</f>
        <v/>
      </c>
      <c r="B572" t="str">
        <f>IF(RAW_INPUT!A573="","",RAW_INPUT!E573)</f>
        <v/>
      </c>
      <c r="C572" t="str">
        <f>IF(RAW_INPUT!A573="","",RAW_INPUT!F573)</f>
        <v/>
      </c>
    </row>
    <row r="573" spans="1:3" x14ac:dyDescent="0.25">
      <c r="A573" t="str">
        <f>IF(RAW_INPUT!A574="","",RAW_INPUT!A574)</f>
        <v/>
      </c>
      <c r="B573" t="str">
        <f>IF(RAW_INPUT!A574="","",RAW_INPUT!E574)</f>
        <v/>
      </c>
      <c r="C573" t="str">
        <f>IF(RAW_INPUT!A574="","",RAW_INPUT!F574)</f>
        <v/>
      </c>
    </row>
    <row r="574" spans="1:3" x14ac:dyDescent="0.25">
      <c r="A574" t="str">
        <f>IF(RAW_INPUT!A575="","",RAW_INPUT!A575)</f>
        <v/>
      </c>
      <c r="B574" t="str">
        <f>IF(RAW_INPUT!A575="","",RAW_INPUT!E575)</f>
        <v/>
      </c>
      <c r="C574" t="str">
        <f>IF(RAW_INPUT!A575="","",RAW_INPUT!F575)</f>
        <v/>
      </c>
    </row>
    <row r="575" spans="1:3" x14ac:dyDescent="0.25">
      <c r="A575" t="str">
        <f>IF(RAW_INPUT!A576="","",RAW_INPUT!A576)</f>
        <v/>
      </c>
      <c r="B575" t="str">
        <f>IF(RAW_INPUT!A576="","",RAW_INPUT!E576)</f>
        <v/>
      </c>
      <c r="C575" t="str">
        <f>IF(RAW_INPUT!A576="","",RAW_INPUT!F576)</f>
        <v/>
      </c>
    </row>
    <row r="576" spans="1:3" x14ac:dyDescent="0.25">
      <c r="A576" t="str">
        <f>IF(RAW_INPUT!A577="","",RAW_INPUT!A577)</f>
        <v/>
      </c>
      <c r="B576" t="str">
        <f>IF(RAW_INPUT!A577="","",RAW_INPUT!E577)</f>
        <v/>
      </c>
      <c r="C576" t="str">
        <f>IF(RAW_INPUT!A577="","",RAW_INPUT!F577)</f>
        <v/>
      </c>
    </row>
    <row r="577" spans="1:3" x14ac:dyDescent="0.25">
      <c r="A577" t="str">
        <f>IF(RAW_INPUT!A578="","",RAW_INPUT!A578)</f>
        <v/>
      </c>
      <c r="B577" t="str">
        <f>IF(RAW_INPUT!A578="","",RAW_INPUT!E578)</f>
        <v/>
      </c>
      <c r="C577" t="str">
        <f>IF(RAW_INPUT!A578="","",RAW_INPUT!F578)</f>
        <v/>
      </c>
    </row>
    <row r="578" spans="1:3" x14ac:dyDescent="0.25">
      <c r="A578" t="str">
        <f>IF(RAW_INPUT!A579="","",RAW_INPUT!A579)</f>
        <v/>
      </c>
      <c r="B578" t="str">
        <f>IF(RAW_INPUT!A579="","",RAW_INPUT!E579)</f>
        <v/>
      </c>
      <c r="C578" t="str">
        <f>IF(RAW_INPUT!A579="","",RAW_INPUT!F579)</f>
        <v/>
      </c>
    </row>
    <row r="579" spans="1:3" x14ac:dyDescent="0.25">
      <c r="A579" t="str">
        <f>IF(RAW_INPUT!A580="","",RAW_INPUT!A580)</f>
        <v/>
      </c>
      <c r="B579" t="str">
        <f>IF(RAW_INPUT!A580="","",RAW_INPUT!E580)</f>
        <v/>
      </c>
      <c r="C579" t="str">
        <f>IF(RAW_INPUT!A580="","",RAW_INPUT!F580)</f>
        <v/>
      </c>
    </row>
    <row r="580" spans="1:3" x14ac:dyDescent="0.25">
      <c r="A580" t="str">
        <f>IF(RAW_INPUT!A581="","",RAW_INPUT!A581)</f>
        <v/>
      </c>
      <c r="B580" t="str">
        <f>IF(RAW_INPUT!A581="","",RAW_INPUT!E581)</f>
        <v/>
      </c>
      <c r="C580" t="str">
        <f>IF(RAW_INPUT!A581="","",RAW_INPUT!F581)</f>
        <v/>
      </c>
    </row>
    <row r="581" spans="1:3" x14ac:dyDescent="0.25">
      <c r="A581" t="str">
        <f>IF(RAW_INPUT!A582="","",RAW_INPUT!A582)</f>
        <v/>
      </c>
      <c r="B581" t="str">
        <f>IF(RAW_INPUT!A582="","",RAW_INPUT!E582)</f>
        <v/>
      </c>
      <c r="C581" t="str">
        <f>IF(RAW_INPUT!A582="","",RAW_INPUT!F582)</f>
        <v/>
      </c>
    </row>
    <row r="582" spans="1:3" x14ac:dyDescent="0.25">
      <c r="A582" t="str">
        <f>IF(RAW_INPUT!A583="","",RAW_INPUT!A583)</f>
        <v/>
      </c>
      <c r="B582" t="str">
        <f>IF(RAW_INPUT!A583="","",RAW_INPUT!E583)</f>
        <v/>
      </c>
      <c r="C582" t="str">
        <f>IF(RAW_INPUT!A583="","",RAW_INPUT!F583)</f>
        <v/>
      </c>
    </row>
    <row r="583" spans="1:3" x14ac:dyDescent="0.25">
      <c r="A583" t="str">
        <f>IF(RAW_INPUT!A584="","",RAW_INPUT!A584)</f>
        <v/>
      </c>
      <c r="B583" t="str">
        <f>IF(RAW_INPUT!A584="","",RAW_INPUT!E584)</f>
        <v/>
      </c>
      <c r="C583" t="str">
        <f>IF(RAW_INPUT!A584="","",RAW_INPUT!F584)</f>
        <v/>
      </c>
    </row>
    <row r="584" spans="1:3" x14ac:dyDescent="0.25">
      <c r="A584" t="str">
        <f>IF(RAW_INPUT!A585="","",RAW_INPUT!A585)</f>
        <v/>
      </c>
      <c r="B584" t="str">
        <f>IF(RAW_INPUT!A585="","",RAW_INPUT!E585)</f>
        <v/>
      </c>
      <c r="C584" t="str">
        <f>IF(RAW_INPUT!A585="","",RAW_INPUT!F585)</f>
        <v/>
      </c>
    </row>
    <row r="585" spans="1:3" x14ac:dyDescent="0.25">
      <c r="A585" t="str">
        <f>IF(RAW_INPUT!A586="","",RAW_INPUT!A586)</f>
        <v/>
      </c>
      <c r="B585" t="str">
        <f>IF(RAW_INPUT!A586="","",RAW_INPUT!E586)</f>
        <v/>
      </c>
      <c r="C585" t="str">
        <f>IF(RAW_INPUT!A586="","",RAW_INPUT!F586)</f>
        <v/>
      </c>
    </row>
    <row r="586" spans="1:3" x14ac:dyDescent="0.25">
      <c r="A586" t="str">
        <f>IF(RAW_INPUT!A587="","",RAW_INPUT!A587)</f>
        <v/>
      </c>
      <c r="B586" t="str">
        <f>IF(RAW_INPUT!A587="","",RAW_INPUT!E587)</f>
        <v/>
      </c>
      <c r="C586" t="str">
        <f>IF(RAW_INPUT!A587="","",RAW_INPUT!F587)</f>
        <v/>
      </c>
    </row>
    <row r="587" spans="1:3" x14ac:dyDescent="0.25">
      <c r="A587" t="str">
        <f>IF(RAW_INPUT!A588="","",RAW_INPUT!A588)</f>
        <v/>
      </c>
      <c r="B587" t="str">
        <f>IF(RAW_INPUT!A588="","",RAW_INPUT!E588)</f>
        <v/>
      </c>
      <c r="C587" t="str">
        <f>IF(RAW_INPUT!A588="","",RAW_INPUT!F588)</f>
        <v/>
      </c>
    </row>
    <row r="588" spans="1:3" x14ac:dyDescent="0.25">
      <c r="A588" t="str">
        <f>IF(RAW_INPUT!A589="","",RAW_INPUT!A589)</f>
        <v/>
      </c>
      <c r="B588" t="str">
        <f>IF(RAW_INPUT!A589="","",RAW_INPUT!E589)</f>
        <v/>
      </c>
      <c r="C588" t="str">
        <f>IF(RAW_INPUT!A589="","",RAW_INPUT!F589)</f>
        <v/>
      </c>
    </row>
    <row r="589" spans="1:3" x14ac:dyDescent="0.25">
      <c r="A589" t="str">
        <f>IF(RAW_INPUT!A590="","",RAW_INPUT!A590)</f>
        <v/>
      </c>
      <c r="B589" t="str">
        <f>IF(RAW_INPUT!A590="","",RAW_INPUT!E590)</f>
        <v/>
      </c>
      <c r="C589" t="str">
        <f>IF(RAW_INPUT!A590="","",RAW_INPUT!F590)</f>
        <v/>
      </c>
    </row>
    <row r="590" spans="1:3" x14ac:dyDescent="0.25">
      <c r="A590" t="str">
        <f>IF(RAW_INPUT!A591="","",RAW_INPUT!A591)</f>
        <v/>
      </c>
      <c r="B590" t="str">
        <f>IF(RAW_INPUT!A591="","",RAW_INPUT!E591)</f>
        <v/>
      </c>
      <c r="C590" t="str">
        <f>IF(RAW_INPUT!A591="","",RAW_INPUT!F591)</f>
        <v/>
      </c>
    </row>
    <row r="591" spans="1:3" x14ac:dyDescent="0.25">
      <c r="A591" t="str">
        <f>IF(RAW_INPUT!A592="","",RAW_INPUT!A592)</f>
        <v/>
      </c>
      <c r="B591" t="str">
        <f>IF(RAW_INPUT!A592="","",RAW_INPUT!E592)</f>
        <v/>
      </c>
      <c r="C591" t="str">
        <f>IF(RAW_INPUT!A592="","",RAW_INPUT!F592)</f>
        <v/>
      </c>
    </row>
    <row r="592" spans="1:3" x14ac:dyDescent="0.25">
      <c r="A592" t="str">
        <f>IF(RAW_INPUT!A593="","",RAW_INPUT!A593)</f>
        <v/>
      </c>
      <c r="B592" t="str">
        <f>IF(RAW_INPUT!A593="","",RAW_INPUT!E593)</f>
        <v/>
      </c>
      <c r="C592" t="str">
        <f>IF(RAW_INPUT!A593="","",RAW_INPUT!F593)</f>
        <v/>
      </c>
    </row>
    <row r="593" spans="1:3" x14ac:dyDescent="0.25">
      <c r="A593" t="str">
        <f>IF(RAW_INPUT!A594="","",RAW_INPUT!A594)</f>
        <v/>
      </c>
      <c r="B593" t="str">
        <f>IF(RAW_INPUT!A594="","",RAW_INPUT!E594)</f>
        <v/>
      </c>
      <c r="C593" t="str">
        <f>IF(RAW_INPUT!A594="","",RAW_INPUT!F594)</f>
        <v/>
      </c>
    </row>
    <row r="594" spans="1:3" x14ac:dyDescent="0.25">
      <c r="A594" t="str">
        <f>IF(RAW_INPUT!A595="","",RAW_INPUT!A595)</f>
        <v/>
      </c>
      <c r="B594" t="str">
        <f>IF(RAW_INPUT!A595="","",RAW_INPUT!E595)</f>
        <v/>
      </c>
      <c r="C594" t="str">
        <f>IF(RAW_INPUT!A595="","",RAW_INPUT!F595)</f>
        <v/>
      </c>
    </row>
    <row r="595" spans="1:3" x14ac:dyDescent="0.25">
      <c r="A595" t="str">
        <f>IF(RAW_INPUT!A596="","",RAW_INPUT!A596)</f>
        <v/>
      </c>
      <c r="B595" t="str">
        <f>IF(RAW_INPUT!A596="","",RAW_INPUT!E596)</f>
        <v/>
      </c>
      <c r="C595" t="str">
        <f>IF(RAW_INPUT!A596="","",RAW_INPUT!F596)</f>
        <v/>
      </c>
    </row>
    <row r="596" spans="1:3" x14ac:dyDescent="0.25">
      <c r="A596" t="str">
        <f>IF(RAW_INPUT!A597="","",RAW_INPUT!A597)</f>
        <v/>
      </c>
      <c r="B596" t="str">
        <f>IF(RAW_INPUT!A597="","",RAW_INPUT!E597)</f>
        <v/>
      </c>
      <c r="C596" t="str">
        <f>IF(RAW_INPUT!A597="","",RAW_INPUT!F597)</f>
        <v/>
      </c>
    </row>
    <row r="597" spans="1:3" x14ac:dyDescent="0.25">
      <c r="A597" t="str">
        <f>IF(RAW_INPUT!A598="","",RAW_INPUT!A598)</f>
        <v/>
      </c>
      <c r="B597" t="str">
        <f>IF(RAW_INPUT!A598="","",RAW_INPUT!E598)</f>
        <v/>
      </c>
      <c r="C597" t="str">
        <f>IF(RAW_INPUT!A598="","",RAW_INPUT!F598)</f>
        <v/>
      </c>
    </row>
    <row r="598" spans="1:3" x14ac:dyDescent="0.25">
      <c r="A598" t="str">
        <f>IF(RAW_INPUT!A599="","",RAW_INPUT!A599)</f>
        <v/>
      </c>
      <c r="B598" t="str">
        <f>IF(RAW_INPUT!A599="","",RAW_INPUT!E599)</f>
        <v/>
      </c>
      <c r="C598" t="str">
        <f>IF(RAW_INPUT!A599="","",RAW_INPUT!F599)</f>
        <v/>
      </c>
    </row>
    <row r="599" spans="1:3" x14ac:dyDescent="0.25">
      <c r="A599" t="str">
        <f>IF(RAW_INPUT!A600="","",RAW_INPUT!A600)</f>
        <v/>
      </c>
      <c r="B599" t="str">
        <f>IF(RAW_INPUT!A600="","",RAW_INPUT!E600)</f>
        <v/>
      </c>
      <c r="C599" t="str">
        <f>IF(RAW_INPUT!A600="","",RAW_INPUT!F600)</f>
        <v/>
      </c>
    </row>
    <row r="600" spans="1:3" x14ac:dyDescent="0.25">
      <c r="A600" t="str">
        <f>IF(RAW_INPUT!A601="","",RAW_INPUT!A601)</f>
        <v/>
      </c>
      <c r="B600" t="str">
        <f>IF(RAW_INPUT!A601="","",RAW_INPUT!E601)</f>
        <v/>
      </c>
      <c r="C600" t="str">
        <f>IF(RAW_INPUT!A601="","",RAW_INPUT!F601)</f>
        <v/>
      </c>
    </row>
    <row r="601" spans="1:3" x14ac:dyDescent="0.25">
      <c r="A601" t="str">
        <f>IF(RAW_INPUT!A602="","",RAW_INPUT!A602)</f>
        <v/>
      </c>
      <c r="B601" t="str">
        <f>IF(RAW_INPUT!A602="","",RAW_INPUT!E602)</f>
        <v/>
      </c>
      <c r="C601" t="str">
        <f>IF(RAW_INPUT!A602="","",RAW_INPUT!F602)</f>
        <v/>
      </c>
    </row>
    <row r="602" spans="1:3" x14ac:dyDescent="0.25">
      <c r="A602" t="str">
        <f>IF(RAW_INPUT!A603="","",RAW_INPUT!A603)</f>
        <v/>
      </c>
      <c r="B602" t="str">
        <f>IF(RAW_INPUT!A603="","",RAW_INPUT!E603)</f>
        <v/>
      </c>
      <c r="C602" t="str">
        <f>IF(RAW_INPUT!A603="","",RAW_INPUT!F603)</f>
        <v/>
      </c>
    </row>
    <row r="603" spans="1:3" x14ac:dyDescent="0.25">
      <c r="A603" t="str">
        <f>IF(RAW_INPUT!A604="","",RAW_INPUT!A604)</f>
        <v/>
      </c>
      <c r="B603" t="str">
        <f>IF(RAW_INPUT!A604="","",RAW_INPUT!E604)</f>
        <v/>
      </c>
      <c r="C603" t="str">
        <f>IF(RAW_INPUT!A604="","",RAW_INPUT!F604)</f>
        <v/>
      </c>
    </row>
    <row r="604" spans="1:3" x14ac:dyDescent="0.25">
      <c r="A604" t="str">
        <f>IF(RAW_INPUT!A605="","",RAW_INPUT!A605)</f>
        <v/>
      </c>
      <c r="B604" t="str">
        <f>IF(RAW_INPUT!A605="","",RAW_INPUT!E605)</f>
        <v/>
      </c>
      <c r="C604" t="str">
        <f>IF(RAW_INPUT!A605="","",RAW_INPUT!F605)</f>
        <v/>
      </c>
    </row>
    <row r="605" spans="1:3" x14ac:dyDescent="0.25">
      <c r="A605" t="str">
        <f>IF(RAW_INPUT!A606="","",RAW_INPUT!A606)</f>
        <v/>
      </c>
      <c r="B605" t="str">
        <f>IF(RAW_INPUT!A606="","",RAW_INPUT!E606)</f>
        <v/>
      </c>
      <c r="C605" t="str">
        <f>IF(RAW_INPUT!A606="","",RAW_INPUT!F606)</f>
        <v/>
      </c>
    </row>
    <row r="606" spans="1:3" x14ac:dyDescent="0.25">
      <c r="A606" t="str">
        <f>IF(RAW_INPUT!A607="","",RAW_INPUT!A607)</f>
        <v/>
      </c>
      <c r="B606" t="str">
        <f>IF(RAW_INPUT!A607="","",RAW_INPUT!E607)</f>
        <v/>
      </c>
      <c r="C606" t="str">
        <f>IF(RAW_INPUT!A607="","",RAW_INPUT!F607)</f>
        <v/>
      </c>
    </row>
    <row r="607" spans="1:3" x14ac:dyDescent="0.25">
      <c r="A607" t="str">
        <f>IF(RAW_INPUT!A608="","",RAW_INPUT!A608)</f>
        <v/>
      </c>
      <c r="B607" t="str">
        <f>IF(RAW_INPUT!A608="","",RAW_INPUT!E608)</f>
        <v/>
      </c>
      <c r="C607" t="str">
        <f>IF(RAW_INPUT!A608="","",RAW_INPUT!F608)</f>
        <v/>
      </c>
    </row>
    <row r="608" spans="1:3" x14ac:dyDescent="0.25">
      <c r="A608" t="str">
        <f>IF(RAW_INPUT!A609="","",RAW_INPUT!A609)</f>
        <v/>
      </c>
      <c r="B608" t="str">
        <f>IF(RAW_INPUT!A609="","",RAW_INPUT!E609)</f>
        <v/>
      </c>
      <c r="C608" t="str">
        <f>IF(RAW_INPUT!A609="","",RAW_INPUT!F609)</f>
        <v/>
      </c>
    </row>
    <row r="609" spans="1:3" x14ac:dyDescent="0.25">
      <c r="A609" t="str">
        <f>IF(RAW_INPUT!A610="","",RAW_INPUT!A610)</f>
        <v/>
      </c>
      <c r="B609" t="str">
        <f>IF(RAW_INPUT!A610="","",RAW_INPUT!E610)</f>
        <v/>
      </c>
      <c r="C609" t="str">
        <f>IF(RAW_INPUT!A610="","",RAW_INPUT!F610)</f>
        <v/>
      </c>
    </row>
    <row r="610" spans="1:3" x14ac:dyDescent="0.25">
      <c r="A610" t="str">
        <f>IF(RAW_INPUT!A611="","",RAW_INPUT!A611)</f>
        <v/>
      </c>
      <c r="B610" t="str">
        <f>IF(RAW_INPUT!A611="","",RAW_INPUT!E611)</f>
        <v/>
      </c>
      <c r="C610" t="str">
        <f>IF(RAW_INPUT!A611="","",RAW_INPUT!F611)</f>
        <v/>
      </c>
    </row>
    <row r="611" spans="1:3" x14ac:dyDescent="0.25">
      <c r="A611" t="str">
        <f>IF(RAW_INPUT!A612="","",RAW_INPUT!A612)</f>
        <v/>
      </c>
      <c r="B611" t="str">
        <f>IF(RAW_INPUT!A612="","",RAW_INPUT!E612)</f>
        <v/>
      </c>
      <c r="C611" t="str">
        <f>IF(RAW_INPUT!A612="","",RAW_INPUT!F612)</f>
        <v/>
      </c>
    </row>
    <row r="612" spans="1:3" x14ac:dyDescent="0.25">
      <c r="A612" t="str">
        <f>IF(RAW_INPUT!A613="","",RAW_INPUT!A613)</f>
        <v/>
      </c>
      <c r="B612" t="str">
        <f>IF(RAW_INPUT!A613="","",RAW_INPUT!E613)</f>
        <v/>
      </c>
      <c r="C612" t="str">
        <f>IF(RAW_INPUT!A613="","",RAW_INPUT!F613)</f>
        <v/>
      </c>
    </row>
    <row r="613" spans="1:3" x14ac:dyDescent="0.25">
      <c r="A613" t="str">
        <f>IF(RAW_INPUT!A614="","",RAW_INPUT!A614)</f>
        <v/>
      </c>
      <c r="B613" t="str">
        <f>IF(RAW_INPUT!A614="","",RAW_INPUT!E614)</f>
        <v/>
      </c>
      <c r="C613" t="str">
        <f>IF(RAW_INPUT!A614="","",RAW_INPUT!F614)</f>
        <v/>
      </c>
    </row>
    <row r="614" spans="1:3" x14ac:dyDescent="0.25">
      <c r="A614" t="str">
        <f>IF(RAW_INPUT!A615="","",RAW_INPUT!A615)</f>
        <v/>
      </c>
      <c r="B614" t="str">
        <f>IF(RAW_INPUT!A615="","",RAW_INPUT!E615)</f>
        <v/>
      </c>
      <c r="C614" t="str">
        <f>IF(RAW_INPUT!A615="","",RAW_INPUT!F615)</f>
        <v/>
      </c>
    </row>
    <row r="615" spans="1:3" x14ac:dyDescent="0.25">
      <c r="A615" t="str">
        <f>IF(RAW_INPUT!A616="","",RAW_INPUT!A616)</f>
        <v/>
      </c>
      <c r="B615" t="str">
        <f>IF(RAW_INPUT!A616="","",RAW_INPUT!E616)</f>
        <v/>
      </c>
      <c r="C615" t="str">
        <f>IF(RAW_INPUT!A616="","",RAW_INPUT!F616)</f>
        <v/>
      </c>
    </row>
    <row r="616" spans="1:3" x14ac:dyDescent="0.25">
      <c r="A616" t="str">
        <f>IF(RAW_INPUT!A617="","",RAW_INPUT!A617)</f>
        <v/>
      </c>
      <c r="B616" t="str">
        <f>IF(RAW_INPUT!A617="","",RAW_INPUT!E617)</f>
        <v/>
      </c>
      <c r="C616" t="str">
        <f>IF(RAW_INPUT!A617="","",RAW_INPUT!F617)</f>
        <v/>
      </c>
    </row>
    <row r="617" spans="1:3" x14ac:dyDescent="0.25">
      <c r="A617" t="str">
        <f>IF(RAW_INPUT!A618="","",RAW_INPUT!A618)</f>
        <v/>
      </c>
      <c r="B617" t="str">
        <f>IF(RAW_INPUT!A618="","",RAW_INPUT!E618)</f>
        <v/>
      </c>
      <c r="C617" t="str">
        <f>IF(RAW_INPUT!A618="","",RAW_INPUT!F618)</f>
        <v/>
      </c>
    </row>
    <row r="618" spans="1:3" x14ac:dyDescent="0.25">
      <c r="A618" t="str">
        <f>IF(RAW_INPUT!A619="","",RAW_INPUT!A619)</f>
        <v/>
      </c>
      <c r="B618" t="str">
        <f>IF(RAW_INPUT!A619="","",RAW_INPUT!E619)</f>
        <v/>
      </c>
      <c r="C618" t="str">
        <f>IF(RAW_INPUT!A619="","",RAW_INPUT!F619)</f>
        <v/>
      </c>
    </row>
    <row r="619" spans="1:3" x14ac:dyDescent="0.25">
      <c r="A619" t="str">
        <f>IF(RAW_INPUT!A620="","",RAW_INPUT!A620)</f>
        <v/>
      </c>
      <c r="B619" t="str">
        <f>IF(RAW_INPUT!A620="","",RAW_INPUT!E620)</f>
        <v/>
      </c>
      <c r="C619" t="str">
        <f>IF(RAW_INPUT!A620="","",RAW_INPUT!F620)</f>
        <v/>
      </c>
    </row>
    <row r="620" spans="1:3" x14ac:dyDescent="0.25">
      <c r="A620" t="str">
        <f>IF(RAW_INPUT!A621="","",RAW_INPUT!A621)</f>
        <v/>
      </c>
      <c r="B620" t="str">
        <f>IF(RAW_INPUT!A621="","",RAW_INPUT!E621)</f>
        <v/>
      </c>
      <c r="C620" t="str">
        <f>IF(RAW_INPUT!A621="","",RAW_INPUT!F621)</f>
        <v/>
      </c>
    </row>
    <row r="621" spans="1:3" x14ac:dyDescent="0.25">
      <c r="A621" t="str">
        <f>IF(RAW_INPUT!A622="","",RAW_INPUT!A622)</f>
        <v/>
      </c>
      <c r="B621" t="str">
        <f>IF(RAW_INPUT!A622="","",RAW_INPUT!E622)</f>
        <v/>
      </c>
      <c r="C621" t="str">
        <f>IF(RAW_INPUT!A622="","",RAW_INPUT!F622)</f>
        <v/>
      </c>
    </row>
    <row r="622" spans="1:3" x14ac:dyDescent="0.25">
      <c r="A622" t="str">
        <f>IF(RAW_INPUT!A623="","",RAW_INPUT!A623)</f>
        <v/>
      </c>
      <c r="B622" t="str">
        <f>IF(RAW_INPUT!A623="","",RAW_INPUT!E623)</f>
        <v/>
      </c>
      <c r="C622" t="str">
        <f>IF(RAW_INPUT!A623="","",RAW_INPUT!F623)</f>
        <v/>
      </c>
    </row>
    <row r="623" spans="1:3" x14ac:dyDescent="0.25">
      <c r="A623" t="str">
        <f>IF(RAW_INPUT!A624="","",RAW_INPUT!A624)</f>
        <v/>
      </c>
      <c r="B623" t="str">
        <f>IF(RAW_INPUT!A624="","",RAW_INPUT!E624)</f>
        <v/>
      </c>
      <c r="C623" t="str">
        <f>IF(RAW_INPUT!A624="","",RAW_INPUT!F624)</f>
        <v/>
      </c>
    </row>
    <row r="624" spans="1:3" x14ac:dyDescent="0.25">
      <c r="A624" t="str">
        <f>IF(RAW_INPUT!A625="","",RAW_INPUT!A625)</f>
        <v/>
      </c>
      <c r="B624" t="str">
        <f>IF(RAW_INPUT!A625="","",RAW_INPUT!E625)</f>
        <v/>
      </c>
      <c r="C624" t="str">
        <f>IF(RAW_INPUT!A625="","",RAW_INPUT!F625)</f>
        <v/>
      </c>
    </row>
    <row r="625" spans="1:3" x14ac:dyDescent="0.25">
      <c r="A625" t="str">
        <f>IF(RAW_INPUT!A626="","",RAW_INPUT!A626)</f>
        <v/>
      </c>
      <c r="B625" t="str">
        <f>IF(RAW_INPUT!A626="","",RAW_INPUT!E626)</f>
        <v/>
      </c>
      <c r="C625" t="str">
        <f>IF(RAW_INPUT!A626="","",RAW_INPUT!F626)</f>
        <v/>
      </c>
    </row>
    <row r="626" spans="1:3" x14ac:dyDescent="0.25">
      <c r="A626" t="str">
        <f>IF(RAW_INPUT!A627="","",RAW_INPUT!A627)</f>
        <v/>
      </c>
      <c r="B626" t="str">
        <f>IF(RAW_INPUT!A627="","",RAW_INPUT!E627)</f>
        <v/>
      </c>
      <c r="C626" t="str">
        <f>IF(RAW_INPUT!A627="","",RAW_INPUT!F627)</f>
        <v/>
      </c>
    </row>
    <row r="627" spans="1:3" x14ac:dyDescent="0.25">
      <c r="A627" t="str">
        <f>IF(RAW_INPUT!A628="","",RAW_INPUT!A628)</f>
        <v/>
      </c>
      <c r="B627" t="str">
        <f>IF(RAW_INPUT!A628="","",RAW_INPUT!E628)</f>
        <v/>
      </c>
      <c r="C627" t="str">
        <f>IF(RAW_INPUT!A628="","",RAW_INPUT!F628)</f>
        <v/>
      </c>
    </row>
    <row r="628" spans="1:3" x14ac:dyDescent="0.25">
      <c r="A628" t="str">
        <f>IF(RAW_INPUT!A629="","",RAW_INPUT!A629)</f>
        <v/>
      </c>
      <c r="B628" t="str">
        <f>IF(RAW_INPUT!A629="","",RAW_INPUT!E629)</f>
        <v/>
      </c>
      <c r="C628" t="str">
        <f>IF(RAW_INPUT!A629="","",RAW_INPUT!F629)</f>
        <v/>
      </c>
    </row>
    <row r="629" spans="1:3" x14ac:dyDescent="0.25">
      <c r="A629" t="str">
        <f>IF(RAW_INPUT!A630="","",RAW_INPUT!A630)</f>
        <v/>
      </c>
      <c r="B629" t="str">
        <f>IF(RAW_INPUT!A630="","",RAW_INPUT!E630)</f>
        <v/>
      </c>
      <c r="C629" t="str">
        <f>IF(RAW_INPUT!A630="","",RAW_INPUT!F630)</f>
        <v/>
      </c>
    </row>
    <row r="630" spans="1:3" x14ac:dyDescent="0.25">
      <c r="A630" t="str">
        <f>IF(RAW_INPUT!A631="","",RAW_INPUT!A631)</f>
        <v/>
      </c>
      <c r="B630" t="str">
        <f>IF(RAW_INPUT!A631="","",RAW_INPUT!E631)</f>
        <v/>
      </c>
      <c r="C630" t="str">
        <f>IF(RAW_INPUT!A631="","",RAW_INPUT!F631)</f>
        <v/>
      </c>
    </row>
    <row r="631" spans="1:3" x14ac:dyDescent="0.25">
      <c r="A631" t="str">
        <f>IF(RAW_INPUT!A632="","",RAW_INPUT!A632)</f>
        <v/>
      </c>
      <c r="B631" t="str">
        <f>IF(RAW_INPUT!A632="","",RAW_INPUT!E632)</f>
        <v/>
      </c>
      <c r="C631" t="str">
        <f>IF(RAW_INPUT!A632="","",RAW_INPUT!F632)</f>
        <v/>
      </c>
    </row>
    <row r="632" spans="1:3" x14ac:dyDescent="0.25">
      <c r="A632" t="str">
        <f>IF(RAW_INPUT!A633="","",RAW_INPUT!A633)</f>
        <v/>
      </c>
      <c r="B632" t="str">
        <f>IF(RAW_INPUT!A633="","",RAW_INPUT!E633)</f>
        <v/>
      </c>
      <c r="C632" t="str">
        <f>IF(RAW_INPUT!A633="","",RAW_INPUT!F633)</f>
        <v/>
      </c>
    </row>
    <row r="633" spans="1:3" x14ac:dyDescent="0.25">
      <c r="A633" t="str">
        <f>IF(RAW_INPUT!A634="","",RAW_INPUT!A634)</f>
        <v/>
      </c>
      <c r="B633" t="str">
        <f>IF(RAW_INPUT!A634="","",RAW_INPUT!E634)</f>
        <v/>
      </c>
      <c r="C633" t="str">
        <f>IF(RAW_INPUT!A634="","",RAW_INPUT!F634)</f>
        <v/>
      </c>
    </row>
    <row r="634" spans="1:3" x14ac:dyDescent="0.25">
      <c r="A634" t="str">
        <f>IF(RAW_INPUT!A635="","",RAW_INPUT!A635)</f>
        <v/>
      </c>
      <c r="B634" t="str">
        <f>IF(RAW_INPUT!A635="","",RAW_INPUT!E635)</f>
        <v/>
      </c>
      <c r="C634" t="str">
        <f>IF(RAW_INPUT!A635="","",RAW_INPUT!F635)</f>
        <v/>
      </c>
    </row>
    <row r="635" spans="1:3" x14ac:dyDescent="0.25">
      <c r="A635" t="str">
        <f>IF(RAW_INPUT!A636="","",RAW_INPUT!A636)</f>
        <v/>
      </c>
      <c r="B635" t="str">
        <f>IF(RAW_INPUT!A636="","",RAW_INPUT!E636)</f>
        <v/>
      </c>
      <c r="C635" t="str">
        <f>IF(RAW_INPUT!A636="","",RAW_INPUT!F636)</f>
        <v/>
      </c>
    </row>
    <row r="636" spans="1:3" x14ac:dyDescent="0.25">
      <c r="A636" t="str">
        <f>IF(RAW_INPUT!A637="","",RAW_INPUT!A637)</f>
        <v/>
      </c>
      <c r="B636" t="str">
        <f>IF(RAW_INPUT!A637="","",RAW_INPUT!E637)</f>
        <v/>
      </c>
      <c r="C636" t="str">
        <f>IF(RAW_INPUT!A637="","",RAW_INPUT!F637)</f>
        <v/>
      </c>
    </row>
    <row r="637" spans="1:3" x14ac:dyDescent="0.25">
      <c r="A637" t="str">
        <f>IF(RAW_INPUT!A638="","",RAW_INPUT!A638)</f>
        <v/>
      </c>
      <c r="B637" t="str">
        <f>IF(RAW_INPUT!A638="","",RAW_INPUT!E638)</f>
        <v/>
      </c>
      <c r="C637" t="str">
        <f>IF(RAW_INPUT!A638="","",RAW_INPUT!F638)</f>
        <v/>
      </c>
    </row>
    <row r="638" spans="1:3" x14ac:dyDescent="0.25">
      <c r="A638" t="str">
        <f>IF(RAW_INPUT!A639="","",RAW_INPUT!A639)</f>
        <v/>
      </c>
      <c r="B638" t="str">
        <f>IF(RAW_INPUT!A639="","",RAW_INPUT!E639)</f>
        <v/>
      </c>
      <c r="C638" t="str">
        <f>IF(RAW_INPUT!A639="","",RAW_INPUT!F639)</f>
        <v/>
      </c>
    </row>
    <row r="639" spans="1:3" x14ac:dyDescent="0.25">
      <c r="A639" t="str">
        <f>IF(RAW_INPUT!A640="","",RAW_INPUT!A640)</f>
        <v/>
      </c>
      <c r="B639" t="str">
        <f>IF(RAW_INPUT!A640="","",RAW_INPUT!E640)</f>
        <v/>
      </c>
      <c r="C639" t="str">
        <f>IF(RAW_INPUT!A640="","",RAW_INPUT!F640)</f>
        <v/>
      </c>
    </row>
    <row r="640" spans="1:3" x14ac:dyDescent="0.25">
      <c r="A640" t="str">
        <f>IF(RAW_INPUT!A641="","",RAW_INPUT!A641)</f>
        <v/>
      </c>
      <c r="B640" t="str">
        <f>IF(RAW_INPUT!A641="","",RAW_INPUT!E641)</f>
        <v/>
      </c>
      <c r="C640" t="str">
        <f>IF(RAW_INPUT!A641="","",RAW_INPUT!F641)</f>
        <v/>
      </c>
    </row>
    <row r="641" spans="1:3" x14ac:dyDescent="0.25">
      <c r="A641" t="str">
        <f>IF(RAW_INPUT!A642="","",RAW_INPUT!A642)</f>
        <v/>
      </c>
      <c r="B641" t="str">
        <f>IF(RAW_INPUT!A642="","",RAW_INPUT!E642)</f>
        <v/>
      </c>
      <c r="C641" t="str">
        <f>IF(RAW_INPUT!A642="","",RAW_INPUT!F642)</f>
        <v/>
      </c>
    </row>
    <row r="642" spans="1:3" x14ac:dyDescent="0.25">
      <c r="A642" t="str">
        <f>IF(RAW_INPUT!A643="","",RAW_INPUT!A643)</f>
        <v/>
      </c>
      <c r="B642" t="str">
        <f>IF(RAW_INPUT!A643="","",RAW_INPUT!E643)</f>
        <v/>
      </c>
      <c r="C642" t="str">
        <f>IF(RAW_INPUT!A643="","",RAW_INPUT!F643)</f>
        <v/>
      </c>
    </row>
    <row r="643" spans="1:3" x14ac:dyDescent="0.25">
      <c r="A643" t="str">
        <f>IF(RAW_INPUT!A644="","",RAW_INPUT!A644)</f>
        <v/>
      </c>
      <c r="B643" t="str">
        <f>IF(RAW_INPUT!A644="","",RAW_INPUT!E644)</f>
        <v/>
      </c>
      <c r="C643" t="str">
        <f>IF(RAW_INPUT!A644="","",RAW_INPUT!F644)</f>
        <v/>
      </c>
    </row>
    <row r="644" spans="1:3" x14ac:dyDescent="0.25">
      <c r="A644" t="str">
        <f>IF(RAW_INPUT!A645="","",RAW_INPUT!A645)</f>
        <v/>
      </c>
      <c r="B644" t="str">
        <f>IF(RAW_INPUT!A645="","",RAW_INPUT!E645)</f>
        <v/>
      </c>
      <c r="C644" t="str">
        <f>IF(RAW_INPUT!A645="","",RAW_INPUT!F645)</f>
        <v/>
      </c>
    </row>
    <row r="645" spans="1:3" x14ac:dyDescent="0.25">
      <c r="A645" t="str">
        <f>IF(RAW_INPUT!A646="","",RAW_INPUT!A646)</f>
        <v/>
      </c>
      <c r="B645" t="str">
        <f>IF(RAW_INPUT!A646="","",RAW_INPUT!E646)</f>
        <v/>
      </c>
      <c r="C645" t="str">
        <f>IF(RAW_INPUT!A646="","",RAW_INPUT!F646)</f>
        <v/>
      </c>
    </row>
    <row r="646" spans="1:3" x14ac:dyDescent="0.25">
      <c r="A646" t="str">
        <f>IF(RAW_INPUT!A647="","",RAW_INPUT!A647)</f>
        <v/>
      </c>
      <c r="B646" t="str">
        <f>IF(RAW_INPUT!A647="","",RAW_INPUT!E647)</f>
        <v/>
      </c>
      <c r="C646" t="str">
        <f>IF(RAW_INPUT!A647="","",RAW_INPUT!F647)</f>
        <v/>
      </c>
    </row>
    <row r="647" spans="1:3" x14ac:dyDescent="0.25">
      <c r="A647" t="str">
        <f>IF(RAW_INPUT!A648="","",RAW_INPUT!A648)</f>
        <v/>
      </c>
      <c r="B647" t="str">
        <f>IF(RAW_INPUT!A648="","",RAW_INPUT!E648)</f>
        <v/>
      </c>
      <c r="C647" t="str">
        <f>IF(RAW_INPUT!A648="","",RAW_INPUT!F648)</f>
        <v/>
      </c>
    </row>
    <row r="648" spans="1:3" x14ac:dyDescent="0.25">
      <c r="A648" t="str">
        <f>IF(RAW_INPUT!A649="","",RAW_INPUT!A649)</f>
        <v/>
      </c>
      <c r="B648" t="str">
        <f>IF(RAW_INPUT!A649="","",RAW_INPUT!E649)</f>
        <v/>
      </c>
      <c r="C648" t="str">
        <f>IF(RAW_INPUT!A649="","",RAW_INPUT!F649)</f>
        <v/>
      </c>
    </row>
    <row r="649" spans="1:3" x14ac:dyDescent="0.25">
      <c r="A649" t="str">
        <f>IF(RAW_INPUT!A650="","",RAW_INPUT!A650)</f>
        <v/>
      </c>
      <c r="B649" t="str">
        <f>IF(RAW_INPUT!A650="","",RAW_INPUT!E650)</f>
        <v/>
      </c>
      <c r="C649" t="str">
        <f>IF(RAW_INPUT!A650="","",RAW_INPUT!F650)</f>
        <v/>
      </c>
    </row>
    <row r="650" spans="1:3" x14ac:dyDescent="0.25">
      <c r="A650" t="str">
        <f>IF(RAW_INPUT!A651="","",RAW_INPUT!A651)</f>
        <v/>
      </c>
      <c r="B650" t="str">
        <f>IF(RAW_INPUT!A651="","",RAW_INPUT!E651)</f>
        <v/>
      </c>
      <c r="C650" t="str">
        <f>IF(RAW_INPUT!A651="","",RAW_INPUT!F651)</f>
        <v/>
      </c>
    </row>
    <row r="651" spans="1:3" x14ac:dyDescent="0.25">
      <c r="A651" t="str">
        <f>IF(RAW_INPUT!A652="","",RAW_INPUT!A652)</f>
        <v/>
      </c>
      <c r="B651" t="str">
        <f>IF(RAW_INPUT!A652="","",RAW_INPUT!E652)</f>
        <v/>
      </c>
      <c r="C651" t="str">
        <f>IF(RAW_INPUT!A652="","",RAW_INPUT!F652)</f>
        <v/>
      </c>
    </row>
    <row r="652" spans="1:3" x14ac:dyDescent="0.25">
      <c r="A652" t="str">
        <f>IF(RAW_INPUT!A653="","",RAW_INPUT!A653)</f>
        <v/>
      </c>
      <c r="B652" t="str">
        <f>IF(RAW_INPUT!A653="","",RAW_INPUT!E653)</f>
        <v/>
      </c>
      <c r="C652" t="str">
        <f>IF(RAW_INPUT!A653="","",RAW_INPUT!F653)</f>
        <v/>
      </c>
    </row>
    <row r="653" spans="1:3" x14ac:dyDescent="0.25">
      <c r="A653" t="str">
        <f>IF(RAW_INPUT!A654="","",RAW_INPUT!A654)</f>
        <v/>
      </c>
      <c r="B653" t="str">
        <f>IF(RAW_INPUT!A654="","",RAW_INPUT!E654)</f>
        <v/>
      </c>
      <c r="C653" t="str">
        <f>IF(RAW_INPUT!A654="","",RAW_INPUT!F654)</f>
        <v/>
      </c>
    </row>
    <row r="654" spans="1:3" x14ac:dyDescent="0.25">
      <c r="A654" t="str">
        <f>IF(RAW_INPUT!A655="","",RAW_INPUT!A655)</f>
        <v/>
      </c>
      <c r="B654" t="str">
        <f>IF(RAW_INPUT!A655="","",RAW_INPUT!E655)</f>
        <v/>
      </c>
      <c r="C654" t="str">
        <f>IF(RAW_INPUT!A655="","",RAW_INPUT!F655)</f>
        <v/>
      </c>
    </row>
    <row r="655" spans="1:3" x14ac:dyDescent="0.25">
      <c r="A655" t="str">
        <f>IF(RAW_INPUT!A656="","",RAW_INPUT!A656)</f>
        <v/>
      </c>
      <c r="B655" t="str">
        <f>IF(RAW_INPUT!A656="","",RAW_INPUT!E656)</f>
        <v/>
      </c>
      <c r="C655" t="str">
        <f>IF(RAW_INPUT!A656="","",RAW_INPUT!F656)</f>
        <v/>
      </c>
    </row>
    <row r="656" spans="1:3" x14ac:dyDescent="0.25">
      <c r="A656" t="str">
        <f>IF(RAW_INPUT!A657="","",RAW_INPUT!A657)</f>
        <v/>
      </c>
      <c r="B656" t="str">
        <f>IF(RAW_INPUT!A657="","",RAW_INPUT!E657)</f>
        <v/>
      </c>
      <c r="C656" t="str">
        <f>IF(RAW_INPUT!A657="","",RAW_INPUT!F657)</f>
        <v/>
      </c>
    </row>
    <row r="657" spans="1:3" x14ac:dyDescent="0.25">
      <c r="A657" t="str">
        <f>IF(RAW_INPUT!A658="","",RAW_INPUT!A658)</f>
        <v/>
      </c>
      <c r="B657" t="str">
        <f>IF(RAW_INPUT!A658="","",RAW_INPUT!E658)</f>
        <v/>
      </c>
      <c r="C657" t="str">
        <f>IF(RAW_INPUT!A658="","",RAW_INPUT!F658)</f>
        <v/>
      </c>
    </row>
    <row r="658" spans="1:3" x14ac:dyDescent="0.25">
      <c r="A658" t="str">
        <f>IF(RAW_INPUT!A659="","",RAW_INPUT!A659)</f>
        <v/>
      </c>
      <c r="B658" t="str">
        <f>IF(RAW_INPUT!A659="","",RAW_INPUT!E659)</f>
        <v/>
      </c>
      <c r="C658" t="str">
        <f>IF(RAW_INPUT!A659="","",RAW_INPUT!F659)</f>
        <v/>
      </c>
    </row>
    <row r="659" spans="1:3" x14ac:dyDescent="0.25">
      <c r="A659" t="str">
        <f>IF(RAW_INPUT!A660="","",RAW_INPUT!A660)</f>
        <v/>
      </c>
      <c r="B659" t="str">
        <f>IF(RAW_INPUT!A660="","",RAW_INPUT!E660)</f>
        <v/>
      </c>
      <c r="C659" t="str">
        <f>IF(RAW_INPUT!A660="","",RAW_INPUT!F660)</f>
        <v/>
      </c>
    </row>
    <row r="660" spans="1:3" x14ac:dyDescent="0.25">
      <c r="A660" t="str">
        <f>IF(RAW_INPUT!A661="","",RAW_INPUT!A661)</f>
        <v/>
      </c>
      <c r="B660" t="str">
        <f>IF(RAW_INPUT!A661="","",RAW_INPUT!E661)</f>
        <v/>
      </c>
      <c r="C660" t="str">
        <f>IF(RAW_INPUT!A661="","",RAW_INPUT!F661)</f>
        <v/>
      </c>
    </row>
    <row r="661" spans="1:3" x14ac:dyDescent="0.25">
      <c r="A661" t="str">
        <f>IF(RAW_INPUT!A662="","",RAW_INPUT!A662)</f>
        <v/>
      </c>
      <c r="B661" t="str">
        <f>IF(RAW_INPUT!A662="","",RAW_INPUT!E662)</f>
        <v/>
      </c>
      <c r="C661" t="str">
        <f>IF(RAW_INPUT!A662="","",RAW_INPUT!F662)</f>
        <v/>
      </c>
    </row>
    <row r="662" spans="1:3" x14ac:dyDescent="0.25">
      <c r="A662" t="str">
        <f>IF(RAW_INPUT!A663="","",RAW_INPUT!A663)</f>
        <v/>
      </c>
      <c r="B662" t="str">
        <f>IF(RAW_INPUT!A663="","",RAW_INPUT!E663)</f>
        <v/>
      </c>
      <c r="C662" t="str">
        <f>IF(RAW_INPUT!A663="","",RAW_INPUT!F663)</f>
        <v/>
      </c>
    </row>
    <row r="663" spans="1:3" x14ac:dyDescent="0.25">
      <c r="A663" t="str">
        <f>IF(RAW_INPUT!A664="","",RAW_INPUT!A664)</f>
        <v/>
      </c>
      <c r="B663" t="str">
        <f>IF(RAW_INPUT!A664="","",RAW_INPUT!E664)</f>
        <v/>
      </c>
      <c r="C663" t="str">
        <f>IF(RAW_INPUT!A664="","",RAW_INPUT!F664)</f>
        <v/>
      </c>
    </row>
    <row r="664" spans="1:3" x14ac:dyDescent="0.25">
      <c r="A664" t="str">
        <f>IF(RAW_INPUT!A665="","",RAW_INPUT!A665)</f>
        <v/>
      </c>
      <c r="B664" t="str">
        <f>IF(RAW_INPUT!A665="","",RAW_INPUT!E665)</f>
        <v/>
      </c>
      <c r="C664" t="str">
        <f>IF(RAW_INPUT!A665="","",RAW_INPUT!F665)</f>
        <v/>
      </c>
    </row>
    <row r="665" spans="1:3" x14ac:dyDescent="0.25">
      <c r="A665" t="str">
        <f>IF(RAW_INPUT!A666="","",RAW_INPUT!A666)</f>
        <v/>
      </c>
      <c r="B665" t="str">
        <f>IF(RAW_INPUT!A666="","",RAW_INPUT!E666)</f>
        <v/>
      </c>
      <c r="C665" t="str">
        <f>IF(RAW_INPUT!A666="","",RAW_INPUT!F666)</f>
        <v/>
      </c>
    </row>
    <row r="666" spans="1:3" x14ac:dyDescent="0.25">
      <c r="A666" t="str">
        <f>IF(RAW_INPUT!A667="","",RAW_INPUT!A667)</f>
        <v/>
      </c>
      <c r="B666" t="str">
        <f>IF(RAW_INPUT!A667="","",RAW_INPUT!E667)</f>
        <v/>
      </c>
      <c r="C666" t="str">
        <f>IF(RAW_INPUT!A667="","",RAW_INPUT!F667)</f>
        <v/>
      </c>
    </row>
    <row r="667" spans="1:3" x14ac:dyDescent="0.25">
      <c r="A667" t="str">
        <f>IF(RAW_INPUT!A668="","",RAW_INPUT!A668)</f>
        <v/>
      </c>
      <c r="B667" t="str">
        <f>IF(RAW_INPUT!A668="","",RAW_INPUT!E668)</f>
        <v/>
      </c>
      <c r="C667" t="str">
        <f>IF(RAW_INPUT!A668="","",RAW_INPUT!F668)</f>
        <v/>
      </c>
    </row>
    <row r="668" spans="1:3" x14ac:dyDescent="0.25">
      <c r="A668" t="str">
        <f>IF(RAW_INPUT!A669="","",RAW_INPUT!A669)</f>
        <v/>
      </c>
      <c r="B668" t="str">
        <f>IF(RAW_INPUT!A669="","",RAW_INPUT!E669)</f>
        <v/>
      </c>
      <c r="C668" t="str">
        <f>IF(RAW_INPUT!A669="","",RAW_INPUT!F669)</f>
        <v/>
      </c>
    </row>
    <row r="669" spans="1:3" x14ac:dyDescent="0.25">
      <c r="A669" t="str">
        <f>IF(RAW_INPUT!A670="","",RAW_INPUT!A670)</f>
        <v/>
      </c>
      <c r="B669" t="str">
        <f>IF(RAW_INPUT!A670="","",RAW_INPUT!E670)</f>
        <v/>
      </c>
      <c r="C669" t="str">
        <f>IF(RAW_INPUT!A670="","",RAW_INPUT!F670)</f>
        <v/>
      </c>
    </row>
    <row r="670" spans="1:3" x14ac:dyDescent="0.25">
      <c r="A670" t="str">
        <f>IF(RAW_INPUT!A671="","",RAW_INPUT!A671)</f>
        <v/>
      </c>
      <c r="B670" t="str">
        <f>IF(RAW_INPUT!A671="","",RAW_INPUT!E671)</f>
        <v/>
      </c>
      <c r="C670" t="str">
        <f>IF(RAW_INPUT!A671="","",RAW_INPUT!F671)</f>
        <v/>
      </c>
    </row>
    <row r="671" spans="1:3" x14ac:dyDescent="0.25">
      <c r="A671" t="str">
        <f>IF(RAW_INPUT!A672="","",RAW_INPUT!A672)</f>
        <v/>
      </c>
      <c r="B671" t="str">
        <f>IF(RAW_INPUT!A672="","",RAW_INPUT!E672)</f>
        <v/>
      </c>
      <c r="C671" t="str">
        <f>IF(RAW_INPUT!A672="","",RAW_INPUT!F672)</f>
        <v/>
      </c>
    </row>
    <row r="672" spans="1:3" x14ac:dyDescent="0.25">
      <c r="A672" t="str">
        <f>IF(RAW_INPUT!A673="","",RAW_INPUT!A673)</f>
        <v/>
      </c>
      <c r="B672" t="str">
        <f>IF(RAW_INPUT!A673="","",RAW_INPUT!E673)</f>
        <v/>
      </c>
      <c r="C672" t="str">
        <f>IF(RAW_INPUT!A673="","",RAW_INPUT!F673)</f>
        <v/>
      </c>
    </row>
    <row r="673" spans="1:3" x14ac:dyDescent="0.25">
      <c r="A673" t="str">
        <f>IF(RAW_INPUT!A674="","",RAW_INPUT!A674)</f>
        <v/>
      </c>
      <c r="B673" t="str">
        <f>IF(RAW_INPUT!A674="","",RAW_INPUT!E674)</f>
        <v/>
      </c>
      <c r="C673" t="str">
        <f>IF(RAW_INPUT!A674="","",RAW_INPUT!F674)</f>
        <v/>
      </c>
    </row>
    <row r="674" spans="1:3" x14ac:dyDescent="0.25">
      <c r="A674" t="str">
        <f>IF(RAW_INPUT!A675="","",RAW_INPUT!A675)</f>
        <v/>
      </c>
      <c r="B674" t="str">
        <f>IF(RAW_INPUT!A675="","",RAW_INPUT!E675)</f>
        <v/>
      </c>
      <c r="C674" t="str">
        <f>IF(RAW_INPUT!A675="","",RAW_INPUT!F675)</f>
        <v/>
      </c>
    </row>
    <row r="675" spans="1:3" x14ac:dyDescent="0.25">
      <c r="A675" t="str">
        <f>IF(RAW_INPUT!A676="","",RAW_INPUT!A676)</f>
        <v/>
      </c>
      <c r="B675" t="str">
        <f>IF(RAW_INPUT!A676="","",RAW_INPUT!E676)</f>
        <v/>
      </c>
      <c r="C675" t="str">
        <f>IF(RAW_INPUT!A676="","",RAW_INPUT!F676)</f>
        <v/>
      </c>
    </row>
    <row r="676" spans="1:3" x14ac:dyDescent="0.25">
      <c r="A676" t="str">
        <f>IF(RAW_INPUT!A677="","",RAW_INPUT!A677)</f>
        <v/>
      </c>
      <c r="B676" t="str">
        <f>IF(RAW_INPUT!A677="","",RAW_INPUT!E677)</f>
        <v/>
      </c>
      <c r="C676" t="str">
        <f>IF(RAW_INPUT!A677="","",RAW_INPUT!F677)</f>
        <v/>
      </c>
    </row>
    <row r="677" spans="1:3" x14ac:dyDescent="0.25">
      <c r="A677" t="str">
        <f>IF(RAW_INPUT!A678="","",RAW_INPUT!A678)</f>
        <v/>
      </c>
      <c r="B677" t="str">
        <f>IF(RAW_INPUT!A678="","",RAW_INPUT!E678)</f>
        <v/>
      </c>
      <c r="C677" t="str">
        <f>IF(RAW_INPUT!A678="","",RAW_INPUT!F678)</f>
        <v/>
      </c>
    </row>
    <row r="678" spans="1:3" x14ac:dyDescent="0.25">
      <c r="A678" t="str">
        <f>IF(RAW_INPUT!A679="","",RAW_INPUT!A679)</f>
        <v/>
      </c>
      <c r="B678" t="str">
        <f>IF(RAW_INPUT!A679="","",RAW_INPUT!E679)</f>
        <v/>
      </c>
      <c r="C678" t="str">
        <f>IF(RAW_INPUT!A679="","",RAW_INPUT!F679)</f>
        <v/>
      </c>
    </row>
    <row r="679" spans="1:3" x14ac:dyDescent="0.25">
      <c r="A679" t="str">
        <f>IF(RAW_INPUT!A680="","",RAW_INPUT!A680)</f>
        <v/>
      </c>
      <c r="B679" t="str">
        <f>IF(RAW_INPUT!A680="","",RAW_INPUT!E680)</f>
        <v/>
      </c>
      <c r="C679" t="str">
        <f>IF(RAW_INPUT!A680="","",RAW_INPUT!F680)</f>
        <v/>
      </c>
    </row>
    <row r="680" spans="1:3" x14ac:dyDescent="0.25">
      <c r="A680" t="str">
        <f>IF(RAW_INPUT!A681="","",RAW_INPUT!A681)</f>
        <v/>
      </c>
      <c r="B680" t="str">
        <f>IF(RAW_INPUT!A681="","",RAW_INPUT!E681)</f>
        <v/>
      </c>
      <c r="C680" t="str">
        <f>IF(RAW_INPUT!A681="","",RAW_INPUT!F681)</f>
        <v/>
      </c>
    </row>
    <row r="681" spans="1:3" x14ac:dyDescent="0.25">
      <c r="A681" t="str">
        <f>IF(RAW_INPUT!A682="","",RAW_INPUT!A682)</f>
        <v/>
      </c>
      <c r="B681" t="str">
        <f>IF(RAW_INPUT!A682="","",RAW_INPUT!E682)</f>
        <v/>
      </c>
      <c r="C681" t="str">
        <f>IF(RAW_INPUT!A682="","",RAW_INPUT!F682)</f>
        <v/>
      </c>
    </row>
    <row r="682" spans="1:3" x14ac:dyDescent="0.25">
      <c r="A682" t="str">
        <f>IF(RAW_INPUT!A683="","",RAW_INPUT!A683)</f>
        <v/>
      </c>
      <c r="B682" t="str">
        <f>IF(RAW_INPUT!A683="","",RAW_INPUT!E683)</f>
        <v/>
      </c>
      <c r="C682" t="str">
        <f>IF(RAW_INPUT!A683="","",RAW_INPUT!F683)</f>
        <v/>
      </c>
    </row>
    <row r="683" spans="1:3" x14ac:dyDescent="0.25">
      <c r="A683" t="str">
        <f>IF(RAW_INPUT!A684="","",RAW_INPUT!A684)</f>
        <v/>
      </c>
      <c r="B683" t="str">
        <f>IF(RAW_INPUT!A684="","",RAW_INPUT!E684)</f>
        <v/>
      </c>
      <c r="C683" t="str">
        <f>IF(RAW_INPUT!A684="","",RAW_INPUT!F684)</f>
        <v/>
      </c>
    </row>
    <row r="684" spans="1:3" x14ac:dyDescent="0.25">
      <c r="A684" t="str">
        <f>IF(RAW_INPUT!A685="","",RAW_INPUT!A685)</f>
        <v/>
      </c>
      <c r="B684" t="str">
        <f>IF(RAW_INPUT!A685="","",RAW_INPUT!E685)</f>
        <v/>
      </c>
      <c r="C684" t="str">
        <f>IF(RAW_INPUT!A685="","",RAW_INPUT!F685)</f>
        <v/>
      </c>
    </row>
    <row r="685" spans="1:3" x14ac:dyDescent="0.25">
      <c r="A685" t="str">
        <f>IF(RAW_INPUT!A686="","",RAW_INPUT!A686)</f>
        <v/>
      </c>
      <c r="B685" t="str">
        <f>IF(RAW_INPUT!A686="","",RAW_INPUT!E686)</f>
        <v/>
      </c>
      <c r="C685" t="str">
        <f>IF(RAW_INPUT!A686="","",RAW_INPUT!F686)</f>
        <v/>
      </c>
    </row>
    <row r="686" spans="1:3" x14ac:dyDescent="0.25">
      <c r="A686" t="str">
        <f>IF(RAW_INPUT!A687="","",RAW_INPUT!A687)</f>
        <v/>
      </c>
      <c r="B686" t="str">
        <f>IF(RAW_INPUT!A687="","",RAW_INPUT!E687)</f>
        <v/>
      </c>
      <c r="C686" t="str">
        <f>IF(RAW_INPUT!A687="","",RAW_INPUT!F687)</f>
        <v/>
      </c>
    </row>
    <row r="687" spans="1:3" x14ac:dyDescent="0.25">
      <c r="A687" t="str">
        <f>IF(RAW_INPUT!A688="","",RAW_INPUT!A688)</f>
        <v/>
      </c>
      <c r="B687" t="str">
        <f>IF(RAW_INPUT!A688="","",RAW_INPUT!E688)</f>
        <v/>
      </c>
      <c r="C687" t="str">
        <f>IF(RAW_INPUT!A688="","",RAW_INPUT!F688)</f>
        <v/>
      </c>
    </row>
    <row r="688" spans="1:3" x14ac:dyDescent="0.25">
      <c r="A688" t="str">
        <f>IF(RAW_INPUT!A689="","",RAW_INPUT!A689)</f>
        <v/>
      </c>
      <c r="B688" t="str">
        <f>IF(RAW_INPUT!A689="","",RAW_INPUT!E689)</f>
        <v/>
      </c>
      <c r="C688" t="str">
        <f>IF(RAW_INPUT!A689="","",RAW_INPUT!F689)</f>
        <v/>
      </c>
    </row>
    <row r="689" spans="1:3" x14ac:dyDescent="0.25">
      <c r="A689" t="str">
        <f>IF(RAW_INPUT!A690="","",RAW_INPUT!A690)</f>
        <v/>
      </c>
      <c r="B689" t="str">
        <f>IF(RAW_INPUT!A690="","",RAW_INPUT!E690)</f>
        <v/>
      </c>
      <c r="C689" t="str">
        <f>IF(RAW_INPUT!A690="","",RAW_INPUT!F690)</f>
        <v/>
      </c>
    </row>
    <row r="690" spans="1:3" x14ac:dyDescent="0.25">
      <c r="A690" t="str">
        <f>IF(RAW_INPUT!A691="","",RAW_INPUT!A691)</f>
        <v/>
      </c>
      <c r="B690" t="str">
        <f>IF(RAW_INPUT!A691="","",RAW_INPUT!E691)</f>
        <v/>
      </c>
      <c r="C690" t="str">
        <f>IF(RAW_INPUT!A691="","",RAW_INPUT!F691)</f>
        <v/>
      </c>
    </row>
    <row r="691" spans="1:3" x14ac:dyDescent="0.25">
      <c r="A691" t="str">
        <f>IF(RAW_INPUT!A692="","",RAW_INPUT!A692)</f>
        <v/>
      </c>
      <c r="B691" t="str">
        <f>IF(RAW_INPUT!A692="","",RAW_INPUT!E692)</f>
        <v/>
      </c>
      <c r="C691" t="str">
        <f>IF(RAW_INPUT!A692="","",RAW_INPUT!F692)</f>
        <v/>
      </c>
    </row>
    <row r="692" spans="1:3" x14ac:dyDescent="0.25">
      <c r="A692" t="str">
        <f>IF(RAW_INPUT!A693="","",RAW_INPUT!A693)</f>
        <v/>
      </c>
      <c r="B692" t="str">
        <f>IF(RAW_INPUT!A693="","",RAW_INPUT!E693)</f>
        <v/>
      </c>
      <c r="C692" t="str">
        <f>IF(RAW_INPUT!A693="","",RAW_INPUT!F693)</f>
        <v/>
      </c>
    </row>
    <row r="693" spans="1:3" x14ac:dyDescent="0.25">
      <c r="A693" t="str">
        <f>IF(RAW_INPUT!A694="","",RAW_INPUT!A694)</f>
        <v/>
      </c>
      <c r="B693" t="str">
        <f>IF(RAW_INPUT!A694="","",RAW_INPUT!E694)</f>
        <v/>
      </c>
      <c r="C693" t="str">
        <f>IF(RAW_INPUT!A694="","",RAW_INPUT!F694)</f>
        <v/>
      </c>
    </row>
    <row r="694" spans="1:3" x14ac:dyDescent="0.25">
      <c r="A694" t="str">
        <f>IF(RAW_INPUT!A695="","",RAW_INPUT!A695)</f>
        <v/>
      </c>
      <c r="B694" t="str">
        <f>IF(RAW_INPUT!A695="","",RAW_INPUT!E695)</f>
        <v/>
      </c>
      <c r="C694" t="str">
        <f>IF(RAW_INPUT!A695="","",RAW_INPUT!F695)</f>
        <v/>
      </c>
    </row>
    <row r="695" spans="1:3" x14ac:dyDescent="0.25">
      <c r="A695" t="str">
        <f>IF(RAW_INPUT!A696="","",RAW_INPUT!A696)</f>
        <v/>
      </c>
      <c r="B695" t="str">
        <f>IF(RAW_INPUT!A696="","",RAW_INPUT!E696)</f>
        <v/>
      </c>
      <c r="C695" t="str">
        <f>IF(RAW_INPUT!A696="","",RAW_INPUT!F696)</f>
        <v/>
      </c>
    </row>
    <row r="696" spans="1:3" x14ac:dyDescent="0.25">
      <c r="A696" t="str">
        <f>IF(RAW_INPUT!A697="","",RAW_INPUT!A697)</f>
        <v/>
      </c>
      <c r="B696" t="str">
        <f>IF(RAW_INPUT!A697="","",RAW_INPUT!E697)</f>
        <v/>
      </c>
      <c r="C696" t="str">
        <f>IF(RAW_INPUT!A697="","",RAW_INPUT!F697)</f>
        <v/>
      </c>
    </row>
    <row r="697" spans="1:3" x14ac:dyDescent="0.25">
      <c r="A697" t="str">
        <f>IF(RAW_INPUT!A698="","",RAW_INPUT!A698)</f>
        <v/>
      </c>
      <c r="B697" t="str">
        <f>IF(RAW_INPUT!A698="","",RAW_INPUT!E698)</f>
        <v/>
      </c>
      <c r="C697" t="str">
        <f>IF(RAW_INPUT!A698="","",RAW_INPUT!F698)</f>
        <v/>
      </c>
    </row>
    <row r="698" spans="1:3" x14ac:dyDescent="0.25">
      <c r="A698" t="str">
        <f>IF(RAW_INPUT!A699="","",RAW_INPUT!A699)</f>
        <v/>
      </c>
      <c r="B698" t="str">
        <f>IF(RAW_INPUT!A699="","",RAW_INPUT!E699)</f>
        <v/>
      </c>
      <c r="C698" t="str">
        <f>IF(RAW_INPUT!A699="","",RAW_INPUT!F699)</f>
        <v/>
      </c>
    </row>
    <row r="699" spans="1:3" x14ac:dyDescent="0.25">
      <c r="A699" t="str">
        <f>IF(RAW_INPUT!A700="","",RAW_INPUT!A700)</f>
        <v/>
      </c>
      <c r="B699" t="str">
        <f>IF(RAW_INPUT!A700="","",RAW_INPUT!E700)</f>
        <v/>
      </c>
      <c r="C699" t="str">
        <f>IF(RAW_INPUT!A700="","",RAW_INPUT!F700)</f>
        <v/>
      </c>
    </row>
    <row r="700" spans="1:3" x14ac:dyDescent="0.25">
      <c r="A700" t="str">
        <f>IF(RAW_INPUT!A701="","",RAW_INPUT!A701)</f>
        <v/>
      </c>
      <c r="B700" t="str">
        <f>IF(RAW_INPUT!A701="","",RAW_INPUT!E701)</f>
        <v/>
      </c>
      <c r="C700" t="str">
        <f>IF(RAW_INPUT!A701="","",RAW_INPUT!F701)</f>
        <v/>
      </c>
    </row>
    <row r="701" spans="1:3" x14ac:dyDescent="0.25">
      <c r="A701" t="str">
        <f>IF(RAW_INPUT!A702="","",RAW_INPUT!A702)</f>
        <v/>
      </c>
      <c r="B701" t="str">
        <f>IF(RAW_INPUT!A702="","",RAW_INPUT!E702)</f>
        <v/>
      </c>
      <c r="C701" t="str">
        <f>IF(RAW_INPUT!A702="","",RAW_INPUT!F702)</f>
        <v/>
      </c>
    </row>
    <row r="702" spans="1:3" x14ac:dyDescent="0.25">
      <c r="A702" t="str">
        <f>IF(RAW_INPUT!A703="","",RAW_INPUT!A703)</f>
        <v/>
      </c>
      <c r="B702" t="str">
        <f>IF(RAW_INPUT!A703="","",RAW_INPUT!E703)</f>
        <v/>
      </c>
      <c r="C702" t="str">
        <f>IF(RAW_INPUT!A703="","",RAW_INPUT!F703)</f>
        <v/>
      </c>
    </row>
    <row r="703" spans="1:3" x14ac:dyDescent="0.25">
      <c r="A703" t="str">
        <f>IF(RAW_INPUT!A704="","",RAW_INPUT!A704)</f>
        <v/>
      </c>
      <c r="B703" t="str">
        <f>IF(RAW_INPUT!A704="","",RAW_INPUT!E704)</f>
        <v/>
      </c>
      <c r="C703" t="str">
        <f>IF(RAW_INPUT!A704="","",RAW_INPUT!F704)</f>
        <v/>
      </c>
    </row>
    <row r="704" spans="1:3" x14ac:dyDescent="0.25">
      <c r="A704" t="str">
        <f>IF(RAW_INPUT!A705="","",RAW_INPUT!A705)</f>
        <v/>
      </c>
      <c r="B704" t="str">
        <f>IF(RAW_INPUT!A705="","",RAW_INPUT!E705)</f>
        <v/>
      </c>
      <c r="C704" t="str">
        <f>IF(RAW_INPUT!A705="","",RAW_INPUT!F705)</f>
        <v/>
      </c>
    </row>
    <row r="705" spans="1:3" x14ac:dyDescent="0.25">
      <c r="A705" t="str">
        <f>IF(RAW_INPUT!A706="","",RAW_INPUT!A706)</f>
        <v/>
      </c>
      <c r="B705" t="str">
        <f>IF(RAW_INPUT!A706="","",RAW_INPUT!E706)</f>
        <v/>
      </c>
      <c r="C705" t="str">
        <f>IF(RAW_INPUT!A706="","",RAW_INPUT!F706)</f>
        <v/>
      </c>
    </row>
    <row r="706" spans="1:3" x14ac:dyDescent="0.25">
      <c r="A706" t="str">
        <f>IF(RAW_INPUT!A707="","",RAW_INPUT!A707)</f>
        <v/>
      </c>
      <c r="B706" t="str">
        <f>IF(RAW_INPUT!A707="","",RAW_INPUT!E707)</f>
        <v/>
      </c>
      <c r="C706" t="str">
        <f>IF(RAW_INPUT!A707="","",RAW_INPUT!F707)</f>
        <v/>
      </c>
    </row>
    <row r="707" spans="1:3" x14ac:dyDescent="0.25">
      <c r="A707" t="str">
        <f>IF(RAW_INPUT!A708="","",RAW_INPUT!A708)</f>
        <v/>
      </c>
      <c r="B707" t="str">
        <f>IF(RAW_INPUT!A708="","",RAW_INPUT!E708)</f>
        <v/>
      </c>
      <c r="C707" t="str">
        <f>IF(RAW_INPUT!A708="","",RAW_INPUT!F708)</f>
        <v/>
      </c>
    </row>
    <row r="708" spans="1:3" x14ac:dyDescent="0.25">
      <c r="A708" t="str">
        <f>IF(RAW_INPUT!A709="","",RAW_INPUT!A709)</f>
        <v/>
      </c>
      <c r="B708" t="str">
        <f>IF(RAW_INPUT!A709="","",RAW_INPUT!E709)</f>
        <v/>
      </c>
      <c r="C708" t="str">
        <f>IF(RAW_INPUT!A709="","",RAW_INPUT!F709)</f>
        <v/>
      </c>
    </row>
    <row r="709" spans="1:3" x14ac:dyDescent="0.25">
      <c r="A709" t="str">
        <f>IF(RAW_INPUT!A710="","",RAW_INPUT!A710)</f>
        <v/>
      </c>
      <c r="B709" t="str">
        <f>IF(RAW_INPUT!A710="","",RAW_INPUT!E710)</f>
        <v/>
      </c>
      <c r="C709" t="str">
        <f>IF(RAW_INPUT!A710="","",RAW_INPUT!F710)</f>
        <v/>
      </c>
    </row>
    <row r="710" spans="1:3" x14ac:dyDescent="0.25">
      <c r="A710" t="str">
        <f>IF(RAW_INPUT!A711="","",RAW_INPUT!A711)</f>
        <v/>
      </c>
      <c r="B710" t="str">
        <f>IF(RAW_INPUT!A711="","",RAW_INPUT!E711)</f>
        <v/>
      </c>
      <c r="C710" t="str">
        <f>IF(RAW_INPUT!A711="","",RAW_INPUT!F711)</f>
        <v/>
      </c>
    </row>
    <row r="711" spans="1:3" x14ac:dyDescent="0.25">
      <c r="A711" t="str">
        <f>IF(RAW_INPUT!A712="","",RAW_INPUT!A712)</f>
        <v/>
      </c>
      <c r="B711" t="str">
        <f>IF(RAW_INPUT!A712="","",RAW_INPUT!E712)</f>
        <v/>
      </c>
      <c r="C711" t="str">
        <f>IF(RAW_INPUT!A712="","",RAW_INPUT!F712)</f>
        <v/>
      </c>
    </row>
    <row r="712" spans="1:3" x14ac:dyDescent="0.25">
      <c r="A712" t="str">
        <f>IF(RAW_INPUT!A713="","",RAW_INPUT!A713)</f>
        <v/>
      </c>
      <c r="B712" t="str">
        <f>IF(RAW_INPUT!A713="","",RAW_INPUT!E713)</f>
        <v/>
      </c>
      <c r="C712" t="str">
        <f>IF(RAW_INPUT!A713="","",RAW_INPUT!F713)</f>
        <v/>
      </c>
    </row>
    <row r="713" spans="1:3" x14ac:dyDescent="0.25">
      <c r="A713" t="str">
        <f>IF(RAW_INPUT!A714="","",RAW_INPUT!A714)</f>
        <v/>
      </c>
      <c r="B713" t="str">
        <f>IF(RAW_INPUT!A714="","",RAW_INPUT!E714)</f>
        <v/>
      </c>
      <c r="C713" t="str">
        <f>IF(RAW_INPUT!A714="","",RAW_INPUT!F714)</f>
        <v/>
      </c>
    </row>
    <row r="714" spans="1:3" x14ac:dyDescent="0.25">
      <c r="A714" t="str">
        <f>IF(RAW_INPUT!A715="","",RAW_INPUT!A715)</f>
        <v/>
      </c>
      <c r="B714" t="str">
        <f>IF(RAW_INPUT!A715="","",RAW_INPUT!E715)</f>
        <v/>
      </c>
      <c r="C714" t="str">
        <f>IF(RAW_INPUT!A715="","",RAW_INPUT!F715)</f>
        <v/>
      </c>
    </row>
    <row r="715" spans="1:3" x14ac:dyDescent="0.25">
      <c r="A715" t="str">
        <f>IF(RAW_INPUT!A716="","",RAW_INPUT!A716)</f>
        <v/>
      </c>
      <c r="B715" t="str">
        <f>IF(RAW_INPUT!A716="","",RAW_INPUT!E716)</f>
        <v/>
      </c>
      <c r="C715" t="str">
        <f>IF(RAW_INPUT!A716="","",RAW_INPUT!F716)</f>
        <v/>
      </c>
    </row>
    <row r="716" spans="1:3" x14ac:dyDescent="0.25">
      <c r="A716" t="str">
        <f>IF(RAW_INPUT!A717="","",RAW_INPUT!A717)</f>
        <v/>
      </c>
      <c r="B716" t="str">
        <f>IF(RAW_INPUT!A717="","",RAW_INPUT!E717)</f>
        <v/>
      </c>
      <c r="C716" t="str">
        <f>IF(RAW_INPUT!A717="","",RAW_INPUT!F717)</f>
        <v/>
      </c>
    </row>
    <row r="717" spans="1:3" x14ac:dyDescent="0.25">
      <c r="A717" t="str">
        <f>IF(RAW_INPUT!A718="","",RAW_INPUT!A718)</f>
        <v/>
      </c>
      <c r="B717" t="str">
        <f>IF(RAW_INPUT!A718="","",RAW_INPUT!E718)</f>
        <v/>
      </c>
      <c r="C717" t="str">
        <f>IF(RAW_INPUT!A718="","",RAW_INPUT!F718)</f>
        <v/>
      </c>
    </row>
    <row r="718" spans="1:3" x14ac:dyDescent="0.25">
      <c r="A718" t="str">
        <f>IF(RAW_INPUT!A719="","",RAW_INPUT!A719)</f>
        <v/>
      </c>
      <c r="B718" t="str">
        <f>IF(RAW_INPUT!A719="","",RAW_INPUT!E719)</f>
        <v/>
      </c>
      <c r="C718" t="str">
        <f>IF(RAW_INPUT!A719="","",RAW_INPUT!F719)</f>
        <v/>
      </c>
    </row>
    <row r="719" spans="1:3" x14ac:dyDescent="0.25">
      <c r="A719" t="str">
        <f>IF(RAW_INPUT!A720="","",RAW_INPUT!A720)</f>
        <v/>
      </c>
      <c r="B719" t="str">
        <f>IF(RAW_INPUT!A720="","",RAW_INPUT!E720)</f>
        <v/>
      </c>
      <c r="C719" t="str">
        <f>IF(RAW_INPUT!A720="","",RAW_INPUT!F720)</f>
        <v/>
      </c>
    </row>
    <row r="720" spans="1:3" x14ac:dyDescent="0.25">
      <c r="A720" t="str">
        <f>IF(RAW_INPUT!A721="","",RAW_INPUT!A721)</f>
        <v/>
      </c>
      <c r="B720" t="str">
        <f>IF(RAW_INPUT!A721="","",RAW_INPUT!E721)</f>
        <v/>
      </c>
      <c r="C720" t="str">
        <f>IF(RAW_INPUT!A721="","",RAW_INPUT!F721)</f>
        <v/>
      </c>
    </row>
    <row r="721" spans="1:3" x14ac:dyDescent="0.25">
      <c r="A721" t="str">
        <f>IF(RAW_INPUT!A722="","",RAW_INPUT!A722)</f>
        <v/>
      </c>
      <c r="B721" t="str">
        <f>IF(RAW_INPUT!A722="","",RAW_INPUT!E722)</f>
        <v/>
      </c>
      <c r="C721" t="str">
        <f>IF(RAW_INPUT!A722="","",RAW_INPUT!F722)</f>
        <v/>
      </c>
    </row>
    <row r="722" spans="1:3" x14ac:dyDescent="0.25">
      <c r="A722" t="str">
        <f>IF(RAW_INPUT!A723="","",RAW_INPUT!A723)</f>
        <v/>
      </c>
      <c r="B722" t="str">
        <f>IF(RAW_INPUT!A723="","",RAW_INPUT!E723)</f>
        <v/>
      </c>
      <c r="C722" t="str">
        <f>IF(RAW_INPUT!A723="","",RAW_INPUT!F723)</f>
        <v/>
      </c>
    </row>
    <row r="723" spans="1:3" x14ac:dyDescent="0.25">
      <c r="A723" t="str">
        <f>IF(RAW_INPUT!A724="","",RAW_INPUT!A724)</f>
        <v/>
      </c>
      <c r="B723" t="str">
        <f>IF(RAW_INPUT!A724="","",RAW_INPUT!E724)</f>
        <v/>
      </c>
      <c r="C723" t="str">
        <f>IF(RAW_INPUT!A724="","",RAW_INPUT!F724)</f>
        <v/>
      </c>
    </row>
    <row r="724" spans="1:3" x14ac:dyDescent="0.25">
      <c r="A724" t="str">
        <f>IF(RAW_INPUT!A725="","",RAW_INPUT!A725)</f>
        <v/>
      </c>
      <c r="B724" t="str">
        <f>IF(RAW_INPUT!A725="","",RAW_INPUT!E725)</f>
        <v/>
      </c>
      <c r="C724" t="str">
        <f>IF(RAW_INPUT!A725="","",RAW_INPUT!F725)</f>
        <v/>
      </c>
    </row>
    <row r="725" spans="1:3" x14ac:dyDescent="0.25">
      <c r="A725" t="str">
        <f>IF(RAW_INPUT!A726="","",RAW_INPUT!A726)</f>
        <v/>
      </c>
      <c r="B725" t="str">
        <f>IF(RAW_INPUT!A726="","",RAW_INPUT!E726)</f>
        <v/>
      </c>
      <c r="C725" t="str">
        <f>IF(RAW_INPUT!A726="","",RAW_INPUT!F726)</f>
        <v/>
      </c>
    </row>
    <row r="726" spans="1:3" x14ac:dyDescent="0.25">
      <c r="A726" t="str">
        <f>IF(RAW_INPUT!A727="","",RAW_INPUT!A727)</f>
        <v/>
      </c>
      <c r="B726" t="str">
        <f>IF(RAW_INPUT!A727="","",RAW_INPUT!E727)</f>
        <v/>
      </c>
      <c r="C726" t="str">
        <f>IF(RAW_INPUT!A727="","",RAW_INPUT!F727)</f>
        <v/>
      </c>
    </row>
    <row r="727" spans="1:3" x14ac:dyDescent="0.25">
      <c r="A727" t="str">
        <f>IF(RAW_INPUT!A728="","",RAW_INPUT!A728)</f>
        <v/>
      </c>
      <c r="B727" t="str">
        <f>IF(RAW_INPUT!A728="","",RAW_INPUT!E728)</f>
        <v/>
      </c>
      <c r="C727" t="str">
        <f>IF(RAW_INPUT!A728="","",RAW_INPUT!F728)</f>
        <v/>
      </c>
    </row>
    <row r="728" spans="1:3" x14ac:dyDescent="0.25">
      <c r="A728" t="str">
        <f>IF(RAW_INPUT!A729="","",RAW_INPUT!A729)</f>
        <v/>
      </c>
      <c r="B728" t="str">
        <f>IF(RAW_INPUT!A729="","",RAW_INPUT!E729)</f>
        <v/>
      </c>
      <c r="C728" t="str">
        <f>IF(RAW_INPUT!A729="","",RAW_INPUT!F729)</f>
        <v/>
      </c>
    </row>
    <row r="729" spans="1:3" x14ac:dyDescent="0.25">
      <c r="A729" t="str">
        <f>IF(RAW_INPUT!A730="","",RAW_INPUT!A730)</f>
        <v/>
      </c>
      <c r="B729" t="str">
        <f>IF(RAW_INPUT!A730="","",RAW_INPUT!E730)</f>
        <v/>
      </c>
      <c r="C729" t="str">
        <f>IF(RAW_INPUT!A730="","",RAW_INPUT!F730)</f>
        <v/>
      </c>
    </row>
    <row r="730" spans="1:3" x14ac:dyDescent="0.25">
      <c r="A730" t="str">
        <f>IF(RAW_INPUT!A731="","",RAW_INPUT!A731)</f>
        <v/>
      </c>
      <c r="B730" t="str">
        <f>IF(RAW_INPUT!A731="","",RAW_INPUT!E731)</f>
        <v/>
      </c>
      <c r="C730" t="str">
        <f>IF(RAW_INPUT!A731="","",RAW_INPUT!F731)</f>
        <v/>
      </c>
    </row>
    <row r="731" spans="1:3" x14ac:dyDescent="0.25">
      <c r="A731" t="str">
        <f>IF(RAW_INPUT!A732="","",RAW_INPUT!A732)</f>
        <v/>
      </c>
      <c r="B731" t="str">
        <f>IF(RAW_INPUT!A732="","",RAW_INPUT!E732)</f>
        <v/>
      </c>
      <c r="C731" t="str">
        <f>IF(RAW_INPUT!A732="","",RAW_INPUT!F732)</f>
        <v/>
      </c>
    </row>
    <row r="732" spans="1:3" x14ac:dyDescent="0.25">
      <c r="A732" t="str">
        <f>IF(RAW_INPUT!A733="","",RAW_INPUT!A733)</f>
        <v/>
      </c>
      <c r="B732" t="str">
        <f>IF(RAW_INPUT!A733="","",RAW_INPUT!E733)</f>
        <v/>
      </c>
      <c r="C732" t="str">
        <f>IF(RAW_INPUT!A733="","",RAW_INPUT!F733)</f>
        <v/>
      </c>
    </row>
    <row r="733" spans="1:3" x14ac:dyDescent="0.25">
      <c r="A733" t="str">
        <f>IF(RAW_INPUT!A734="","",RAW_INPUT!A734)</f>
        <v/>
      </c>
      <c r="B733" t="str">
        <f>IF(RAW_INPUT!A734="","",RAW_INPUT!E734)</f>
        <v/>
      </c>
      <c r="C733" t="str">
        <f>IF(RAW_INPUT!A734="","",RAW_INPUT!F734)</f>
        <v/>
      </c>
    </row>
    <row r="734" spans="1:3" x14ac:dyDescent="0.25">
      <c r="A734" t="str">
        <f>IF(RAW_INPUT!A735="","",RAW_INPUT!A735)</f>
        <v/>
      </c>
      <c r="B734" t="str">
        <f>IF(RAW_INPUT!A735="","",RAW_INPUT!E735)</f>
        <v/>
      </c>
      <c r="C734" t="str">
        <f>IF(RAW_INPUT!A735="","",RAW_INPUT!F735)</f>
        <v/>
      </c>
    </row>
    <row r="735" spans="1:3" x14ac:dyDescent="0.25">
      <c r="A735" t="str">
        <f>IF(RAW_INPUT!A736="","",RAW_INPUT!A736)</f>
        <v/>
      </c>
      <c r="B735" t="str">
        <f>IF(RAW_INPUT!A736="","",RAW_INPUT!E736)</f>
        <v/>
      </c>
      <c r="C735" t="str">
        <f>IF(RAW_INPUT!A736="","",RAW_INPUT!F736)</f>
        <v/>
      </c>
    </row>
    <row r="736" spans="1:3" x14ac:dyDescent="0.25">
      <c r="A736" t="str">
        <f>IF(RAW_INPUT!A737="","",RAW_INPUT!A737)</f>
        <v/>
      </c>
      <c r="B736" t="str">
        <f>IF(RAW_INPUT!A737="","",RAW_INPUT!E737)</f>
        <v/>
      </c>
      <c r="C736" t="str">
        <f>IF(RAW_INPUT!A737="","",RAW_INPUT!F737)</f>
        <v/>
      </c>
    </row>
    <row r="737" spans="1:3" x14ac:dyDescent="0.25">
      <c r="A737" t="str">
        <f>IF(RAW_INPUT!A738="","",RAW_INPUT!A738)</f>
        <v/>
      </c>
      <c r="B737" t="str">
        <f>IF(RAW_INPUT!A738="","",RAW_INPUT!E738)</f>
        <v/>
      </c>
      <c r="C737" t="str">
        <f>IF(RAW_INPUT!A738="","",RAW_INPUT!F738)</f>
        <v/>
      </c>
    </row>
    <row r="738" spans="1:3" x14ac:dyDescent="0.25">
      <c r="A738" t="str">
        <f>IF(RAW_INPUT!A739="","",RAW_INPUT!A739)</f>
        <v/>
      </c>
      <c r="B738" t="str">
        <f>IF(RAW_INPUT!A739="","",RAW_INPUT!E739)</f>
        <v/>
      </c>
      <c r="C738" t="str">
        <f>IF(RAW_INPUT!A739="","",RAW_INPUT!F739)</f>
        <v/>
      </c>
    </row>
    <row r="739" spans="1:3" x14ac:dyDescent="0.25">
      <c r="A739" t="str">
        <f>IF(RAW_INPUT!A740="","",RAW_INPUT!A740)</f>
        <v/>
      </c>
      <c r="B739" t="str">
        <f>IF(RAW_INPUT!A740="","",RAW_INPUT!E740)</f>
        <v/>
      </c>
      <c r="C739" t="str">
        <f>IF(RAW_INPUT!A740="","",RAW_INPUT!F740)</f>
        <v/>
      </c>
    </row>
    <row r="740" spans="1:3" x14ac:dyDescent="0.25">
      <c r="A740" t="str">
        <f>IF(RAW_INPUT!A741="","",RAW_INPUT!A741)</f>
        <v/>
      </c>
      <c r="B740" t="str">
        <f>IF(RAW_INPUT!A741="","",RAW_INPUT!E741)</f>
        <v/>
      </c>
      <c r="C740" t="str">
        <f>IF(RAW_INPUT!A741="","",RAW_INPUT!F741)</f>
        <v/>
      </c>
    </row>
    <row r="741" spans="1:3" x14ac:dyDescent="0.25">
      <c r="A741" t="str">
        <f>IF(RAW_INPUT!A742="","",RAW_INPUT!A742)</f>
        <v/>
      </c>
      <c r="B741" t="str">
        <f>IF(RAW_INPUT!A742="","",RAW_INPUT!E742)</f>
        <v/>
      </c>
      <c r="C741" t="str">
        <f>IF(RAW_INPUT!A742="","",RAW_INPUT!F742)</f>
        <v/>
      </c>
    </row>
    <row r="742" spans="1:3" x14ac:dyDescent="0.25">
      <c r="A742" t="str">
        <f>IF(RAW_INPUT!A743="","",RAW_INPUT!A743)</f>
        <v/>
      </c>
      <c r="B742" t="str">
        <f>IF(RAW_INPUT!A743="","",RAW_INPUT!E743)</f>
        <v/>
      </c>
      <c r="C742" t="str">
        <f>IF(RAW_INPUT!A743="","",RAW_INPUT!F743)</f>
        <v/>
      </c>
    </row>
    <row r="743" spans="1:3" x14ac:dyDescent="0.25">
      <c r="A743" t="str">
        <f>IF(RAW_INPUT!A744="","",RAW_INPUT!A744)</f>
        <v/>
      </c>
      <c r="B743" t="str">
        <f>IF(RAW_INPUT!A744="","",RAW_INPUT!E744)</f>
        <v/>
      </c>
      <c r="C743" t="str">
        <f>IF(RAW_INPUT!A744="","",RAW_INPUT!F744)</f>
        <v/>
      </c>
    </row>
    <row r="744" spans="1:3" x14ac:dyDescent="0.25">
      <c r="A744" t="str">
        <f>IF(RAW_INPUT!A745="","",RAW_INPUT!A745)</f>
        <v/>
      </c>
      <c r="B744" t="str">
        <f>IF(RAW_INPUT!A745="","",RAW_INPUT!E745)</f>
        <v/>
      </c>
      <c r="C744" t="str">
        <f>IF(RAW_INPUT!A745="","",RAW_INPUT!F745)</f>
        <v/>
      </c>
    </row>
    <row r="745" spans="1:3" x14ac:dyDescent="0.25">
      <c r="A745" t="str">
        <f>IF(RAW_INPUT!A746="","",RAW_INPUT!A746)</f>
        <v/>
      </c>
      <c r="B745" t="str">
        <f>IF(RAW_INPUT!A746="","",RAW_INPUT!E746)</f>
        <v/>
      </c>
      <c r="C745" t="str">
        <f>IF(RAW_INPUT!A746="","",RAW_INPUT!F746)</f>
        <v/>
      </c>
    </row>
    <row r="746" spans="1:3" x14ac:dyDescent="0.25">
      <c r="A746" t="str">
        <f>IF(RAW_INPUT!A747="","",RAW_INPUT!A747)</f>
        <v/>
      </c>
      <c r="B746" t="str">
        <f>IF(RAW_INPUT!A747="","",RAW_INPUT!E747)</f>
        <v/>
      </c>
      <c r="C746" t="str">
        <f>IF(RAW_INPUT!A747="","",RAW_INPUT!F747)</f>
        <v/>
      </c>
    </row>
    <row r="747" spans="1:3" x14ac:dyDescent="0.25">
      <c r="A747" t="str">
        <f>IF(RAW_INPUT!A748="","",RAW_INPUT!A748)</f>
        <v/>
      </c>
      <c r="B747" t="str">
        <f>IF(RAW_INPUT!A748="","",RAW_INPUT!E748)</f>
        <v/>
      </c>
      <c r="C747" t="str">
        <f>IF(RAW_INPUT!A748="","",RAW_INPUT!F748)</f>
        <v/>
      </c>
    </row>
    <row r="748" spans="1:3" x14ac:dyDescent="0.25">
      <c r="A748" t="str">
        <f>IF(RAW_INPUT!A749="","",RAW_INPUT!A749)</f>
        <v/>
      </c>
      <c r="B748" t="str">
        <f>IF(RAW_INPUT!A749="","",RAW_INPUT!E749)</f>
        <v/>
      </c>
      <c r="C748" t="str">
        <f>IF(RAW_INPUT!A749="","",RAW_INPUT!F749)</f>
        <v/>
      </c>
    </row>
    <row r="749" spans="1:3" x14ac:dyDescent="0.25">
      <c r="A749" t="str">
        <f>IF(RAW_INPUT!A750="","",RAW_INPUT!A750)</f>
        <v/>
      </c>
      <c r="B749" t="str">
        <f>IF(RAW_INPUT!A750="","",RAW_INPUT!E750)</f>
        <v/>
      </c>
      <c r="C749" t="str">
        <f>IF(RAW_INPUT!A750="","",RAW_INPUT!F750)</f>
        <v/>
      </c>
    </row>
    <row r="750" spans="1:3" x14ac:dyDescent="0.25">
      <c r="A750" t="str">
        <f>IF(RAW_INPUT!A751="","",RAW_INPUT!A751)</f>
        <v/>
      </c>
      <c r="B750" t="str">
        <f>IF(RAW_INPUT!A751="","",RAW_INPUT!E751)</f>
        <v/>
      </c>
      <c r="C750" t="str">
        <f>IF(RAW_INPUT!A751="","",RAW_INPUT!F751)</f>
        <v/>
      </c>
    </row>
    <row r="751" spans="1:3" x14ac:dyDescent="0.25">
      <c r="A751" t="str">
        <f>IF(RAW_INPUT!A752="","",RAW_INPUT!A752)</f>
        <v/>
      </c>
      <c r="B751" t="str">
        <f>IF(RAW_INPUT!A752="","",RAW_INPUT!E752)</f>
        <v/>
      </c>
      <c r="C751" t="str">
        <f>IF(RAW_INPUT!A752="","",RAW_INPUT!F752)</f>
        <v/>
      </c>
    </row>
    <row r="752" spans="1:3" x14ac:dyDescent="0.25">
      <c r="A752" t="str">
        <f>IF(RAW_INPUT!A753="","",RAW_INPUT!A753)</f>
        <v/>
      </c>
      <c r="B752" t="str">
        <f>IF(RAW_INPUT!A753="","",RAW_INPUT!E753)</f>
        <v/>
      </c>
      <c r="C752" t="str">
        <f>IF(RAW_INPUT!A753="","",RAW_INPUT!F753)</f>
        <v/>
      </c>
    </row>
    <row r="753" spans="1:3" x14ac:dyDescent="0.25">
      <c r="A753" t="str">
        <f>IF(RAW_INPUT!A754="","",RAW_INPUT!A754)</f>
        <v/>
      </c>
      <c r="B753" t="str">
        <f>IF(RAW_INPUT!A754="","",RAW_INPUT!E754)</f>
        <v/>
      </c>
      <c r="C753" t="str">
        <f>IF(RAW_INPUT!A754="","",RAW_INPUT!F754)</f>
        <v/>
      </c>
    </row>
    <row r="754" spans="1:3" x14ac:dyDescent="0.25">
      <c r="A754" t="str">
        <f>IF(RAW_INPUT!A755="","",RAW_INPUT!A755)</f>
        <v/>
      </c>
      <c r="B754" t="str">
        <f>IF(RAW_INPUT!A755="","",RAW_INPUT!E755)</f>
        <v/>
      </c>
      <c r="C754" t="str">
        <f>IF(RAW_INPUT!A755="","",RAW_INPUT!F755)</f>
        <v/>
      </c>
    </row>
    <row r="755" spans="1:3" x14ac:dyDescent="0.25">
      <c r="A755" t="str">
        <f>IF(RAW_INPUT!A756="","",RAW_INPUT!A756)</f>
        <v/>
      </c>
      <c r="B755" t="str">
        <f>IF(RAW_INPUT!A756="","",RAW_INPUT!E756)</f>
        <v/>
      </c>
      <c r="C755" t="str">
        <f>IF(RAW_INPUT!A756="","",RAW_INPUT!F756)</f>
        <v/>
      </c>
    </row>
    <row r="756" spans="1:3" x14ac:dyDescent="0.25">
      <c r="A756" t="str">
        <f>IF(RAW_INPUT!A757="","",RAW_INPUT!A757)</f>
        <v/>
      </c>
      <c r="B756" t="str">
        <f>IF(RAW_INPUT!A757="","",RAW_INPUT!E757)</f>
        <v/>
      </c>
      <c r="C756" t="str">
        <f>IF(RAW_INPUT!A757="","",RAW_INPUT!F757)</f>
        <v/>
      </c>
    </row>
    <row r="757" spans="1:3" x14ac:dyDescent="0.25">
      <c r="A757" t="str">
        <f>IF(RAW_INPUT!A758="","",RAW_INPUT!A758)</f>
        <v/>
      </c>
      <c r="B757" t="str">
        <f>IF(RAW_INPUT!A758="","",RAW_INPUT!E758)</f>
        <v/>
      </c>
      <c r="C757" t="str">
        <f>IF(RAW_INPUT!A758="","",RAW_INPUT!F758)</f>
        <v/>
      </c>
    </row>
    <row r="758" spans="1:3" x14ac:dyDescent="0.25">
      <c r="A758" t="str">
        <f>IF(RAW_INPUT!A759="","",RAW_INPUT!A759)</f>
        <v/>
      </c>
      <c r="B758" t="str">
        <f>IF(RAW_INPUT!A759="","",RAW_INPUT!E759)</f>
        <v/>
      </c>
      <c r="C758" t="str">
        <f>IF(RAW_INPUT!A759="","",RAW_INPUT!F759)</f>
        <v/>
      </c>
    </row>
    <row r="759" spans="1:3" x14ac:dyDescent="0.25">
      <c r="A759" t="str">
        <f>IF(RAW_INPUT!A760="","",RAW_INPUT!A760)</f>
        <v/>
      </c>
      <c r="B759" t="str">
        <f>IF(RAW_INPUT!A760="","",RAW_INPUT!E760)</f>
        <v/>
      </c>
      <c r="C759" t="str">
        <f>IF(RAW_INPUT!A760="","",RAW_INPUT!F760)</f>
        <v/>
      </c>
    </row>
    <row r="760" spans="1:3" x14ac:dyDescent="0.25">
      <c r="A760" t="str">
        <f>IF(RAW_INPUT!A761="","",RAW_INPUT!A761)</f>
        <v/>
      </c>
      <c r="B760" t="str">
        <f>IF(RAW_INPUT!A761="","",RAW_INPUT!E761)</f>
        <v/>
      </c>
      <c r="C760" t="str">
        <f>IF(RAW_INPUT!A761="","",RAW_INPUT!F761)</f>
        <v/>
      </c>
    </row>
    <row r="761" spans="1:3" x14ac:dyDescent="0.25">
      <c r="A761" t="str">
        <f>IF(RAW_INPUT!A762="","",RAW_INPUT!A762)</f>
        <v/>
      </c>
      <c r="B761" t="str">
        <f>IF(RAW_INPUT!A762="","",RAW_INPUT!E762)</f>
        <v/>
      </c>
      <c r="C761" t="str">
        <f>IF(RAW_INPUT!A762="","",RAW_INPUT!F762)</f>
        <v/>
      </c>
    </row>
    <row r="762" spans="1:3" x14ac:dyDescent="0.25">
      <c r="A762" t="str">
        <f>IF(RAW_INPUT!A763="","",RAW_INPUT!A763)</f>
        <v/>
      </c>
      <c r="B762" t="str">
        <f>IF(RAW_INPUT!A763="","",RAW_INPUT!E763)</f>
        <v/>
      </c>
      <c r="C762" t="str">
        <f>IF(RAW_INPUT!A763="","",RAW_INPUT!F763)</f>
        <v/>
      </c>
    </row>
    <row r="763" spans="1:3" x14ac:dyDescent="0.25">
      <c r="A763" t="str">
        <f>IF(RAW_INPUT!A764="","",RAW_INPUT!A764)</f>
        <v/>
      </c>
      <c r="B763" t="str">
        <f>IF(RAW_INPUT!A764="","",RAW_INPUT!E764)</f>
        <v/>
      </c>
      <c r="C763" t="str">
        <f>IF(RAW_INPUT!A764="","",RAW_INPUT!F764)</f>
        <v/>
      </c>
    </row>
    <row r="764" spans="1:3" x14ac:dyDescent="0.25">
      <c r="A764" t="str">
        <f>IF(RAW_INPUT!A765="","",RAW_INPUT!A765)</f>
        <v/>
      </c>
      <c r="B764" t="str">
        <f>IF(RAW_INPUT!A765="","",RAW_INPUT!E765)</f>
        <v/>
      </c>
      <c r="C764" t="str">
        <f>IF(RAW_INPUT!A765="","",RAW_INPUT!F765)</f>
        <v/>
      </c>
    </row>
    <row r="765" spans="1:3" x14ac:dyDescent="0.25">
      <c r="A765" t="str">
        <f>IF(RAW_INPUT!A766="","",RAW_INPUT!A766)</f>
        <v/>
      </c>
      <c r="B765" t="str">
        <f>IF(RAW_INPUT!A766="","",RAW_INPUT!E766)</f>
        <v/>
      </c>
      <c r="C765" t="str">
        <f>IF(RAW_INPUT!A766="","",RAW_INPUT!F766)</f>
        <v/>
      </c>
    </row>
    <row r="766" spans="1:3" x14ac:dyDescent="0.25">
      <c r="A766" t="str">
        <f>IF(RAW_INPUT!A767="","",RAW_INPUT!A767)</f>
        <v/>
      </c>
      <c r="B766" t="str">
        <f>IF(RAW_INPUT!A767="","",RAW_INPUT!E767)</f>
        <v/>
      </c>
      <c r="C766" t="str">
        <f>IF(RAW_INPUT!A767="","",RAW_INPUT!F767)</f>
        <v/>
      </c>
    </row>
    <row r="767" spans="1:3" x14ac:dyDescent="0.25">
      <c r="A767" t="str">
        <f>IF(RAW_INPUT!A768="","",RAW_INPUT!A768)</f>
        <v/>
      </c>
      <c r="B767" t="str">
        <f>IF(RAW_INPUT!A768="","",RAW_INPUT!E768)</f>
        <v/>
      </c>
      <c r="C767" t="str">
        <f>IF(RAW_INPUT!A768="","",RAW_INPUT!F768)</f>
        <v/>
      </c>
    </row>
    <row r="768" spans="1:3" x14ac:dyDescent="0.25">
      <c r="A768" t="str">
        <f>IF(RAW_INPUT!A769="","",RAW_INPUT!A769)</f>
        <v/>
      </c>
      <c r="B768" t="str">
        <f>IF(RAW_INPUT!A769="","",RAW_INPUT!E769)</f>
        <v/>
      </c>
      <c r="C768" t="str">
        <f>IF(RAW_INPUT!A769="","",RAW_INPUT!F769)</f>
        <v/>
      </c>
    </row>
    <row r="769" spans="1:3" x14ac:dyDescent="0.25">
      <c r="A769" t="str">
        <f>IF(RAW_INPUT!A770="","",RAW_INPUT!A770)</f>
        <v/>
      </c>
      <c r="B769" t="str">
        <f>IF(RAW_INPUT!A770="","",RAW_INPUT!E770)</f>
        <v/>
      </c>
      <c r="C769" t="str">
        <f>IF(RAW_INPUT!A770="","",RAW_INPUT!F770)</f>
        <v/>
      </c>
    </row>
    <row r="770" spans="1:3" x14ac:dyDescent="0.25">
      <c r="A770" t="str">
        <f>IF(RAW_INPUT!A771="","",RAW_INPUT!A771)</f>
        <v/>
      </c>
      <c r="B770" t="str">
        <f>IF(RAW_INPUT!A771="","",RAW_INPUT!E771)</f>
        <v/>
      </c>
      <c r="C770" t="str">
        <f>IF(RAW_INPUT!A771="","",RAW_INPUT!F771)</f>
        <v/>
      </c>
    </row>
    <row r="771" spans="1:3" x14ac:dyDescent="0.25">
      <c r="A771" t="str">
        <f>IF(RAW_INPUT!A772="","",RAW_INPUT!A772)</f>
        <v/>
      </c>
      <c r="B771" t="str">
        <f>IF(RAW_INPUT!A772="","",RAW_INPUT!E772)</f>
        <v/>
      </c>
      <c r="C771" t="str">
        <f>IF(RAW_INPUT!A772="","",RAW_INPUT!F772)</f>
        <v/>
      </c>
    </row>
    <row r="772" spans="1:3" x14ac:dyDescent="0.25">
      <c r="A772" t="str">
        <f>IF(RAW_INPUT!A773="","",RAW_INPUT!A773)</f>
        <v/>
      </c>
      <c r="B772" t="str">
        <f>IF(RAW_INPUT!A773="","",RAW_INPUT!E773)</f>
        <v/>
      </c>
      <c r="C772" t="str">
        <f>IF(RAW_INPUT!A773="","",RAW_INPUT!F773)</f>
        <v/>
      </c>
    </row>
    <row r="773" spans="1:3" x14ac:dyDescent="0.25">
      <c r="A773" t="str">
        <f>IF(RAW_INPUT!A774="","",RAW_INPUT!A774)</f>
        <v/>
      </c>
      <c r="B773" t="str">
        <f>IF(RAW_INPUT!A774="","",RAW_INPUT!E774)</f>
        <v/>
      </c>
      <c r="C773" t="str">
        <f>IF(RAW_INPUT!A774="","",RAW_INPUT!F774)</f>
        <v/>
      </c>
    </row>
    <row r="774" spans="1:3" x14ac:dyDescent="0.25">
      <c r="A774" t="str">
        <f>IF(RAW_INPUT!A775="","",RAW_INPUT!A775)</f>
        <v/>
      </c>
      <c r="B774" t="str">
        <f>IF(RAW_INPUT!A775="","",RAW_INPUT!E775)</f>
        <v/>
      </c>
      <c r="C774" t="str">
        <f>IF(RAW_INPUT!A775="","",RAW_INPUT!F775)</f>
        <v/>
      </c>
    </row>
    <row r="775" spans="1:3" x14ac:dyDescent="0.25">
      <c r="A775" t="str">
        <f>IF(RAW_INPUT!A776="","",RAW_INPUT!A776)</f>
        <v/>
      </c>
      <c r="B775" t="str">
        <f>IF(RAW_INPUT!A776="","",RAW_INPUT!E776)</f>
        <v/>
      </c>
      <c r="C775" t="str">
        <f>IF(RAW_INPUT!A776="","",RAW_INPUT!F776)</f>
        <v/>
      </c>
    </row>
    <row r="776" spans="1:3" x14ac:dyDescent="0.25">
      <c r="A776" t="str">
        <f>IF(RAW_INPUT!A777="","",RAW_INPUT!A777)</f>
        <v/>
      </c>
      <c r="B776" t="str">
        <f>IF(RAW_INPUT!A777="","",RAW_INPUT!E777)</f>
        <v/>
      </c>
      <c r="C776" t="str">
        <f>IF(RAW_INPUT!A777="","",RAW_INPUT!F777)</f>
        <v/>
      </c>
    </row>
    <row r="777" spans="1:3" x14ac:dyDescent="0.25">
      <c r="A777" t="str">
        <f>IF(RAW_INPUT!A778="","",RAW_INPUT!A778)</f>
        <v/>
      </c>
      <c r="B777" t="str">
        <f>IF(RAW_INPUT!A778="","",RAW_INPUT!E778)</f>
        <v/>
      </c>
      <c r="C777" t="str">
        <f>IF(RAW_INPUT!A778="","",RAW_INPUT!F778)</f>
        <v/>
      </c>
    </row>
    <row r="778" spans="1:3" x14ac:dyDescent="0.25">
      <c r="A778" t="str">
        <f>IF(RAW_INPUT!A779="","",RAW_INPUT!A779)</f>
        <v/>
      </c>
      <c r="B778" t="str">
        <f>IF(RAW_INPUT!A779="","",RAW_INPUT!E779)</f>
        <v/>
      </c>
      <c r="C778" t="str">
        <f>IF(RAW_INPUT!A779="","",RAW_INPUT!F779)</f>
        <v/>
      </c>
    </row>
    <row r="779" spans="1:3" x14ac:dyDescent="0.25">
      <c r="A779" t="str">
        <f>IF(RAW_INPUT!A780="","",RAW_INPUT!A780)</f>
        <v/>
      </c>
      <c r="B779" t="str">
        <f>IF(RAW_INPUT!A780="","",RAW_INPUT!E780)</f>
        <v/>
      </c>
      <c r="C779" t="str">
        <f>IF(RAW_INPUT!A780="","",RAW_INPUT!F780)</f>
        <v/>
      </c>
    </row>
    <row r="780" spans="1:3" x14ac:dyDescent="0.25">
      <c r="A780" t="str">
        <f>IF(RAW_INPUT!A781="","",RAW_INPUT!A781)</f>
        <v/>
      </c>
      <c r="B780" t="str">
        <f>IF(RAW_INPUT!A781="","",RAW_INPUT!E781)</f>
        <v/>
      </c>
      <c r="C780" t="str">
        <f>IF(RAW_INPUT!A781="","",RAW_INPUT!F781)</f>
        <v/>
      </c>
    </row>
    <row r="781" spans="1:3" x14ac:dyDescent="0.25">
      <c r="A781" t="str">
        <f>IF(RAW_INPUT!A782="","",RAW_INPUT!A782)</f>
        <v/>
      </c>
      <c r="B781" t="str">
        <f>IF(RAW_INPUT!A782="","",RAW_INPUT!E782)</f>
        <v/>
      </c>
      <c r="C781" t="str">
        <f>IF(RAW_INPUT!A782="","",RAW_INPUT!F782)</f>
        <v/>
      </c>
    </row>
    <row r="782" spans="1:3" x14ac:dyDescent="0.25">
      <c r="A782" t="str">
        <f>IF(RAW_INPUT!A783="","",RAW_INPUT!A783)</f>
        <v/>
      </c>
      <c r="B782" t="str">
        <f>IF(RAW_INPUT!A783="","",RAW_INPUT!E783)</f>
        <v/>
      </c>
      <c r="C782" t="str">
        <f>IF(RAW_INPUT!A783="","",RAW_INPUT!F783)</f>
        <v/>
      </c>
    </row>
    <row r="783" spans="1:3" x14ac:dyDescent="0.25">
      <c r="A783" t="str">
        <f>IF(RAW_INPUT!A784="","",RAW_INPUT!A784)</f>
        <v/>
      </c>
      <c r="B783" t="str">
        <f>IF(RAW_INPUT!A784="","",RAW_INPUT!E784)</f>
        <v/>
      </c>
      <c r="C783" t="str">
        <f>IF(RAW_INPUT!A784="","",RAW_INPUT!F784)</f>
        <v/>
      </c>
    </row>
    <row r="784" spans="1:3" x14ac:dyDescent="0.25">
      <c r="A784" t="str">
        <f>IF(RAW_INPUT!A785="","",RAW_INPUT!A785)</f>
        <v/>
      </c>
      <c r="B784" t="str">
        <f>IF(RAW_INPUT!A785="","",RAW_INPUT!E785)</f>
        <v/>
      </c>
      <c r="C784" t="str">
        <f>IF(RAW_INPUT!A785="","",RAW_INPUT!F785)</f>
        <v/>
      </c>
    </row>
    <row r="785" spans="1:3" x14ac:dyDescent="0.25">
      <c r="A785" t="str">
        <f>IF(RAW_INPUT!A786="","",RAW_INPUT!A786)</f>
        <v/>
      </c>
      <c r="B785" t="str">
        <f>IF(RAW_INPUT!A786="","",RAW_INPUT!E786)</f>
        <v/>
      </c>
      <c r="C785" t="str">
        <f>IF(RAW_INPUT!A786="","",RAW_INPUT!F786)</f>
        <v/>
      </c>
    </row>
    <row r="786" spans="1:3" x14ac:dyDescent="0.25">
      <c r="A786" t="str">
        <f>IF(RAW_INPUT!A787="","",RAW_INPUT!A787)</f>
        <v/>
      </c>
      <c r="B786" t="str">
        <f>IF(RAW_INPUT!A787="","",RAW_INPUT!E787)</f>
        <v/>
      </c>
      <c r="C786" t="str">
        <f>IF(RAW_INPUT!A787="","",RAW_INPUT!F787)</f>
        <v/>
      </c>
    </row>
    <row r="787" spans="1:3" x14ac:dyDescent="0.25">
      <c r="A787" t="str">
        <f>IF(RAW_INPUT!A788="","",RAW_INPUT!A788)</f>
        <v/>
      </c>
      <c r="B787" t="str">
        <f>IF(RAW_INPUT!A788="","",RAW_INPUT!E788)</f>
        <v/>
      </c>
      <c r="C787" t="str">
        <f>IF(RAW_INPUT!A788="","",RAW_INPUT!F788)</f>
        <v/>
      </c>
    </row>
    <row r="788" spans="1:3" x14ac:dyDescent="0.25">
      <c r="A788" t="str">
        <f>IF(RAW_INPUT!A789="","",RAW_INPUT!A789)</f>
        <v/>
      </c>
      <c r="B788" t="str">
        <f>IF(RAW_INPUT!A789="","",RAW_INPUT!E789)</f>
        <v/>
      </c>
      <c r="C788" t="str">
        <f>IF(RAW_INPUT!A789="","",RAW_INPUT!F789)</f>
        <v/>
      </c>
    </row>
    <row r="789" spans="1:3" x14ac:dyDescent="0.25">
      <c r="A789" t="str">
        <f>IF(RAW_INPUT!A790="","",RAW_INPUT!A790)</f>
        <v/>
      </c>
      <c r="B789" t="str">
        <f>IF(RAW_INPUT!A790="","",RAW_INPUT!E790)</f>
        <v/>
      </c>
      <c r="C789" t="str">
        <f>IF(RAW_INPUT!A790="","",RAW_INPUT!F790)</f>
        <v/>
      </c>
    </row>
    <row r="790" spans="1:3" x14ac:dyDescent="0.25">
      <c r="A790" t="str">
        <f>IF(RAW_INPUT!A791="","",RAW_INPUT!A791)</f>
        <v/>
      </c>
      <c r="B790" t="str">
        <f>IF(RAW_INPUT!A791="","",RAW_INPUT!E791)</f>
        <v/>
      </c>
      <c r="C790" t="str">
        <f>IF(RAW_INPUT!A791="","",RAW_INPUT!F791)</f>
        <v/>
      </c>
    </row>
    <row r="791" spans="1:3" x14ac:dyDescent="0.25">
      <c r="A791" t="str">
        <f>IF(RAW_INPUT!A792="","",RAW_INPUT!A792)</f>
        <v/>
      </c>
      <c r="B791" t="str">
        <f>IF(RAW_INPUT!A792="","",RAW_INPUT!E792)</f>
        <v/>
      </c>
      <c r="C791" t="str">
        <f>IF(RAW_INPUT!A792="","",RAW_INPUT!F792)</f>
        <v/>
      </c>
    </row>
    <row r="792" spans="1:3" x14ac:dyDescent="0.25">
      <c r="A792" t="str">
        <f>IF(RAW_INPUT!A793="","",RAW_INPUT!A793)</f>
        <v/>
      </c>
      <c r="B792" t="str">
        <f>IF(RAW_INPUT!A793="","",RAW_INPUT!E793)</f>
        <v/>
      </c>
      <c r="C792" t="str">
        <f>IF(RAW_INPUT!A793="","",RAW_INPUT!F793)</f>
        <v/>
      </c>
    </row>
    <row r="793" spans="1:3" x14ac:dyDescent="0.25">
      <c r="A793" t="str">
        <f>IF(RAW_INPUT!A794="","",RAW_INPUT!A794)</f>
        <v/>
      </c>
      <c r="B793" t="str">
        <f>IF(RAW_INPUT!A794="","",RAW_INPUT!E794)</f>
        <v/>
      </c>
      <c r="C793" t="str">
        <f>IF(RAW_INPUT!A794="","",RAW_INPUT!F794)</f>
        <v/>
      </c>
    </row>
    <row r="794" spans="1:3" x14ac:dyDescent="0.25">
      <c r="A794" t="str">
        <f>IF(RAW_INPUT!A795="","",RAW_INPUT!A795)</f>
        <v/>
      </c>
      <c r="B794" t="str">
        <f>IF(RAW_INPUT!A795="","",RAW_INPUT!E795)</f>
        <v/>
      </c>
      <c r="C794" t="str">
        <f>IF(RAW_INPUT!A795="","",RAW_INPUT!F795)</f>
        <v/>
      </c>
    </row>
    <row r="795" spans="1:3" x14ac:dyDescent="0.25">
      <c r="A795" t="str">
        <f>IF(RAW_INPUT!A796="","",RAW_INPUT!A796)</f>
        <v/>
      </c>
      <c r="B795" t="str">
        <f>IF(RAW_INPUT!A796="","",RAW_INPUT!E796)</f>
        <v/>
      </c>
      <c r="C795" t="str">
        <f>IF(RAW_INPUT!A796="","",RAW_INPUT!F796)</f>
        <v/>
      </c>
    </row>
    <row r="796" spans="1:3" x14ac:dyDescent="0.25">
      <c r="A796" t="str">
        <f>IF(RAW_INPUT!A797="","",RAW_INPUT!A797)</f>
        <v/>
      </c>
      <c r="B796" t="str">
        <f>IF(RAW_INPUT!A797="","",RAW_INPUT!E797)</f>
        <v/>
      </c>
      <c r="C796" t="str">
        <f>IF(RAW_INPUT!A797="","",RAW_INPUT!F797)</f>
        <v/>
      </c>
    </row>
    <row r="797" spans="1:3" x14ac:dyDescent="0.25">
      <c r="A797" t="str">
        <f>IF(RAW_INPUT!A798="","",RAW_INPUT!A798)</f>
        <v/>
      </c>
      <c r="B797" t="str">
        <f>IF(RAW_INPUT!A798="","",RAW_INPUT!E798)</f>
        <v/>
      </c>
      <c r="C797" t="str">
        <f>IF(RAW_INPUT!A798="","",RAW_INPUT!F798)</f>
        <v/>
      </c>
    </row>
    <row r="798" spans="1:3" x14ac:dyDescent="0.25">
      <c r="A798" t="str">
        <f>IF(RAW_INPUT!A799="","",RAW_INPUT!A799)</f>
        <v/>
      </c>
      <c r="B798" t="str">
        <f>IF(RAW_INPUT!A799="","",RAW_INPUT!E799)</f>
        <v/>
      </c>
      <c r="C798" t="str">
        <f>IF(RAW_INPUT!A799="","",RAW_INPUT!F799)</f>
        <v/>
      </c>
    </row>
    <row r="799" spans="1:3" x14ac:dyDescent="0.25">
      <c r="A799" t="str">
        <f>IF(RAW_INPUT!A800="","",RAW_INPUT!A800)</f>
        <v/>
      </c>
      <c r="B799" t="str">
        <f>IF(RAW_INPUT!A800="","",RAW_INPUT!E800)</f>
        <v/>
      </c>
      <c r="C799" t="str">
        <f>IF(RAW_INPUT!A800="","",RAW_INPUT!F800)</f>
        <v/>
      </c>
    </row>
    <row r="800" spans="1:3" x14ac:dyDescent="0.25">
      <c r="A800" t="str">
        <f>IF(RAW_INPUT!A801="","",RAW_INPUT!A801)</f>
        <v/>
      </c>
      <c r="B800" t="str">
        <f>IF(RAW_INPUT!A801="","",RAW_INPUT!E801)</f>
        <v/>
      </c>
      <c r="C800" t="str">
        <f>IF(RAW_INPUT!A801="","",RAW_INPUT!F801)</f>
        <v/>
      </c>
    </row>
    <row r="801" spans="1:3" x14ac:dyDescent="0.25">
      <c r="A801" t="str">
        <f>IF(RAW_INPUT!A802="","",RAW_INPUT!A802)</f>
        <v/>
      </c>
      <c r="B801" t="str">
        <f>IF(RAW_INPUT!A802="","",RAW_INPUT!E802)</f>
        <v/>
      </c>
      <c r="C801" t="str">
        <f>IF(RAW_INPUT!A802="","",RAW_INPUT!F802)</f>
        <v/>
      </c>
    </row>
    <row r="802" spans="1:3" x14ac:dyDescent="0.25">
      <c r="A802" t="str">
        <f>IF(RAW_INPUT!A803="","",RAW_INPUT!A803)</f>
        <v/>
      </c>
      <c r="B802" t="str">
        <f>IF(RAW_INPUT!A803="","",RAW_INPUT!E803)</f>
        <v/>
      </c>
      <c r="C802" t="str">
        <f>IF(RAW_INPUT!A803="","",RAW_INPUT!F803)</f>
        <v/>
      </c>
    </row>
    <row r="803" spans="1:3" x14ac:dyDescent="0.25">
      <c r="A803" t="str">
        <f>IF(RAW_INPUT!A804="","",RAW_INPUT!A804)</f>
        <v/>
      </c>
      <c r="B803" t="str">
        <f>IF(RAW_INPUT!A804="","",RAW_INPUT!E804)</f>
        <v/>
      </c>
      <c r="C803" t="str">
        <f>IF(RAW_INPUT!A804="","",RAW_INPUT!F804)</f>
        <v/>
      </c>
    </row>
    <row r="804" spans="1:3" x14ac:dyDescent="0.25">
      <c r="A804" t="str">
        <f>IF(RAW_INPUT!A805="","",RAW_INPUT!A805)</f>
        <v/>
      </c>
      <c r="B804" t="str">
        <f>IF(RAW_INPUT!A805="","",RAW_INPUT!E805)</f>
        <v/>
      </c>
      <c r="C804" t="str">
        <f>IF(RAW_INPUT!A805="","",RAW_INPUT!F805)</f>
        <v/>
      </c>
    </row>
    <row r="805" spans="1:3" x14ac:dyDescent="0.25">
      <c r="A805" t="str">
        <f>IF(RAW_INPUT!A806="","",RAW_INPUT!A806)</f>
        <v/>
      </c>
      <c r="B805" t="str">
        <f>IF(RAW_INPUT!A806="","",RAW_INPUT!E806)</f>
        <v/>
      </c>
      <c r="C805" t="str">
        <f>IF(RAW_INPUT!A806="","",RAW_INPUT!F806)</f>
        <v/>
      </c>
    </row>
    <row r="806" spans="1:3" x14ac:dyDescent="0.25">
      <c r="A806" t="str">
        <f>IF(RAW_INPUT!A807="","",RAW_INPUT!A807)</f>
        <v/>
      </c>
      <c r="B806" t="str">
        <f>IF(RAW_INPUT!A807="","",RAW_INPUT!E807)</f>
        <v/>
      </c>
      <c r="C806" t="str">
        <f>IF(RAW_INPUT!A807="","",RAW_INPUT!F807)</f>
        <v/>
      </c>
    </row>
    <row r="807" spans="1:3" x14ac:dyDescent="0.25">
      <c r="A807" t="str">
        <f>IF(RAW_INPUT!A808="","",RAW_INPUT!A808)</f>
        <v/>
      </c>
      <c r="B807" t="str">
        <f>IF(RAW_INPUT!A808="","",RAW_INPUT!E808)</f>
        <v/>
      </c>
      <c r="C807" t="str">
        <f>IF(RAW_INPUT!A808="","",RAW_INPUT!F808)</f>
        <v/>
      </c>
    </row>
    <row r="808" spans="1:3" x14ac:dyDescent="0.25">
      <c r="A808" t="str">
        <f>IF(RAW_INPUT!A809="","",RAW_INPUT!A809)</f>
        <v/>
      </c>
      <c r="B808" t="str">
        <f>IF(RAW_INPUT!A809="","",RAW_INPUT!E809)</f>
        <v/>
      </c>
      <c r="C808" t="str">
        <f>IF(RAW_INPUT!A809="","",RAW_INPUT!F809)</f>
        <v/>
      </c>
    </row>
    <row r="809" spans="1:3" x14ac:dyDescent="0.25">
      <c r="A809" t="str">
        <f>IF(RAW_INPUT!A810="","",RAW_INPUT!A810)</f>
        <v/>
      </c>
      <c r="B809" t="str">
        <f>IF(RAW_INPUT!A810="","",RAW_INPUT!E810)</f>
        <v/>
      </c>
      <c r="C809" t="str">
        <f>IF(RAW_INPUT!A810="","",RAW_INPUT!F810)</f>
        <v/>
      </c>
    </row>
    <row r="810" spans="1:3" x14ac:dyDescent="0.25">
      <c r="A810" t="str">
        <f>IF(RAW_INPUT!A811="","",RAW_INPUT!A811)</f>
        <v/>
      </c>
      <c r="B810" t="str">
        <f>IF(RAW_INPUT!A811="","",RAW_INPUT!E811)</f>
        <v/>
      </c>
      <c r="C810" t="str">
        <f>IF(RAW_INPUT!A811="","",RAW_INPUT!F811)</f>
        <v/>
      </c>
    </row>
    <row r="811" spans="1:3" x14ac:dyDescent="0.25">
      <c r="A811" t="str">
        <f>IF(RAW_INPUT!A812="","",RAW_INPUT!A812)</f>
        <v/>
      </c>
      <c r="B811" t="str">
        <f>IF(RAW_INPUT!A812="","",RAW_INPUT!E812)</f>
        <v/>
      </c>
      <c r="C811" t="str">
        <f>IF(RAW_INPUT!A812="","",RAW_INPUT!F812)</f>
        <v/>
      </c>
    </row>
    <row r="812" spans="1:3" x14ac:dyDescent="0.25">
      <c r="A812" t="str">
        <f>IF(RAW_INPUT!A813="","",RAW_INPUT!A813)</f>
        <v/>
      </c>
      <c r="B812" t="str">
        <f>IF(RAW_INPUT!A813="","",RAW_INPUT!E813)</f>
        <v/>
      </c>
      <c r="C812" t="str">
        <f>IF(RAW_INPUT!A813="","",RAW_INPUT!F813)</f>
        <v/>
      </c>
    </row>
    <row r="813" spans="1:3" x14ac:dyDescent="0.25">
      <c r="A813" t="str">
        <f>IF(RAW_INPUT!A814="","",RAW_INPUT!A814)</f>
        <v/>
      </c>
      <c r="B813" t="str">
        <f>IF(RAW_INPUT!A814="","",RAW_INPUT!E814)</f>
        <v/>
      </c>
      <c r="C813" t="str">
        <f>IF(RAW_INPUT!A814="","",RAW_INPUT!F814)</f>
        <v/>
      </c>
    </row>
    <row r="814" spans="1:3" x14ac:dyDescent="0.25">
      <c r="A814" t="str">
        <f>IF(RAW_INPUT!A815="","",RAW_INPUT!A815)</f>
        <v/>
      </c>
      <c r="B814" t="str">
        <f>IF(RAW_INPUT!A815="","",RAW_INPUT!E815)</f>
        <v/>
      </c>
      <c r="C814" t="str">
        <f>IF(RAW_INPUT!A815="","",RAW_INPUT!F815)</f>
        <v/>
      </c>
    </row>
    <row r="815" spans="1:3" x14ac:dyDescent="0.25">
      <c r="A815" t="str">
        <f>IF(RAW_INPUT!A816="","",RAW_INPUT!A816)</f>
        <v/>
      </c>
      <c r="B815" t="str">
        <f>IF(RAW_INPUT!A816="","",RAW_INPUT!E816)</f>
        <v/>
      </c>
      <c r="C815" t="str">
        <f>IF(RAW_INPUT!A816="","",RAW_INPUT!F816)</f>
        <v/>
      </c>
    </row>
    <row r="816" spans="1:3" x14ac:dyDescent="0.25">
      <c r="A816" t="str">
        <f>IF(RAW_INPUT!A817="","",RAW_INPUT!A817)</f>
        <v/>
      </c>
      <c r="B816" t="str">
        <f>IF(RAW_INPUT!A817="","",RAW_INPUT!E817)</f>
        <v/>
      </c>
      <c r="C816" t="str">
        <f>IF(RAW_INPUT!A817="","",RAW_INPUT!F817)</f>
        <v/>
      </c>
    </row>
    <row r="817" spans="1:3" x14ac:dyDescent="0.25">
      <c r="A817" t="str">
        <f>IF(RAW_INPUT!A818="","",RAW_INPUT!A818)</f>
        <v/>
      </c>
      <c r="B817" t="str">
        <f>IF(RAW_INPUT!A818="","",RAW_INPUT!E818)</f>
        <v/>
      </c>
      <c r="C817" t="str">
        <f>IF(RAW_INPUT!A818="","",RAW_INPUT!F818)</f>
        <v/>
      </c>
    </row>
    <row r="818" spans="1:3" x14ac:dyDescent="0.25">
      <c r="A818" t="str">
        <f>IF(RAW_INPUT!A819="","",RAW_INPUT!A819)</f>
        <v/>
      </c>
      <c r="B818" t="str">
        <f>IF(RAW_INPUT!A819="","",RAW_INPUT!E819)</f>
        <v/>
      </c>
      <c r="C818" t="str">
        <f>IF(RAW_INPUT!A819="","",RAW_INPUT!F819)</f>
        <v/>
      </c>
    </row>
    <row r="819" spans="1:3" x14ac:dyDescent="0.25">
      <c r="A819" t="str">
        <f>IF(RAW_INPUT!A820="","",RAW_INPUT!A820)</f>
        <v/>
      </c>
      <c r="B819" t="str">
        <f>IF(RAW_INPUT!A820="","",RAW_INPUT!E820)</f>
        <v/>
      </c>
      <c r="C819" t="str">
        <f>IF(RAW_INPUT!A820="","",RAW_INPUT!F820)</f>
        <v/>
      </c>
    </row>
    <row r="820" spans="1:3" x14ac:dyDescent="0.25">
      <c r="A820" t="str">
        <f>IF(RAW_INPUT!A821="","",RAW_INPUT!A821)</f>
        <v/>
      </c>
      <c r="B820" t="str">
        <f>IF(RAW_INPUT!A821="","",RAW_INPUT!E821)</f>
        <v/>
      </c>
      <c r="C820" t="str">
        <f>IF(RAW_INPUT!A821="","",RAW_INPUT!F821)</f>
        <v/>
      </c>
    </row>
    <row r="821" spans="1:3" x14ac:dyDescent="0.25">
      <c r="A821" t="str">
        <f>IF(RAW_INPUT!A822="","",RAW_INPUT!A822)</f>
        <v/>
      </c>
      <c r="B821" t="str">
        <f>IF(RAW_INPUT!A822="","",RAW_INPUT!E822)</f>
        <v/>
      </c>
      <c r="C821" t="str">
        <f>IF(RAW_INPUT!A822="","",RAW_INPUT!F822)</f>
        <v/>
      </c>
    </row>
    <row r="822" spans="1:3" x14ac:dyDescent="0.25">
      <c r="A822" t="str">
        <f>IF(RAW_INPUT!A823="","",RAW_INPUT!A823)</f>
        <v/>
      </c>
      <c r="B822" t="str">
        <f>IF(RAW_INPUT!A823="","",RAW_INPUT!E823)</f>
        <v/>
      </c>
      <c r="C822" t="str">
        <f>IF(RAW_INPUT!A823="","",RAW_INPUT!F823)</f>
        <v/>
      </c>
    </row>
    <row r="823" spans="1:3" x14ac:dyDescent="0.25">
      <c r="A823" t="str">
        <f>IF(RAW_INPUT!A824="","",RAW_INPUT!A824)</f>
        <v/>
      </c>
      <c r="B823" t="str">
        <f>IF(RAW_INPUT!A824="","",RAW_INPUT!E824)</f>
        <v/>
      </c>
      <c r="C823" t="str">
        <f>IF(RAW_INPUT!A824="","",RAW_INPUT!F824)</f>
        <v/>
      </c>
    </row>
    <row r="824" spans="1:3" x14ac:dyDescent="0.25">
      <c r="A824" t="str">
        <f>IF(RAW_INPUT!A825="","",RAW_INPUT!A825)</f>
        <v/>
      </c>
      <c r="B824" t="str">
        <f>IF(RAW_INPUT!A825="","",RAW_INPUT!E825)</f>
        <v/>
      </c>
      <c r="C824" t="str">
        <f>IF(RAW_INPUT!A825="","",RAW_INPUT!F825)</f>
        <v/>
      </c>
    </row>
    <row r="825" spans="1:3" x14ac:dyDescent="0.25">
      <c r="A825" t="str">
        <f>IF(RAW_INPUT!A826="","",RAW_INPUT!A826)</f>
        <v/>
      </c>
      <c r="B825" t="str">
        <f>IF(RAW_INPUT!A826="","",RAW_INPUT!E826)</f>
        <v/>
      </c>
      <c r="C825" t="str">
        <f>IF(RAW_INPUT!A826="","",RAW_INPUT!F826)</f>
        <v/>
      </c>
    </row>
    <row r="826" spans="1:3" x14ac:dyDescent="0.25">
      <c r="A826" t="str">
        <f>IF(RAW_INPUT!A827="","",RAW_INPUT!A827)</f>
        <v/>
      </c>
      <c r="B826" t="str">
        <f>IF(RAW_INPUT!A827="","",RAW_INPUT!E827)</f>
        <v/>
      </c>
      <c r="C826" t="str">
        <f>IF(RAW_INPUT!A827="","",RAW_INPUT!F827)</f>
        <v/>
      </c>
    </row>
    <row r="827" spans="1:3" x14ac:dyDescent="0.25">
      <c r="A827" t="str">
        <f>IF(RAW_INPUT!A828="","",RAW_INPUT!A828)</f>
        <v/>
      </c>
      <c r="B827" t="str">
        <f>IF(RAW_INPUT!A828="","",RAW_INPUT!E828)</f>
        <v/>
      </c>
      <c r="C827" t="str">
        <f>IF(RAW_INPUT!A828="","",RAW_INPUT!F828)</f>
        <v/>
      </c>
    </row>
    <row r="828" spans="1:3" x14ac:dyDescent="0.25">
      <c r="A828" t="str">
        <f>IF(RAW_INPUT!A829="","",RAW_INPUT!A829)</f>
        <v/>
      </c>
      <c r="B828" t="str">
        <f>IF(RAW_INPUT!A829="","",RAW_INPUT!E829)</f>
        <v/>
      </c>
      <c r="C828" t="str">
        <f>IF(RAW_INPUT!A829="","",RAW_INPUT!F829)</f>
        <v/>
      </c>
    </row>
    <row r="829" spans="1:3" x14ac:dyDescent="0.25">
      <c r="A829" t="str">
        <f>IF(RAW_INPUT!A830="","",RAW_INPUT!A830)</f>
        <v/>
      </c>
      <c r="B829" t="str">
        <f>IF(RAW_INPUT!A830="","",RAW_INPUT!E830)</f>
        <v/>
      </c>
      <c r="C829" t="str">
        <f>IF(RAW_INPUT!A830="","",RAW_INPUT!F830)</f>
        <v/>
      </c>
    </row>
    <row r="830" spans="1:3" x14ac:dyDescent="0.25">
      <c r="A830" t="str">
        <f>IF(RAW_INPUT!A831="","",RAW_INPUT!A831)</f>
        <v/>
      </c>
      <c r="B830" t="str">
        <f>IF(RAW_INPUT!A831="","",RAW_INPUT!E831)</f>
        <v/>
      </c>
      <c r="C830" t="str">
        <f>IF(RAW_INPUT!A831="","",RAW_INPUT!F831)</f>
        <v/>
      </c>
    </row>
    <row r="831" spans="1:3" x14ac:dyDescent="0.25">
      <c r="A831" t="str">
        <f>IF(RAW_INPUT!A832="","",RAW_INPUT!A832)</f>
        <v/>
      </c>
      <c r="B831" t="str">
        <f>IF(RAW_INPUT!A832="","",RAW_INPUT!E832)</f>
        <v/>
      </c>
      <c r="C831" t="str">
        <f>IF(RAW_INPUT!A832="","",RAW_INPUT!F832)</f>
        <v/>
      </c>
    </row>
    <row r="832" spans="1:3" x14ac:dyDescent="0.25">
      <c r="A832" t="str">
        <f>IF(RAW_INPUT!A833="","",RAW_INPUT!A833)</f>
        <v/>
      </c>
      <c r="B832" t="str">
        <f>IF(RAW_INPUT!A833="","",RAW_INPUT!E833)</f>
        <v/>
      </c>
      <c r="C832" t="str">
        <f>IF(RAW_INPUT!A833="","",RAW_INPUT!F833)</f>
        <v/>
      </c>
    </row>
    <row r="833" spans="1:3" x14ac:dyDescent="0.25">
      <c r="A833" t="str">
        <f>IF(RAW_INPUT!A834="","",RAW_INPUT!A834)</f>
        <v/>
      </c>
      <c r="B833" t="str">
        <f>IF(RAW_INPUT!A834="","",RAW_INPUT!E834)</f>
        <v/>
      </c>
      <c r="C833" t="str">
        <f>IF(RAW_INPUT!A834="","",RAW_INPUT!F834)</f>
        <v/>
      </c>
    </row>
    <row r="834" spans="1:3" x14ac:dyDescent="0.25">
      <c r="A834" t="str">
        <f>IF(RAW_INPUT!A835="","",RAW_INPUT!A835)</f>
        <v/>
      </c>
      <c r="B834" t="str">
        <f>IF(RAW_INPUT!A835="","",RAW_INPUT!E835)</f>
        <v/>
      </c>
      <c r="C834" t="str">
        <f>IF(RAW_INPUT!A835="","",RAW_INPUT!F835)</f>
        <v/>
      </c>
    </row>
    <row r="835" spans="1:3" x14ac:dyDescent="0.25">
      <c r="A835" t="str">
        <f>IF(RAW_INPUT!A836="","",RAW_INPUT!A836)</f>
        <v/>
      </c>
      <c r="B835" t="str">
        <f>IF(RAW_INPUT!A836="","",RAW_INPUT!E836)</f>
        <v/>
      </c>
      <c r="C835" t="str">
        <f>IF(RAW_INPUT!A836="","",RAW_INPUT!F836)</f>
        <v/>
      </c>
    </row>
    <row r="836" spans="1:3" x14ac:dyDescent="0.25">
      <c r="A836" t="str">
        <f>IF(RAW_INPUT!A837="","",RAW_INPUT!A837)</f>
        <v/>
      </c>
      <c r="B836" t="str">
        <f>IF(RAW_INPUT!A837="","",RAW_INPUT!E837)</f>
        <v/>
      </c>
      <c r="C836" t="str">
        <f>IF(RAW_INPUT!A837="","",RAW_INPUT!F837)</f>
        <v/>
      </c>
    </row>
    <row r="837" spans="1:3" x14ac:dyDescent="0.25">
      <c r="A837" t="str">
        <f>IF(RAW_INPUT!A838="","",RAW_INPUT!A838)</f>
        <v/>
      </c>
      <c r="B837" t="str">
        <f>IF(RAW_INPUT!A838="","",RAW_INPUT!E838)</f>
        <v/>
      </c>
      <c r="C837" t="str">
        <f>IF(RAW_INPUT!A838="","",RAW_INPUT!F838)</f>
        <v/>
      </c>
    </row>
    <row r="838" spans="1:3" x14ac:dyDescent="0.25">
      <c r="A838" t="str">
        <f>IF(RAW_INPUT!A839="","",RAW_INPUT!A839)</f>
        <v/>
      </c>
      <c r="B838" t="str">
        <f>IF(RAW_INPUT!A839="","",RAW_INPUT!E839)</f>
        <v/>
      </c>
      <c r="C838" t="str">
        <f>IF(RAW_INPUT!A839="","",RAW_INPUT!F839)</f>
        <v/>
      </c>
    </row>
    <row r="839" spans="1:3" x14ac:dyDescent="0.25">
      <c r="A839" t="str">
        <f>IF(RAW_INPUT!A840="","",RAW_INPUT!A840)</f>
        <v/>
      </c>
      <c r="B839" t="str">
        <f>IF(RAW_INPUT!A840="","",RAW_INPUT!E840)</f>
        <v/>
      </c>
      <c r="C839" t="str">
        <f>IF(RAW_INPUT!A840="","",RAW_INPUT!F840)</f>
        <v/>
      </c>
    </row>
    <row r="840" spans="1:3" x14ac:dyDescent="0.25">
      <c r="A840" t="str">
        <f>IF(RAW_INPUT!A841="","",RAW_INPUT!A841)</f>
        <v/>
      </c>
      <c r="B840" t="str">
        <f>IF(RAW_INPUT!A841="","",RAW_INPUT!E841)</f>
        <v/>
      </c>
      <c r="C840" t="str">
        <f>IF(RAW_INPUT!A841="","",RAW_INPUT!F841)</f>
        <v/>
      </c>
    </row>
    <row r="841" spans="1:3" x14ac:dyDescent="0.25">
      <c r="A841" t="str">
        <f>IF(RAW_INPUT!A842="","",RAW_INPUT!A842)</f>
        <v/>
      </c>
      <c r="B841" t="str">
        <f>IF(RAW_INPUT!A842="","",RAW_INPUT!E842)</f>
        <v/>
      </c>
      <c r="C841" t="str">
        <f>IF(RAW_INPUT!A842="","",RAW_INPUT!F842)</f>
        <v/>
      </c>
    </row>
    <row r="842" spans="1:3" x14ac:dyDescent="0.25">
      <c r="A842" t="str">
        <f>IF(RAW_INPUT!A843="","",RAW_INPUT!A843)</f>
        <v/>
      </c>
      <c r="B842" t="str">
        <f>IF(RAW_INPUT!A843="","",RAW_INPUT!E843)</f>
        <v/>
      </c>
      <c r="C842" t="str">
        <f>IF(RAW_INPUT!A843="","",RAW_INPUT!F843)</f>
        <v/>
      </c>
    </row>
    <row r="843" spans="1:3" x14ac:dyDescent="0.25">
      <c r="A843" t="str">
        <f>IF(RAW_INPUT!A844="","",RAW_INPUT!A844)</f>
        <v/>
      </c>
      <c r="B843" t="str">
        <f>IF(RAW_INPUT!A844="","",RAW_INPUT!E844)</f>
        <v/>
      </c>
      <c r="C843" t="str">
        <f>IF(RAW_INPUT!A844="","",RAW_INPUT!F844)</f>
        <v/>
      </c>
    </row>
    <row r="844" spans="1:3" x14ac:dyDescent="0.25">
      <c r="A844" t="str">
        <f>IF(RAW_INPUT!A845="","",RAW_INPUT!A845)</f>
        <v/>
      </c>
      <c r="B844" t="str">
        <f>IF(RAW_INPUT!A845="","",RAW_INPUT!E845)</f>
        <v/>
      </c>
      <c r="C844" t="str">
        <f>IF(RAW_INPUT!A845="","",RAW_INPUT!F845)</f>
        <v/>
      </c>
    </row>
    <row r="845" spans="1:3" x14ac:dyDescent="0.25">
      <c r="A845" t="str">
        <f>IF(RAW_INPUT!A846="","",RAW_INPUT!A846)</f>
        <v/>
      </c>
      <c r="B845" t="str">
        <f>IF(RAW_INPUT!A846="","",RAW_INPUT!E846)</f>
        <v/>
      </c>
      <c r="C845" t="str">
        <f>IF(RAW_INPUT!A846="","",RAW_INPUT!F846)</f>
        <v/>
      </c>
    </row>
    <row r="846" spans="1:3" x14ac:dyDescent="0.25">
      <c r="A846" t="str">
        <f>IF(RAW_INPUT!A847="","",RAW_INPUT!A847)</f>
        <v/>
      </c>
      <c r="B846" t="str">
        <f>IF(RAW_INPUT!A847="","",RAW_INPUT!E847)</f>
        <v/>
      </c>
      <c r="C846" t="str">
        <f>IF(RAW_INPUT!A847="","",RAW_INPUT!F847)</f>
        <v/>
      </c>
    </row>
    <row r="847" spans="1:3" x14ac:dyDescent="0.25">
      <c r="A847" t="str">
        <f>IF(RAW_INPUT!A848="","",RAW_INPUT!A848)</f>
        <v/>
      </c>
      <c r="B847" t="str">
        <f>IF(RAW_INPUT!A848="","",RAW_INPUT!E848)</f>
        <v/>
      </c>
      <c r="C847" t="str">
        <f>IF(RAW_INPUT!A848="","",RAW_INPUT!F848)</f>
        <v/>
      </c>
    </row>
    <row r="848" spans="1:3" x14ac:dyDescent="0.25">
      <c r="A848" t="str">
        <f>IF(RAW_INPUT!A849="","",RAW_INPUT!A849)</f>
        <v/>
      </c>
      <c r="B848" t="str">
        <f>IF(RAW_INPUT!A849="","",RAW_INPUT!E849)</f>
        <v/>
      </c>
      <c r="C848" t="str">
        <f>IF(RAW_INPUT!A849="","",RAW_INPUT!F849)</f>
        <v/>
      </c>
    </row>
    <row r="849" spans="1:3" x14ac:dyDescent="0.25">
      <c r="A849" t="str">
        <f>IF(RAW_INPUT!A850="","",RAW_INPUT!A850)</f>
        <v/>
      </c>
      <c r="B849" t="str">
        <f>IF(RAW_INPUT!A850="","",RAW_INPUT!E850)</f>
        <v/>
      </c>
      <c r="C849" t="str">
        <f>IF(RAW_INPUT!A850="","",RAW_INPUT!F850)</f>
        <v/>
      </c>
    </row>
    <row r="850" spans="1:3" x14ac:dyDescent="0.25">
      <c r="A850" t="str">
        <f>IF(RAW_INPUT!A851="","",RAW_INPUT!A851)</f>
        <v/>
      </c>
      <c r="B850" t="str">
        <f>IF(RAW_INPUT!A851="","",RAW_INPUT!E851)</f>
        <v/>
      </c>
      <c r="C850" t="str">
        <f>IF(RAW_INPUT!A851="","",RAW_INPUT!F851)</f>
        <v/>
      </c>
    </row>
    <row r="851" spans="1:3" x14ac:dyDescent="0.25">
      <c r="A851" t="str">
        <f>IF(RAW_INPUT!A852="","",RAW_INPUT!A852)</f>
        <v/>
      </c>
      <c r="B851" t="str">
        <f>IF(RAW_INPUT!A852="","",RAW_INPUT!E852)</f>
        <v/>
      </c>
      <c r="C851" t="str">
        <f>IF(RAW_INPUT!A852="","",RAW_INPUT!F852)</f>
        <v/>
      </c>
    </row>
    <row r="852" spans="1:3" x14ac:dyDescent="0.25">
      <c r="A852" t="str">
        <f>IF(RAW_INPUT!A853="","",RAW_INPUT!A853)</f>
        <v/>
      </c>
      <c r="B852" t="str">
        <f>IF(RAW_INPUT!A853="","",RAW_INPUT!E853)</f>
        <v/>
      </c>
      <c r="C852" t="str">
        <f>IF(RAW_INPUT!A853="","",RAW_INPUT!F853)</f>
        <v/>
      </c>
    </row>
    <row r="853" spans="1:3" x14ac:dyDescent="0.25">
      <c r="A853" t="str">
        <f>IF(RAW_INPUT!A854="","",RAW_INPUT!A854)</f>
        <v/>
      </c>
      <c r="B853" t="str">
        <f>IF(RAW_INPUT!A854="","",RAW_INPUT!E854)</f>
        <v/>
      </c>
      <c r="C853" t="str">
        <f>IF(RAW_INPUT!A854="","",RAW_INPUT!F854)</f>
        <v/>
      </c>
    </row>
    <row r="854" spans="1:3" x14ac:dyDescent="0.25">
      <c r="A854" t="str">
        <f>IF(RAW_INPUT!A855="","",RAW_INPUT!A855)</f>
        <v/>
      </c>
      <c r="B854" t="str">
        <f>IF(RAW_INPUT!A855="","",RAW_INPUT!E855)</f>
        <v/>
      </c>
      <c r="C854" t="str">
        <f>IF(RAW_INPUT!A855="","",RAW_INPUT!F855)</f>
        <v/>
      </c>
    </row>
    <row r="855" spans="1:3" x14ac:dyDescent="0.25">
      <c r="A855" t="str">
        <f>IF(RAW_INPUT!A856="","",RAW_INPUT!A856)</f>
        <v/>
      </c>
      <c r="B855" t="str">
        <f>IF(RAW_INPUT!A856="","",RAW_INPUT!E856)</f>
        <v/>
      </c>
      <c r="C855" t="str">
        <f>IF(RAW_INPUT!A856="","",RAW_INPUT!F856)</f>
        <v/>
      </c>
    </row>
    <row r="856" spans="1:3" x14ac:dyDescent="0.25">
      <c r="A856" t="str">
        <f>IF(RAW_INPUT!A857="","",RAW_INPUT!A857)</f>
        <v/>
      </c>
      <c r="B856" t="str">
        <f>IF(RAW_INPUT!A857="","",RAW_INPUT!E857)</f>
        <v/>
      </c>
      <c r="C856" t="str">
        <f>IF(RAW_INPUT!A857="","",RAW_INPUT!F857)</f>
        <v/>
      </c>
    </row>
    <row r="857" spans="1:3" x14ac:dyDescent="0.25">
      <c r="A857" t="str">
        <f>IF(RAW_INPUT!A858="","",RAW_INPUT!A858)</f>
        <v/>
      </c>
      <c r="B857" t="str">
        <f>IF(RAW_INPUT!A858="","",RAW_INPUT!E858)</f>
        <v/>
      </c>
      <c r="C857" t="str">
        <f>IF(RAW_INPUT!A858="","",RAW_INPUT!F858)</f>
        <v/>
      </c>
    </row>
    <row r="858" spans="1:3" x14ac:dyDescent="0.25">
      <c r="A858" t="str">
        <f>IF(RAW_INPUT!A859="","",RAW_INPUT!A859)</f>
        <v/>
      </c>
      <c r="B858" t="str">
        <f>IF(RAW_INPUT!A859="","",RAW_INPUT!E859)</f>
        <v/>
      </c>
      <c r="C858" t="str">
        <f>IF(RAW_INPUT!A859="","",RAW_INPUT!F859)</f>
        <v/>
      </c>
    </row>
    <row r="859" spans="1:3" x14ac:dyDescent="0.25">
      <c r="A859" t="str">
        <f>IF(RAW_INPUT!A860="","",RAW_INPUT!A860)</f>
        <v/>
      </c>
      <c r="B859" t="str">
        <f>IF(RAW_INPUT!A860="","",RAW_INPUT!E860)</f>
        <v/>
      </c>
      <c r="C859" t="str">
        <f>IF(RAW_INPUT!A860="","",RAW_INPUT!F860)</f>
        <v/>
      </c>
    </row>
    <row r="860" spans="1:3" x14ac:dyDescent="0.25">
      <c r="A860" t="str">
        <f>IF(RAW_INPUT!A861="","",RAW_INPUT!A861)</f>
        <v/>
      </c>
      <c r="B860" t="str">
        <f>IF(RAW_INPUT!A861="","",RAW_INPUT!E861)</f>
        <v/>
      </c>
      <c r="C860" t="str">
        <f>IF(RAW_INPUT!A861="","",RAW_INPUT!F861)</f>
        <v/>
      </c>
    </row>
    <row r="861" spans="1:3" x14ac:dyDescent="0.25">
      <c r="A861" t="str">
        <f>IF(RAW_INPUT!A862="","",RAW_INPUT!A862)</f>
        <v/>
      </c>
      <c r="B861" t="str">
        <f>IF(RAW_INPUT!A862="","",RAW_INPUT!E862)</f>
        <v/>
      </c>
      <c r="C861" t="str">
        <f>IF(RAW_INPUT!A862="","",RAW_INPUT!F862)</f>
        <v/>
      </c>
    </row>
    <row r="862" spans="1:3" x14ac:dyDescent="0.25">
      <c r="A862" t="str">
        <f>IF(RAW_INPUT!A863="","",RAW_INPUT!A863)</f>
        <v/>
      </c>
      <c r="B862" t="str">
        <f>IF(RAW_INPUT!A863="","",RAW_INPUT!E863)</f>
        <v/>
      </c>
      <c r="C862" t="str">
        <f>IF(RAW_INPUT!A863="","",RAW_INPUT!F863)</f>
        <v/>
      </c>
    </row>
    <row r="863" spans="1:3" x14ac:dyDescent="0.25">
      <c r="A863" t="str">
        <f>IF(RAW_INPUT!A864="","",RAW_INPUT!A864)</f>
        <v/>
      </c>
      <c r="B863" t="str">
        <f>IF(RAW_INPUT!A864="","",RAW_INPUT!E864)</f>
        <v/>
      </c>
      <c r="C863" t="str">
        <f>IF(RAW_INPUT!A864="","",RAW_INPUT!F864)</f>
        <v/>
      </c>
    </row>
    <row r="864" spans="1:3" x14ac:dyDescent="0.25">
      <c r="A864" t="str">
        <f>IF(RAW_INPUT!A865="","",RAW_INPUT!A865)</f>
        <v/>
      </c>
      <c r="B864" t="str">
        <f>IF(RAW_INPUT!A865="","",RAW_INPUT!E865)</f>
        <v/>
      </c>
      <c r="C864" t="str">
        <f>IF(RAW_INPUT!A865="","",RAW_INPUT!F865)</f>
        <v/>
      </c>
    </row>
    <row r="865" spans="1:3" x14ac:dyDescent="0.25">
      <c r="A865" t="str">
        <f>IF(RAW_INPUT!A866="","",RAW_INPUT!A866)</f>
        <v/>
      </c>
      <c r="B865" t="str">
        <f>IF(RAW_INPUT!A866="","",RAW_INPUT!E866)</f>
        <v/>
      </c>
      <c r="C865" t="str">
        <f>IF(RAW_INPUT!A866="","",RAW_INPUT!F866)</f>
        <v/>
      </c>
    </row>
    <row r="866" spans="1:3" x14ac:dyDescent="0.25">
      <c r="A866" t="str">
        <f>IF(RAW_INPUT!A867="","",RAW_INPUT!A867)</f>
        <v/>
      </c>
      <c r="B866" t="str">
        <f>IF(RAW_INPUT!A867="","",RAW_INPUT!E867)</f>
        <v/>
      </c>
      <c r="C866" t="str">
        <f>IF(RAW_INPUT!A867="","",RAW_INPUT!F867)</f>
        <v/>
      </c>
    </row>
    <row r="867" spans="1:3" x14ac:dyDescent="0.25">
      <c r="A867" t="str">
        <f>IF(RAW_INPUT!A868="","",RAW_INPUT!A868)</f>
        <v/>
      </c>
      <c r="B867" t="str">
        <f>IF(RAW_INPUT!A868="","",RAW_INPUT!E868)</f>
        <v/>
      </c>
      <c r="C867" t="str">
        <f>IF(RAW_INPUT!A868="","",RAW_INPUT!F868)</f>
        <v/>
      </c>
    </row>
    <row r="868" spans="1:3" x14ac:dyDescent="0.25">
      <c r="A868" t="str">
        <f>IF(RAW_INPUT!A869="","",RAW_INPUT!A869)</f>
        <v/>
      </c>
      <c r="B868" t="str">
        <f>IF(RAW_INPUT!A869="","",RAW_INPUT!E869)</f>
        <v/>
      </c>
      <c r="C868" t="str">
        <f>IF(RAW_INPUT!A869="","",RAW_INPUT!F869)</f>
        <v/>
      </c>
    </row>
    <row r="869" spans="1:3" x14ac:dyDescent="0.25">
      <c r="A869" t="str">
        <f>IF(RAW_INPUT!A870="","",RAW_INPUT!A870)</f>
        <v/>
      </c>
      <c r="B869" t="str">
        <f>IF(RAW_INPUT!A870="","",RAW_INPUT!E870)</f>
        <v/>
      </c>
      <c r="C869" t="str">
        <f>IF(RAW_INPUT!A870="","",RAW_INPUT!F870)</f>
        <v/>
      </c>
    </row>
    <row r="870" spans="1:3" x14ac:dyDescent="0.25">
      <c r="A870" t="str">
        <f>IF(RAW_INPUT!A871="","",RAW_INPUT!A871)</f>
        <v/>
      </c>
      <c r="B870" t="str">
        <f>IF(RAW_INPUT!A871="","",RAW_INPUT!E871)</f>
        <v/>
      </c>
      <c r="C870" t="str">
        <f>IF(RAW_INPUT!A871="","",RAW_INPUT!F871)</f>
        <v/>
      </c>
    </row>
    <row r="871" spans="1:3" x14ac:dyDescent="0.25">
      <c r="A871" t="str">
        <f>IF(RAW_INPUT!A872="","",RAW_INPUT!A872)</f>
        <v/>
      </c>
      <c r="B871" t="str">
        <f>IF(RAW_INPUT!A872="","",RAW_INPUT!E872)</f>
        <v/>
      </c>
      <c r="C871" t="str">
        <f>IF(RAW_INPUT!A872="","",RAW_INPUT!F872)</f>
        <v/>
      </c>
    </row>
    <row r="872" spans="1:3" x14ac:dyDescent="0.25">
      <c r="A872" t="str">
        <f>IF(RAW_INPUT!A873="","",RAW_INPUT!A873)</f>
        <v/>
      </c>
      <c r="B872" t="str">
        <f>IF(RAW_INPUT!A873="","",RAW_INPUT!E873)</f>
        <v/>
      </c>
      <c r="C872" t="str">
        <f>IF(RAW_INPUT!A873="","",RAW_INPUT!F873)</f>
        <v/>
      </c>
    </row>
    <row r="873" spans="1:3" x14ac:dyDescent="0.25">
      <c r="A873" t="str">
        <f>IF(RAW_INPUT!A874="","",RAW_INPUT!A874)</f>
        <v/>
      </c>
      <c r="B873" t="str">
        <f>IF(RAW_INPUT!A874="","",RAW_INPUT!E874)</f>
        <v/>
      </c>
      <c r="C873" t="str">
        <f>IF(RAW_INPUT!A874="","",RAW_INPUT!F874)</f>
        <v/>
      </c>
    </row>
    <row r="874" spans="1:3" x14ac:dyDescent="0.25">
      <c r="A874" t="str">
        <f>IF(RAW_INPUT!A875="","",RAW_INPUT!A875)</f>
        <v/>
      </c>
      <c r="B874" t="str">
        <f>IF(RAW_INPUT!A875="","",RAW_INPUT!E875)</f>
        <v/>
      </c>
      <c r="C874" t="str">
        <f>IF(RAW_INPUT!A875="","",RAW_INPUT!F875)</f>
        <v/>
      </c>
    </row>
    <row r="875" spans="1:3" x14ac:dyDescent="0.25">
      <c r="A875" t="str">
        <f>IF(RAW_INPUT!A876="","",RAW_INPUT!A876)</f>
        <v/>
      </c>
      <c r="B875" t="str">
        <f>IF(RAW_INPUT!A876="","",RAW_INPUT!E876)</f>
        <v/>
      </c>
      <c r="C875" t="str">
        <f>IF(RAW_INPUT!A876="","",RAW_INPUT!F876)</f>
        <v/>
      </c>
    </row>
    <row r="876" spans="1:3" x14ac:dyDescent="0.25">
      <c r="A876" t="str">
        <f>IF(RAW_INPUT!A877="","",RAW_INPUT!A877)</f>
        <v/>
      </c>
      <c r="B876" t="str">
        <f>IF(RAW_INPUT!A877="","",RAW_INPUT!E877)</f>
        <v/>
      </c>
      <c r="C876" t="str">
        <f>IF(RAW_INPUT!A877="","",RAW_INPUT!F877)</f>
        <v/>
      </c>
    </row>
    <row r="877" spans="1:3" x14ac:dyDescent="0.25">
      <c r="A877" t="str">
        <f>IF(RAW_INPUT!A878="","",RAW_INPUT!A878)</f>
        <v/>
      </c>
      <c r="B877" t="str">
        <f>IF(RAW_INPUT!A878="","",RAW_INPUT!E878)</f>
        <v/>
      </c>
      <c r="C877" t="str">
        <f>IF(RAW_INPUT!A878="","",RAW_INPUT!F878)</f>
        <v/>
      </c>
    </row>
    <row r="878" spans="1:3" x14ac:dyDescent="0.25">
      <c r="A878" t="str">
        <f>IF(RAW_INPUT!A879="","",RAW_INPUT!A879)</f>
        <v/>
      </c>
      <c r="B878" t="str">
        <f>IF(RAW_INPUT!A879="","",RAW_INPUT!E879)</f>
        <v/>
      </c>
      <c r="C878" t="str">
        <f>IF(RAW_INPUT!A879="","",RAW_INPUT!F879)</f>
        <v/>
      </c>
    </row>
    <row r="879" spans="1:3" x14ac:dyDescent="0.25">
      <c r="A879" t="str">
        <f>IF(RAW_INPUT!A880="","",RAW_INPUT!A880)</f>
        <v/>
      </c>
      <c r="B879" t="str">
        <f>IF(RAW_INPUT!A880="","",RAW_INPUT!E880)</f>
        <v/>
      </c>
      <c r="C879" t="str">
        <f>IF(RAW_INPUT!A880="","",RAW_INPUT!F880)</f>
        <v/>
      </c>
    </row>
    <row r="880" spans="1:3" x14ac:dyDescent="0.25">
      <c r="A880" t="str">
        <f>IF(RAW_INPUT!A881="","",RAW_INPUT!A881)</f>
        <v/>
      </c>
      <c r="B880" t="str">
        <f>IF(RAW_INPUT!A881="","",RAW_INPUT!E881)</f>
        <v/>
      </c>
      <c r="C880" t="str">
        <f>IF(RAW_INPUT!A881="","",RAW_INPUT!F881)</f>
        <v/>
      </c>
    </row>
    <row r="881" spans="1:3" x14ac:dyDescent="0.25">
      <c r="A881" t="str">
        <f>IF(RAW_INPUT!A882="","",RAW_INPUT!A882)</f>
        <v/>
      </c>
      <c r="B881" t="str">
        <f>IF(RAW_INPUT!A882="","",RAW_INPUT!E882)</f>
        <v/>
      </c>
      <c r="C881" t="str">
        <f>IF(RAW_INPUT!A882="","",RAW_INPUT!F882)</f>
        <v/>
      </c>
    </row>
    <row r="882" spans="1:3" x14ac:dyDescent="0.25">
      <c r="A882" t="str">
        <f>IF(RAW_INPUT!A883="","",RAW_INPUT!A883)</f>
        <v/>
      </c>
      <c r="B882" t="str">
        <f>IF(RAW_INPUT!A883="","",RAW_INPUT!E883)</f>
        <v/>
      </c>
      <c r="C882" t="str">
        <f>IF(RAW_INPUT!A883="","",RAW_INPUT!F883)</f>
        <v/>
      </c>
    </row>
    <row r="883" spans="1:3" x14ac:dyDescent="0.25">
      <c r="A883" t="str">
        <f>IF(RAW_INPUT!A884="","",RAW_INPUT!A884)</f>
        <v/>
      </c>
      <c r="B883" t="str">
        <f>IF(RAW_INPUT!A884="","",RAW_INPUT!E884)</f>
        <v/>
      </c>
      <c r="C883" t="str">
        <f>IF(RAW_INPUT!A884="","",RAW_INPUT!F884)</f>
        <v/>
      </c>
    </row>
    <row r="884" spans="1:3" x14ac:dyDescent="0.25">
      <c r="A884" t="str">
        <f>IF(RAW_INPUT!A885="","",RAW_INPUT!A885)</f>
        <v/>
      </c>
      <c r="B884" t="str">
        <f>IF(RAW_INPUT!A885="","",RAW_INPUT!E885)</f>
        <v/>
      </c>
      <c r="C884" t="str">
        <f>IF(RAW_INPUT!A885="","",RAW_INPUT!F885)</f>
        <v/>
      </c>
    </row>
    <row r="885" spans="1:3" x14ac:dyDescent="0.25">
      <c r="A885" t="str">
        <f>IF(RAW_INPUT!A886="","",RAW_INPUT!A886)</f>
        <v/>
      </c>
      <c r="B885" t="str">
        <f>IF(RAW_INPUT!A886="","",RAW_INPUT!E886)</f>
        <v/>
      </c>
      <c r="C885" t="str">
        <f>IF(RAW_INPUT!A886="","",RAW_INPUT!F886)</f>
        <v/>
      </c>
    </row>
    <row r="886" spans="1:3" x14ac:dyDescent="0.25">
      <c r="A886" t="str">
        <f>IF(RAW_INPUT!A887="","",RAW_INPUT!A887)</f>
        <v/>
      </c>
      <c r="B886" t="str">
        <f>IF(RAW_INPUT!A887="","",RAW_INPUT!E887)</f>
        <v/>
      </c>
      <c r="C886" t="str">
        <f>IF(RAW_INPUT!A887="","",RAW_INPUT!F887)</f>
        <v/>
      </c>
    </row>
    <row r="887" spans="1:3" x14ac:dyDescent="0.25">
      <c r="A887" t="str">
        <f>IF(RAW_INPUT!A888="","",RAW_INPUT!A888)</f>
        <v/>
      </c>
      <c r="B887" t="str">
        <f>IF(RAW_INPUT!A888="","",RAW_INPUT!E888)</f>
        <v/>
      </c>
      <c r="C887" t="str">
        <f>IF(RAW_INPUT!A888="","",RAW_INPUT!F888)</f>
        <v/>
      </c>
    </row>
    <row r="888" spans="1:3" x14ac:dyDescent="0.25">
      <c r="A888" t="str">
        <f>IF(RAW_INPUT!A889="","",RAW_INPUT!A889)</f>
        <v/>
      </c>
      <c r="B888" t="str">
        <f>IF(RAW_INPUT!A889="","",RAW_INPUT!E889)</f>
        <v/>
      </c>
      <c r="C888" t="str">
        <f>IF(RAW_INPUT!A889="","",RAW_INPUT!F889)</f>
        <v/>
      </c>
    </row>
    <row r="889" spans="1:3" x14ac:dyDescent="0.25">
      <c r="A889" t="str">
        <f>IF(RAW_INPUT!A890="","",RAW_INPUT!A890)</f>
        <v/>
      </c>
      <c r="B889" t="str">
        <f>IF(RAW_INPUT!A890="","",RAW_INPUT!E890)</f>
        <v/>
      </c>
      <c r="C889" t="str">
        <f>IF(RAW_INPUT!A890="","",RAW_INPUT!F890)</f>
        <v/>
      </c>
    </row>
    <row r="890" spans="1:3" x14ac:dyDescent="0.25">
      <c r="A890" t="str">
        <f>IF(RAW_INPUT!A891="","",RAW_INPUT!A891)</f>
        <v/>
      </c>
      <c r="B890" t="str">
        <f>IF(RAW_INPUT!A891="","",RAW_INPUT!E891)</f>
        <v/>
      </c>
      <c r="C890" t="str">
        <f>IF(RAW_INPUT!A891="","",RAW_INPUT!F891)</f>
        <v/>
      </c>
    </row>
    <row r="891" spans="1:3" x14ac:dyDescent="0.25">
      <c r="A891" t="str">
        <f>IF(RAW_INPUT!A892="","",RAW_INPUT!A892)</f>
        <v/>
      </c>
      <c r="B891" t="str">
        <f>IF(RAW_INPUT!A892="","",RAW_INPUT!E892)</f>
        <v/>
      </c>
      <c r="C891" t="str">
        <f>IF(RAW_INPUT!A892="","",RAW_INPUT!F892)</f>
        <v/>
      </c>
    </row>
    <row r="892" spans="1:3" x14ac:dyDescent="0.25">
      <c r="A892" t="str">
        <f>IF(RAW_INPUT!A893="","",RAW_INPUT!A893)</f>
        <v/>
      </c>
      <c r="B892" t="str">
        <f>IF(RAW_INPUT!A893="","",RAW_INPUT!E893)</f>
        <v/>
      </c>
      <c r="C892" t="str">
        <f>IF(RAW_INPUT!A893="","",RAW_INPUT!F893)</f>
        <v/>
      </c>
    </row>
    <row r="893" spans="1:3" x14ac:dyDescent="0.25">
      <c r="A893" t="str">
        <f>IF(RAW_INPUT!A894="","",RAW_INPUT!A894)</f>
        <v/>
      </c>
      <c r="B893" t="str">
        <f>IF(RAW_INPUT!A894="","",RAW_INPUT!E894)</f>
        <v/>
      </c>
      <c r="C893" t="str">
        <f>IF(RAW_INPUT!A894="","",RAW_INPUT!F894)</f>
        <v/>
      </c>
    </row>
    <row r="894" spans="1:3" x14ac:dyDescent="0.25">
      <c r="A894" t="str">
        <f>IF(RAW_INPUT!A895="","",RAW_INPUT!A895)</f>
        <v/>
      </c>
      <c r="B894" t="str">
        <f>IF(RAW_INPUT!A895="","",RAW_INPUT!E895)</f>
        <v/>
      </c>
      <c r="C894" t="str">
        <f>IF(RAW_INPUT!A895="","",RAW_INPUT!F895)</f>
        <v/>
      </c>
    </row>
    <row r="895" spans="1:3" x14ac:dyDescent="0.25">
      <c r="A895" t="str">
        <f>IF(RAW_INPUT!A896="","",RAW_INPUT!A896)</f>
        <v/>
      </c>
      <c r="B895" t="str">
        <f>IF(RAW_INPUT!A896="","",RAW_INPUT!E896)</f>
        <v/>
      </c>
      <c r="C895" t="str">
        <f>IF(RAW_INPUT!A896="","",RAW_INPUT!F896)</f>
        <v/>
      </c>
    </row>
    <row r="896" spans="1:3" x14ac:dyDescent="0.25">
      <c r="A896" t="str">
        <f>IF(RAW_INPUT!A897="","",RAW_INPUT!A897)</f>
        <v/>
      </c>
      <c r="B896" t="str">
        <f>IF(RAW_INPUT!A897="","",RAW_INPUT!E897)</f>
        <v/>
      </c>
      <c r="C896" t="str">
        <f>IF(RAW_INPUT!A897="","",RAW_INPUT!F897)</f>
        <v/>
      </c>
    </row>
    <row r="897" spans="1:3" x14ac:dyDescent="0.25">
      <c r="A897" t="str">
        <f>IF(RAW_INPUT!A898="","",RAW_INPUT!A898)</f>
        <v/>
      </c>
      <c r="B897" t="str">
        <f>IF(RAW_INPUT!A898="","",RAW_INPUT!E898)</f>
        <v/>
      </c>
      <c r="C897" t="str">
        <f>IF(RAW_INPUT!A898="","",RAW_INPUT!F898)</f>
        <v/>
      </c>
    </row>
    <row r="898" spans="1:3" x14ac:dyDescent="0.25">
      <c r="A898" t="str">
        <f>IF(RAW_INPUT!A899="","",RAW_INPUT!A899)</f>
        <v/>
      </c>
      <c r="B898" t="str">
        <f>IF(RAW_INPUT!A899="","",RAW_INPUT!E899)</f>
        <v/>
      </c>
      <c r="C898" t="str">
        <f>IF(RAW_INPUT!A899="","",RAW_INPUT!F899)</f>
        <v/>
      </c>
    </row>
    <row r="899" spans="1:3" x14ac:dyDescent="0.25">
      <c r="A899" t="str">
        <f>IF(RAW_INPUT!A900="","",RAW_INPUT!A900)</f>
        <v/>
      </c>
      <c r="B899" t="str">
        <f>IF(RAW_INPUT!A900="","",RAW_INPUT!E900)</f>
        <v/>
      </c>
      <c r="C899" t="str">
        <f>IF(RAW_INPUT!A900="","",RAW_INPUT!F900)</f>
        <v/>
      </c>
    </row>
    <row r="900" spans="1:3" x14ac:dyDescent="0.25">
      <c r="A900" t="str">
        <f>IF(RAW_INPUT!A901="","",RAW_INPUT!A901)</f>
        <v/>
      </c>
      <c r="B900" t="str">
        <f>IF(RAW_INPUT!A901="","",RAW_INPUT!E901)</f>
        <v/>
      </c>
      <c r="C900" t="str">
        <f>IF(RAW_INPUT!A901="","",RAW_INPUT!F901)</f>
        <v/>
      </c>
    </row>
    <row r="901" spans="1:3" x14ac:dyDescent="0.25">
      <c r="A901" t="str">
        <f>IF(RAW_INPUT!A902="","",RAW_INPUT!A902)</f>
        <v/>
      </c>
      <c r="B901" t="str">
        <f>IF(RAW_INPUT!A902="","",RAW_INPUT!E902)</f>
        <v/>
      </c>
      <c r="C901" t="str">
        <f>IF(RAW_INPUT!A902="","",RAW_INPUT!F902)</f>
        <v/>
      </c>
    </row>
    <row r="902" spans="1:3" x14ac:dyDescent="0.25">
      <c r="A902" t="str">
        <f>IF(RAW_INPUT!A903="","",RAW_INPUT!A903)</f>
        <v/>
      </c>
      <c r="B902" t="str">
        <f>IF(RAW_INPUT!A903="","",RAW_INPUT!E903)</f>
        <v/>
      </c>
      <c r="C902" t="str">
        <f>IF(RAW_INPUT!A903="","",RAW_INPUT!F903)</f>
        <v/>
      </c>
    </row>
    <row r="903" spans="1:3" x14ac:dyDescent="0.25">
      <c r="A903" t="str">
        <f>IF(RAW_INPUT!A904="","",RAW_INPUT!A904)</f>
        <v/>
      </c>
      <c r="B903" t="str">
        <f>IF(RAW_INPUT!A904="","",RAW_INPUT!E904)</f>
        <v/>
      </c>
      <c r="C903" t="str">
        <f>IF(RAW_INPUT!A904="","",RAW_INPUT!F904)</f>
        <v/>
      </c>
    </row>
    <row r="904" spans="1:3" x14ac:dyDescent="0.25">
      <c r="A904" t="str">
        <f>IF(RAW_INPUT!A905="","",RAW_INPUT!A905)</f>
        <v/>
      </c>
      <c r="B904" t="str">
        <f>IF(RAW_INPUT!A905="","",RAW_INPUT!E905)</f>
        <v/>
      </c>
      <c r="C904" t="str">
        <f>IF(RAW_INPUT!A905="","",RAW_INPUT!F905)</f>
        <v/>
      </c>
    </row>
    <row r="905" spans="1:3" x14ac:dyDescent="0.25">
      <c r="A905" t="str">
        <f>IF(RAW_INPUT!A906="","",RAW_INPUT!A906)</f>
        <v/>
      </c>
      <c r="B905" t="str">
        <f>IF(RAW_INPUT!A906="","",RAW_INPUT!E906)</f>
        <v/>
      </c>
      <c r="C905" t="str">
        <f>IF(RAW_INPUT!A906="","",RAW_INPUT!F906)</f>
        <v/>
      </c>
    </row>
    <row r="906" spans="1:3" x14ac:dyDescent="0.25">
      <c r="A906" t="str">
        <f>IF(RAW_INPUT!A907="","",RAW_INPUT!A907)</f>
        <v/>
      </c>
      <c r="B906" t="str">
        <f>IF(RAW_INPUT!A907="","",RAW_INPUT!E907)</f>
        <v/>
      </c>
      <c r="C906" t="str">
        <f>IF(RAW_INPUT!A907="","",RAW_INPUT!F907)</f>
        <v/>
      </c>
    </row>
    <row r="907" spans="1:3" x14ac:dyDescent="0.25">
      <c r="A907" t="str">
        <f>IF(RAW_INPUT!A908="","",RAW_INPUT!A908)</f>
        <v/>
      </c>
      <c r="B907" t="str">
        <f>IF(RAW_INPUT!A908="","",RAW_INPUT!E908)</f>
        <v/>
      </c>
      <c r="C907" t="str">
        <f>IF(RAW_INPUT!A908="","",RAW_INPUT!F908)</f>
        <v/>
      </c>
    </row>
    <row r="908" spans="1:3" x14ac:dyDescent="0.25">
      <c r="A908" t="str">
        <f>IF(RAW_INPUT!A909="","",RAW_INPUT!A909)</f>
        <v/>
      </c>
      <c r="B908" t="str">
        <f>IF(RAW_INPUT!A909="","",RAW_INPUT!E909)</f>
        <v/>
      </c>
      <c r="C908" t="str">
        <f>IF(RAW_INPUT!A909="","",RAW_INPUT!F909)</f>
        <v/>
      </c>
    </row>
    <row r="909" spans="1:3" x14ac:dyDescent="0.25">
      <c r="A909" t="str">
        <f>IF(RAW_INPUT!A910="","",RAW_INPUT!A910)</f>
        <v/>
      </c>
      <c r="B909" t="str">
        <f>IF(RAW_INPUT!A910="","",RAW_INPUT!E910)</f>
        <v/>
      </c>
      <c r="C909" t="str">
        <f>IF(RAW_INPUT!A910="","",RAW_INPUT!F910)</f>
        <v/>
      </c>
    </row>
    <row r="910" spans="1:3" x14ac:dyDescent="0.25">
      <c r="A910" t="str">
        <f>IF(RAW_INPUT!A911="","",RAW_INPUT!A911)</f>
        <v/>
      </c>
      <c r="B910" t="str">
        <f>IF(RAW_INPUT!A911="","",RAW_INPUT!E911)</f>
        <v/>
      </c>
      <c r="C910" t="str">
        <f>IF(RAW_INPUT!A911="","",RAW_INPUT!F911)</f>
        <v/>
      </c>
    </row>
    <row r="911" spans="1:3" x14ac:dyDescent="0.25">
      <c r="A911" t="str">
        <f>IF(RAW_INPUT!A912="","",RAW_INPUT!A912)</f>
        <v/>
      </c>
      <c r="B911" t="str">
        <f>IF(RAW_INPUT!A912="","",RAW_INPUT!E912)</f>
        <v/>
      </c>
      <c r="C911" t="str">
        <f>IF(RAW_INPUT!A912="","",RAW_INPUT!F912)</f>
        <v/>
      </c>
    </row>
    <row r="912" spans="1:3" x14ac:dyDescent="0.25">
      <c r="A912" t="str">
        <f>IF(RAW_INPUT!A913="","",RAW_INPUT!A913)</f>
        <v/>
      </c>
      <c r="B912" t="str">
        <f>IF(RAW_INPUT!A913="","",RAW_INPUT!E913)</f>
        <v/>
      </c>
      <c r="C912" t="str">
        <f>IF(RAW_INPUT!A913="","",RAW_INPUT!F913)</f>
        <v/>
      </c>
    </row>
    <row r="913" spans="1:3" x14ac:dyDescent="0.25">
      <c r="A913" t="str">
        <f>IF(RAW_INPUT!A914="","",RAW_INPUT!A914)</f>
        <v/>
      </c>
      <c r="B913" t="str">
        <f>IF(RAW_INPUT!A914="","",RAW_INPUT!E914)</f>
        <v/>
      </c>
      <c r="C913" t="str">
        <f>IF(RAW_INPUT!A914="","",RAW_INPUT!F914)</f>
        <v/>
      </c>
    </row>
    <row r="914" spans="1:3" x14ac:dyDescent="0.25">
      <c r="A914" t="str">
        <f>IF(RAW_INPUT!A915="","",RAW_INPUT!A915)</f>
        <v/>
      </c>
      <c r="B914" t="str">
        <f>IF(RAW_INPUT!A915="","",RAW_INPUT!E915)</f>
        <v/>
      </c>
      <c r="C914" t="str">
        <f>IF(RAW_INPUT!A915="","",RAW_INPUT!F915)</f>
        <v/>
      </c>
    </row>
    <row r="915" spans="1:3" x14ac:dyDescent="0.25">
      <c r="A915" t="str">
        <f>IF(RAW_INPUT!A916="","",RAW_INPUT!A916)</f>
        <v/>
      </c>
      <c r="B915" t="str">
        <f>IF(RAW_INPUT!A916="","",RAW_INPUT!E916)</f>
        <v/>
      </c>
      <c r="C915" t="str">
        <f>IF(RAW_INPUT!A916="","",RAW_INPUT!F916)</f>
        <v/>
      </c>
    </row>
    <row r="916" spans="1:3" x14ac:dyDescent="0.25">
      <c r="A916" t="str">
        <f>IF(RAW_INPUT!A917="","",RAW_INPUT!A917)</f>
        <v/>
      </c>
      <c r="B916" t="str">
        <f>IF(RAW_INPUT!A917="","",RAW_INPUT!E917)</f>
        <v/>
      </c>
      <c r="C916" t="str">
        <f>IF(RAW_INPUT!A917="","",RAW_INPUT!F917)</f>
        <v/>
      </c>
    </row>
    <row r="917" spans="1:3" x14ac:dyDescent="0.25">
      <c r="A917" t="str">
        <f>IF(RAW_INPUT!A918="","",RAW_INPUT!A918)</f>
        <v/>
      </c>
      <c r="B917" t="str">
        <f>IF(RAW_INPUT!A918="","",RAW_INPUT!E918)</f>
        <v/>
      </c>
      <c r="C917" t="str">
        <f>IF(RAW_INPUT!A918="","",RAW_INPUT!F918)</f>
        <v/>
      </c>
    </row>
    <row r="918" spans="1:3" x14ac:dyDescent="0.25">
      <c r="A918" t="str">
        <f>IF(RAW_INPUT!A919="","",RAW_INPUT!A919)</f>
        <v/>
      </c>
      <c r="B918" t="str">
        <f>IF(RAW_INPUT!A919="","",RAW_INPUT!E919)</f>
        <v/>
      </c>
      <c r="C918" t="str">
        <f>IF(RAW_INPUT!A919="","",RAW_INPUT!F919)</f>
        <v/>
      </c>
    </row>
    <row r="919" spans="1:3" x14ac:dyDescent="0.25">
      <c r="A919" t="str">
        <f>IF(RAW_INPUT!A920="","",RAW_INPUT!A920)</f>
        <v/>
      </c>
      <c r="B919" t="str">
        <f>IF(RAW_INPUT!A920="","",RAW_INPUT!E920)</f>
        <v/>
      </c>
      <c r="C919" t="str">
        <f>IF(RAW_INPUT!A920="","",RAW_INPUT!F920)</f>
        <v/>
      </c>
    </row>
    <row r="920" spans="1:3" x14ac:dyDescent="0.25">
      <c r="A920" t="str">
        <f>IF(RAW_INPUT!A921="","",RAW_INPUT!A921)</f>
        <v/>
      </c>
      <c r="B920" t="str">
        <f>IF(RAW_INPUT!A921="","",RAW_INPUT!E921)</f>
        <v/>
      </c>
      <c r="C920" t="str">
        <f>IF(RAW_INPUT!A921="","",RAW_INPUT!F921)</f>
        <v/>
      </c>
    </row>
    <row r="921" spans="1:3" x14ac:dyDescent="0.25">
      <c r="A921" t="str">
        <f>IF(RAW_INPUT!A922="","",RAW_INPUT!A922)</f>
        <v/>
      </c>
      <c r="B921" t="str">
        <f>IF(RAW_INPUT!A922="","",RAW_INPUT!E922)</f>
        <v/>
      </c>
      <c r="C921" t="str">
        <f>IF(RAW_INPUT!A922="","",RAW_INPUT!F922)</f>
        <v/>
      </c>
    </row>
    <row r="922" spans="1:3" x14ac:dyDescent="0.25">
      <c r="A922" t="str">
        <f>IF(RAW_INPUT!A923="","",RAW_INPUT!A923)</f>
        <v/>
      </c>
      <c r="B922" t="str">
        <f>IF(RAW_INPUT!A923="","",RAW_INPUT!E923)</f>
        <v/>
      </c>
      <c r="C922" t="str">
        <f>IF(RAW_INPUT!A923="","",RAW_INPUT!F923)</f>
        <v/>
      </c>
    </row>
    <row r="923" spans="1:3" x14ac:dyDescent="0.25">
      <c r="A923" t="str">
        <f>IF(RAW_INPUT!A924="","",RAW_INPUT!A924)</f>
        <v/>
      </c>
      <c r="B923" t="str">
        <f>IF(RAW_INPUT!A924="","",RAW_INPUT!E924)</f>
        <v/>
      </c>
      <c r="C923" t="str">
        <f>IF(RAW_INPUT!A924="","",RAW_INPUT!F924)</f>
        <v/>
      </c>
    </row>
    <row r="924" spans="1:3" x14ac:dyDescent="0.25">
      <c r="A924" t="str">
        <f>IF(RAW_INPUT!A925="","",RAW_INPUT!A925)</f>
        <v/>
      </c>
      <c r="B924" t="str">
        <f>IF(RAW_INPUT!A925="","",RAW_INPUT!E925)</f>
        <v/>
      </c>
      <c r="C924" t="str">
        <f>IF(RAW_INPUT!A925="","",RAW_INPUT!F925)</f>
        <v/>
      </c>
    </row>
    <row r="925" spans="1:3" x14ac:dyDescent="0.25">
      <c r="A925" t="str">
        <f>IF(RAW_INPUT!A926="","",RAW_INPUT!A926)</f>
        <v/>
      </c>
      <c r="B925" t="str">
        <f>IF(RAW_INPUT!A926="","",RAW_INPUT!E926)</f>
        <v/>
      </c>
      <c r="C925" t="str">
        <f>IF(RAW_INPUT!A926="","",RAW_INPUT!F926)</f>
        <v/>
      </c>
    </row>
    <row r="926" spans="1:3" x14ac:dyDescent="0.25">
      <c r="A926" t="str">
        <f>IF(RAW_INPUT!A927="","",RAW_INPUT!A927)</f>
        <v/>
      </c>
      <c r="B926" t="str">
        <f>IF(RAW_INPUT!A927="","",RAW_INPUT!E927)</f>
        <v/>
      </c>
      <c r="C926" t="str">
        <f>IF(RAW_INPUT!A927="","",RAW_INPUT!F927)</f>
        <v/>
      </c>
    </row>
    <row r="927" spans="1:3" x14ac:dyDescent="0.25">
      <c r="A927" t="str">
        <f>IF(RAW_INPUT!A928="","",RAW_INPUT!A928)</f>
        <v/>
      </c>
      <c r="B927" t="str">
        <f>IF(RAW_INPUT!A928="","",RAW_INPUT!E928)</f>
        <v/>
      </c>
      <c r="C927" t="str">
        <f>IF(RAW_INPUT!A928="","",RAW_INPUT!F928)</f>
        <v/>
      </c>
    </row>
    <row r="928" spans="1:3" x14ac:dyDescent="0.25">
      <c r="A928" t="str">
        <f>IF(RAW_INPUT!A929="","",RAW_INPUT!A929)</f>
        <v/>
      </c>
      <c r="B928" t="str">
        <f>IF(RAW_INPUT!A929="","",RAW_INPUT!E929)</f>
        <v/>
      </c>
      <c r="C928" t="str">
        <f>IF(RAW_INPUT!A929="","",RAW_INPUT!F929)</f>
        <v/>
      </c>
    </row>
    <row r="929" spans="1:3" x14ac:dyDescent="0.25">
      <c r="A929" t="str">
        <f>IF(RAW_INPUT!A930="","",RAW_INPUT!A930)</f>
        <v/>
      </c>
      <c r="B929" t="str">
        <f>IF(RAW_INPUT!A930="","",RAW_INPUT!E930)</f>
        <v/>
      </c>
      <c r="C929" t="str">
        <f>IF(RAW_INPUT!A930="","",RAW_INPUT!F930)</f>
        <v/>
      </c>
    </row>
    <row r="930" spans="1:3" x14ac:dyDescent="0.25">
      <c r="A930" t="str">
        <f>IF(RAW_INPUT!A931="","",RAW_INPUT!A931)</f>
        <v/>
      </c>
      <c r="B930" t="str">
        <f>IF(RAW_INPUT!A931="","",RAW_INPUT!E931)</f>
        <v/>
      </c>
      <c r="C930" t="str">
        <f>IF(RAW_INPUT!A931="","",RAW_INPUT!F931)</f>
        <v/>
      </c>
    </row>
    <row r="931" spans="1:3" x14ac:dyDescent="0.25">
      <c r="A931" t="str">
        <f>IF(RAW_INPUT!A932="","",RAW_INPUT!A932)</f>
        <v/>
      </c>
      <c r="B931" t="str">
        <f>IF(RAW_INPUT!A932="","",RAW_INPUT!E932)</f>
        <v/>
      </c>
      <c r="C931" t="str">
        <f>IF(RAW_INPUT!A932="","",RAW_INPUT!F932)</f>
        <v/>
      </c>
    </row>
    <row r="932" spans="1:3" x14ac:dyDescent="0.25">
      <c r="A932" t="str">
        <f>IF(RAW_INPUT!A933="","",RAW_INPUT!A933)</f>
        <v/>
      </c>
      <c r="B932" t="str">
        <f>IF(RAW_INPUT!A933="","",RAW_INPUT!E933)</f>
        <v/>
      </c>
      <c r="C932" t="str">
        <f>IF(RAW_INPUT!A933="","",RAW_INPUT!F933)</f>
        <v/>
      </c>
    </row>
    <row r="933" spans="1:3" x14ac:dyDescent="0.25">
      <c r="A933" t="str">
        <f>IF(RAW_INPUT!A934="","",RAW_INPUT!A934)</f>
        <v/>
      </c>
      <c r="B933" t="str">
        <f>IF(RAW_INPUT!A934="","",RAW_INPUT!E934)</f>
        <v/>
      </c>
      <c r="C933" t="str">
        <f>IF(RAW_INPUT!A934="","",RAW_INPUT!F934)</f>
        <v/>
      </c>
    </row>
    <row r="934" spans="1:3" x14ac:dyDescent="0.25">
      <c r="A934" t="str">
        <f>IF(RAW_INPUT!A935="","",RAW_INPUT!A935)</f>
        <v/>
      </c>
      <c r="B934" t="str">
        <f>IF(RAW_INPUT!A935="","",RAW_INPUT!E935)</f>
        <v/>
      </c>
      <c r="C934" t="str">
        <f>IF(RAW_INPUT!A935="","",RAW_INPUT!F935)</f>
        <v/>
      </c>
    </row>
    <row r="935" spans="1:3" x14ac:dyDescent="0.25">
      <c r="A935" t="str">
        <f>IF(RAW_INPUT!A936="","",RAW_INPUT!A936)</f>
        <v/>
      </c>
      <c r="B935" t="str">
        <f>IF(RAW_INPUT!A936="","",RAW_INPUT!E936)</f>
        <v/>
      </c>
      <c r="C935" t="str">
        <f>IF(RAW_INPUT!A936="","",RAW_INPUT!F936)</f>
        <v/>
      </c>
    </row>
    <row r="936" spans="1:3" x14ac:dyDescent="0.25">
      <c r="A936" t="str">
        <f>IF(RAW_INPUT!A937="","",RAW_INPUT!A937)</f>
        <v/>
      </c>
      <c r="B936" t="str">
        <f>IF(RAW_INPUT!A937="","",RAW_INPUT!E937)</f>
        <v/>
      </c>
      <c r="C936" t="str">
        <f>IF(RAW_INPUT!A937="","",RAW_INPUT!F937)</f>
        <v/>
      </c>
    </row>
    <row r="937" spans="1:3" x14ac:dyDescent="0.25">
      <c r="A937" t="str">
        <f>IF(RAW_INPUT!A938="","",RAW_INPUT!A938)</f>
        <v/>
      </c>
      <c r="B937" t="str">
        <f>IF(RAW_INPUT!A938="","",RAW_INPUT!E938)</f>
        <v/>
      </c>
      <c r="C937" t="str">
        <f>IF(RAW_INPUT!A938="","",RAW_INPUT!F938)</f>
        <v/>
      </c>
    </row>
    <row r="938" spans="1:3" x14ac:dyDescent="0.25">
      <c r="A938" t="str">
        <f>IF(RAW_INPUT!A939="","",RAW_INPUT!A939)</f>
        <v/>
      </c>
      <c r="B938" t="str">
        <f>IF(RAW_INPUT!A939="","",RAW_INPUT!E939)</f>
        <v/>
      </c>
      <c r="C938" t="str">
        <f>IF(RAW_INPUT!A939="","",RAW_INPUT!F939)</f>
        <v/>
      </c>
    </row>
    <row r="939" spans="1:3" x14ac:dyDescent="0.25">
      <c r="A939" t="str">
        <f>IF(RAW_INPUT!A940="","",RAW_INPUT!A940)</f>
        <v/>
      </c>
      <c r="B939" t="str">
        <f>IF(RAW_INPUT!A940="","",RAW_INPUT!E940)</f>
        <v/>
      </c>
      <c r="C939" t="str">
        <f>IF(RAW_INPUT!A940="","",RAW_INPUT!F940)</f>
        <v/>
      </c>
    </row>
    <row r="940" spans="1:3" x14ac:dyDescent="0.25">
      <c r="A940" t="str">
        <f>IF(RAW_INPUT!A941="","",RAW_INPUT!A941)</f>
        <v/>
      </c>
      <c r="B940" t="str">
        <f>IF(RAW_INPUT!A941="","",RAW_INPUT!E941)</f>
        <v/>
      </c>
      <c r="C940" t="str">
        <f>IF(RAW_INPUT!A941="","",RAW_INPUT!F941)</f>
        <v/>
      </c>
    </row>
    <row r="941" spans="1:3" x14ac:dyDescent="0.25">
      <c r="A941" t="str">
        <f>IF(RAW_INPUT!A942="","",RAW_INPUT!A942)</f>
        <v/>
      </c>
      <c r="B941" t="str">
        <f>IF(RAW_INPUT!A942="","",RAW_INPUT!E942)</f>
        <v/>
      </c>
      <c r="C941" t="str">
        <f>IF(RAW_INPUT!A942="","",RAW_INPUT!F942)</f>
        <v/>
      </c>
    </row>
    <row r="942" spans="1:3" x14ac:dyDescent="0.25">
      <c r="A942" t="str">
        <f>IF(RAW_INPUT!A943="","",RAW_INPUT!A943)</f>
        <v/>
      </c>
      <c r="B942" t="str">
        <f>IF(RAW_INPUT!A943="","",RAW_INPUT!E943)</f>
        <v/>
      </c>
      <c r="C942" t="str">
        <f>IF(RAW_INPUT!A943="","",RAW_INPUT!F943)</f>
        <v/>
      </c>
    </row>
    <row r="943" spans="1:3" x14ac:dyDescent="0.25">
      <c r="A943" t="str">
        <f>IF(RAW_INPUT!A944="","",RAW_INPUT!A944)</f>
        <v/>
      </c>
      <c r="B943" t="str">
        <f>IF(RAW_INPUT!A944="","",RAW_INPUT!E944)</f>
        <v/>
      </c>
      <c r="C943" t="str">
        <f>IF(RAW_INPUT!A944="","",RAW_INPUT!F944)</f>
        <v/>
      </c>
    </row>
    <row r="944" spans="1:3" x14ac:dyDescent="0.25">
      <c r="A944" t="str">
        <f>IF(RAW_INPUT!A945="","",RAW_INPUT!A945)</f>
        <v/>
      </c>
      <c r="B944" t="str">
        <f>IF(RAW_INPUT!A945="","",RAW_INPUT!E945)</f>
        <v/>
      </c>
      <c r="C944" t="str">
        <f>IF(RAW_INPUT!A945="","",RAW_INPUT!F945)</f>
        <v/>
      </c>
    </row>
    <row r="945" spans="1:3" x14ac:dyDescent="0.25">
      <c r="A945" t="str">
        <f>IF(RAW_INPUT!A946="","",RAW_INPUT!A946)</f>
        <v/>
      </c>
      <c r="B945" t="str">
        <f>IF(RAW_INPUT!A946="","",RAW_INPUT!E946)</f>
        <v/>
      </c>
      <c r="C945" t="str">
        <f>IF(RAW_INPUT!A946="","",RAW_INPUT!F946)</f>
        <v/>
      </c>
    </row>
    <row r="946" spans="1:3" x14ac:dyDescent="0.25">
      <c r="A946" t="str">
        <f>IF(RAW_INPUT!A947="","",RAW_INPUT!A947)</f>
        <v/>
      </c>
      <c r="B946" t="str">
        <f>IF(RAW_INPUT!A947="","",RAW_INPUT!E947)</f>
        <v/>
      </c>
      <c r="C946" t="str">
        <f>IF(RAW_INPUT!A947="","",RAW_INPUT!F947)</f>
        <v/>
      </c>
    </row>
    <row r="947" spans="1:3" x14ac:dyDescent="0.25">
      <c r="A947" t="str">
        <f>IF(RAW_INPUT!A948="","",RAW_INPUT!A948)</f>
        <v/>
      </c>
      <c r="B947" t="str">
        <f>IF(RAW_INPUT!A948="","",RAW_INPUT!E948)</f>
        <v/>
      </c>
      <c r="C947" t="str">
        <f>IF(RAW_INPUT!A948="","",RAW_INPUT!F948)</f>
        <v/>
      </c>
    </row>
    <row r="948" spans="1:3" x14ac:dyDescent="0.25">
      <c r="A948" t="str">
        <f>IF(RAW_INPUT!A949="","",RAW_INPUT!A949)</f>
        <v/>
      </c>
      <c r="B948" t="str">
        <f>IF(RAW_INPUT!A949="","",RAW_INPUT!E949)</f>
        <v/>
      </c>
      <c r="C948" t="str">
        <f>IF(RAW_INPUT!A949="","",RAW_INPUT!F949)</f>
        <v/>
      </c>
    </row>
    <row r="949" spans="1:3" x14ac:dyDescent="0.25">
      <c r="A949" t="str">
        <f>IF(RAW_INPUT!A950="","",RAW_INPUT!A950)</f>
        <v/>
      </c>
      <c r="B949" t="str">
        <f>IF(RAW_INPUT!A950="","",RAW_INPUT!E950)</f>
        <v/>
      </c>
      <c r="C949" t="str">
        <f>IF(RAW_INPUT!A950="","",RAW_INPUT!F950)</f>
        <v/>
      </c>
    </row>
    <row r="950" spans="1:3" x14ac:dyDescent="0.25">
      <c r="A950" t="str">
        <f>IF(RAW_INPUT!A951="","",RAW_INPUT!A951)</f>
        <v/>
      </c>
      <c r="B950" t="str">
        <f>IF(RAW_INPUT!A951="","",RAW_INPUT!E951)</f>
        <v/>
      </c>
      <c r="C950" t="str">
        <f>IF(RAW_INPUT!A951="","",RAW_INPUT!F951)</f>
        <v/>
      </c>
    </row>
    <row r="951" spans="1:3" x14ac:dyDescent="0.25">
      <c r="A951" t="str">
        <f>IF(RAW_INPUT!A952="","",RAW_INPUT!A952)</f>
        <v/>
      </c>
      <c r="B951" t="str">
        <f>IF(RAW_INPUT!A952="","",RAW_INPUT!E952)</f>
        <v/>
      </c>
      <c r="C951" t="str">
        <f>IF(RAW_INPUT!A952="","",RAW_INPUT!F952)</f>
        <v/>
      </c>
    </row>
    <row r="952" spans="1:3" x14ac:dyDescent="0.25">
      <c r="A952" t="str">
        <f>IF(RAW_INPUT!A953="","",RAW_INPUT!A953)</f>
        <v/>
      </c>
      <c r="B952" t="str">
        <f>IF(RAW_INPUT!A953="","",RAW_INPUT!E953)</f>
        <v/>
      </c>
      <c r="C952" t="str">
        <f>IF(RAW_INPUT!A953="","",RAW_INPUT!F953)</f>
        <v/>
      </c>
    </row>
    <row r="953" spans="1:3" x14ac:dyDescent="0.25">
      <c r="A953" t="str">
        <f>IF(RAW_INPUT!A954="","",RAW_INPUT!A954)</f>
        <v/>
      </c>
      <c r="B953" t="str">
        <f>IF(RAW_INPUT!A954="","",RAW_INPUT!E954)</f>
        <v/>
      </c>
      <c r="C953" t="str">
        <f>IF(RAW_INPUT!A954="","",RAW_INPUT!F954)</f>
        <v/>
      </c>
    </row>
    <row r="954" spans="1:3" x14ac:dyDescent="0.25">
      <c r="A954" t="str">
        <f>IF(RAW_INPUT!A955="","",RAW_INPUT!A955)</f>
        <v/>
      </c>
      <c r="B954" t="str">
        <f>IF(RAW_INPUT!A955="","",RAW_INPUT!E955)</f>
        <v/>
      </c>
      <c r="C954" t="str">
        <f>IF(RAW_INPUT!A955="","",RAW_INPUT!F955)</f>
        <v/>
      </c>
    </row>
    <row r="955" spans="1:3" x14ac:dyDescent="0.25">
      <c r="A955" t="str">
        <f>IF(RAW_INPUT!A956="","",RAW_INPUT!A956)</f>
        <v/>
      </c>
      <c r="B955" t="str">
        <f>IF(RAW_INPUT!A956="","",RAW_INPUT!E956)</f>
        <v/>
      </c>
      <c r="C955" t="str">
        <f>IF(RAW_INPUT!A956="","",RAW_INPUT!F956)</f>
        <v/>
      </c>
    </row>
    <row r="956" spans="1:3" x14ac:dyDescent="0.25">
      <c r="A956" t="str">
        <f>IF(RAW_INPUT!A957="","",RAW_INPUT!A957)</f>
        <v/>
      </c>
      <c r="B956" t="str">
        <f>IF(RAW_INPUT!A957="","",RAW_INPUT!E957)</f>
        <v/>
      </c>
      <c r="C956" t="str">
        <f>IF(RAW_INPUT!A957="","",RAW_INPUT!F957)</f>
        <v/>
      </c>
    </row>
    <row r="957" spans="1:3" x14ac:dyDescent="0.25">
      <c r="A957" t="str">
        <f>IF(RAW_INPUT!A958="","",RAW_INPUT!A958)</f>
        <v/>
      </c>
      <c r="B957" t="str">
        <f>IF(RAW_INPUT!A958="","",RAW_INPUT!E958)</f>
        <v/>
      </c>
      <c r="C957" t="str">
        <f>IF(RAW_INPUT!A958="","",RAW_INPUT!F958)</f>
        <v/>
      </c>
    </row>
    <row r="958" spans="1:3" x14ac:dyDescent="0.25">
      <c r="A958" t="str">
        <f>IF(RAW_INPUT!A959="","",RAW_INPUT!A959)</f>
        <v/>
      </c>
      <c r="B958" t="str">
        <f>IF(RAW_INPUT!A959="","",RAW_INPUT!E959)</f>
        <v/>
      </c>
      <c r="C958" t="str">
        <f>IF(RAW_INPUT!A959="","",RAW_INPUT!F959)</f>
        <v/>
      </c>
    </row>
    <row r="959" spans="1:3" x14ac:dyDescent="0.25">
      <c r="A959" t="str">
        <f>IF(RAW_INPUT!A960="","",RAW_INPUT!A960)</f>
        <v/>
      </c>
      <c r="B959" t="str">
        <f>IF(RAW_INPUT!A960="","",RAW_INPUT!E960)</f>
        <v/>
      </c>
      <c r="C959" t="str">
        <f>IF(RAW_INPUT!A960="","",RAW_INPUT!F960)</f>
        <v/>
      </c>
    </row>
    <row r="960" spans="1:3" x14ac:dyDescent="0.25">
      <c r="A960" t="str">
        <f>IF(RAW_INPUT!A961="","",RAW_INPUT!A961)</f>
        <v/>
      </c>
      <c r="B960" t="str">
        <f>IF(RAW_INPUT!A961="","",RAW_INPUT!E961)</f>
        <v/>
      </c>
      <c r="C960" t="str">
        <f>IF(RAW_INPUT!A961="","",RAW_INPUT!F961)</f>
        <v/>
      </c>
    </row>
    <row r="961" spans="1:3" x14ac:dyDescent="0.25">
      <c r="A961" t="str">
        <f>IF(RAW_INPUT!A962="","",RAW_INPUT!A962)</f>
        <v/>
      </c>
      <c r="B961" t="str">
        <f>IF(RAW_INPUT!A962="","",RAW_INPUT!E962)</f>
        <v/>
      </c>
      <c r="C961" t="str">
        <f>IF(RAW_INPUT!A962="","",RAW_INPUT!F962)</f>
        <v/>
      </c>
    </row>
    <row r="962" spans="1:3" x14ac:dyDescent="0.25">
      <c r="A962" t="str">
        <f>IF(RAW_INPUT!A963="","",RAW_INPUT!A963)</f>
        <v/>
      </c>
      <c r="B962" t="str">
        <f>IF(RAW_INPUT!A963="","",RAW_INPUT!E963)</f>
        <v/>
      </c>
      <c r="C962" t="str">
        <f>IF(RAW_INPUT!A963="","",RAW_INPUT!F963)</f>
        <v/>
      </c>
    </row>
    <row r="963" spans="1:3" x14ac:dyDescent="0.25">
      <c r="A963" t="str">
        <f>IF(RAW_INPUT!A964="","",RAW_INPUT!A964)</f>
        <v/>
      </c>
      <c r="B963" t="str">
        <f>IF(RAW_INPUT!A964="","",RAW_INPUT!E964)</f>
        <v/>
      </c>
      <c r="C963" t="str">
        <f>IF(RAW_INPUT!A964="","",RAW_INPUT!F964)</f>
        <v/>
      </c>
    </row>
    <row r="964" spans="1:3" x14ac:dyDescent="0.25">
      <c r="A964" t="str">
        <f>IF(RAW_INPUT!A965="","",RAW_INPUT!A965)</f>
        <v/>
      </c>
      <c r="B964" t="str">
        <f>IF(RAW_INPUT!A965="","",RAW_INPUT!E965)</f>
        <v/>
      </c>
      <c r="C964" t="str">
        <f>IF(RAW_INPUT!A965="","",RAW_INPUT!F965)</f>
        <v/>
      </c>
    </row>
    <row r="965" spans="1:3" x14ac:dyDescent="0.25">
      <c r="A965" t="str">
        <f>IF(RAW_INPUT!A966="","",RAW_INPUT!A966)</f>
        <v/>
      </c>
      <c r="B965" t="str">
        <f>IF(RAW_INPUT!A966="","",RAW_INPUT!E966)</f>
        <v/>
      </c>
      <c r="C965" t="str">
        <f>IF(RAW_INPUT!A966="","",RAW_INPUT!F966)</f>
        <v/>
      </c>
    </row>
    <row r="966" spans="1:3" x14ac:dyDescent="0.25">
      <c r="A966" t="str">
        <f>IF(RAW_INPUT!A967="","",RAW_INPUT!A967)</f>
        <v/>
      </c>
      <c r="B966" t="str">
        <f>IF(RAW_INPUT!A967="","",RAW_INPUT!E967)</f>
        <v/>
      </c>
      <c r="C966" t="str">
        <f>IF(RAW_INPUT!A967="","",RAW_INPUT!F967)</f>
        <v/>
      </c>
    </row>
    <row r="967" spans="1:3" x14ac:dyDescent="0.25">
      <c r="A967" t="str">
        <f>IF(RAW_INPUT!A968="","",RAW_INPUT!A968)</f>
        <v/>
      </c>
      <c r="B967" t="str">
        <f>IF(RAW_INPUT!A968="","",RAW_INPUT!E968)</f>
        <v/>
      </c>
      <c r="C967" t="str">
        <f>IF(RAW_INPUT!A968="","",RAW_INPUT!F968)</f>
        <v/>
      </c>
    </row>
    <row r="968" spans="1:3" x14ac:dyDescent="0.25">
      <c r="A968" t="str">
        <f>IF(RAW_INPUT!A969="","",RAW_INPUT!A969)</f>
        <v/>
      </c>
      <c r="B968" t="str">
        <f>IF(RAW_INPUT!A969="","",RAW_INPUT!E969)</f>
        <v/>
      </c>
      <c r="C968" t="str">
        <f>IF(RAW_INPUT!A969="","",RAW_INPUT!F969)</f>
        <v/>
      </c>
    </row>
    <row r="969" spans="1:3" x14ac:dyDescent="0.25">
      <c r="A969" t="str">
        <f>IF(RAW_INPUT!A970="","",RAW_INPUT!A970)</f>
        <v/>
      </c>
      <c r="B969" t="str">
        <f>IF(RAW_INPUT!A970="","",RAW_INPUT!E970)</f>
        <v/>
      </c>
      <c r="C969" t="str">
        <f>IF(RAW_INPUT!A970="","",RAW_INPUT!F970)</f>
        <v/>
      </c>
    </row>
    <row r="970" spans="1:3" x14ac:dyDescent="0.25">
      <c r="A970" t="str">
        <f>IF(RAW_INPUT!A971="","",RAW_INPUT!A971)</f>
        <v/>
      </c>
      <c r="B970" t="str">
        <f>IF(RAW_INPUT!A971="","",RAW_INPUT!E971)</f>
        <v/>
      </c>
      <c r="C970" t="str">
        <f>IF(RAW_INPUT!A971="","",RAW_INPUT!F971)</f>
        <v/>
      </c>
    </row>
    <row r="971" spans="1:3" x14ac:dyDescent="0.25">
      <c r="A971" t="str">
        <f>IF(RAW_INPUT!A972="","",RAW_INPUT!A972)</f>
        <v/>
      </c>
      <c r="B971" t="str">
        <f>IF(RAW_INPUT!A972="","",RAW_INPUT!E972)</f>
        <v/>
      </c>
      <c r="C971" t="str">
        <f>IF(RAW_INPUT!A972="","",RAW_INPUT!F972)</f>
        <v/>
      </c>
    </row>
    <row r="972" spans="1:3" x14ac:dyDescent="0.25">
      <c r="A972" t="str">
        <f>IF(RAW_INPUT!A973="","",RAW_INPUT!A973)</f>
        <v/>
      </c>
      <c r="B972" t="str">
        <f>IF(RAW_INPUT!A973="","",RAW_INPUT!E973)</f>
        <v/>
      </c>
      <c r="C972" t="str">
        <f>IF(RAW_INPUT!A973="","",RAW_INPUT!F973)</f>
        <v/>
      </c>
    </row>
    <row r="973" spans="1:3" x14ac:dyDescent="0.25">
      <c r="A973" t="str">
        <f>IF(RAW_INPUT!A974="","",RAW_INPUT!A974)</f>
        <v/>
      </c>
      <c r="B973" t="str">
        <f>IF(RAW_INPUT!A974="","",RAW_INPUT!E974)</f>
        <v/>
      </c>
      <c r="C973" t="str">
        <f>IF(RAW_INPUT!A974="","",RAW_INPUT!F974)</f>
        <v/>
      </c>
    </row>
    <row r="974" spans="1:3" x14ac:dyDescent="0.25">
      <c r="A974" t="str">
        <f>IF(RAW_INPUT!A975="","",RAW_INPUT!A975)</f>
        <v/>
      </c>
      <c r="B974" t="str">
        <f>IF(RAW_INPUT!A975="","",RAW_INPUT!E975)</f>
        <v/>
      </c>
      <c r="C974" t="str">
        <f>IF(RAW_INPUT!A975="","",RAW_INPUT!F975)</f>
        <v/>
      </c>
    </row>
    <row r="975" spans="1:3" x14ac:dyDescent="0.25">
      <c r="A975" t="str">
        <f>IF(RAW_INPUT!A976="","",RAW_INPUT!A976)</f>
        <v/>
      </c>
      <c r="B975" t="str">
        <f>IF(RAW_INPUT!A976="","",RAW_INPUT!E976)</f>
        <v/>
      </c>
      <c r="C975" t="str">
        <f>IF(RAW_INPUT!A976="","",RAW_INPUT!F976)</f>
        <v/>
      </c>
    </row>
    <row r="976" spans="1:3" x14ac:dyDescent="0.25">
      <c r="A976" t="str">
        <f>IF(RAW_INPUT!A977="","",RAW_INPUT!A977)</f>
        <v/>
      </c>
      <c r="B976" t="str">
        <f>IF(RAW_INPUT!A977="","",RAW_INPUT!E977)</f>
        <v/>
      </c>
      <c r="C976" t="str">
        <f>IF(RAW_INPUT!A977="","",RAW_INPUT!F977)</f>
        <v/>
      </c>
    </row>
    <row r="977" spans="1:3" x14ac:dyDescent="0.25">
      <c r="A977" t="str">
        <f>IF(RAW_INPUT!A978="","",RAW_INPUT!A978)</f>
        <v/>
      </c>
      <c r="B977" t="str">
        <f>IF(RAW_INPUT!A978="","",RAW_INPUT!E978)</f>
        <v/>
      </c>
      <c r="C977" t="str">
        <f>IF(RAW_INPUT!A978="","",RAW_INPUT!F978)</f>
        <v/>
      </c>
    </row>
    <row r="978" spans="1:3" x14ac:dyDescent="0.25">
      <c r="A978" t="str">
        <f>IF(RAW_INPUT!A979="","",RAW_INPUT!A979)</f>
        <v/>
      </c>
      <c r="B978" t="str">
        <f>IF(RAW_INPUT!A979="","",RAW_INPUT!E979)</f>
        <v/>
      </c>
      <c r="C978" t="str">
        <f>IF(RAW_INPUT!A979="","",RAW_INPUT!F979)</f>
        <v/>
      </c>
    </row>
    <row r="979" spans="1:3" x14ac:dyDescent="0.25">
      <c r="A979" t="str">
        <f>IF(RAW_INPUT!A980="","",RAW_INPUT!A980)</f>
        <v/>
      </c>
      <c r="B979" t="str">
        <f>IF(RAW_INPUT!A980="","",RAW_INPUT!E980)</f>
        <v/>
      </c>
      <c r="C979" t="str">
        <f>IF(RAW_INPUT!A980="","",RAW_INPUT!F980)</f>
        <v/>
      </c>
    </row>
    <row r="980" spans="1:3" x14ac:dyDescent="0.25">
      <c r="A980" t="str">
        <f>IF(RAW_INPUT!A981="","",RAW_INPUT!A981)</f>
        <v/>
      </c>
      <c r="B980" t="str">
        <f>IF(RAW_INPUT!A981="","",RAW_INPUT!E981)</f>
        <v/>
      </c>
      <c r="C980" t="str">
        <f>IF(RAW_INPUT!A981="","",RAW_INPUT!F981)</f>
        <v/>
      </c>
    </row>
    <row r="981" spans="1:3" x14ac:dyDescent="0.25">
      <c r="A981" t="str">
        <f>IF(RAW_INPUT!A982="","",RAW_INPUT!A982)</f>
        <v/>
      </c>
      <c r="B981" t="str">
        <f>IF(RAW_INPUT!A982="","",RAW_INPUT!E982)</f>
        <v/>
      </c>
      <c r="C981" t="str">
        <f>IF(RAW_INPUT!A982="","",RAW_INPUT!F982)</f>
        <v/>
      </c>
    </row>
    <row r="982" spans="1:3" x14ac:dyDescent="0.25">
      <c r="A982" t="str">
        <f>IF(RAW_INPUT!A983="","",RAW_INPUT!A983)</f>
        <v/>
      </c>
      <c r="B982" t="str">
        <f>IF(RAW_INPUT!A983="","",RAW_INPUT!E983)</f>
        <v/>
      </c>
      <c r="C982" t="str">
        <f>IF(RAW_INPUT!A983="","",RAW_INPUT!F983)</f>
        <v/>
      </c>
    </row>
    <row r="983" spans="1:3" x14ac:dyDescent="0.25">
      <c r="A983" t="str">
        <f>IF(RAW_INPUT!A984="","",RAW_INPUT!A984)</f>
        <v/>
      </c>
      <c r="B983" t="str">
        <f>IF(RAW_INPUT!A984="","",RAW_INPUT!E984)</f>
        <v/>
      </c>
      <c r="C983" t="str">
        <f>IF(RAW_INPUT!A984="","",RAW_INPUT!F984)</f>
        <v/>
      </c>
    </row>
    <row r="984" spans="1:3" x14ac:dyDescent="0.25">
      <c r="A984" t="str">
        <f>IF(RAW_INPUT!A985="","",RAW_INPUT!A985)</f>
        <v/>
      </c>
      <c r="B984" t="str">
        <f>IF(RAW_INPUT!A985="","",RAW_INPUT!E985)</f>
        <v/>
      </c>
      <c r="C984" t="str">
        <f>IF(RAW_INPUT!A985="","",RAW_INPUT!F985)</f>
        <v/>
      </c>
    </row>
    <row r="985" spans="1:3" x14ac:dyDescent="0.25">
      <c r="A985" t="str">
        <f>IF(RAW_INPUT!A986="","",RAW_INPUT!A986)</f>
        <v/>
      </c>
      <c r="B985" t="str">
        <f>IF(RAW_INPUT!A986="","",RAW_INPUT!E986)</f>
        <v/>
      </c>
      <c r="C985" t="str">
        <f>IF(RAW_INPUT!A986="","",RAW_INPUT!F986)</f>
        <v/>
      </c>
    </row>
    <row r="986" spans="1:3" x14ac:dyDescent="0.25">
      <c r="A986" t="str">
        <f>IF(RAW_INPUT!A987="","",RAW_INPUT!A987)</f>
        <v/>
      </c>
      <c r="B986" t="str">
        <f>IF(RAW_INPUT!A987="","",RAW_INPUT!E987)</f>
        <v/>
      </c>
      <c r="C986" t="str">
        <f>IF(RAW_INPUT!A987="","",RAW_INPUT!F987)</f>
        <v/>
      </c>
    </row>
    <row r="987" spans="1:3" x14ac:dyDescent="0.25">
      <c r="A987" t="str">
        <f>IF(RAW_INPUT!A988="","",RAW_INPUT!A988)</f>
        <v/>
      </c>
      <c r="B987" t="str">
        <f>IF(RAW_INPUT!A988="","",RAW_INPUT!E988)</f>
        <v/>
      </c>
      <c r="C987" t="str">
        <f>IF(RAW_INPUT!A988="","",RAW_INPUT!F988)</f>
        <v/>
      </c>
    </row>
    <row r="988" spans="1:3" x14ac:dyDescent="0.25">
      <c r="A988" t="str">
        <f>IF(RAW_INPUT!A989="","",RAW_INPUT!A989)</f>
        <v/>
      </c>
      <c r="B988" t="str">
        <f>IF(RAW_INPUT!A989="","",RAW_INPUT!E989)</f>
        <v/>
      </c>
      <c r="C988" t="str">
        <f>IF(RAW_INPUT!A989="","",RAW_INPUT!F989)</f>
        <v/>
      </c>
    </row>
    <row r="989" spans="1:3" x14ac:dyDescent="0.25">
      <c r="A989" t="str">
        <f>IF(RAW_INPUT!A990="","",RAW_INPUT!A990)</f>
        <v/>
      </c>
      <c r="B989" t="str">
        <f>IF(RAW_INPUT!A990="","",RAW_INPUT!E990)</f>
        <v/>
      </c>
      <c r="C989" t="str">
        <f>IF(RAW_INPUT!A990="","",RAW_INPUT!F990)</f>
        <v/>
      </c>
    </row>
    <row r="990" spans="1:3" x14ac:dyDescent="0.25">
      <c r="A990" t="str">
        <f>IF(RAW_INPUT!A991="","",RAW_INPUT!A991)</f>
        <v/>
      </c>
      <c r="B990" t="str">
        <f>IF(RAW_INPUT!A991="","",RAW_INPUT!E991)</f>
        <v/>
      </c>
      <c r="C990" t="str">
        <f>IF(RAW_INPUT!A991="","",RAW_INPUT!F991)</f>
        <v/>
      </c>
    </row>
    <row r="991" spans="1:3" x14ac:dyDescent="0.25">
      <c r="A991" t="str">
        <f>IF(RAW_INPUT!A992="","",RAW_INPUT!A992)</f>
        <v/>
      </c>
      <c r="B991" t="str">
        <f>IF(RAW_INPUT!A992="","",RAW_INPUT!E992)</f>
        <v/>
      </c>
      <c r="C991" t="str">
        <f>IF(RAW_INPUT!A992="","",RAW_INPUT!F992)</f>
        <v/>
      </c>
    </row>
    <row r="992" spans="1:3" x14ac:dyDescent="0.25">
      <c r="A992" t="str">
        <f>IF(RAW_INPUT!A993="","",RAW_INPUT!A993)</f>
        <v/>
      </c>
      <c r="B992" t="str">
        <f>IF(RAW_INPUT!A993="","",RAW_INPUT!E993)</f>
        <v/>
      </c>
      <c r="C992" t="str">
        <f>IF(RAW_INPUT!A993="","",RAW_INPUT!F993)</f>
        <v/>
      </c>
    </row>
    <row r="993" spans="1:3" x14ac:dyDescent="0.25">
      <c r="A993" t="str">
        <f>IF(RAW_INPUT!A994="","",RAW_INPUT!A994)</f>
        <v/>
      </c>
      <c r="B993" t="str">
        <f>IF(RAW_INPUT!A994="","",RAW_INPUT!E994)</f>
        <v/>
      </c>
      <c r="C993" t="str">
        <f>IF(RAW_INPUT!A994="","",RAW_INPUT!F994)</f>
        <v/>
      </c>
    </row>
    <row r="994" spans="1:3" x14ac:dyDescent="0.25">
      <c r="A994" t="str">
        <f>IF(RAW_INPUT!A995="","",RAW_INPUT!A995)</f>
        <v/>
      </c>
      <c r="B994" t="str">
        <f>IF(RAW_INPUT!A995="","",RAW_INPUT!E995)</f>
        <v/>
      </c>
      <c r="C994" t="str">
        <f>IF(RAW_INPUT!A995="","",RAW_INPUT!F995)</f>
        <v/>
      </c>
    </row>
    <row r="995" spans="1:3" x14ac:dyDescent="0.25">
      <c r="A995" t="str">
        <f>IF(RAW_INPUT!A996="","",RAW_INPUT!A996)</f>
        <v/>
      </c>
      <c r="B995" t="str">
        <f>IF(RAW_INPUT!A996="","",RAW_INPUT!E996)</f>
        <v/>
      </c>
      <c r="C995" t="str">
        <f>IF(RAW_INPUT!A996="","",RAW_INPUT!F996)</f>
        <v/>
      </c>
    </row>
    <row r="996" spans="1:3" x14ac:dyDescent="0.25">
      <c r="A996" t="str">
        <f>IF(RAW_INPUT!A997="","",RAW_INPUT!A997)</f>
        <v/>
      </c>
      <c r="B996" t="str">
        <f>IF(RAW_INPUT!A997="","",RAW_INPUT!E997)</f>
        <v/>
      </c>
      <c r="C996" t="str">
        <f>IF(RAW_INPUT!A997="","",RAW_INPUT!F997)</f>
        <v/>
      </c>
    </row>
    <row r="997" spans="1:3" x14ac:dyDescent="0.25">
      <c r="A997" t="str">
        <f>IF(RAW_INPUT!A998="","",RAW_INPUT!A998)</f>
        <v/>
      </c>
      <c r="B997" t="str">
        <f>IF(RAW_INPUT!A998="","",RAW_INPUT!E998)</f>
        <v/>
      </c>
      <c r="C997" t="str">
        <f>IF(RAW_INPUT!A998="","",RAW_INPUT!F998)</f>
        <v/>
      </c>
    </row>
    <row r="998" spans="1:3" x14ac:dyDescent="0.25">
      <c r="A998" t="str">
        <f>IF(RAW_INPUT!A999="","",RAW_INPUT!A999)</f>
        <v/>
      </c>
      <c r="B998" t="str">
        <f>IF(RAW_INPUT!A999="","",RAW_INPUT!E999)</f>
        <v/>
      </c>
      <c r="C998" t="str">
        <f>IF(RAW_INPUT!A999="","",RAW_INPUT!F999)</f>
        <v/>
      </c>
    </row>
    <row r="999" spans="1:3" x14ac:dyDescent="0.25">
      <c r="A999" t="str">
        <f>IF(RAW_INPUT!A1000="","",RAW_INPUT!A1000)</f>
        <v/>
      </c>
      <c r="B999" t="str">
        <f>IF(RAW_INPUT!A1000="","",RAW_INPUT!E1000)</f>
        <v/>
      </c>
      <c r="C999" t="str">
        <f>IF(RAW_INPUT!A1000="","",RAW_INPUT!F1000)</f>
        <v/>
      </c>
    </row>
    <row r="1000" spans="1:3" x14ac:dyDescent="0.25">
      <c r="A1000" t="str">
        <f>IF(RAW_INPUT!A1001="","",RAW_INPUT!A1001)</f>
        <v/>
      </c>
      <c r="B1000" t="str">
        <f>IF(RAW_INPUT!A1001="","",RAW_INPUT!E1001)</f>
        <v/>
      </c>
      <c r="C1000" t="str">
        <f>IF(RAW_INPUT!A1001="","",RAW_INPUT!F1001)</f>
        <v/>
      </c>
    </row>
    <row r="1001" spans="1:3" x14ac:dyDescent="0.25">
      <c r="A1001" t="str">
        <f>IF(RAW_INPUT!A1002="","",RAW_INPUT!A1002)</f>
        <v/>
      </c>
      <c r="B1001" t="str">
        <f>IF(RAW_INPUT!A1002="","",RAW_INPUT!E1002)</f>
        <v/>
      </c>
      <c r="C1001" t="str">
        <f>IF(RAW_INPUT!A1002="","",RAW_INPUT!F1002)</f>
        <v/>
      </c>
    </row>
    <row r="1002" spans="1:3" x14ac:dyDescent="0.25">
      <c r="A1002" t="str">
        <f>IF(RAW_INPUT!A1003="","",RAW_INPUT!A1003)</f>
        <v/>
      </c>
      <c r="B1002" t="str">
        <f>IF(RAW_INPUT!A1003="","",RAW_INPUT!E1003)</f>
        <v/>
      </c>
      <c r="C1002" t="str">
        <f>IF(RAW_INPUT!A1003="","",RAW_INPUT!F1003)</f>
        <v/>
      </c>
    </row>
    <row r="1003" spans="1:3" x14ac:dyDescent="0.25">
      <c r="A1003" t="str">
        <f>IF(RAW_INPUT!A1004="","",RAW_INPUT!A1004)</f>
        <v/>
      </c>
      <c r="B1003" t="str">
        <f>IF(RAW_INPUT!A1004="","",RAW_INPUT!E1004)</f>
        <v/>
      </c>
      <c r="C1003" t="str">
        <f>IF(RAW_INPUT!A1004="","",RAW_INPUT!F1004)</f>
        <v/>
      </c>
    </row>
    <row r="1004" spans="1:3" x14ac:dyDescent="0.25">
      <c r="A1004" t="str">
        <f>IF(RAW_INPUT!A1005="","",RAW_INPUT!A1005)</f>
        <v/>
      </c>
      <c r="B1004" t="str">
        <f>IF(RAW_INPUT!A1005="","",RAW_INPUT!E1005)</f>
        <v/>
      </c>
      <c r="C1004" t="str">
        <f>IF(RAW_INPUT!A1005="","",RAW_INPUT!F1005)</f>
        <v/>
      </c>
    </row>
    <row r="1005" spans="1:3" x14ac:dyDescent="0.25">
      <c r="A1005" t="str">
        <f>IF(RAW_INPUT!A1006="","",RAW_INPUT!A1006)</f>
        <v/>
      </c>
      <c r="B1005" t="str">
        <f>IF(RAW_INPUT!A1006="","",RAW_INPUT!E1006)</f>
        <v/>
      </c>
      <c r="C1005" t="str">
        <f>IF(RAW_INPUT!A1006="","",RAW_INPUT!F1006)</f>
        <v/>
      </c>
    </row>
    <row r="1006" spans="1:3" x14ac:dyDescent="0.25">
      <c r="A1006" t="str">
        <f>IF(RAW_INPUT!A1007="","",RAW_INPUT!A1007)</f>
        <v/>
      </c>
      <c r="B1006" t="str">
        <f>IF(RAW_INPUT!A1007="","",RAW_INPUT!E1007)</f>
        <v/>
      </c>
      <c r="C1006" t="str">
        <f>IF(RAW_INPUT!A1007="","",RAW_INPUT!F1007)</f>
        <v/>
      </c>
    </row>
    <row r="1007" spans="1:3" x14ac:dyDescent="0.25">
      <c r="A1007" t="str">
        <f>IF(RAW_INPUT!A1008="","",RAW_INPUT!A1008)</f>
        <v/>
      </c>
      <c r="B1007" t="str">
        <f>IF(RAW_INPUT!A1008="","",RAW_INPUT!E1008)</f>
        <v/>
      </c>
      <c r="C1007" t="str">
        <f>IF(RAW_INPUT!A1008="","",RAW_INPUT!F1008)</f>
        <v/>
      </c>
    </row>
    <row r="1008" spans="1:3" x14ac:dyDescent="0.25">
      <c r="A1008" t="str">
        <f>IF(RAW_INPUT!A1009="","",RAW_INPUT!A1009)</f>
        <v/>
      </c>
      <c r="B1008" t="str">
        <f>IF(RAW_INPUT!A1009="","",RAW_INPUT!E1009)</f>
        <v/>
      </c>
      <c r="C1008" t="str">
        <f>IF(RAW_INPUT!A1009="","",RAW_INPUT!F1009)</f>
        <v/>
      </c>
    </row>
    <row r="1009" spans="1:3" x14ac:dyDescent="0.25">
      <c r="A1009" t="str">
        <f>IF(RAW_INPUT!A1010="","",RAW_INPUT!A1010)</f>
        <v/>
      </c>
      <c r="B1009" t="str">
        <f>IF(RAW_INPUT!A1010="","",RAW_INPUT!E1010)</f>
        <v/>
      </c>
      <c r="C1009" t="str">
        <f>IF(RAW_INPUT!A1010="","",RAW_INPUT!F1010)</f>
        <v/>
      </c>
    </row>
    <row r="1010" spans="1:3" x14ac:dyDescent="0.25">
      <c r="A1010" t="str">
        <f>IF(RAW_INPUT!A1011="","",RAW_INPUT!A1011)</f>
        <v/>
      </c>
      <c r="B1010" t="str">
        <f>IF(RAW_INPUT!A1011="","",RAW_INPUT!E1011)</f>
        <v/>
      </c>
      <c r="C1010" t="str">
        <f>IF(RAW_INPUT!A1011="","",RAW_INPUT!F1011)</f>
        <v/>
      </c>
    </row>
    <row r="1011" spans="1:3" x14ac:dyDescent="0.25">
      <c r="A1011" t="str">
        <f>IF(RAW_INPUT!A1012="","",RAW_INPUT!A1012)</f>
        <v/>
      </c>
      <c r="B1011" t="str">
        <f>IF(RAW_INPUT!A1012="","",RAW_INPUT!E1012)</f>
        <v/>
      </c>
      <c r="C1011" t="str">
        <f>IF(RAW_INPUT!A1012="","",RAW_INPUT!F1012)</f>
        <v/>
      </c>
    </row>
    <row r="1012" spans="1:3" x14ac:dyDescent="0.25">
      <c r="A1012" t="str">
        <f>IF(RAW_INPUT!A1013="","",RAW_INPUT!A1013)</f>
        <v/>
      </c>
      <c r="B1012" t="str">
        <f>IF(RAW_INPUT!A1013="","",RAW_INPUT!E1013)</f>
        <v/>
      </c>
      <c r="C1012" t="str">
        <f>IF(RAW_INPUT!A1013="","",RAW_INPUT!F1013)</f>
        <v/>
      </c>
    </row>
    <row r="1013" spans="1:3" x14ac:dyDescent="0.25">
      <c r="A1013" t="str">
        <f>IF(RAW_INPUT!A1014="","",RAW_INPUT!A1014)</f>
        <v/>
      </c>
      <c r="B1013" t="str">
        <f>IF(RAW_INPUT!A1014="","",RAW_INPUT!E1014)</f>
        <v/>
      </c>
      <c r="C1013" t="str">
        <f>IF(RAW_INPUT!A1014="","",RAW_INPUT!F1014)</f>
        <v/>
      </c>
    </row>
    <row r="1014" spans="1:3" x14ac:dyDescent="0.25">
      <c r="A1014" t="str">
        <f>IF(RAW_INPUT!A1015="","",RAW_INPUT!A1015)</f>
        <v/>
      </c>
      <c r="B1014" t="str">
        <f>IF(RAW_INPUT!A1015="","",RAW_INPUT!E1015)</f>
        <v/>
      </c>
      <c r="C1014" t="str">
        <f>IF(RAW_INPUT!A1015="","",RAW_INPUT!F1015)</f>
        <v/>
      </c>
    </row>
    <row r="1015" spans="1:3" x14ac:dyDescent="0.25">
      <c r="A1015" t="str">
        <f>IF(RAW_INPUT!A1016="","",RAW_INPUT!A1016)</f>
        <v/>
      </c>
      <c r="B1015" t="str">
        <f>IF(RAW_INPUT!A1016="","",RAW_INPUT!E1016)</f>
        <v/>
      </c>
      <c r="C1015" t="str">
        <f>IF(RAW_INPUT!A1016="","",RAW_INPUT!F1016)</f>
        <v/>
      </c>
    </row>
    <row r="1016" spans="1:3" x14ac:dyDescent="0.25">
      <c r="A1016" t="str">
        <f>IF(RAW_INPUT!A1017="","",RAW_INPUT!A1017)</f>
        <v/>
      </c>
      <c r="B1016" t="str">
        <f>IF(RAW_INPUT!A1017="","",RAW_INPUT!E1017)</f>
        <v/>
      </c>
      <c r="C1016" t="str">
        <f>IF(RAW_INPUT!A1017="","",RAW_INPUT!F1017)</f>
        <v/>
      </c>
    </row>
    <row r="1017" spans="1:3" x14ac:dyDescent="0.25">
      <c r="A1017" t="str">
        <f>IF(RAW_INPUT!A1018="","",RAW_INPUT!A1018)</f>
        <v/>
      </c>
      <c r="B1017" t="str">
        <f>IF(RAW_INPUT!A1018="","",RAW_INPUT!E1018)</f>
        <v/>
      </c>
      <c r="C1017" t="str">
        <f>IF(RAW_INPUT!A1018="","",RAW_INPUT!F1018)</f>
        <v/>
      </c>
    </row>
    <row r="1018" spans="1:3" x14ac:dyDescent="0.25">
      <c r="A1018" t="str">
        <f>IF(RAW_INPUT!A1019="","",RAW_INPUT!A1019)</f>
        <v/>
      </c>
      <c r="B1018" t="str">
        <f>IF(RAW_INPUT!A1019="","",RAW_INPUT!E1019)</f>
        <v/>
      </c>
      <c r="C1018" t="str">
        <f>IF(RAW_INPUT!A1019="","",RAW_INPUT!F1019)</f>
        <v/>
      </c>
    </row>
    <row r="1019" spans="1:3" x14ac:dyDescent="0.25">
      <c r="A1019" t="str">
        <f>IF(RAW_INPUT!A1020="","",RAW_INPUT!A1020)</f>
        <v/>
      </c>
      <c r="B1019" t="str">
        <f>IF(RAW_INPUT!A1020="","",RAW_INPUT!E1020)</f>
        <v/>
      </c>
      <c r="C1019" t="str">
        <f>IF(RAW_INPUT!A1020="","",RAW_INPUT!F1020)</f>
        <v/>
      </c>
    </row>
    <row r="1020" spans="1:3" x14ac:dyDescent="0.25">
      <c r="A1020" t="str">
        <f>IF(RAW_INPUT!A1021="","",RAW_INPUT!A1021)</f>
        <v/>
      </c>
      <c r="B1020" t="str">
        <f>IF(RAW_INPUT!A1021="","",RAW_INPUT!E1021)</f>
        <v/>
      </c>
      <c r="C1020" t="str">
        <f>IF(RAW_INPUT!A1021="","",RAW_INPUT!F1021)</f>
        <v/>
      </c>
    </row>
    <row r="1021" spans="1:3" x14ac:dyDescent="0.25">
      <c r="A1021" t="str">
        <f>IF(RAW_INPUT!A1022="","",RAW_INPUT!A1022)</f>
        <v/>
      </c>
      <c r="B1021" t="str">
        <f>IF(RAW_INPUT!A1022="","",RAW_INPUT!E1022)</f>
        <v/>
      </c>
      <c r="C1021" t="str">
        <f>IF(RAW_INPUT!A1022="","",RAW_INPUT!F1022)</f>
        <v/>
      </c>
    </row>
    <row r="1022" spans="1:3" x14ac:dyDescent="0.25">
      <c r="A1022" t="str">
        <f>IF(RAW_INPUT!A1023="","",RAW_INPUT!A1023)</f>
        <v/>
      </c>
      <c r="B1022" t="str">
        <f>IF(RAW_INPUT!A1023="","",RAW_INPUT!E1023)</f>
        <v/>
      </c>
      <c r="C1022" t="str">
        <f>IF(RAW_INPUT!A1023="","",RAW_INPUT!F1023)</f>
        <v/>
      </c>
    </row>
    <row r="1023" spans="1:3" x14ac:dyDescent="0.25">
      <c r="A1023" t="str">
        <f>IF(RAW_INPUT!A1024="","",RAW_INPUT!A1024)</f>
        <v/>
      </c>
      <c r="B1023" t="str">
        <f>IF(RAW_INPUT!A1024="","",RAW_INPUT!E1024)</f>
        <v/>
      </c>
      <c r="C1023" t="str">
        <f>IF(RAW_INPUT!A1024="","",RAW_INPUT!F1024)</f>
        <v/>
      </c>
    </row>
    <row r="1024" spans="1:3" x14ac:dyDescent="0.25">
      <c r="A1024" t="str">
        <f>IF(RAW_INPUT!A1025="","",RAW_INPUT!A1025)</f>
        <v/>
      </c>
      <c r="B1024" t="str">
        <f>IF(RAW_INPUT!A1025="","",RAW_INPUT!E1025)</f>
        <v/>
      </c>
      <c r="C1024" t="str">
        <f>IF(RAW_INPUT!A1025="","",RAW_INPUT!F1025)</f>
        <v/>
      </c>
    </row>
    <row r="1025" spans="1:3" x14ac:dyDescent="0.25">
      <c r="A1025" t="str">
        <f>IF(RAW_INPUT!A1026="","",RAW_INPUT!A1026)</f>
        <v/>
      </c>
      <c r="B1025" t="str">
        <f>IF(RAW_INPUT!A1026="","",RAW_INPUT!E1026)</f>
        <v/>
      </c>
      <c r="C1025" t="str">
        <f>IF(RAW_INPUT!A1026="","",RAW_INPUT!F1026)</f>
        <v/>
      </c>
    </row>
    <row r="1026" spans="1:3" x14ac:dyDescent="0.25">
      <c r="A1026" t="str">
        <f>IF(RAW_INPUT!A1027="","",RAW_INPUT!A1027)</f>
        <v/>
      </c>
      <c r="B1026" t="str">
        <f>IF(RAW_INPUT!A1027="","",RAW_INPUT!E1027)</f>
        <v/>
      </c>
      <c r="C1026" t="str">
        <f>IF(RAW_INPUT!A1027="","",RAW_INPUT!F1027)</f>
        <v/>
      </c>
    </row>
    <row r="1027" spans="1:3" x14ac:dyDescent="0.25">
      <c r="A1027" t="str">
        <f>IF(RAW_INPUT!A1028="","",RAW_INPUT!A1028)</f>
        <v/>
      </c>
      <c r="B1027" t="str">
        <f>IF(RAW_INPUT!A1028="","",RAW_INPUT!E1028)</f>
        <v/>
      </c>
      <c r="C1027" t="str">
        <f>IF(RAW_INPUT!A1028="","",RAW_INPUT!F1028)</f>
        <v/>
      </c>
    </row>
    <row r="1028" spans="1:3" x14ac:dyDescent="0.25">
      <c r="A1028" t="str">
        <f>IF(RAW_INPUT!A1029="","",RAW_INPUT!A1029)</f>
        <v/>
      </c>
      <c r="B1028" t="str">
        <f>IF(RAW_INPUT!A1029="","",RAW_INPUT!E1029)</f>
        <v/>
      </c>
      <c r="C1028" t="str">
        <f>IF(RAW_INPUT!A1029="","",RAW_INPUT!F1029)</f>
        <v/>
      </c>
    </row>
    <row r="1029" spans="1:3" x14ac:dyDescent="0.25">
      <c r="A1029" t="str">
        <f>IF(RAW_INPUT!A1030="","",RAW_INPUT!A1030)</f>
        <v/>
      </c>
      <c r="B1029" t="str">
        <f>IF(RAW_INPUT!A1030="","",RAW_INPUT!E1030)</f>
        <v/>
      </c>
      <c r="C1029" t="str">
        <f>IF(RAW_INPUT!A1030="","",RAW_INPUT!F1030)</f>
        <v/>
      </c>
    </row>
    <row r="1030" spans="1:3" x14ac:dyDescent="0.25">
      <c r="A1030" t="str">
        <f>IF(RAW_INPUT!A1031="","",RAW_INPUT!A1031)</f>
        <v/>
      </c>
      <c r="B1030" t="str">
        <f>IF(RAW_INPUT!A1031="","",RAW_INPUT!E1031)</f>
        <v/>
      </c>
      <c r="C1030" t="str">
        <f>IF(RAW_INPUT!A1031="","",RAW_INPUT!F1031)</f>
        <v/>
      </c>
    </row>
    <row r="1031" spans="1:3" x14ac:dyDescent="0.25">
      <c r="A1031" t="str">
        <f>IF(RAW_INPUT!A1032="","",RAW_INPUT!A1032)</f>
        <v/>
      </c>
      <c r="B1031" t="str">
        <f>IF(RAW_INPUT!A1032="","",RAW_INPUT!E1032)</f>
        <v/>
      </c>
      <c r="C1031" t="str">
        <f>IF(RAW_INPUT!A1032="","",RAW_INPUT!F1032)</f>
        <v/>
      </c>
    </row>
    <row r="1032" spans="1:3" x14ac:dyDescent="0.25">
      <c r="A1032" t="str">
        <f>IF(RAW_INPUT!A1033="","",RAW_INPUT!A1033)</f>
        <v/>
      </c>
      <c r="B1032" t="str">
        <f>IF(RAW_INPUT!A1033="","",RAW_INPUT!E1033)</f>
        <v/>
      </c>
      <c r="C1032" t="str">
        <f>IF(RAW_INPUT!A1033="","",RAW_INPUT!F1033)</f>
        <v/>
      </c>
    </row>
    <row r="1033" spans="1:3" x14ac:dyDescent="0.25">
      <c r="A1033" t="str">
        <f>IF(RAW_INPUT!A1034="","",RAW_INPUT!A1034)</f>
        <v/>
      </c>
      <c r="B1033" t="str">
        <f>IF(RAW_INPUT!A1034="","",RAW_INPUT!E1034)</f>
        <v/>
      </c>
      <c r="C1033" t="str">
        <f>IF(RAW_INPUT!A1034="","",RAW_INPUT!F1034)</f>
        <v/>
      </c>
    </row>
    <row r="1034" spans="1:3" x14ac:dyDescent="0.25">
      <c r="A1034" t="str">
        <f>IF(RAW_INPUT!A1035="","",RAW_INPUT!A1035)</f>
        <v/>
      </c>
      <c r="B1034" t="str">
        <f>IF(RAW_INPUT!A1035="","",RAW_INPUT!E1035)</f>
        <v/>
      </c>
      <c r="C1034" t="str">
        <f>IF(RAW_INPUT!A1035="","",RAW_INPUT!F1035)</f>
        <v/>
      </c>
    </row>
    <row r="1035" spans="1:3" x14ac:dyDescent="0.25">
      <c r="A1035" t="str">
        <f>IF(RAW_INPUT!A1036="","",RAW_INPUT!A1036)</f>
        <v/>
      </c>
      <c r="B1035" t="str">
        <f>IF(RAW_INPUT!A1036="","",RAW_INPUT!E1036)</f>
        <v/>
      </c>
      <c r="C1035" t="str">
        <f>IF(RAW_INPUT!A1036="","",RAW_INPUT!F1036)</f>
        <v/>
      </c>
    </row>
    <row r="1036" spans="1:3" x14ac:dyDescent="0.25">
      <c r="A1036" t="str">
        <f>IF(RAW_INPUT!A1037="","",RAW_INPUT!A1037)</f>
        <v/>
      </c>
      <c r="B1036" t="str">
        <f>IF(RAW_INPUT!A1037="","",RAW_INPUT!E1037)</f>
        <v/>
      </c>
      <c r="C1036" t="str">
        <f>IF(RAW_INPUT!A1037="","",RAW_INPUT!F1037)</f>
        <v/>
      </c>
    </row>
    <row r="1037" spans="1:3" x14ac:dyDescent="0.25">
      <c r="A1037" t="str">
        <f>IF(RAW_INPUT!A1038="","",RAW_INPUT!A1038)</f>
        <v/>
      </c>
      <c r="B1037" t="str">
        <f>IF(RAW_INPUT!A1038="","",RAW_INPUT!E1038)</f>
        <v/>
      </c>
      <c r="C1037" t="str">
        <f>IF(RAW_INPUT!A1038="","",RAW_INPUT!F1038)</f>
        <v/>
      </c>
    </row>
    <row r="1038" spans="1:3" x14ac:dyDescent="0.25">
      <c r="A1038" t="str">
        <f>IF(RAW_INPUT!A1039="","",RAW_INPUT!A1039)</f>
        <v/>
      </c>
      <c r="B1038" t="str">
        <f>IF(RAW_INPUT!A1039="","",RAW_INPUT!E1039)</f>
        <v/>
      </c>
      <c r="C1038" t="str">
        <f>IF(RAW_INPUT!A1039="","",RAW_INPUT!F1039)</f>
        <v/>
      </c>
    </row>
    <row r="1039" spans="1:3" x14ac:dyDescent="0.25">
      <c r="A1039" t="str">
        <f>IF(RAW_INPUT!A1040="","",RAW_INPUT!A1040)</f>
        <v/>
      </c>
      <c r="B1039" t="str">
        <f>IF(RAW_INPUT!A1040="","",RAW_INPUT!E1040)</f>
        <v/>
      </c>
      <c r="C1039" t="str">
        <f>IF(RAW_INPUT!A1040="","",RAW_INPUT!F1040)</f>
        <v/>
      </c>
    </row>
    <row r="1040" spans="1:3" x14ac:dyDescent="0.25">
      <c r="A1040" t="str">
        <f>IF(RAW_INPUT!A1041="","",RAW_INPUT!A1041)</f>
        <v/>
      </c>
      <c r="B1040" t="str">
        <f>IF(RAW_INPUT!A1041="","",RAW_INPUT!E1041)</f>
        <v/>
      </c>
      <c r="C1040" t="str">
        <f>IF(RAW_INPUT!A1041="","",RAW_INPUT!F1041)</f>
        <v/>
      </c>
    </row>
    <row r="1041" spans="1:3" x14ac:dyDescent="0.25">
      <c r="A1041" t="str">
        <f>IF(RAW_INPUT!A1042="","",RAW_INPUT!A1042)</f>
        <v/>
      </c>
      <c r="B1041" t="str">
        <f>IF(RAW_INPUT!A1042="","",RAW_INPUT!E1042)</f>
        <v/>
      </c>
      <c r="C1041" t="str">
        <f>IF(RAW_INPUT!A1042="","",RAW_INPUT!F1042)</f>
        <v/>
      </c>
    </row>
    <row r="1042" spans="1:3" x14ac:dyDescent="0.25">
      <c r="A1042" t="str">
        <f>IF(RAW_INPUT!A1043="","",RAW_INPUT!A1043)</f>
        <v/>
      </c>
      <c r="B1042" t="str">
        <f>IF(RAW_INPUT!A1043="","",RAW_INPUT!E1043)</f>
        <v/>
      </c>
      <c r="C1042" t="str">
        <f>IF(RAW_INPUT!A1043="","",RAW_INPUT!F1043)</f>
        <v/>
      </c>
    </row>
    <row r="1043" spans="1:3" x14ac:dyDescent="0.25">
      <c r="A1043" t="str">
        <f>IF(RAW_INPUT!A1044="","",RAW_INPUT!A1044)</f>
        <v/>
      </c>
      <c r="B1043" t="str">
        <f>IF(RAW_INPUT!A1044="","",RAW_INPUT!E1044)</f>
        <v/>
      </c>
      <c r="C1043" t="str">
        <f>IF(RAW_INPUT!A1044="","",RAW_INPUT!F1044)</f>
        <v/>
      </c>
    </row>
    <row r="1044" spans="1:3" x14ac:dyDescent="0.25">
      <c r="A1044" t="str">
        <f>IF(RAW_INPUT!A1045="","",RAW_INPUT!A1045)</f>
        <v/>
      </c>
      <c r="B1044" t="str">
        <f>IF(RAW_INPUT!A1045="","",RAW_INPUT!E1045)</f>
        <v/>
      </c>
      <c r="C1044" t="str">
        <f>IF(RAW_INPUT!A1045="","",RAW_INPUT!F1045)</f>
        <v/>
      </c>
    </row>
    <row r="1045" spans="1:3" x14ac:dyDescent="0.25">
      <c r="A1045" t="str">
        <f>IF(RAW_INPUT!A1046="","",RAW_INPUT!A1046)</f>
        <v/>
      </c>
      <c r="B1045" t="str">
        <f>IF(RAW_INPUT!A1046="","",RAW_INPUT!E1046)</f>
        <v/>
      </c>
      <c r="C1045" t="str">
        <f>IF(RAW_INPUT!A1046="","",RAW_INPUT!F1046)</f>
        <v/>
      </c>
    </row>
    <row r="1046" spans="1:3" x14ac:dyDescent="0.25">
      <c r="A1046" t="str">
        <f>IF(RAW_INPUT!A1047="","",RAW_INPUT!A1047)</f>
        <v/>
      </c>
      <c r="B1046" t="str">
        <f>IF(RAW_INPUT!A1047="","",RAW_INPUT!E1047)</f>
        <v/>
      </c>
      <c r="C1046" t="str">
        <f>IF(RAW_INPUT!A1047="","",RAW_INPUT!F1047)</f>
        <v/>
      </c>
    </row>
    <row r="1047" spans="1:3" x14ac:dyDescent="0.25">
      <c r="A1047" t="str">
        <f>IF(RAW_INPUT!A1048="","",RAW_INPUT!A1048)</f>
        <v/>
      </c>
      <c r="B1047" t="str">
        <f>IF(RAW_INPUT!A1048="","",RAW_INPUT!E1048)</f>
        <v/>
      </c>
      <c r="C1047" t="str">
        <f>IF(RAW_INPUT!A1048="","",RAW_INPUT!F1048)</f>
        <v/>
      </c>
    </row>
    <row r="1048" spans="1:3" x14ac:dyDescent="0.25">
      <c r="A1048" t="str">
        <f>IF(RAW_INPUT!A1049="","",RAW_INPUT!A1049)</f>
        <v/>
      </c>
      <c r="B1048" t="str">
        <f>IF(RAW_INPUT!A1049="","",RAW_INPUT!E1049)</f>
        <v/>
      </c>
      <c r="C1048" t="str">
        <f>IF(RAW_INPUT!A1049="","",RAW_INPUT!F1049)</f>
        <v/>
      </c>
    </row>
    <row r="1049" spans="1:3" x14ac:dyDescent="0.25">
      <c r="A1049" t="str">
        <f>IF(RAW_INPUT!A1050="","",RAW_INPUT!A1050)</f>
        <v/>
      </c>
      <c r="B1049" t="str">
        <f>IF(RAW_INPUT!A1050="","",RAW_INPUT!E1050)</f>
        <v/>
      </c>
      <c r="C1049" t="str">
        <f>IF(RAW_INPUT!A1050="","",RAW_INPUT!F1050)</f>
        <v/>
      </c>
    </row>
    <row r="1050" spans="1:3" x14ac:dyDescent="0.25">
      <c r="A1050" t="str">
        <f>IF(RAW_INPUT!A1051="","",RAW_INPUT!A1051)</f>
        <v/>
      </c>
      <c r="B1050" t="str">
        <f>IF(RAW_INPUT!A1051="","",RAW_INPUT!E1051)</f>
        <v/>
      </c>
      <c r="C1050" t="str">
        <f>IF(RAW_INPUT!A1051="","",RAW_INPUT!F1051)</f>
        <v/>
      </c>
    </row>
    <row r="1051" spans="1:3" x14ac:dyDescent="0.25">
      <c r="A1051" t="str">
        <f>IF(RAW_INPUT!A1052="","",RAW_INPUT!A1052)</f>
        <v/>
      </c>
      <c r="B1051" t="str">
        <f>IF(RAW_INPUT!A1052="","",RAW_INPUT!E1052)</f>
        <v/>
      </c>
      <c r="C1051" t="str">
        <f>IF(RAW_INPUT!A1052="","",RAW_INPUT!F1052)</f>
        <v/>
      </c>
    </row>
    <row r="1052" spans="1:3" x14ac:dyDescent="0.25">
      <c r="A1052" t="str">
        <f>IF(RAW_INPUT!A1053="","",RAW_INPUT!A1053)</f>
        <v/>
      </c>
      <c r="B1052" t="str">
        <f>IF(RAW_INPUT!A1053="","",RAW_INPUT!E1053)</f>
        <v/>
      </c>
      <c r="C1052" t="str">
        <f>IF(RAW_INPUT!A1053="","",RAW_INPUT!F1053)</f>
        <v/>
      </c>
    </row>
    <row r="1053" spans="1:3" x14ac:dyDescent="0.25">
      <c r="A1053" t="str">
        <f>IF(RAW_INPUT!A1054="","",RAW_INPUT!A1054)</f>
        <v/>
      </c>
      <c r="B1053" t="str">
        <f>IF(RAW_INPUT!A1054="","",RAW_INPUT!E1054)</f>
        <v/>
      </c>
      <c r="C1053" t="str">
        <f>IF(RAW_INPUT!A1054="","",RAW_INPUT!F1054)</f>
        <v/>
      </c>
    </row>
    <row r="1054" spans="1:3" x14ac:dyDescent="0.25">
      <c r="A1054" t="str">
        <f>IF(RAW_INPUT!A1055="","",RAW_INPUT!A1055)</f>
        <v/>
      </c>
      <c r="B1054" t="str">
        <f>IF(RAW_INPUT!A1055="","",RAW_INPUT!E1055)</f>
        <v/>
      </c>
      <c r="C1054" t="str">
        <f>IF(RAW_INPUT!A1055="","",RAW_INPUT!F1055)</f>
        <v/>
      </c>
    </row>
    <row r="1055" spans="1:3" x14ac:dyDescent="0.25">
      <c r="A1055" t="str">
        <f>IF(RAW_INPUT!A1056="","",RAW_INPUT!A1056)</f>
        <v/>
      </c>
      <c r="B1055" t="str">
        <f>IF(RAW_INPUT!A1056="","",RAW_INPUT!E1056)</f>
        <v/>
      </c>
      <c r="C1055" t="str">
        <f>IF(RAW_INPUT!A1056="","",RAW_INPUT!F1056)</f>
        <v/>
      </c>
    </row>
    <row r="1056" spans="1:3" x14ac:dyDescent="0.25">
      <c r="A1056" t="str">
        <f>IF(RAW_INPUT!A1057="","",RAW_INPUT!A1057)</f>
        <v/>
      </c>
      <c r="B1056" t="str">
        <f>IF(RAW_INPUT!A1057="","",RAW_INPUT!E1057)</f>
        <v/>
      </c>
      <c r="C1056" t="str">
        <f>IF(RAW_INPUT!A1057="","",RAW_INPUT!F1057)</f>
        <v/>
      </c>
    </row>
    <row r="1057" spans="1:3" x14ac:dyDescent="0.25">
      <c r="A1057" t="str">
        <f>IF(RAW_INPUT!A1058="","",RAW_INPUT!A1058)</f>
        <v/>
      </c>
      <c r="B1057" t="str">
        <f>IF(RAW_INPUT!A1058="","",RAW_INPUT!E1058)</f>
        <v/>
      </c>
      <c r="C1057" t="str">
        <f>IF(RAW_INPUT!A1058="","",RAW_INPUT!F1058)</f>
        <v/>
      </c>
    </row>
    <row r="1058" spans="1:3" x14ac:dyDescent="0.25">
      <c r="A1058" t="str">
        <f>IF(RAW_INPUT!A1059="","",RAW_INPUT!A1059)</f>
        <v/>
      </c>
      <c r="B1058" t="str">
        <f>IF(RAW_INPUT!A1059="","",RAW_INPUT!E1059)</f>
        <v/>
      </c>
      <c r="C1058" t="str">
        <f>IF(RAW_INPUT!A1059="","",RAW_INPUT!F1059)</f>
        <v/>
      </c>
    </row>
    <row r="1059" spans="1:3" x14ac:dyDescent="0.25">
      <c r="A1059" t="str">
        <f>IF(RAW_INPUT!A1060="","",RAW_INPUT!A1060)</f>
        <v/>
      </c>
      <c r="B1059" t="str">
        <f>IF(RAW_INPUT!A1060="","",RAW_INPUT!E1060)</f>
        <v/>
      </c>
      <c r="C1059" t="str">
        <f>IF(RAW_INPUT!A1060="","",RAW_INPUT!F1060)</f>
        <v/>
      </c>
    </row>
    <row r="1060" spans="1:3" x14ac:dyDescent="0.25">
      <c r="A1060" t="str">
        <f>IF(RAW_INPUT!A1061="","",RAW_INPUT!A1061)</f>
        <v/>
      </c>
      <c r="B1060" t="str">
        <f>IF(RAW_INPUT!A1061="","",RAW_INPUT!E1061)</f>
        <v/>
      </c>
      <c r="C1060" t="str">
        <f>IF(RAW_INPUT!A1061="","",RAW_INPUT!F1061)</f>
        <v/>
      </c>
    </row>
    <row r="1061" spans="1:3" x14ac:dyDescent="0.25">
      <c r="A1061" t="str">
        <f>IF(RAW_INPUT!A1062="","",RAW_INPUT!A1062)</f>
        <v/>
      </c>
      <c r="B1061" t="str">
        <f>IF(RAW_INPUT!A1062="","",RAW_INPUT!E1062)</f>
        <v/>
      </c>
      <c r="C1061" t="str">
        <f>IF(RAW_INPUT!A1062="","",RAW_INPUT!F1062)</f>
        <v/>
      </c>
    </row>
    <row r="1062" spans="1:3" x14ac:dyDescent="0.25">
      <c r="A1062" t="str">
        <f>IF(RAW_INPUT!A1063="","",RAW_INPUT!A1063)</f>
        <v/>
      </c>
      <c r="B1062" t="str">
        <f>IF(RAW_INPUT!A1063="","",RAW_INPUT!E1063)</f>
        <v/>
      </c>
      <c r="C1062" t="str">
        <f>IF(RAW_INPUT!A1063="","",RAW_INPUT!F1063)</f>
        <v/>
      </c>
    </row>
    <row r="1063" spans="1:3" x14ac:dyDescent="0.25">
      <c r="A1063" t="str">
        <f>IF(RAW_INPUT!A1064="","",RAW_INPUT!A1064)</f>
        <v/>
      </c>
      <c r="B1063" t="str">
        <f>IF(RAW_INPUT!A1064="","",RAW_INPUT!E1064)</f>
        <v/>
      </c>
      <c r="C1063" t="str">
        <f>IF(RAW_INPUT!A1064="","",RAW_INPUT!F1064)</f>
        <v/>
      </c>
    </row>
    <row r="1064" spans="1:3" x14ac:dyDescent="0.25">
      <c r="A1064" t="str">
        <f>IF(RAW_INPUT!A1065="","",RAW_INPUT!A1065)</f>
        <v/>
      </c>
      <c r="B1064" t="str">
        <f>IF(RAW_INPUT!A1065="","",RAW_INPUT!E1065)</f>
        <v/>
      </c>
      <c r="C1064" t="str">
        <f>IF(RAW_INPUT!A1065="","",RAW_INPUT!F1065)</f>
        <v/>
      </c>
    </row>
    <row r="1065" spans="1:3" x14ac:dyDescent="0.25">
      <c r="A1065" t="str">
        <f>IF(RAW_INPUT!A1066="","",RAW_INPUT!A1066)</f>
        <v/>
      </c>
      <c r="B1065" t="str">
        <f>IF(RAW_INPUT!A1066="","",RAW_INPUT!E1066)</f>
        <v/>
      </c>
      <c r="C1065" t="str">
        <f>IF(RAW_INPUT!A1066="","",RAW_INPUT!F1066)</f>
        <v/>
      </c>
    </row>
    <row r="1066" spans="1:3" x14ac:dyDescent="0.25">
      <c r="A1066" t="str">
        <f>IF(RAW_INPUT!A1067="","",RAW_INPUT!A1067)</f>
        <v/>
      </c>
      <c r="B1066" t="str">
        <f>IF(RAW_INPUT!A1067="","",RAW_INPUT!E1067)</f>
        <v/>
      </c>
      <c r="C1066" t="str">
        <f>IF(RAW_INPUT!A1067="","",RAW_INPUT!F1067)</f>
        <v/>
      </c>
    </row>
    <row r="1067" spans="1:3" x14ac:dyDescent="0.25">
      <c r="A1067" t="str">
        <f>IF(RAW_INPUT!A1068="","",RAW_INPUT!A1068)</f>
        <v/>
      </c>
      <c r="B1067" t="str">
        <f>IF(RAW_INPUT!A1068="","",RAW_INPUT!E1068)</f>
        <v/>
      </c>
      <c r="C1067" t="str">
        <f>IF(RAW_INPUT!A1068="","",RAW_INPUT!F1068)</f>
        <v/>
      </c>
    </row>
    <row r="1068" spans="1:3" x14ac:dyDescent="0.25">
      <c r="A1068" t="str">
        <f>IF(RAW_INPUT!A1069="","",RAW_INPUT!A1069)</f>
        <v/>
      </c>
      <c r="B1068" t="str">
        <f>IF(RAW_INPUT!A1069="","",RAW_INPUT!E1069)</f>
        <v/>
      </c>
      <c r="C1068" t="str">
        <f>IF(RAW_INPUT!A1069="","",RAW_INPUT!F1069)</f>
        <v/>
      </c>
    </row>
    <row r="1069" spans="1:3" x14ac:dyDescent="0.25">
      <c r="A1069" t="str">
        <f>IF(RAW_INPUT!A1070="","",RAW_INPUT!A1070)</f>
        <v/>
      </c>
      <c r="B1069" t="str">
        <f>IF(RAW_INPUT!A1070="","",RAW_INPUT!E1070)</f>
        <v/>
      </c>
      <c r="C1069" t="str">
        <f>IF(RAW_INPUT!A1070="","",RAW_INPUT!F1070)</f>
        <v/>
      </c>
    </row>
    <row r="1070" spans="1:3" x14ac:dyDescent="0.25">
      <c r="A1070" t="str">
        <f>IF(RAW_INPUT!A1071="","",RAW_INPUT!A1071)</f>
        <v/>
      </c>
      <c r="B1070" t="str">
        <f>IF(RAW_INPUT!A1071="","",RAW_INPUT!E1071)</f>
        <v/>
      </c>
      <c r="C1070" t="str">
        <f>IF(RAW_INPUT!A1071="","",RAW_INPUT!F1071)</f>
        <v/>
      </c>
    </row>
    <row r="1071" spans="1:3" x14ac:dyDescent="0.25">
      <c r="A1071" t="str">
        <f>IF(RAW_INPUT!A1072="","",RAW_INPUT!A1072)</f>
        <v/>
      </c>
      <c r="B1071" t="str">
        <f>IF(RAW_INPUT!A1072="","",RAW_INPUT!E1072)</f>
        <v/>
      </c>
      <c r="C1071" t="str">
        <f>IF(RAW_INPUT!A1072="","",RAW_INPUT!F1072)</f>
        <v/>
      </c>
    </row>
    <row r="1072" spans="1:3" x14ac:dyDescent="0.25">
      <c r="A1072" t="str">
        <f>IF(RAW_INPUT!A1073="","",RAW_INPUT!A1073)</f>
        <v/>
      </c>
      <c r="B1072" t="str">
        <f>IF(RAW_INPUT!A1073="","",RAW_INPUT!E1073)</f>
        <v/>
      </c>
      <c r="C1072" t="str">
        <f>IF(RAW_INPUT!A1073="","",RAW_INPUT!F1073)</f>
        <v/>
      </c>
    </row>
    <row r="1073" spans="1:3" x14ac:dyDescent="0.25">
      <c r="A1073" t="str">
        <f>IF(RAW_INPUT!A1074="","",RAW_INPUT!A1074)</f>
        <v/>
      </c>
      <c r="B1073" t="str">
        <f>IF(RAW_INPUT!A1074="","",RAW_INPUT!E1074)</f>
        <v/>
      </c>
      <c r="C1073" t="str">
        <f>IF(RAW_INPUT!A1074="","",RAW_INPUT!F1074)</f>
        <v/>
      </c>
    </row>
    <row r="1074" spans="1:3" x14ac:dyDescent="0.25">
      <c r="A1074" t="str">
        <f>IF(RAW_INPUT!A1075="","",RAW_INPUT!A1075)</f>
        <v/>
      </c>
      <c r="B1074" t="str">
        <f>IF(RAW_INPUT!A1075="","",RAW_INPUT!E1075)</f>
        <v/>
      </c>
      <c r="C1074" t="str">
        <f>IF(RAW_INPUT!A1075="","",RAW_INPUT!F1075)</f>
        <v/>
      </c>
    </row>
    <row r="1075" spans="1:3" x14ac:dyDescent="0.25">
      <c r="A1075" t="str">
        <f>IF(RAW_INPUT!A1076="","",RAW_INPUT!A1076)</f>
        <v/>
      </c>
      <c r="B1075" t="str">
        <f>IF(RAW_INPUT!A1076="","",RAW_INPUT!E1076)</f>
        <v/>
      </c>
      <c r="C1075" t="str">
        <f>IF(RAW_INPUT!A1076="","",RAW_INPUT!F1076)</f>
        <v/>
      </c>
    </row>
    <row r="1076" spans="1:3" x14ac:dyDescent="0.25">
      <c r="A1076" t="str">
        <f>IF(RAW_INPUT!A1077="","",RAW_INPUT!A1077)</f>
        <v/>
      </c>
      <c r="B1076" t="str">
        <f>IF(RAW_INPUT!A1077="","",RAW_INPUT!E1077)</f>
        <v/>
      </c>
      <c r="C1076" t="str">
        <f>IF(RAW_INPUT!A1077="","",RAW_INPUT!F1077)</f>
        <v/>
      </c>
    </row>
    <row r="1077" spans="1:3" x14ac:dyDescent="0.25">
      <c r="A1077" t="str">
        <f>IF(RAW_INPUT!A1078="","",RAW_INPUT!A1078)</f>
        <v/>
      </c>
      <c r="B1077" t="str">
        <f>IF(RAW_INPUT!A1078="","",RAW_INPUT!E1078)</f>
        <v/>
      </c>
      <c r="C1077" t="str">
        <f>IF(RAW_INPUT!A1078="","",RAW_INPUT!F1078)</f>
        <v/>
      </c>
    </row>
    <row r="1078" spans="1:3" x14ac:dyDescent="0.25">
      <c r="A1078" t="str">
        <f>IF(RAW_INPUT!A1079="","",RAW_INPUT!A1079)</f>
        <v/>
      </c>
      <c r="B1078" t="str">
        <f>IF(RAW_INPUT!A1079="","",RAW_INPUT!E1079)</f>
        <v/>
      </c>
      <c r="C1078" t="str">
        <f>IF(RAW_INPUT!A1079="","",RAW_INPUT!F1079)</f>
        <v/>
      </c>
    </row>
    <row r="1079" spans="1:3" x14ac:dyDescent="0.25">
      <c r="A1079" t="str">
        <f>IF(RAW_INPUT!A1080="","",RAW_INPUT!A1080)</f>
        <v/>
      </c>
      <c r="B1079" t="str">
        <f>IF(RAW_INPUT!A1080="","",RAW_INPUT!E1080)</f>
        <v/>
      </c>
      <c r="C1079" t="str">
        <f>IF(RAW_INPUT!A1080="","",RAW_INPUT!F1080)</f>
        <v/>
      </c>
    </row>
    <row r="1080" spans="1:3" x14ac:dyDescent="0.25">
      <c r="A1080" t="str">
        <f>IF(RAW_INPUT!A1081="","",RAW_INPUT!A1081)</f>
        <v/>
      </c>
      <c r="B1080" t="str">
        <f>IF(RAW_INPUT!A1081="","",RAW_INPUT!E1081)</f>
        <v/>
      </c>
      <c r="C1080" t="str">
        <f>IF(RAW_INPUT!A1081="","",RAW_INPUT!F1081)</f>
        <v/>
      </c>
    </row>
    <row r="1081" spans="1:3" x14ac:dyDescent="0.25">
      <c r="A1081" t="str">
        <f>IF(RAW_INPUT!A1082="","",RAW_INPUT!A1082)</f>
        <v/>
      </c>
      <c r="B1081" t="str">
        <f>IF(RAW_INPUT!A1082="","",RAW_INPUT!E1082)</f>
        <v/>
      </c>
      <c r="C1081" t="str">
        <f>IF(RAW_INPUT!A1082="","",RAW_INPUT!F1082)</f>
        <v/>
      </c>
    </row>
    <row r="1082" spans="1:3" x14ac:dyDescent="0.25">
      <c r="A1082" t="str">
        <f>IF(RAW_INPUT!A1083="","",RAW_INPUT!A1083)</f>
        <v/>
      </c>
      <c r="B1082" t="str">
        <f>IF(RAW_INPUT!A1083="","",RAW_INPUT!E1083)</f>
        <v/>
      </c>
      <c r="C1082" t="str">
        <f>IF(RAW_INPUT!A1083="","",RAW_INPUT!F1083)</f>
        <v/>
      </c>
    </row>
    <row r="1083" spans="1:3" x14ac:dyDescent="0.25">
      <c r="A1083" t="str">
        <f>IF(RAW_INPUT!A1084="","",RAW_INPUT!A1084)</f>
        <v/>
      </c>
      <c r="B1083" t="str">
        <f>IF(RAW_INPUT!A1084="","",RAW_INPUT!E1084)</f>
        <v/>
      </c>
      <c r="C1083" t="str">
        <f>IF(RAW_INPUT!A1084="","",RAW_INPUT!F1084)</f>
        <v/>
      </c>
    </row>
    <row r="1084" spans="1:3" x14ac:dyDescent="0.25">
      <c r="A1084" t="str">
        <f>IF(RAW_INPUT!A1085="","",RAW_INPUT!A1085)</f>
        <v/>
      </c>
      <c r="B1084" t="str">
        <f>IF(RAW_INPUT!A1085="","",RAW_INPUT!E1085)</f>
        <v/>
      </c>
      <c r="C1084" t="str">
        <f>IF(RAW_INPUT!A1085="","",RAW_INPUT!F1085)</f>
        <v/>
      </c>
    </row>
    <row r="1085" spans="1:3" x14ac:dyDescent="0.25">
      <c r="A1085" t="str">
        <f>IF(RAW_INPUT!A1086="","",RAW_INPUT!A1086)</f>
        <v/>
      </c>
      <c r="B1085" t="str">
        <f>IF(RAW_INPUT!A1086="","",RAW_INPUT!E1086)</f>
        <v/>
      </c>
      <c r="C1085" t="str">
        <f>IF(RAW_INPUT!A1086="","",RAW_INPUT!F1086)</f>
        <v/>
      </c>
    </row>
    <row r="1086" spans="1:3" x14ac:dyDescent="0.25">
      <c r="A1086" t="str">
        <f>IF(RAW_INPUT!A1087="","",RAW_INPUT!A1087)</f>
        <v/>
      </c>
      <c r="B1086" t="str">
        <f>IF(RAW_INPUT!A1087="","",RAW_INPUT!E1087)</f>
        <v/>
      </c>
      <c r="C1086" t="str">
        <f>IF(RAW_INPUT!A1087="","",RAW_INPUT!F1087)</f>
        <v/>
      </c>
    </row>
    <row r="1087" spans="1:3" x14ac:dyDescent="0.25">
      <c r="A1087" t="str">
        <f>IF(RAW_INPUT!A1088="","",RAW_INPUT!A1088)</f>
        <v/>
      </c>
      <c r="B1087" t="str">
        <f>IF(RAW_INPUT!A1088="","",RAW_INPUT!E1088)</f>
        <v/>
      </c>
      <c r="C1087" t="str">
        <f>IF(RAW_INPUT!A1088="","",RAW_INPUT!F1088)</f>
        <v/>
      </c>
    </row>
    <row r="1088" spans="1:3" x14ac:dyDescent="0.25">
      <c r="A1088" t="str">
        <f>IF(RAW_INPUT!A1089="","",RAW_INPUT!A1089)</f>
        <v/>
      </c>
      <c r="B1088" t="str">
        <f>IF(RAW_INPUT!A1089="","",RAW_INPUT!E1089)</f>
        <v/>
      </c>
      <c r="C1088" t="str">
        <f>IF(RAW_INPUT!A1089="","",RAW_INPUT!F1089)</f>
        <v/>
      </c>
    </row>
    <row r="1089" spans="1:3" x14ac:dyDescent="0.25">
      <c r="A1089" t="str">
        <f>IF(RAW_INPUT!A1090="","",RAW_INPUT!A1090)</f>
        <v/>
      </c>
      <c r="B1089" t="str">
        <f>IF(RAW_INPUT!A1090="","",RAW_INPUT!E1090)</f>
        <v/>
      </c>
      <c r="C1089" t="str">
        <f>IF(RAW_INPUT!A1090="","",RAW_INPUT!F1090)</f>
        <v/>
      </c>
    </row>
    <row r="1090" spans="1:3" x14ac:dyDescent="0.25">
      <c r="A1090" t="str">
        <f>IF(RAW_INPUT!A1091="","",RAW_INPUT!A1091)</f>
        <v/>
      </c>
      <c r="B1090" t="str">
        <f>IF(RAW_INPUT!A1091="","",RAW_INPUT!E1091)</f>
        <v/>
      </c>
      <c r="C1090" t="str">
        <f>IF(RAW_INPUT!A1091="","",RAW_INPUT!F1091)</f>
        <v/>
      </c>
    </row>
    <row r="1091" spans="1:3" x14ac:dyDescent="0.25">
      <c r="A1091" t="str">
        <f>IF(RAW_INPUT!A1092="","",RAW_INPUT!A1092)</f>
        <v/>
      </c>
      <c r="B1091" t="str">
        <f>IF(RAW_INPUT!A1092="","",RAW_INPUT!E1092)</f>
        <v/>
      </c>
      <c r="C1091" t="str">
        <f>IF(RAW_INPUT!A1092="","",RAW_INPUT!F1092)</f>
        <v/>
      </c>
    </row>
    <row r="1092" spans="1:3" x14ac:dyDescent="0.25">
      <c r="A1092" t="str">
        <f>IF(RAW_INPUT!A1093="","",RAW_INPUT!A1093)</f>
        <v/>
      </c>
      <c r="B1092" t="str">
        <f>IF(RAW_INPUT!A1093="","",RAW_INPUT!E1093)</f>
        <v/>
      </c>
      <c r="C1092" t="str">
        <f>IF(RAW_INPUT!A1093="","",RAW_INPUT!F1093)</f>
        <v/>
      </c>
    </row>
    <row r="1093" spans="1:3" x14ac:dyDescent="0.25">
      <c r="A1093" t="str">
        <f>IF(RAW_INPUT!A1094="","",RAW_INPUT!A1094)</f>
        <v/>
      </c>
      <c r="B1093" t="str">
        <f>IF(RAW_INPUT!A1094="","",RAW_INPUT!E1094)</f>
        <v/>
      </c>
      <c r="C1093" t="str">
        <f>IF(RAW_INPUT!A1094="","",RAW_INPUT!F1094)</f>
        <v/>
      </c>
    </row>
    <row r="1094" spans="1:3" x14ac:dyDescent="0.25">
      <c r="A1094" t="str">
        <f>IF(RAW_INPUT!A1095="","",RAW_INPUT!A1095)</f>
        <v/>
      </c>
      <c r="B1094" t="str">
        <f>IF(RAW_INPUT!A1095="","",RAW_INPUT!E1095)</f>
        <v/>
      </c>
      <c r="C1094" t="str">
        <f>IF(RAW_INPUT!A1095="","",RAW_INPUT!F1095)</f>
        <v/>
      </c>
    </row>
    <row r="1095" spans="1:3" x14ac:dyDescent="0.25">
      <c r="A1095" t="str">
        <f>IF(RAW_INPUT!A1096="","",RAW_INPUT!A1096)</f>
        <v/>
      </c>
      <c r="B1095" t="str">
        <f>IF(RAW_INPUT!A1096="","",RAW_INPUT!E1096)</f>
        <v/>
      </c>
      <c r="C1095" t="str">
        <f>IF(RAW_INPUT!A1096="","",RAW_INPUT!F1096)</f>
        <v/>
      </c>
    </row>
    <row r="1096" spans="1:3" x14ac:dyDescent="0.25">
      <c r="A1096" t="str">
        <f>IF(RAW_INPUT!A1097="","",RAW_INPUT!A1097)</f>
        <v/>
      </c>
      <c r="B1096" t="str">
        <f>IF(RAW_INPUT!A1097="","",RAW_INPUT!E1097)</f>
        <v/>
      </c>
      <c r="C1096" t="str">
        <f>IF(RAW_INPUT!A1097="","",RAW_INPUT!F1097)</f>
        <v/>
      </c>
    </row>
    <row r="1097" spans="1:3" x14ac:dyDescent="0.25">
      <c r="A1097" t="str">
        <f>IF(RAW_INPUT!A1098="","",RAW_INPUT!A1098)</f>
        <v/>
      </c>
      <c r="B1097" t="str">
        <f>IF(RAW_INPUT!A1098="","",RAW_INPUT!E1098)</f>
        <v/>
      </c>
      <c r="C1097" t="str">
        <f>IF(RAW_INPUT!A1098="","",RAW_INPUT!F1098)</f>
        <v/>
      </c>
    </row>
    <row r="1098" spans="1:3" x14ac:dyDescent="0.25">
      <c r="A1098" t="str">
        <f>IF(RAW_INPUT!A1099="","",RAW_INPUT!A1099)</f>
        <v/>
      </c>
      <c r="B1098" t="str">
        <f>IF(RAW_INPUT!A1099="","",RAW_INPUT!E1099)</f>
        <v/>
      </c>
      <c r="C1098" t="str">
        <f>IF(RAW_INPUT!A1099="","",RAW_INPUT!F1099)</f>
        <v/>
      </c>
    </row>
    <row r="1099" spans="1:3" x14ac:dyDescent="0.25">
      <c r="A1099" t="str">
        <f>IF(RAW_INPUT!A1100="","",RAW_INPUT!A1100)</f>
        <v/>
      </c>
      <c r="B1099" t="str">
        <f>IF(RAW_INPUT!A1100="","",RAW_INPUT!E1100)</f>
        <v/>
      </c>
      <c r="C1099" t="str">
        <f>IF(RAW_INPUT!A1100="","",RAW_INPUT!F1100)</f>
        <v/>
      </c>
    </row>
    <row r="1100" spans="1:3" x14ac:dyDescent="0.25">
      <c r="A1100" t="str">
        <f>IF(RAW_INPUT!A1101="","",RAW_INPUT!A1101)</f>
        <v/>
      </c>
      <c r="B1100" t="str">
        <f>IF(RAW_INPUT!A1101="","",RAW_INPUT!E1101)</f>
        <v/>
      </c>
      <c r="C1100" t="str">
        <f>IF(RAW_INPUT!A1101="","",RAW_INPUT!F1101)</f>
        <v/>
      </c>
    </row>
    <row r="1101" spans="1:3" x14ac:dyDescent="0.25">
      <c r="A1101" t="str">
        <f>IF(RAW_INPUT!A1102="","",RAW_INPUT!A1102)</f>
        <v/>
      </c>
      <c r="B1101" t="str">
        <f>IF(RAW_INPUT!A1102="","",RAW_INPUT!E1102)</f>
        <v/>
      </c>
      <c r="C1101" t="str">
        <f>IF(RAW_INPUT!A1102="","",RAW_INPUT!F1102)</f>
        <v/>
      </c>
    </row>
    <row r="1102" spans="1:3" x14ac:dyDescent="0.25">
      <c r="A1102" t="str">
        <f>IF(RAW_INPUT!A1103="","",RAW_INPUT!A1103)</f>
        <v/>
      </c>
      <c r="B1102" t="str">
        <f>IF(RAW_INPUT!A1103="","",RAW_INPUT!E1103)</f>
        <v/>
      </c>
      <c r="C1102" t="str">
        <f>IF(RAW_INPUT!A1103="","",RAW_INPUT!F1103)</f>
        <v/>
      </c>
    </row>
    <row r="1103" spans="1:3" x14ac:dyDescent="0.25">
      <c r="A1103" t="str">
        <f>IF(RAW_INPUT!A1104="","",RAW_INPUT!A1104)</f>
        <v/>
      </c>
      <c r="B1103" t="str">
        <f>IF(RAW_INPUT!A1104="","",RAW_INPUT!E1104)</f>
        <v/>
      </c>
      <c r="C1103" t="str">
        <f>IF(RAW_INPUT!A1104="","",RAW_INPUT!F1104)</f>
        <v/>
      </c>
    </row>
    <row r="1104" spans="1:3" x14ac:dyDescent="0.25">
      <c r="A1104" t="str">
        <f>IF(RAW_INPUT!A1105="","",RAW_INPUT!A1105)</f>
        <v/>
      </c>
      <c r="B1104" t="str">
        <f>IF(RAW_INPUT!A1105="","",RAW_INPUT!E1105)</f>
        <v/>
      </c>
      <c r="C1104" t="str">
        <f>IF(RAW_INPUT!A1105="","",RAW_INPUT!F1105)</f>
        <v/>
      </c>
    </row>
    <row r="1105" spans="1:3" x14ac:dyDescent="0.25">
      <c r="A1105" t="str">
        <f>IF(RAW_INPUT!A1106="","",RAW_INPUT!A1106)</f>
        <v/>
      </c>
      <c r="B1105" t="str">
        <f>IF(RAW_INPUT!A1106="","",RAW_INPUT!E1106)</f>
        <v/>
      </c>
      <c r="C1105" t="str">
        <f>IF(RAW_INPUT!A1106="","",RAW_INPUT!F1106)</f>
        <v/>
      </c>
    </row>
    <row r="1106" spans="1:3" x14ac:dyDescent="0.25">
      <c r="A1106" t="str">
        <f>IF(RAW_INPUT!A1107="","",RAW_INPUT!A1107)</f>
        <v/>
      </c>
      <c r="B1106" t="str">
        <f>IF(RAW_INPUT!A1107="","",RAW_INPUT!E1107)</f>
        <v/>
      </c>
      <c r="C1106" t="str">
        <f>IF(RAW_INPUT!A1107="","",RAW_INPUT!F1107)</f>
        <v/>
      </c>
    </row>
    <row r="1107" spans="1:3" x14ac:dyDescent="0.25">
      <c r="A1107" t="str">
        <f>IF(RAW_INPUT!A1108="","",RAW_INPUT!A1108)</f>
        <v/>
      </c>
      <c r="B1107" t="str">
        <f>IF(RAW_INPUT!A1108="","",RAW_INPUT!E1108)</f>
        <v/>
      </c>
      <c r="C1107" t="str">
        <f>IF(RAW_INPUT!A1108="","",RAW_INPUT!F1108)</f>
        <v/>
      </c>
    </row>
    <row r="1108" spans="1:3" x14ac:dyDescent="0.25">
      <c r="A1108" t="str">
        <f>IF(RAW_INPUT!A1109="","",RAW_INPUT!A1109)</f>
        <v/>
      </c>
      <c r="B1108" t="str">
        <f>IF(RAW_INPUT!A1109="","",RAW_INPUT!E1109)</f>
        <v/>
      </c>
      <c r="C1108" t="str">
        <f>IF(RAW_INPUT!A1109="","",RAW_INPUT!F1109)</f>
        <v/>
      </c>
    </row>
    <row r="1109" spans="1:3" x14ac:dyDescent="0.25">
      <c r="A1109" t="str">
        <f>IF(RAW_INPUT!A1110="","",RAW_INPUT!A1110)</f>
        <v/>
      </c>
      <c r="B1109" t="str">
        <f>IF(RAW_INPUT!A1110="","",RAW_INPUT!E1110)</f>
        <v/>
      </c>
      <c r="C1109" t="str">
        <f>IF(RAW_INPUT!A1110="","",RAW_INPUT!F1110)</f>
        <v/>
      </c>
    </row>
    <row r="1110" spans="1:3" x14ac:dyDescent="0.25">
      <c r="A1110" t="str">
        <f>IF(RAW_INPUT!A1111="","",RAW_INPUT!A1111)</f>
        <v/>
      </c>
      <c r="B1110" t="str">
        <f>IF(RAW_INPUT!A1111="","",RAW_INPUT!E1111)</f>
        <v/>
      </c>
      <c r="C1110" t="str">
        <f>IF(RAW_INPUT!A1111="","",RAW_INPUT!F1111)</f>
        <v/>
      </c>
    </row>
    <row r="1111" spans="1:3" x14ac:dyDescent="0.25">
      <c r="A1111" t="str">
        <f>IF(RAW_INPUT!A1112="","",RAW_INPUT!A1112)</f>
        <v/>
      </c>
      <c r="B1111" t="str">
        <f>IF(RAW_INPUT!A1112="","",RAW_INPUT!E1112)</f>
        <v/>
      </c>
      <c r="C1111" t="str">
        <f>IF(RAW_INPUT!A1112="","",RAW_INPUT!F1112)</f>
        <v/>
      </c>
    </row>
    <row r="1112" spans="1:3" x14ac:dyDescent="0.25">
      <c r="A1112" t="str">
        <f>IF(RAW_INPUT!A1113="","",RAW_INPUT!A1113)</f>
        <v/>
      </c>
      <c r="B1112" t="str">
        <f>IF(RAW_INPUT!A1113="","",RAW_INPUT!E1113)</f>
        <v/>
      </c>
      <c r="C1112" t="str">
        <f>IF(RAW_INPUT!A1113="","",RAW_INPUT!F1113)</f>
        <v/>
      </c>
    </row>
    <row r="1113" spans="1:3" x14ac:dyDescent="0.25">
      <c r="A1113" t="str">
        <f>IF(RAW_INPUT!A1114="","",RAW_INPUT!A1114)</f>
        <v/>
      </c>
      <c r="B1113" t="str">
        <f>IF(RAW_INPUT!A1114="","",RAW_INPUT!E1114)</f>
        <v/>
      </c>
      <c r="C1113" t="str">
        <f>IF(RAW_INPUT!A1114="","",RAW_INPUT!F1114)</f>
        <v/>
      </c>
    </row>
    <row r="1114" spans="1:3" x14ac:dyDescent="0.25">
      <c r="A1114" t="str">
        <f>IF(RAW_INPUT!A1115="","",RAW_INPUT!A1115)</f>
        <v/>
      </c>
      <c r="B1114" t="str">
        <f>IF(RAW_INPUT!A1115="","",RAW_INPUT!E1115)</f>
        <v/>
      </c>
      <c r="C1114" t="str">
        <f>IF(RAW_INPUT!A1115="","",RAW_INPUT!F1115)</f>
        <v/>
      </c>
    </row>
    <row r="1115" spans="1:3" x14ac:dyDescent="0.25">
      <c r="A1115" t="str">
        <f>IF(RAW_INPUT!A1116="","",RAW_INPUT!A1116)</f>
        <v/>
      </c>
      <c r="B1115" t="str">
        <f>IF(RAW_INPUT!A1116="","",RAW_INPUT!E1116)</f>
        <v/>
      </c>
      <c r="C1115" t="str">
        <f>IF(RAW_INPUT!A1116="","",RAW_INPUT!F1116)</f>
        <v/>
      </c>
    </row>
    <row r="1116" spans="1:3" x14ac:dyDescent="0.25">
      <c r="A1116" t="str">
        <f>IF(RAW_INPUT!A1117="","",RAW_INPUT!A1117)</f>
        <v/>
      </c>
      <c r="B1116" t="str">
        <f>IF(RAW_INPUT!A1117="","",RAW_INPUT!E1117)</f>
        <v/>
      </c>
      <c r="C1116" t="str">
        <f>IF(RAW_INPUT!A1117="","",RAW_INPUT!F1117)</f>
        <v/>
      </c>
    </row>
    <row r="1117" spans="1:3" x14ac:dyDescent="0.25">
      <c r="A1117" t="str">
        <f>IF(RAW_INPUT!A1118="","",RAW_INPUT!A1118)</f>
        <v/>
      </c>
      <c r="B1117" t="str">
        <f>IF(RAW_INPUT!A1118="","",RAW_INPUT!E1118)</f>
        <v/>
      </c>
      <c r="C1117" t="str">
        <f>IF(RAW_INPUT!A1118="","",RAW_INPUT!F1118)</f>
        <v/>
      </c>
    </row>
    <row r="1118" spans="1:3" x14ac:dyDescent="0.25">
      <c r="A1118" t="str">
        <f>IF(RAW_INPUT!A1119="","",RAW_INPUT!A1119)</f>
        <v/>
      </c>
      <c r="B1118" t="str">
        <f>IF(RAW_INPUT!A1119="","",RAW_INPUT!E1119)</f>
        <v/>
      </c>
      <c r="C1118" t="str">
        <f>IF(RAW_INPUT!A1119="","",RAW_INPUT!F1119)</f>
        <v/>
      </c>
    </row>
    <row r="1119" spans="1:3" x14ac:dyDescent="0.25">
      <c r="A1119" t="str">
        <f>IF(RAW_INPUT!A1120="","",RAW_INPUT!A1120)</f>
        <v/>
      </c>
      <c r="B1119" t="str">
        <f>IF(RAW_INPUT!A1120="","",RAW_INPUT!E1120)</f>
        <v/>
      </c>
      <c r="C1119" t="str">
        <f>IF(RAW_INPUT!A1120="","",RAW_INPUT!F1120)</f>
        <v/>
      </c>
    </row>
    <row r="1120" spans="1:3" x14ac:dyDescent="0.25">
      <c r="A1120" t="str">
        <f>IF(RAW_INPUT!A1121="","",RAW_INPUT!A1121)</f>
        <v/>
      </c>
      <c r="B1120" t="str">
        <f>IF(RAW_INPUT!A1121="","",RAW_INPUT!E1121)</f>
        <v/>
      </c>
      <c r="C1120" t="str">
        <f>IF(RAW_INPUT!A1121="","",RAW_INPUT!F1121)</f>
        <v/>
      </c>
    </row>
    <row r="1121" spans="1:3" x14ac:dyDescent="0.25">
      <c r="A1121" t="str">
        <f>IF(RAW_INPUT!A1122="","",RAW_INPUT!A1122)</f>
        <v/>
      </c>
      <c r="B1121" t="str">
        <f>IF(RAW_INPUT!A1122="","",RAW_INPUT!E1122)</f>
        <v/>
      </c>
      <c r="C1121" t="str">
        <f>IF(RAW_INPUT!A1122="","",RAW_INPUT!F1122)</f>
        <v/>
      </c>
    </row>
    <row r="1122" spans="1:3" x14ac:dyDescent="0.25">
      <c r="A1122" t="str">
        <f>IF(RAW_INPUT!A1123="","",RAW_INPUT!A1123)</f>
        <v/>
      </c>
      <c r="B1122" t="str">
        <f>IF(RAW_INPUT!A1123="","",RAW_INPUT!E1123)</f>
        <v/>
      </c>
      <c r="C1122" t="str">
        <f>IF(RAW_INPUT!A1123="","",RAW_INPUT!F1123)</f>
        <v/>
      </c>
    </row>
    <row r="1123" spans="1:3" x14ac:dyDescent="0.25">
      <c r="A1123" t="str">
        <f>IF(RAW_INPUT!A1124="","",RAW_INPUT!A1124)</f>
        <v/>
      </c>
      <c r="B1123" t="str">
        <f>IF(RAW_INPUT!A1124="","",RAW_INPUT!E1124)</f>
        <v/>
      </c>
      <c r="C1123" t="str">
        <f>IF(RAW_INPUT!A1124="","",RAW_INPUT!F1124)</f>
        <v/>
      </c>
    </row>
    <row r="1124" spans="1:3" x14ac:dyDescent="0.25">
      <c r="A1124" t="str">
        <f>IF(RAW_INPUT!A1125="","",RAW_INPUT!A1125)</f>
        <v/>
      </c>
      <c r="B1124" t="str">
        <f>IF(RAW_INPUT!A1125="","",RAW_INPUT!E1125)</f>
        <v/>
      </c>
      <c r="C1124" t="str">
        <f>IF(RAW_INPUT!A1125="","",RAW_INPUT!F1125)</f>
        <v/>
      </c>
    </row>
    <row r="1125" spans="1:3" x14ac:dyDescent="0.25">
      <c r="A1125" t="str">
        <f>IF(RAW_INPUT!A1126="","",RAW_INPUT!A1126)</f>
        <v/>
      </c>
      <c r="B1125" t="str">
        <f>IF(RAW_INPUT!A1126="","",RAW_INPUT!E1126)</f>
        <v/>
      </c>
      <c r="C1125" t="str">
        <f>IF(RAW_INPUT!A1126="","",RAW_INPUT!F1126)</f>
        <v/>
      </c>
    </row>
    <row r="1126" spans="1:3" x14ac:dyDescent="0.25">
      <c r="A1126" t="str">
        <f>IF(RAW_INPUT!A1127="","",RAW_INPUT!A1127)</f>
        <v/>
      </c>
      <c r="B1126" t="str">
        <f>IF(RAW_INPUT!A1127="","",RAW_INPUT!E1127)</f>
        <v/>
      </c>
      <c r="C1126" t="str">
        <f>IF(RAW_INPUT!A1127="","",RAW_INPUT!F1127)</f>
        <v/>
      </c>
    </row>
    <row r="1127" spans="1:3" x14ac:dyDescent="0.25">
      <c r="A1127" t="str">
        <f>IF(RAW_INPUT!A1128="","",RAW_INPUT!A1128)</f>
        <v/>
      </c>
      <c r="B1127" t="str">
        <f>IF(RAW_INPUT!A1128="","",RAW_INPUT!E1128)</f>
        <v/>
      </c>
      <c r="C1127" t="str">
        <f>IF(RAW_INPUT!A1128="","",RAW_INPUT!F1128)</f>
        <v/>
      </c>
    </row>
    <row r="1128" spans="1:3" x14ac:dyDescent="0.25">
      <c r="A1128" t="str">
        <f>IF(RAW_INPUT!A1129="","",RAW_INPUT!A1129)</f>
        <v/>
      </c>
      <c r="B1128" t="str">
        <f>IF(RAW_INPUT!A1129="","",RAW_INPUT!E1129)</f>
        <v/>
      </c>
      <c r="C1128" t="str">
        <f>IF(RAW_INPUT!A1129="","",RAW_INPUT!F1129)</f>
        <v/>
      </c>
    </row>
    <row r="1129" spans="1:3" x14ac:dyDescent="0.25">
      <c r="A1129" t="str">
        <f>IF(RAW_INPUT!A1130="","",RAW_INPUT!A1130)</f>
        <v/>
      </c>
      <c r="B1129" t="str">
        <f>IF(RAW_INPUT!A1130="","",RAW_INPUT!E1130)</f>
        <v/>
      </c>
      <c r="C1129" t="str">
        <f>IF(RAW_INPUT!A1130="","",RAW_INPUT!F1130)</f>
        <v/>
      </c>
    </row>
    <row r="1130" spans="1:3" x14ac:dyDescent="0.25">
      <c r="A1130" t="str">
        <f>IF(RAW_INPUT!A1131="","",RAW_INPUT!A1131)</f>
        <v/>
      </c>
      <c r="B1130" t="str">
        <f>IF(RAW_INPUT!A1131="","",RAW_INPUT!E1131)</f>
        <v/>
      </c>
      <c r="C1130" t="str">
        <f>IF(RAW_INPUT!A1131="","",RAW_INPUT!F1131)</f>
        <v/>
      </c>
    </row>
    <row r="1131" spans="1:3" x14ac:dyDescent="0.25">
      <c r="A1131" t="str">
        <f>IF(RAW_INPUT!A1132="","",RAW_INPUT!A1132)</f>
        <v/>
      </c>
      <c r="B1131" t="str">
        <f>IF(RAW_INPUT!A1132="","",RAW_INPUT!E1132)</f>
        <v/>
      </c>
      <c r="C1131" t="str">
        <f>IF(RAW_INPUT!A1132="","",RAW_INPUT!F1132)</f>
        <v/>
      </c>
    </row>
    <row r="1132" spans="1:3" x14ac:dyDescent="0.25">
      <c r="A1132" t="str">
        <f>IF(RAW_INPUT!A1133="","",RAW_INPUT!A1133)</f>
        <v/>
      </c>
      <c r="B1132" t="str">
        <f>IF(RAW_INPUT!A1133="","",RAW_INPUT!E1133)</f>
        <v/>
      </c>
      <c r="C1132" t="str">
        <f>IF(RAW_INPUT!A1133="","",RAW_INPUT!F1133)</f>
        <v/>
      </c>
    </row>
    <row r="1133" spans="1:3" x14ac:dyDescent="0.25">
      <c r="A1133" t="str">
        <f>IF(RAW_INPUT!A1134="","",RAW_INPUT!A1134)</f>
        <v/>
      </c>
      <c r="B1133" t="str">
        <f>IF(RAW_INPUT!A1134="","",RAW_INPUT!E1134)</f>
        <v/>
      </c>
      <c r="C1133" t="str">
        <f>IF(RAW_INPUT!A1134="","",RAW_INPUT!F1134)</f>
        <v/>
      </c>
    </row>
    <row r="1134" spans="1:3" x14ac:dyDescent="0.25">
      <c r="A1134" t="str">
        <f>IF(RAW_INPUT!A1135="","",RAW_INPUT!A1135)</f>
        <v/>
      </c>
      <c r="B1134" t="str">
        <f>IF(RAW_INPUT!A1135="","",RAW_INPUT!E1135)</f>
        <v/>
      </c>
      <c r="C1134" t="str">
        <f>IF(RAW_INPUT!A1135="","",RAW_INPUT!F1135)</f>
        <v/>
      </c>
    </row>
    <row r="1135" spans="1:3" x14ac:dyDescent="0.25">
      <c r="A1135" t="str">
        <f>IF(RAW_INPUT!A1136="","",RAW_INPUT!A1136)</f>
        <v/>
      </c>
      <c r="B1135" t="str">
        <f>IF(RAW_INPUT!A1136="","",RAW_INPUT!E1136)</f>
        <v/>
      </c>
      <c r="C1135" t="str">
        <f>IF(RAW_INPUT!A1136="","",RAW_INPUT!F1136)</f>
        <v/>
      </c>
    </row>
    <row r="1136" spans="1:3" x14ac:dyDescent="0.25">
      <c r="A1136" t="str">
        <f>IF(RAW_INPUT!A1137="","",RAW_INPUT!A1137)</f>
        <v/>
      </c>
      <c r="B1136" t="str">
        <f>IF(RAW_INPUT!A1137="","",RAW_INPUT!E1137)</f>
        <v/>
      </c>
      <c r="C1136" t="str">
        <f>IF(RAW_INPUT!A1137="","",RAW_INPUT!F1137)</f>
        <v/>
      </c>
    </row>
    <row r="1137" spans="1:3" x14ac:dyDescent="0.25">
      <c r="A1137" t="str">
        <f>IF(RAW_INPUT!A1138="","",RAW_INPUT!A1138)</f>
        <v/>
      </c>
      <c r="B1137" t="str">
        <f>IF(RAW_INPUT!A1138="","",RAW_INPUT!E1138)</f>
        <v/>
      </c>
      <c r="C1137" t="str">
        <f>IF(RAW_INPUT!A1138="","",RAW_INPUT!F1138)</f>
        <v/>
      </c>
    </row>
    <row r="1138" spans="1:3" x14ac:dyDescent="0.25">
      <c r="A1138" t="str">
        <f>IF(RAW_INPUT!A1139="","",RAW_INPUT!A1139)</f>
        <v/>
      </c>
      <c r="B1138" t="str">
        <f>IF(RAW_INPUT!A1139="","",RAW_INPUT!E1139)</f>
        <v/>
      </c>
      <c r="C1138" t="str">
        <f>IF(RAW_INPUT!A1139="","",RAW_INPUT!F1139)</f>
        <v/>
      </c>
    </row>
    <row r="1139" spans="1:3" x14ac:dyDescent="0.25">
      <c r="A1139" t="str">
        <f>IF(RAW_INPUT!A1140="","",RAW_INPUT!A1140)</f>
        <v/>
      </c>
      <c r="B1139" t="str">
        <f>IF(RAW_INPUT!A1140="","",RAW_INPUT!E1140)</f>
        <v/>
      </c>
      <c r="C1139" t="str">
        <f>IF(RAW_INPUT!A1140="","",RAW_INPUT!F1140)</f>
        <v/>
      </c>
    </row>
    <row r="1140" spans="1:3" x14ac:dyDescent="0.25">
      <c r="A1140" t="str">
        <f>IF(RAW_INPUT!A1141="","",RAW_INPUT!A1141)</f>
        <v/>
      </c>
      <c r="B1140" t="str">
        <f>IF(RAW_INPUT!A1141="","",RAW_INPUT!E1141)</f>
        <v/>
      </c>
      <c r="C1140" t="str">
        <f>IF(RAW_INPUT!A1141="","",RAW_INPUT!F1141)</f>
        <v/>
      </c>
    </row>
    <row r="1141" spans="1:3" x14ac:dyDescent="0.25">
      <c r="A1141" t="str">
        <f>IF(RAW_INPUT!A1142="","",RAW_INPUT!A1142)</f>
        <v/>
      </c>
      <c r="B1141" t="str">
        <f>IF(RAW_INPUT!A1142="","",RAW_INPUT!E1142)</f>
        <v/>
      </c>
      <c r="C1141" t="str">
        <f>IF(RAW_INPUT!A1142="","",RAW_INPUT!F1142)</f>
        <v/>
      </c>
    </row>
    <row r="1142" spans="1:3" x14ac:dyDescent="0.25">
      <c r="A1142" t="str">
        <f>IF(RAW_INPUT!A1143="","",RAW_INPUT!A1143)</f>
        <v/>
      </c>
      <c r="B1142" t="str">
        <f>IF(RAW_INPUT!A1143="","",RAW_INPUT!E1143)</f>
        <v/>
      </c>
      <c r="C1142" t="str">
        <f>IF(RAW_INPUT!A1143="","",RAW_INPUT!F1143)</f>
        <v/>
      </c>
    </row>
    <row r="1143" spans="1:3" x14ac:dyDescent="0.25">
      <c r="A1143" t="str">
        <f>IF(RAW_INPUT!A1144="","",RAW_INPUT!A1144)</f>
        <v/>
      </c>
      <c r="B1143" t="str">
        <f>IF(RAW_INPUT!A1144="","",RAW_INPUT!E1144)</f>
        <v/>
      </c>
      <c r="C1143" t="str">
        <f>IF(RAW_INPUT!A1144="","",RAW_INPUT!F1144)</f>
        <v/>
      </c>
    </row>
    <row r="1144" spans="1:3" x14ac:dyDescent="0.25">
      <c r="A1144" t="str">
        <f>IF(RAW_INPUT!A1145="","",RAW_INPUT!A1145)</f>
        <v/>
      </c>
      <c r="B1144" t="str">
        <f>IF(RAW_INPUT!A1145="","",RAW_INPUT!E1145)</f>
        <v/>
      </c>
      <c r="C1144" t="str">
        <f>IF(RAW_INPUT!A1145="","",RAW_INPUT!F1145)</f>
        <v/>
      </c>
    </row>
    <row r="1145" spans="1:3" x14ac:dyDescent="0.25">
      <c r="A1145" t="str">
        <f>IF(RAW_INPUT!A1146="","",RAW_INPUT!A1146)</f>
        <v/>
      </c>
      <c r="B1145" t="str">
        <f>IF(RAW_INPUT!A1146="","",RAW_INPUT!E1146)</f>
        <v/>
      </c>
      <c r="C1145" t="str">
        <f>IF(RAW_INPUT!A1146="","",RAW_INPUT!F1146)</f>
        <v/>
      </c>
    </row>
    <row r="1146" spans="1:3" x14ac:dyDescent="0.25">
      <c r="A1146" t="str">
        <f>IF(RAW_INPUT!A1147="","",RAW_INPUT!A1147)</f>
        <v/>
      </c>
      <c r="B1146" t="str">
        <f>IF(RAW_INPUT!A1147="","",RAW_INPUT!E1147)</f>
        <v/>
      </c>
      <c r="C1146" t="str">
        <f>IF(RAW_INPUT!A1147="","",RAW_INPUT!F1147)</f>
        <v/>
      </c>
    </row>
    <row r="1147" spans="1:3" x14ac:dyDescent="0.25">
      <c r="A1147" t="str">
        <f>IF(RAW_INPUT!A1148="","",RAW_INPUT!A1148)</f>
        <v/>
      </c>
      <c r="B1147" t="str">
        <f>IF(RAW_INPUT!A1148="","",RAW_INPUT!E1148)</f>
        <v/>
      </c>
      <c r="C1147" t="str">
        <f>IF(RAW_INPUT!A1148="","",RAW_INPUT!F1148)</f>
        <v/>
      </c>
    </row>
    <row r="1148" spans="1:3" x14ac:dyDescent="0.25">
      <c r="A1148" t="str">
        <f>IF(RAW_INPUT!A1149="","",RAW_INPUT!A1149)</f>
        <v/>
      </c>
      <c r="B1148" t="str">
        <f>IF(RAW_INPUT!A1149="","",RAW_INPUT!E1149)</f>
        <v/>
      </c>
      <c r="C1148" t="str">
        <f>IF(RAW_INPUT!A1149="","",RAW_INPUT!F1149)</f>
        <v/>
      </c>
    </row>
    <row r="1149" spans="1:3" x14ac:dyDescent="0.25">
      <c r="A1149" t="str">
        <f>IF(RAW_INPUT!A1150="","",RAW_INPUT!A1150)</f>
        <v/>
      </c>
      <c r="B1149" t="str">
        <f>IF(RAW_INPUT!A1150="","",RAW_INPUT!E1150)</f>
        <v/>
      </c>
      <c r="C1149" t="str">
        <f>IF(RAW_INPUT!A1150="","",RAW_INPUT!F1150)</f>
        <v/>
      </c>
    </row>
    <row r="1150" spans="1:3" x14ac:dyDescent="0.25">
      <c r="A1150" t="str">
        <f>IF(RAW_INPUT!A1151="","",RAW_INPUT!A1151)</f>
        <v/>
      </c>
      <c r="B1150" t="str">
        <f>IF(RAW_INPUT!A1151="","",RAW_INPUT!E1151)</f>
        <v/>
      </c>
      <c r="C1150" t="str">
        <f>IF(RAW_INPUT!A1151="","",RAW_INPUT!F1151)</f>
        <v/>
      </c>
    </row>
    <row r="1151" spans="1:3" x14ac:dyDescent="0.25">
      <c r="A1151" t="str">
        <f>IF(RAW_INPUT!A1152="","",RAW_INPUT!A1152)</f>
        <v/>
      </c>
      <c r="B1151" t="str">
        <f>IF(RAW_INPUT!A1152="","",RAW_INPUT!E1152)</f>
        <v/>
      </c>
      <c r="C1151" t="str">
        <f>IF(RAW_INPUT!A1152="","",RAW_INPUT!F1152)</f>
        <v/>
      </c>
    </row>
    <row r="1152" spans="1:3" x14ac:dyDescent="0.25">
      <c r="A1152" t="str">
        <f>IF(RAW_INPUT!A1153="","",RAW_INPUT!A1153)</f>
        <v/>
      </c>
      <c r="B1152" t="str">
        <f>IF(RAW_INPUT!A1153="","",RAW_INPUT!E1153)</f>
        <v/>
      </c>
      <c r="C1152" t="str">
        <f>IF(RAW_INPUT!A1153="","",RAW_INPUT!F1153)</f>
        <v/>
      </c>
    </row>
    <row r="1153" spans="1:3" x14ac:dyDescent="0.25">
      <c r="A1153" t="str">
        <f>IF(RAW_INPUT!A1154="","",RAW_INPUT!A1154)</f>
        <v/>
      </c>
      <c r="B1153" t="str">
        <f>IF(RAW_INPUT!A1154="","",RAW_INPUT!E1154)</f>
        <v/>
      </c>
      <c r="C1153" t="str">
        <f>IF(RAW_INPUT!A1154="","",RAW_INPUT!F1154)</f>
        <v/>
      </c>
    </row>
    <row r="1154" spans="1:3" x14ac:dyDescent="0.25">
      <c r="A1154" t="str">
        <f>IF(RAW_INPUT!A1155="","",RAW_INPUT!A1155)</f>
        <v/>
      </c>
      <c r="B1154" t="str">
        <f>IF(RAW_INPUT!A1155="","",RAW_INPUT!E1155)</f>
        <v/>
      </c>
      <c r="C1154" t="str">
        <f>IF(RAW_INPUT!A1155="","",RAW_INPUT!F1155)</f>
        <v/>
      </c>
    </row>
    <row r="1155" spans="1:3" x14ac:dyDescent="0.25">
      <c r="A1155" t="str">
        <f>IF(RAW_INPUT!A1156="","",RAW_INPUT!A1156)</f>
        <v/>
      </c>
      <c r="B1155" t="str">
        <f>IF(RAW_INPUT!A1156="","",RAW_INPUT!E1156)</f>
        <v/>
      </c>
      <c r="C1155" t="str">
        <f>IF(RAW_INPUT!A1156="","",RAW_INPUT!F1156)</f>
        <v/>
      </c>
    </row>
    <row r="1156" spans="1:3" x14ac:dyDescent="0.25">
      <c r="A1156" t="str">
        <f>IF(RAW_INPUT!A1157="","",RAW_INPUT!A1157)</f>
        <v/>
      </c>
      <c r="B1156" t="str">
        <f>IF(RAW_INPUT!A1157="","",RAW_INPUT!E1157)</f>
        <v/>
      </c>
      <c r="C1156" t="str">
        <f>IF(RAW_INPUT!A1157="","",RAW_INPUT!F1157)</f>
        <v/>
      </c>
    </row>
    <row r="1157" spans="1:3" x14ac:dyDescent="0.25">
      <c r="A1157" t="str">
        <f>IF(RAW_INPUT!A1158="","",RAW_INPUT!A1158)</f>
        <v/>
      </c>
      <c r="B1157" t="str">
        <f>IF(RAW_INPUT!A1158="","",RAW_INPUT!E1158)</f>
        <v/>
      </c>
      <c r="C1157" t="str">
        <f>IF(RAW_INPUT!A1158="","",RAW_INPUT!F1158)</f>
        <v/>
      </c>
    </row>
    <row r="1158" spans="1:3" x14ac:dyDescent="0.25">
      <c r="A1158" t="str">
        <f>IF(RAW_INPUT!A1159="","",RAW_INPUT!A1159)</f>
        <v/>
      </c>
      <c r="B1158" t="str">
        <f>IF(RAW_INPUT!A1159="","",RAW_INPUT!E1159)</f>
        <v/>
      </c>
      <c r="C1158" t="str">
        <f>IF(RAW_INPUT!A1159="","",RAW_INPUT!F1159)</f>
        <v/>
      </c>
    </row>
    <row r="1159" spans="1:3" x14ac:dyDescent="0.25">
      <c r="A1159" t="str">
        <f>IF(RAW_INPUT!A1160="","",RAW_INPUT!A1160)</f>
        <v/>
      </c>
      <c r="B1159" t="str">
        <f>IF(RAW_INPUT!A1160="","",RAW_INPUT!E1160)</f>
        <v/>
      </c>
      <c r="C1159" t="str">
        <f>IF(RAW_INPUT!A1160="","",RAW_INPUT!F1160)</f>
        <v/>
      </c>
    </row>
    <row r="1160" spans="1:3" x14ac:dyDescent="0.25">
      <c r="A1160" t="str">
        <f>IF(RAW_INPUT!A1161="","",RAW_INPUT!A1161)</f>
        <v/>
      </c>
      <c r="B1160" t="str">
        <f>IF(RAW_INPUT!A1161="","",RAW_INPUT!E1161)</f>
        <v/>
      </c>
      <c r="C1160" t="str">
        <f>IF(RAW_INPUT!A1161="","",RAW_INPUT!F1161)</f>
        <v/>
      </c>
    </row>
    <row r="1161" spans="1:3" x14ac:dyDescent="0.25">
      <c r="A1161" t="str">
        <f>IF(RAW_INPUT!A1162="","",RAW_INPUT!A1162)</f>
        <v/>
      </c>
      <c r="B1161" t="str">
        <f>IF(RAW_INPUT!A1162="","",RAW_INPUT!E1162)</f>
        <v/>
      </c>
      <c r="C1161" t="str">
        <f>IF(RAW_INPUT!A1162="","",RAW_INPUT!F1162)</f>
        <v/>
      </c>
    </row>
    <row r="1162" spans="1:3" x14ac:dyDescent="0.25">
      <c r="A1162" t="str">
        <f>IF(RAW_INPUT!A1163="","",RAW_INPUT!A1163)</f>
        <v/>
      </c>
      <c r="B1162" t="str">
        <f>IF(RAW_INPUT!A1163="","",RAW_INPUT!E1163)</f>
        <v/>
      </c>
      <c r="C1162" t="str">
        <f>IF(RAW_INPUT!A1163="","",RAW_INPUT!F1163)</f>
        <v/>
      </c>
    </row>
    <row r="1163" spans="1:3" x14ac:dyDescent="0.25">
      <c r="A1163" t="str">
        <f>IF(RAW_INPUT!A1164="","",RAW_INPUT!A1164)</f>
        <v/>
      </c>
      <c r="B1163" t="str">
        <f>IF(RAW_INPUT!A1164="","",RAW_INPUT!E1164)</f>
        <v/>
      </c>
      <c r="C1163" t="str">
        <f>IF(RAW_INPUT!A1164="","",RAW_INPUT!F1164)</f>
        <v/>
      </c>
    </row>
    <row r="1164" spans="1:3" x14ac:dyDescent="0.25">
      <c r="A1164" t="str">
        <f>IF(RAW_INPUT!A1165="","",RAW_INPUT!A1165)</f>
        <v/>
      </c>
      <c r="B1164" t="str">
        <f>IF(RAW_INPUT!A1165="","",RAW_INPUT!E1165)</f>
        <v/>
      </c>
      <c r="C1164" t="str">
        <f>IF(RAW_INPUT!A1165="","",RAW_INPUT!F1165)</f>
        <v/>
      </c>
    </row>
    <row r="1165" spans="1:3" x14ac:dyDescent="0.25">
      <c r="A1165" t="str">
        <f>IF(RAW_INPUT!A1166="","",RAW_INPUT!A1166)</f>
        <v/>
      </c>
      <c r="B1165" t="str">
        <f>IF(RAW_INPUT!A1166="","",RAW_INPUT!E1166)</f>
        <v/>
      </c>
      <c r="C1165" t="str">
        <f>IF(RAW_INPUT!A1166="","",RAW_INPUT!F1166)</f>
        <v/>
      </c>
    </row>
    <row r="1166" spans="1:3" x14ac:dyDescent="0.25">
      <c r="A1166" t="str">
        <f>IF(RAW_INPUT!A1167="","",RAW_INPUT!A1167)</f>
        <v/>
      </c>
      <c r="B1166" t="str">
        <f>IF(RAW_INPUT!A1167="","",RAW_INPUT!E1167)</f>
        <v/>
      </c>
      <c r="C1166" t="str">
        <f>IF(RAW_INPUT!A1167="","",RAW_INPUT!F1167)</f>
        <v/>
      </c>
    </row>
    <row r="1167" spans="1:3" x14ac:dyDescent="0.25">
      <c r="A1167" t="str">
        <f>IF(RAW_INPUT!A1168="","",RAW_INPUT!A1168)</f>
        <v/>
      </c>
      <c r="B1167" t="str">
        <f>IF(RAW_INPUT!A1168="","",RAW_INPUT!E1168)</f>
        <v/>
      </c>
      <c r="C1167" t="str">
        <f>IF(RAW_INPUT!A1168="","",RAW_INPUT!F1168)</f>
        <v/>
      </c>
    </row>
    <row r="1168" spans="1:3" x14ac:dyDescent="0.25">
      <c r="A1168" t="str">
        <f>IF(RAW_INPUT!A1169="","",RAW_INPUT!A1169)</f>
        <v/>
      </c>
      <c r="B1168" t="str">
        <f>IF(RAW_INPUT!A1169="","",RAW_INPUT!E1169)</f>
        <v/>
      </c>
      <c r="C1168" t="str">
        <f>IF(RAW_INPUT!A1169="","",RAW_INPUT!F1169)</f>
        <v/>
      </c>
    </row>
    <row r="1169" spans="1:3" x14ac:dyDescent="0.25">
      <c r="A1169" t="str">
        <f>IF(RAW_INPUT!A1170="","",RAW_INPUT!A1170)</f>
        <v/>
      </c>
      <c r="B1169" t="str">
        <f>IF(RAW_INPUT!A1170="","",RAW_INPUT!E1170)</f>
        <v/>
      </c>
      <c r="C1169" t="str">
        <f>IF(RAW_INPUT!A1170="","",RAW_INPUT!F1170)</f>
        <v/>
      </c>
    </row>
    <row r="1170" spans="1:3" x14ac:dyDescent="0.25">
      <c r="A1170" t="str">
        <f>IF(RAW_INPUT!A1171="","",RAW_INPUT!A1171)</f>
        <v/>
      </c>
      <c r="B1170" t="str">
        <f>IF(RAW_INPUT!A1171="","",RAW_INPUT!E1171)</f>
        <v/>
      </c>
      <c r="C1170" t="str">
        <f>IF(RAW_INPUT!A1171="","",RAW_INPUT!F1171)</f>
        <v/>
      </c>
    </row>
    <row r="1171" spans="1:3" x14ac:dyDescent="0.25">
      <c r="A1171" t="str">
        <f>IF(RAW_INPUT!A1172="","",RAW_INPUT!A1172)</f>
        <v/>
      </c>
      <c r="B1171" t="str">
        <f>IF(RAW_INPUT!A1172="","",RAW_INPUT!E1172)</f>
        <v/>
      </c>
      <c r="C1171" t="str">
        <f>IF(RAW_INPUT!A1172="","",RAW_INPUT!F1172)</f>
        <v/>
      </c>
    </row>
    <row r="1172" spans="1:3" x14ac:dyDescent="0.25">
      <c r="A1172" t="str">
        <f>IF(RAW_INPUT!A1173="","",RAW_INPUT!A1173)</f>
        <v/>
      </c>
      <c r="B1172" t="str">
        <f>IF(RAW_INPUT!A1173="","",RAW_INPUT!E1173)</f>
        <v/>
      </c>
      <c r="C1172" t="str">
        <f>IF(RAW_INPUT!A1173="","",RAW_INPUT!F1173)</f>
        <v/>
      </c>
    </row>
    <row r="1173" spans="1:3" x14ac:dyDescent="0.25">
      <c r="A1173" t="str">
        <f>IF(RAW_INPUT!A1174="","",RAW_INPUT!A1174)</f>
        <v/>
      </c>
      <c r="B1173" t="str">
        <f>IF(RAW_INPUT!A1174="","",RAW_INPUT!E1174)</f>
        <v/>
      </c>
      <c r="C1173" t="str">
        <f>IF(RAW_INPUT!A1174="","",RAW_INPUT!F1174)</f>
        <v/>
      </c>
    </row>
    <row r="1174" spans="1:3" x14ac:dyDescent="0.25">
      <c r="A1174" t="str">
        <f>IF(RAW_INPUT!A1175="","",RAW_INPUT!A1175)</f>
        <v/>
      </c>
      <c r="B1174" t="str">
        <f>IF(RAW_INPUT!A1175="","",RAW_INPUT!E1175)</f>
        <v/>
      </c>
      <c r="C1174" t="str">
        <f>IF(RAW_INPUT!A1175="","",RAW_INPUT!F1175)</f>
        <v/>
      </c>
    </row>
    <row r="1175" spans="1:3" x14ac:dyDescent="0.25">
      <c r="A1175" t="str">
        <f>IF(RAW_INPUT!A1176="","",RAW_INPUT!A1176)</f>
        <v/>
      </c>
      <c r="B1175" t="str">
        <f>IF(RAW_INPUT!A1176="","",RAW_INPUT!E1176)</f>
        <v/>
      </c>
      <c r="C1175" t="str">
        <f>IF(RAW_INPUT!A1176="","",RAW_INPUT!F1176)</f>
        <v/>
      </c>
    </row>
    <row r="1176" spans="1:3" x14ac:dyDescent="0.25">
      <c r="A1176" t="str">
        <f>IF(RAW_INPUT!A1177="","",RAW_INPUT!A1177)</f>
        <v/>
      </c>
      <c r="B1176" t="str">
        <f>IF(RAW_INPUT!A1177="","",RAW_INPUT!E1177)</f>
        <v/>
      </c>
      <c r="C1176" t="str">
        <f>IF(RAW_INPUT!A1177="","",RAW_INPUT!F1177)</f>
        <v/>
      </c>
    </row>
    <row r="1177" spans="1:3" x14ac:dyDescent="0.25">
      <c r="A1177" t="str">
        <f>IF(RAW_INPUT!A1178="","",RAW_INPUT!A1178)</f>
        <v/>
      </c>
      <c r="B1177" t="str">
        <f>IF(RAW_INPUT!A1178="","",RAW_INPUT!E1178)</f>
        <v/>
      </c>
      <c r="C1177" t="str">
        <f>IF(RAW_INPUT!A1178="","",RAW_INPUT!F1178)</f>
        <v/>
      </c>
    </row>
    <row r="1178" spans="1:3" x14ac:dyDescent="0.25">
      <c r="A1178" t="str">
        <f>IF(RAW_INPUT!A1179="","",RAW_INPUT!A1179)</f>
        <v/>
      </c>
      <c r="B1178" t="str">
        <f>IF(RAW_INPUT!A1179="","",RAW_INPUT!E1179)</f>
        <v/>
      </c>
      <c r="C1178" t="str">
        <f>IF(RAW_INPUT!A1179="","",RAW_INPUT!F1179)</f>
        <v/>
      </c>
    </row>
    <row r="1179" spans="1:3" x14ac:dyDescent="0.25">
      <c r="A1179" t="str">
        <f>IF(RAW_INPUT!A1180="","",RAW_INPUT!A1180)</f>
        <v/>
      </c>
      <c r="B1179" t="str">
        <f>IF(RAW_INPUT!A1180="","",RAW_INPUT!E1180)</f>
        <v/>
      </c>
      <c r="C1179" t="str">
        <f>IF(RAW_INPUT!A1180="","",RAW_INPUT!F1180)</f>
        <v/>
      </c>
    </row>
    <row r="1180" spans="1:3" x14ac:dyDescent="0.25">
      <c r="A1180" t="str">
        <f>IF(RAW_INPUT!A1181="","",RAW_INPUT!A1181)</f>
        <v/>
      </c>
      <c r="B1180" t="str">
        <f>IF(RAW_INPUT!A1181="","",RAW_INPUT!E1181)</f>
        <v/>
      </c>
      <c r="C1180" t="str">
        <f>IF(RAW_INPUT!A1181="","",RAW_INPUT!F1181)</f>
        <v/>
      </c>
    </row>
    <row r="1181" spans="1:3" x14ac:dyDescent="0.25">
      <c r="A1181" t="str">
        <f>IF(RAW_INPUT!A1182="","",RAW_INPUT!A1182)</f>
        <v/>
      </c>
      <c r="B1181" t="str">
        <f>IF(RAW_INPUT!A1182="","",RAW_INPUT!E1182)</f>
        <v/>
      </c>
      <c r="C1181" t="str">
        <f>IF(RAW_INPUT!A1182="","",RAW_INPUT!F1182)</f>
        <v/>
      </c>
    </row>
    <row r="1182" spans="1:3" x14ac:dyDescent="0.25">
      <c r="A1182" t="str">
        <f>IF(RAW_INPUT!A1183="","",RAW_INPUT!A1183)</f>
        <v/>
      </c>
      <c r="B1182" t="str">
        <f>IF(RAW_INPUT!A1183="","",RAW_INPUT!E1183)</f>
        <v/>
      </c>
      <c r="C1182" t="str">
        <f>IF(RAW_INPUT!A1183="","",RAW_INPUT!F1183)</f>
        <v/>
      </c>
    </row>
    <row r="1183" spans="1:3" x14ac:dyDescent="0.25">
      <c r="A1183" t="str">
        <f>IF(RAW_INPUT!A1184="","",RAW_INPUT!A1184)</f>
        <v/>
      </c>
      <c r="B1183" t="str">
        <f>IF(RAW_INPUT!A1184="","",RAW_INPUT!E1184)</f>
        <v/>
      </c>
      <c r="C1183" t="str">
        <f>IF(RAW_INPUT!A1184="","",RAW_INPUT!F1184)</f>
        <v/>
      </c>
    </row>
    <row r="1184" spans="1:3" x14ac:dyDescent="0.25">
      <c r="A1184" t="str">
        <f>IF(RAW_INPUT!A1185="","",RAW_INPUT!A1185)</f>
        <v/>
      </c>
      <c r="B1184" t="str">
        <f>IF(RAW_INPUT!A1185="","",RAW_INPUT!E1185)</f>
        <v/>
      </c>
      <c r="C1184" t="str">
        <f>IF(RAW_INPUT!A1185="","",RAW_INPUT!F1185)</f>
        <v/>
      </c>
    </row>
    <row r="1185" spans="1:3" x14ac:dyDescent="0.25">
      <c r="A1185" t="str">
        <f>IF(RAW_INPUT!A1186="","",RAW_INPUT!A1186)</f>
        <v/>
      </c>
      <c r="B1185" t="str">
        <f>IF(RAW_INPUT!A1186="","",RAW_INPUT!E1186)</f>
        <v/>
      </c>
      <c r="C1185" t="str">
        <f>IF(RAW_INPUT!A1186="","",RAW_INPUT!F1186)</f>
        <v/>
      </c>
    </row>
    <row r="1186" spans="1:3" x14ac:dyDescent="0.25">
      <c r="A1186" t="str">
        <f>IF(RAW_INPUT!A1187="","",RAW_INPUT!A1187)</f>
        <v/>
      </c>
      <c r="B1186" t="str">
        <f>IF(RAW_INPUT!A1187="","",RAW_INPUT!E1187)</f>
        <v/>
      </c>
      <c r="C1186" t="str">
        <f>IF(RAW_INPUT!A1187="","",RAW_INPUT!F1187)</f>
        <v/>
      </c>
    </row>
    <row r="1187" spans="1:3" x14ac:dyDescent="0.25">
      <c r="A1187" t="str">
        <f>IF(RAW_INPUT!A1188="","",RAW_INPUT!A1188)</f>
        <v/>
      </c>
      <c r="B1187" t="str">
        <f>IF(RAW_INPUT!A1188="","",RAW_INPUT!E1188)</f>
        <v/>
      </c>
      <c r="C1187" t="str">
        <f>IF(RAW_INPUT!A1188="","",RAW_INPUT!F1188)</f>
        <v/>
      </c>
    </row>
    <row r="1188" spans="1:3" x14ac:dyDescent="0.25">
      <c r="A1188" t="str">
        <f>IF(RAW_INPUT!A1189="","",RAW_INPUT!A1189)</f>
        <v/>
      </c>
      <c r="B1188" t="str">
        <f>IF(RAW_INPUT!A1189="","",RAW_INPUT!E1189)</f>
        <v/>
      </c>
      <c r="C1188" t="str">
        <f>IF(RAW_INPUT!A1189="","",RAW_INPUT!F1189)</f>
        <v/>
      </c>
    </row>
    <row r="1189" spans="1:3" x14ac:dyDescent="0.25">
      <c r="A1189" t="str">
        <f>IF(RAW_INPUT!A1190="","",RAW_INPUT!A1190)</f>
        <v/>
      </c>
      <c r="B1189" t="str">
        <f>IF(RAW_INPUT!A1190="","",RAW_INPUT!E1190)</f>
        <v/>
      </c>
      <c r="C1189" t="str">
        <f>IF(RAW_INPUT!A1190="","",RAW_INPUT!F1190)</f>
        <v/>
      </c>
    </row>
    <row r="1190" spans="1:3" x14ac:dyDescent="0.25">
      <c r="A1190" t="str">
        <f>IF(RAW_INPUT!A1191="","",RAW_INPUT!A1191)</f>
        <v/>
      </c>
      <c r="B1190" t="str">
        <f>IF(RAW_INPUT!A1191="","",RAW_INPUT!E1191)</f>
        <v/>
      </c>
      <c r="C1190" t="str">
        <f>IF(RAW_INPUT!A1191="","",RAW_INPUT!F1191)</f>
        <v/>
      </c>
    </row>
    <row r="1191" spans="1:3" x14ac:dyDescent="0.25">
      <c r="A1191" t="str">
        <f>IF(RAW_INPUT!A1192="","",RAW_INPUT!A1192)</f>
        <v/>
      </c>
      <c r="B1191" t="str">
        <f>IF(RAW_INPUT!A1192="","",RAW_INPUT!E1192)</f>
        <v/>
      </c>
      <c r="C1191" t="str">
        <f>IF(RAW_INPUT!A1192="","",RAW_INPUT!F1192)</f>
        <v/>
      </c>
    </row>
    <row r="1192" spans="1:3" x14ac:dyDescent="0.25">
      <c r="A1192" t="str">
        <f>IF(RAW_INPUT!A1193="","",RAW_INPUT!A1193)</f>
        <v/>
      </c>
      <c r="B1192" t="str">
        <f>IF(RAW_INPUT!A1193="","",RAW_INPUT!E1193)</f>
        <v/>
      </c>
      <c r="C1192" t="str">
        <f>IF(RAW_INPUT!A1193="","",RAW_INPUT!F1193)</f>
        <v/>
      </c>
    </row>
    <row r="1193" spans="1:3" x14ac:dyDescent="0.25">
      <c r="A1193" t="str">
        <f>IF(RAW_INPUT!A1194="","",RAW_INPUT!A1194)</f>
        <v/>
      </c>
      <c r="B1193" t="str">
        <f>IF(RAW_INPUT!A1194="","",RAW_INPUT!E1194)</f>
        <v/>
      </c>
      <c r="C1193" t="str">
        <f>IF(RAW_INPUT!A1194="","",RAW_INPUT!F1194)</f>
        <v/>
      </c>
    </row>
    <row r="1194" spans="1:3" x14ac:dyDescent="0.25">
      <c r="A1194" t="str">
        <f>IF(RAW_INPUT!A1195="","",RAW_INPUT!A1195)</f>
        <v/>
      </c>
      <c r="B1194" t="str">
        <f>IF(RAW_INPUT!A1195="","",RAW_INPUT!E1195)</f>
        <v/>
      </c>
      <c r="C1194" t="str">
        <f>IF(RAW_INPUT!A1195="","",RAW_INPUT!F1195)</f>
        <v/>
      </c>
    </row>
    <row r="1195" spans="1:3" x14ac:dyDescent="0.25">
      <c r="A1195" t="str">
        <f>IF(RAW_INPUT!A1196="","",RAW_INPUT!A1196)</f>
        <v/>
      </c>
      <c r="B1195" t="str">
        <f>IF(RAW_INPUT!A1196="","",RAW_INPUT!E1196)</f>
        <v/>
      </c>
      <c r="C1195" t="str">
        <f>IF(RAW_INPUT!A1196="","",RAW_INPUT!F1196)</f>
        <v/>
      </c>
    </row>
    <row r="1196" spans="1:3" x14ac:dyDescent="0.25">
      <c r="A1196" t="str">
        <f>IF(RAW_INPUT!A1197="","",RAW_INPUT!A1197)</f>
        <v/>
      </c>
      <c r="B1196" t="str">
        <f>IF(RAW_INPUT!A1197="","",RAW_INPUT!E1197)</f>
        <v/>
      </c>
      <c r="C1196" t="str">
        <f>IF(RAW_INPUT!A1197="","",RAW_INPUT!F1197)</f>
        <v/>
      </c>
    </row>
    <row r="1197" spans="1:3" x14ac:dyDescent="0.25">
      <c r="A1197" t="str">
        <f>IF(RAW_INPUT!A1198="","",RAW_INPUT!A1198)</f>
        <v/>
      </c>
      <c r="B1197" t="str">
        <f>IF(RAW_INPUT!A1198="","",RAW_INPUT!E1198)</f>
        <v/>
      </c>
      <c r="C1197" t="str">
        <f>IF(RAW_INPUT!A1198="","",RAW_INPUT!F1198)</f>
        <v/>
      </c>
    </row>
    <row r="1198" spans="1:3" x14ac:dyDescent="0.25">
      <c r="A1198" t="str">
        <f>IF(RAW_INPUT!A1199="","",RAW_INPUT!A1199)</f>
        <v/>
      </c>
      <c r="B1198" t="str">
        <f>IF(RAW_INPUT!A1199="","",RAW_INPUT!E1199)</f>
        <v/>
      </c>
      <c r="C1198" t="str">
        <f>IF(RAW_INPUT!A1199="","",RAW_INPUT!F1199)</f>
        <v/>
      </c>
    </row>
    <row r="1199" spans="1:3" x14ac:dyDescent="0.25">
      <c r="A1199" t="str">
        <f>IF(RAW_INPUT!A1200="","",RAW_INPUT!A1200)</f>
        <v/>
      </c>
      <c r="B1199" t="str">
        <f>IF(RAW_INPUT!A1200="","",RAW_INPUT!E1200)</f>
        <v/>
      </c>
      <c r="C1199" t="str">
        <f>IF(RAW_INPUT!A1200="","",RAW_INPUT!F1200)</f>
        <v/>
      </c>
    </row>
    <row r="1200" spans="1:3" x14ac:dyDescent="0.25">
      <c r="A1200" t="str">
        <f>IF(RAW_INPUT!A1201="","",RAW_INPUT!A1201)</f>
        <v/>
      </c>
      <c r="B1200" t="str">
        <f>IF(RAW_INPUT!A1201="","",RAW_INPUT!E1201)</f>
        <v/>
      </c>
      <c r="C1200" t="str">
        <f>IF(RAW_INPUT!A1201="","",RAW_INPUT!F1201)</f>
        <v/>
      </c>
    </row>
    <row r="1201" spans="1:3" x14ac:dyDescent="0.25">
      <c r="A1201" t="str">
        <f>IF(RAW_INPUT!A1202="","",RAW_INPUT!A1202)</f>
        <v/>
      </c>
      <c r="B1201" t="str">
        <f>IF(RAW_INPUT!A1202="","",RAW_INPUT!E1202)</f>
        <v/>
      </c>
      <c r="C1201" t="str">
        <f>IF(RAW_INPUT!A1202="","",RAW_INPUT!F1202)</f>
        <v/>
      </c>
    </row>
    <row r="1202" spans="1:3" x14ac:dyDescent="0.25">
      <c r="A1202" t="str">
        <f>IF(RAW_INPUT!A1203="","",RAW_INPUT!A1203)</f>
        <v/>
      </c>
      <c r="B1202" t="str">
        <f>IF(RAW_INPUT!A1203="","",RAW_INPUT!E1203)</f>
        <v/>
      </c>
      <c r="C1202" t="str">
        <f>IF(RAW_INPUT!A1203="","",RAW_INPUT!F1203)</f>
        <v/>
      </c>
    </row>
    <row r="1203" spans="1:3" x14ac:dyDescent="0.25">
      <c r="A1203" t="str">
        <f>IF(RAW_INPUT!A1204="","",RAW_INPUT!A1204)</f>
        <v/>
      </c>
      <c r="B1203" t="str">
        <f>IF(RAW_INPUT!A1204="","",RAW_INPUT!E1204)</f>
        <v/>
      </c>
      <c r="C1203" t="str">
        <f>IF(RAW_INPUT!A1204="","",RAW_INPUT!F1204)</f>
        <v/>
      </c>
    </row>
    <row r="1204" spans="1:3" x14ac:dyDescent="0.25">
      <c r="A1204" t="str">
        <f>IF(RAW_INPUT!A1205="","",RAW_INPUT!A1205)</f>
        <v/>
      </c>
      <c r="B1204" t="str">
        <f>IF(RAW_INPUT!A1205="","",RAW_INPUT!E1205)</f>
        <v/>
      </c>
      <c r="C1204" t="str">
        <f>IF(RAW_INPUT!A1205="","",RAW_INPUT!F1205)</f>
        <v/>
      </c>
    </row>
    <row r="1205" spans="1:3" x14ac:dyDescent="0.25">
      <c r="A1205" t="str">
        <f>IF(RAW_INPUT!A1206="","",RAW_INPUT!A1206)</f>
        <v/>
      </c>
      <c r="B1205" t="str">
        <f>IF(RAW_INPUT!A1206="","",RAW_INPUT!E1206)</f>
        <v/>
      </c>
      <c r="C1205" t="str">
        <f>IF(RAW_INPUT!A1206="","",RAW_INPUT!F1206)</f>
        <v/>
      </c>
    </row>
    <row r="1206" spans="1:3" x14ac:dyDescent="0.25">
      <c r="A1206" t="str">
        <f>IF(RAW_INPUT!A1207="","",RAW_INPUT!A1207)</f>
        <v/>
      </c>
      <c r="B1206" t="str">
        <f>IF(RAW_INPUT!A1207="","",RAW_INPUT!E1207)</f>
        <v/>
      </c>
      <c r="C1206" t="str">
        <f>IF(RAW_INPUT!A1207="","",RAW_INPUT!F1207)</f>
        <v/>
      </c>
    </row>
    <row r="1207" spans="1:3" x14ac:dyDescent="0.25">
      <c r="A1207" t="str">
        <f>IF(RAW_INPUT!A1208="","",RAW_INPUT!A1208)</f>
        <v/>
      </c>
      <c r="B1207" t="str">
        <f>IF(RAW_INPUT!A1208="","",RAW_INPUT!E1208)</f>
        <v/>
      </c>
      <c r="C1207" t="str">
        <f>IF(RAW_INPUT!A1208="","",RAW_INPUT!F1208)</f>
        <v/>
      </c>
    </row>
    <row r="1208" spans="1:3" x14ac:dyDescent="0.25">
      <c r="A1208" t="str">
        <f>IF(RAW_INPUT!A1209="","",RAW_INPUT!A1209)</f>
        <v/>
      </c>
      <c r="B1208" t="str">
        <f>IF(RAW_INPUT!A1209="","",RAW_INPUT!E1209)</f>
        <v/>
      </c>
      <c r="C1208" t="str">
        <f>IF(RAW_INPUT!A1209="","",RAW_INPUT!F1209)</f>
        <v/>
      </c>
    </row>
    <row r="1209" spans="1:3" x14ac:dyDescent="0.25">
      <c r="A1209" t="str">
        <f>IF(RAW_INPUT!A1210="","",RAW_INPUT!A1210)</f>
        <v/>
      </c>
      <c r="B1209" t="str">
        <f>IF(RAW_INPUT!A1210="","",RAW_INPUT!E1210)</f>
        <v/>
      </c>
      <c r="C1209" t="str">
        <f>IF(RAW_INPUT!A1210="","",RAW_INPUT!F1210)</f>
        <v/>
      </c>
    </row>
    <row r="1210" spans="1:3" x14ac:dyDescent="0.25">
      <c r="A1210" t="str">
        <f>IF(RAW_INPUT!A1211="","",RAW_INPUT!A1211)</f>
        <v/>
      </c>
      <c r="B1210" t="str">
        <f>IF(RAW_INPUT!A1211="","",RAW_INPUT!E1211)</f>
        <v/>
      </c>
      <c r="C1210" t="str">
        <f>IF(RAW_INPUT!A1211="","",RAW_INPUT!F1211)</f>
        <v/>
      </c>
    </row>
    <row r="1211" spans="1:3" x14ac:dyDescent="0.25">
      <c r="A1211" t="str">
        <f>IF(RAW_INPUT!A1212="","",RAW_INPUT!A1212)</f>
        <v/>
      </c>
      <c r="B1211" t="str">
        <f>IF(RAW_INPUT!A1212="","",RAW_INPUT!E1212)</f>
        <v/>
      </c>
      <c r="C1211" t="str">
        <f>IF(RAW_INPUT!A1212="","",RAW_INPUT!F1212)</f>
        <v/>
      </c>
    </row>
    <row r="1212" spans="1:3" x14ac:dyDescent="0.25">
      <c r="A1212" t="str">
        <f>IF(RAW_INPUT!A1213="","",RAW_INPUT!A1213)</f>
        <v/>
      </c>
      <c r="B1212" t="str">
        <f>IF(RAW_INPUT!A1213="","",RAW_INPUT!E1213)</f>
        <v/>
      </c>
      <c r="C1212" t="str">
        <f>IF(RAW_INPUT!A1213="","",RAW_INPUT!F1213)</f>
        <v/>
      </c>
    </row>
    <row r="1213" spans="1:3" x14ac:dyDescent="0.25">
      <c r="A1213" t="str">
        <f>IF(RAW_INPUT!A1214="","",RAW_INPUT!A1214)</f>
        <v/>
      </c>
      <c r="B1213" t="str">
        <f>IF(RAW_INPUT!A1214="","",RAW_INPUT!E1214)</f>
        <v/>
      </c>
      <c r="C1213" t="str">
        <f>IF(RAW_INPUT!A1214="","",RAW_INPUT!F1214)</f>
        <v/>
      </c>
    </row>
    <row r="1214" spans="1:3" x14ac:dyDescent="0.25">
      <c r="A1214" t="str">
        <f>IF(RAW_INPUT!A1215="","",RAW_INPUT!A1215)</f>
        <v/>
      </c>
      <c r="B1214" t="str">
        <f>IF(RAW_INPUT!A1215="","",RAW_INPUT!E1215)</f>
        <v/>
      </c>
      <c r="C1214" t="str">
        <f>IF(RAW_INPUT!A1215="","",RAW_INPUT!F1215)</f>
        <v/>
      </c>
    </row>
    <row r="1215" spans="1:3" x14ac:dyDescent="0.25">
      <c r="A1215" t="str">
        <f>IF(RAW_INPUT!A1216="","",RAW_INPUT!A1216)</f>
        <v/>
      </c>
      <c r="B1215" t="str">
        <f>IF(RAW_INPUT!A1216="","",RAW_INPUT!E1216)</f>
        <v/>
      </c>
      <c r="C1215" t="str">
        <f>IF(RAW_INPUT!A1216="","",RAW_INPUT!F1216)</f>
        <v/>
      </c>
    </row>
    <row r="1216" spans="1:3" x14ac:dyDescent="0.25">
      <c r="A1216" t="str">
        <f>IF(RAW_INPUT!A1217="","",RAW_INPUT!A1217)</f>
        <v/>
      </c>
      <c r="B1216" t="str">
        <f>IF(RAW_INPUT!A1217="","",RAW_INPUT!E1217)</f>
        <v/>
      </c>
      <c r="C1216" t="str">
        <f>IF(RAW_INPUT!A1217="","",RAW_INPUT!F1217)</f>
        <v/>
      </c>
    </row>
    <row r="1217" spans="1:3" x14ac:dyDescent="0.25">
      <c r="A1217" t="str">
        <f>IF(RAW_INPUT!A1218="","",RAW_INPUT!A1218)</f>
        <v/>
      </c>
      <c r="B1217" t="str">
        <f>IF(RAW_INPUT!A1218="","",RAW_INPUT!E1218)</f>
        <v/>
      </c>
      <c r="C1217" t="str">
        <f>IF(RAW_INPUT!A1218="","",RAW_INPUT!F1218)</f>
        <v/>
      </c>
    </row>
    <row r="1218" spans="1:3" x14ac:dyDescent="0.25">
      <c r="A1218" t="str">
        <f>IF(RAW_INPUT!A1219="","",RAW_INPUT!A1219)</f>
        <v/>
      </c>
      <c r="B1218" t="str">
        <f>IF(RAW_INPUT!A1219="","",RAW_INPUT!E1219)</f>
        <v/>
      </c>
      <c r="C1218" t="str">
        <f>IF(RAW_INPUT!A1219="","",RAW_INPUT!F1219)</f>
        <v/>
      </c>
    </row>
    <row r="1219" spans="1:3" x14ac:dyDescent="0.25">
      <c r="A1219" t="str">
        <f>IF(RAW_INPUT!A1220="","",RAW_INPUT!A1220)</f>
        <v/>
      </c>
      <c r="B1219" t="str">
        <f>IF(RAW_INPUT!A1220="","",RAW_INPUT!E1220)</f>
        <v/>
      </c>
      <c r="C1219" t="str">
        <f>IF(RAW_INPUT!A1220="","",RAW_INPUT!F1220)</f>
        <v/>
      </c>
    </row>
    <row r="1220" spans="1:3" x14ac:dyDescent="0.25">
      <c r="A1220" t="str">
        <f>IF(RAW_INPUT!A1221="","",RAW_INPUT!A1221)</f>
        <v/>
      </c>
      <c r="B1220" t="str">
        <f>IF(RAW_INPUT!A1221="","",RAW_INPUT!E1221)</f>
        <v/>
      </c>
      <c r="C1220" t="str">
        <f>IF(RAW_INPUT!A1221="","",RAW_INPUT!F1221)</f>
        <v/>
      </c>
    </row>
    <row r="1221" spans="1:3" x14ac:dyDescent="0.25">
      <c r="A1221" t="str">
        <f>IF(RAW_INPUT!A1222="","",RAW_INPUT!A1222)</f>
        <v/>
      </c>
      <c r="B1221" t="str">
        <f>IF(RAW_INPUT!A1222="","",RAW_INPUT!E1222)</f>
        <v/>
      </c>
      <c r="C1221" t="str">
        <f>IF(RAW_INPUT!A1222="","",RAW_INPUT!F1222)</f>
        <v/>
      </c>
    </row>
    <row r="1222" spans="1:3" x14ac:dyDescent="0.25">
      <c r="A1222" t="str">
        <f>IF(RAW_INPUT!A1223="","",RAW_INPUT!A1223)</f>
        <v/>
      </c>
      <c r="B1222" t="str">
        <f>IF(RAW_INPUT!A1223="","",RAW_INPUT!E1223)</f>
        <v/>
      </c>
      <c r="C1222" t="str">
        <f>IF(RAW_INPUT!A1223="","",RAW_INPUT!F1223)</f>
        <v/>
      </c>
    </row>
    <row r="1223" spans="1:3" x14ac:dyDescent="0.25">
      <c r="A1223" t="str">
        <f>IF(RAW_INPUT!A1224="","",RAW_INPUT!A1224)</f>
        <v/>
      </c>
      <c r="B1223" t="str">
        <f>IF(RAW_INPUT!A1224="","",RAW_INPUT!E1224)</f>
        <v/>
      </c>
      <c r="C1223" t="str">
        <f>IF(RAW_INPUT!A1224="","",RAW_INPUT!F1224)</f>
        <v/>
      </c>
    </row>
    <row r="1224" spans="1:3" x14ac:dyDescent="0.25">
      <c r="A1224" t="str">
        <f>IF(RAW_INPUT!A1225="","",RAW_INPUT!A1225)</f>
        <v/>
      </c>
      <c r="B1224" t="str">
        <f>IF(RAW_INPUT!A1225="","",RAW_INPUT!E1225)</f>
        <v/>
      </c>
      <c r="C1224" t="str">
        <f>IF(RAW_INPUT!A1225="","",RAW_INPUT!F1225)</f>
        <v/>
      </c>
    </row>
    <row r="1225" spans="1:3" x14ac:dyDescent="0.25">
      <c r="A1225" t="str">
        <f>IF(RAW_INPUT!A1226="","",RAW_INPUT!A1226)</f>
        <v/>
      </c>
      <c r="B1225" t="str">
        <f>IF(RAW_INPUT!A1226="","",RAW_INPUT!E1226)</f>
        <v/>
      </c>
      <c r="C1225" t="str">
        <f>IF(RAW_INPUT!A1226="","",RAW_INPUT!F1226)</f>
        <v/>
      </c>
    </row>
    <row r="1226" spans="1:3" x14ac:dyDescent="0.25">
      <c r="A1226" t="str">
        <f>IF(RAW_INPUT!A1227="","",RAW_INPUT!A1227)</f>
        <v/>
      </c>
      <c r="B1226" t="str">
        <f>IF(RAW_INPUT!A1227="","",RAW_INPUT!E1227)</f>
        <v/>
      </c>
      <c r="C1226" t="str">
        <f>IF(RAW_INPUT!A1227="","",RAW_INPUT!F1227)</f>
        <v/>
      </c>
    </row>
    <row r="1227" spans="1:3" x14ac:dyDescent="0.25">
      <c r="A1227" t="str">
        <f>IF(RAW_INPUT!A1228="","",RAW_INPUT!A1228)</f>
        <v/>
      </c>
      <c r="B1227" t="str">
        <f>IF(RAW_INPUT!A1228="","",RAW_INPUT!E1228)</f>
        <v/>
      </c>
      <c r="C1227" t="str">
        <f>IF(RAW_INPUT!A1228="","",RAW_INPUT!F1228)</f>
        <v/>
      </c>
    </row>
    <row r="1228" spans="1:3" x14ac:dyDescent="0.25">
      <c r="A1228" t="str">
        <f>IF(RAW_INPUT!A1229="","",RAW_INPUT!A1229)</f>
        <v/>
      </c>
      <c r="B1228" t="str">
        <f>IF(RAW_INPUT!A1229="","",RAW_INPUT!E1229)</f>
        <v/>
      </c>
      <c r="C1228" t="str">
        <f>IF(RAW_INPUT!A1229="","",RAW_INPUT!F1229)</f>
        <v/>
      </c>
    </row>
    <row r="1229" spans="1:3" x14ac:dyDescent="0.25">
      <c r="A1229" t="str">
        <f>IF(RAW_INPUT!A1230="","",RAW_INPUT!A1230)</f>
        <v/>
      </c>
      <c r="B1229" t="str">
        <f>IF(RAW_INPUT!A1230="","",RAW_INPUT!E1230)</f>
        <v/>
      </c>
      <c r="C1229" t="str">
        <f>IF(RAW_INPUT!A1230="","",RAW_INPUT!F1230)</f>
        <v/>
      </c>
    </row>
    <row r="1230" spans="1:3" x14ac:dyDescent="0.25">
      <c r="A1230" t="str">
        <f>IF(RAW_INPUT!A1231="","",RAW_INPUT!A1231)</f>
        <v/>
      </c>
      <c r="B1230" t="str">
        <f>IF(RAW_INPUT!A1231="","",RAW_INPUT!E1231)</f>
        <v/>
      </c>
      <c r="C1230" t="str">
        <f>IF(RAW_INPUT!A1231="","",RAW_INPUT!F1231)</f>
        <v/>
      </c>
    </row>
    <row r="1231" spans="1:3" x14ac:dyDescent="0.25">
      <c r="A1231" t="str">
        <f>IF(RAW_INPUT!A1232="","",RAW_INPUT!A1232)</f>
        <v/>
      </c>
      <c r="B1231" t="str">
        <f>IF(RAW_INPUT!A1232="","",RAW_INPUT!E1232)</f>
        <v/>
      </c>
      <c r="C1231" t="str">
        <f>IF(RAW_INPUT!A1232="","",RAW_INPUT!F1232)</f>
        <v/>
      </c>
    </row>
    <row r="1232" spans="1:3" x14ac:dyDescent="0.25">
      <c r="A1232" t="str">
        <f>IF(RAW_INPUT!A1233="","",RAW_INPUT!A1233)</f>
        <v/>
      </c>
      <c r="B1232" t="str">
        <f>IF(RAW_INPUT!A1233="","",RAW_INPUT!E1233)</f>
        <v/>
      </c>
      <c r="C1232" t="str">
        <f>IF(RAW_INPUT!A1233="","",RAW_INPUT!F1233)</f>
        <v/>
      </c>
    </row>
    <row r="1233" spans="1:3" x14ac:dyDescent="0.25">
      <c r="A1233" t="str">
        <f>IF(RAW_INPUT!A1234="","",RAW_INPUT!A1234)</f>
        <v/>
      </c>
      <c r="B1233" t="str">
        <f>IF(RAW_INPUT!A1234="","",RAW_INPUT!E1234)</f>
        <v/>
      </c>
      <c r="C1233" t="str">
        <f>IF(RAW_INPUT!A1234="","",RAW_INPUT!F1234)</f>
        <v/>
      </c>
    </row>
    <row r="1234" spans="1:3" x14ac:dyDescent="0.25">
      <c r="A1234" t="str">
        <f>IF(RAW_INPUT!A1235="","",RAW_INPUT!A1235)</f>
        <v/>
      </c>
      <c r="B1234" t="str">
        <f>IF(RAW_INPUT!A1235="","",RAW_INPUT!E1235)</f>
        <v/>
      </c>
      <c r="C1234" t="str">
        <f>IF(RAW_INPUT!A1235="","",RAW_INPUT!F1235)</f>
        <v/>
      </c>
    </row>
    <row r="1235" spans="1:3" x14ac:dyDescent="0.25">
      <c r="A1235" t="str">
        <f>IF(RAW_INPUT!A1236="","",RAW_INPUT!A1236)</f>
        <v/>
      </c>
      <c r="B1235" t="str">
        <f>IF(RAW_INPUT!A1236="","",RAW_INPUT!E1236)</f>
        <v/>
      </c>
      <c r="C1235" t="str">
        <f>IF(RAW_INPUT!A1236="","",RAW_INPUT!F1236)</f>
        <v/>
      </c>
    </row>
    <row r="1236" spans="1:3" x14ac:dyDescent="0.25">
      <c r="A1236" t="str">
        <f>IF(RAW_INPUT!A1237="","",RAW_INPUT!A1237)</f>
        <v/>
      </c>
      <c r="B1236" t="str">
        <f>IF(RAW_INPUT!A1237="","",RAW_INPUT!E1237)</f>
        <v/>
      </c>
      <c r="C1236" t="str">
        <f>IF(RAW_INPUT!A1237="","",RAW_INPUT!F1237)</f>
        <v/>
      </c>
    </row>
    <row r="1237" spans="1:3" x14ac:dyDescent="0.25">
      <c r="A1237" t="str">
        <f>IF(RAW_INPUT!A1238="","",RAW_INPUT!A1238)</f>
        <v/>
      </c>
      <c r="B1237" t="str">
        <f>IF(RAW_INPUT!A1238="","",RAW_INPUT!E1238)</f>
        <v/>
      </c>
      <c r="C1237" t="str">
        <f>IF(RAW_INPUT!A1238="","",RAW_INPUT!F1238)</f>
        <v/>
      </c>
    </row>
    <row r="1238" spans="1:3" x14ac:dyDescent="0.25">
      <c r="A1238" t="str">
        <f>IF(RAW_INPUT!A1239="","",RAW_INPUT!A1239)</f>
        <v/>
      </c>
      <c r="B1238" t="str">
        <f>IF(RAW_INPUT!A1239="","",RAW_INPUT!E1239)</f>
        <v/>
      </c>
      <c r="C1238" t="str">
        <f>IF(RAW_INPUT!A1239="","",RAW_INPUT!F1239)</f>
        <v/>
      </c>
    </row>
    <row r="1239" spans="1:3" x14ac:dyDescent="0.25">
      <c r="A1239" t="str">
        <f>IF(RAW_INPUT!A1240="","",RAW_INPUT!A1240)</f>
        <v/>
      </c>
      <c r="B1239" t="str">
        <f>IF(RAW_INPUT!A1240="","",RAW_INPUT!E1240)</f>
        <v/>
      </c>
      <c r="C1239" t="str">
        <f>IF(RAW_INPUT!A1240="","",RAW_INPUT!F1240)</f>
        <v/>
      </c>
    </row>
    <row r="1240" spans="1:3" x14ac:dyDescent="0.25">
      <c r="A1240" t="str">
        <f>IF(RAW_INPUT!A1241="","",RAW_INPUT!A1241)</f>
        <v/>
      </c>
      <c r="B1240" t="str">
        <f>IF(RAW_INPUT!A1241="","",RAW_INPUT!E1241)</f>
        <v/>
      </c>
      <c r="C1240" t="str">
        <f>IF(RAW_INPUT!A1241="","",RAW_INPUT!F1241)</f>
        <v/>
      </c>
    </row>
    <row r="1241" spans="1:3" x14ac:dyDescent="0.25">
      <c r="A1241" t="str">
        <f>IF(RAW_INPUT!A1242="","",RAW_INPUT!A1242)</f>
        <v/>
      </c>
      <c r="B1241" t="str">
        <f>IF(RAW_INPUT!A1242="","",RAW_INPUT!E1242)</f>
        <v/>
      </c>
      <c r="C1241" t="str">
        <f>IF(RAW_INPUT!A1242="","",RAW_INPUT!F1242)</f>
        <v/>
      </c>
    </row>
    <row r="1242" spans="1:3" x14ac:dyDescent="0.25">
      <c r="A1242" t="str">
        <f>IF(RAW_INPUT!A1243="","",RAW_INPUT!A1243)</f>
        <v/>
      </c>
      <c r="B1242" t="str">
        <f>IF(RAW_INPUT!A1243="","",RAW_INPUT!E1243)</f>
        <v/>
      </c>
      <c r="C1242" t="str">
        <f>IF(RAW_INPUT!A1243="","",RAW_INPUT!F1243)</f>
        <v/>
      </c>
    </row>
    <row r="1243" spans="1:3" x14ac:dyDescent="0.25">
      <c r="A1243" t="str">
        <f>IF(RAW_INPUT!A1244="","",RAW_INPUT!A1244)</f>
        <v/>
      </c>
      <c r="B1243" t="str">
        <f>IF(RAW_INPUT!A1244="","",RAW_INPUT!E1244)</f>
        <v/>
      </c>
      <c r="C1243" t="str">
        <f>IF(RAW_INPUT!A1244="","",RAW_INPUT!F1244)</f>
        <v/>
      </c>
    </row>
    <row r="1244" spans="1:3" x14ac:dyDescent="0.25">
      <c r="A1244" t="str">
        <f>IF(RAW_INPUT!A1245="","",RAW_INPUT!A1245)</f>
        <v/>
      </c>
      <c r="B1244" t="str">
        <f>IF(RAW_INPUT!A1245="","",RAW_INPUT!E1245)</f>
        <v/>
      </c>
      <c r="C1244" t="str">
        <f>IF(RAW_INPUT!A1245="","",RAW_INPUT!F1245)</f>
        <v/>
      </c>
    </row>
    <row r="1245" spans="1:3" x14ac:dyDescent="0.25">
      <c r="A1245" t="str">
        <f>IF(RAW_INPUT!A1246="","",RAW_INPUT!A1246)</f>
        <v/>
      </c>
      <c r="B1245" t="str">
        <f>IF(RAW_INPUT!A1246="","",RAW_INPUT!E1246)</f>
        <v/>
      </c>
      <c r="C1245" t="str">
        <f>IF(RAW_INPUT!A1246="","",RAW_INPUT!F1246)</f>
        <v/>
      </c>
    </row>
    <row r="1246" spans="1:3" x14ac:dyDescent="0.25">
      <c r="A1246" t="str">
        <f>IF(RAW_INPUT!A1247="","",RAW_INPUT!A1247)</f>
        <v/>
      </c>
      <c r="B1246" t="str">
        <f>IF(RAW_INPUT!A1247="","",RAW_INPUT!E1247)</f>
        <v/>
      </c>
      <c r="C1246" t="str">
        <f>IF(RAW_INPUT!A1247="","",RAW_INPUT!F1247)</f>
        <v/>
      </c>
    </row>
    <row r="1247" spans="1:3" x14ac:dyDescent="0.25">
      <c r="A1247" t="str">
        <f>IF(RAW_INPUT!A1248="","",RAW_INPUT!A1248)</f>
        <v/>
      </c>
      <c r="B1247" t="str">
        <f>IF(RAW_INPUT!A1248="","",RAW_INPUT!E1248)</f>
        <v/>
      </c>
      <c r="C1247" t="str">
        <f>IF(RAW_INPUT!A1248="","",RAW_INPUT!F1248)</f>
        <v/>
      </c>
    </row>
    <row r="1248" spans="1:3" x14ac:dyDescent="0.25">
      <c r="A1248" t="str">
        <f>IF(RAW_INPUT!A1249="","",RAW_INPUT!A1249)</f>
        <v/>
      </c>
      <c r="B1248" t="str">
        <f>IF(RAW_INPUT!A1249="","",RAW_INPUT!E1249)</f>
        <v/>
      </c>
      <c r="C1248" t="str">
        <f>IF(RAW_INPUT!A1249="","",RAW_INPUT!F1249)</f>
        <v/>
      </c>
    </row>
    <row r="1249" spans="1:3" x14ac:dyDescent="0.25">
      <c r="A1249" t="str">
        <f>IF(RAW_INPUT!A1250="","",RAW_INPUT!A1250)</f>
        <v/>
      </c>
      <c r="B1249" t="str">
        <f>IF(RAW_INPUT!A1250="","",RAW_INPUT!E1250)</f>
        <v/>
      </c>
      <c r="C1249" t="str">
        <f>IF(RAW_INPUT!A1250="","",RAW_INPUT!F1250)</f>
        <v/>
      </c>
    </row>
    <row r="1250" spans="1:3" x14ac:dyDescent="0.25">
      <c r="A1250" t="str">
        <f>IF(RAW_INPUT!A1251="","",RAW_INPUT!A1251)</f>
        <v/>
      </c>
      <c r="B1250" t="str">
        <f>IF(RAW_INPUT!A1251="","",RAW_INPUT!E1251)</f>
        <v/>
      </c>
      <c r="C1250" t="str">
        <f>IF(RAW_INPUT!A1251="","",RAW_INPUT!F1251)</f>
        <v/>
      </c>
    </row>
    <row r="1251" spans="1:3" x14ac:dyDescent="0.25">
      <c r="A1251" t="str">
        <f>IF(RAW_INPUT!A1252="","",RAW_INPUT!A1252)</f>
        <v/>
      </c>
      <c r="B1251" t="str">
        <f>IF(RAW_INPUT!A1252="","",RAW_INPUT!E1252)</f>
        <v/>
      </c>
      <c r="C1251" t="str">
        <f>IF(RAW_INPUT!A1252="","",RAW_INPUT!F1252)</f>
        <v/>
      </c>
    </row>
    <row r="1252" spans="1:3" x14ac:dyDescent="0.25">
      <c r="A1252" t="str">
        <f>IF(RAW_INPUT!A1253="","",RAW_INPUT!A1253)</f>
        <v/>
      </c>
      <c r="B1252" t="str">
        <f>IF(RAW_INPUT!A1253="","",RAW_INPUT!E1253)</f>
        <v/>
      </c>
      <c r="C1252" t="str">
        <f>IF(RAW_INPUT!A1253="","",RAW_INPUT!F1253)</f>
        <v/>
      </c>
    </row>
    <row r="1253" spans="1:3" x14ac:dyDescent="0.25">
      <c r="A1253" t="str">
        <f>IF(RAW_INPUT!A1254="","",RAW_INPUT!A1254)</f>
        <v/>
      </c>
      <c r="B1253" t="str">
        <f>IF(RAW_INPUT!A1254="","",RAW_INPUT!E1254)</f>
        <v/>
      </c>
      <c r="C1253" t="str">
        <f>IF(RAW_INPUT!A1254="","",RAW_INPUT!F1254)</f>
        <v/>
      </c>
    </row>
    <row r="1254" spans="1:3" x14ac:dyDescent="0.25">
      <c r="A1254" t="str">
        <f>IF(RAW_INPUT!A1255="","",RAW_INPUT!A1255)</f>
        <v/>
      </c>
      <c r="B1254" t="str">
        <f>IF(RAW_INPUT!A1255="","",RAW_INPUT!E1255)</f>
        <v/>
      </c>
      <c r="C1254" t="str">
        <f>IF(RAW_INPUT!A1255="","",RAW_INPUT!F1255)</f>
        <v/>
      </c>
    </row>
    <row r="1255" spans="1:3" x14ac:dyDescent="0.25">
      <c r="A1255" t="str">
        <f>IF(RAW_INPUT!A1256="","",RAW_INPUT!A1256)</f>
        <v/>
      </c>
      <c r="B1255" t="str">
        <f>IF(RAW_INPUT!A1256="","",RAW_INPUT!E1256)</f>
        <v/>
      </c>
      <c r="C1255" t="str">
        <f>IF(RAW_INPUT!A1256="","",RAW_INPUT!F1256)</f>
        <v/>
      </c>
    </row>
    <row r="1256" spans="1:3" x14ac:dyDescent="0.25">
      <c r="A1256" t="str">
        <f>IF(RAW_INPUT!A1257="","",RAW_INPUT!A1257)</f>
        <v/>
      </c>
      <c r="B1256" t="str">
        <f>IF(RAW_INPUT!A1257="","",RAW_INPUT!E1257)</f>
        <v/>
      </c>
      <c r="C1256" t="str">
        <f>IF(RAW_INPUT!A1257="","",RAW_INPUT!F1257)</f>
        <v/>
      </c>
    </row>
    <row r="1257" spans="1:3" x14ac:dyDescent="0.25">
      <c r="A1257" t="str">
        <f>IF(RAW_INPUT!A1258="","",RAW_INPUT!A1258)</f>
        <v/>
      </c>
      <c r="B1257" t="str">
        <f>IF(RAW_INPUT!A1258="","",RAW_INPUT!E1258)</f>
        <v/>
      </c>
      <c r="C1257" t="str">
        <f>IF(RAW_INPUT!A1258="","",RAW_INPUT!F1258)</f>
        <v/>
      </c>
    </row>
    <row r="1258" spans="1:3" x14ac:dyDescent="0.25">
      <c r="A1258" t="str">
        <f>IF(RAW_INPUT!A1259="","",RAW_INPUT!A1259)</f>
        <v/>
      </c>
      <c r="B1258" t="str">
        <f>IF(RAW_INPUT!A1259="","",RAW_INPUT!E1259)</f>
        <v/>
      </c>
      <c r="C1258" t="str">
        <f>IF(RAW_INPUT!A1259="","",RAW_INPUT!F1259)</f>
        <v/>
      </c>
    </row>
    <row r="1259" spans="1:3" x14ac:dyDescent="0.25">
      <c r="A1259" t="str">
        <f>IF(RAW_INPUT!A1260="","",RAW_INPUT!A1260)</f>
        <v/>
      </c>
      <c r="B1259" t="str">
        <f>IF(RAW_INPUT!A1260="","",RAW_INPUT!E1260)</f>
        <v/>
      </c>
      <c r="C1259" t="str">
        <f>IF(RAW_INPUT!A1260="","",RAW_INPUT!F1260)</f>
        <v/>
      </c>
    </row>
    <row r="1260" spans="1:3" x14ac:dyDescent="0.25">
      <c r="A1260" t="str">
        <f>IF(RAW_INPUT!A1261="","",RAW_INPUT!A1261)</f>
        <v/>
      </c>
      <c r="B1260" t="str">
        <f>IF(RAW_INPUT!A1261="","",RAW_INPUT!E1261)</f>
        <v/>
      </c>
      <c r="C1260" t="str">
        <f>IF(RAW_INPUT!A1261="","",RAW_INPUT!F1261)</f>
        <v/>
      </c>
    </row>
    <row r="1261" spans="1:3" x14ac:dyDescent="0.25">
      <c r="A1261" t="str">
        <f>IF(RAW_INPUT!A1262="","",RAW_INPUT!A1262)</f>
        <v/>
      </c>
      <c r="B1261" t="str">
        <f>IF(RAW_INPUT!A1262="","",RAW_INPUT!E1262)</f>
        <v/>
      </c>
      <c r="C1261" t="str">
        <f>IF(RAW_INPUT!A1262="","",RAW_INPUT!F1262)</f>
        <v/>
      </c>
    </row>
    <row r="1262" spans="1:3" x14ac:dyDescent="0.25">
      <c r="A1262" t="str">
        <f>IF(RAW_INPUT!A1263="","",RAW_INPUT!A1263)</f>
        <v/>
      </c>
      <c r="B1262" t="str">
        <f>IF(RAW_INPUT!A1263="","",RAW_INPUT!E1263)</f>
        <v/>
      </c>
      <c r="C1262" t="str">
        <f>IF(RAW_INPUT!A1263="","",RAW_INPUT!F1263)</f>
        <v/>
      </c>
    </row>
    <row r="1263" spans="1:3" x14ac:dyDescent="0.25">
      <c r="A1263" t="str">
        <f>IF(RAW_INPUT!A1264="","",RAW_INPUT!A1264)</f>
        <v/>
      </c>
      <c r="B1263" t="str">
        <f>IF(RAW_INPUT!A1264="","",RAW_INPUT!E1264)</f>
        <v/>
      </c>
      <c r="C1263" t="str">
        <f>IF(RAW_INPUT!A1264="","",RAW_INPUT!F1264)</f>
        <v/>
      </c>
    </row>
    <row r="1264" spans="1:3" x14ac:dyDescent="0.25">
      <c r="A1264" t="str">
        <f>IF(RAW_INPUT!A1265="","",RAW_INPUT!A1265)</f>
        <v/>
      </c>
      <c r="B1264" t="str">
        <f>IF(RAW_INPUT!A1265="","",RAW_INPUT!E1265)</f>
        <v/>
      </c>
      <c r="C1264" t="str">
        <f>IF(RAW_INPUT!A1265="","",RAW_INPUT!F1265)</f>
        <v/>
      </c>
    </row>
    <row r="1265" spans="1:3" x14ac:dyDescent="0.25">
      <c r="A1265" t="str">
        <f>IF(RAW_INPUT!A1266="","",RAW_INPUT!A1266)</f>
        <v/>
      </c>
      <c r="B1265" t="str">
        <f>IF(RAW_INPUT!A1266="","",RAW_INPUT!E1266)</f>
        <v/>
      </c>
      <c r="C1265" t="str">
        <f>IF(RAW_INPUT!A1266="","",RAW_INPUT!F1266)</f>
        <v/>
      </c>
    </row>
    <row r="1266" spans="1:3" x14ac:dyDescent="0.25">
      <c r="A1266" t="str">
        <f>IF(RAW_INPUT!A1267="","",RAW_INPUT!A1267)</f>
        <v/>
      </c>
      <c r="B1266" t="str">
        <f>IF(RAW_INPUT!A1267="","",RAW_INPUT!E1267)</f>
        <v/>
      </c>
      <c r="C1266" t="str">
        <f>IF(RAW_INPUT!A1267="","",RAW_INPUT!F1267)</f>
        <v/>
      </c>
    </row>
    <row r="1267" spans="1:3" x14ac:dyDescent="0.25">
      <c r="A1267" t="str">
        <f>IF(RAW_INPUT!A1268="","",RAW_INPUT!A1268)</f>
        <v/>
      </c>
      <c r="B1267" t="str">
        <f>IF(RAW_INPUT!A1268="","",RAW_INPUT!E1268)</f>
        <v/>
      </c>
      <c r="C1267" t="str">
        <f>IF(RAW_INPUT!A1268="","",RAW_INPUT!F1268)</f>
        <v/>
      </c>
    </row>
    <row r="1268" spans="1:3" x14ac:dyDescent="0.25">
      <c r="A1268" t="str">
        <f>IF(RAW_INPUT!A1269="","",RAW_INPUT!A1269)</f>
        <v/>
      </c>
      <c r="B1268" t="str">
        <f>IF(RAW_INPUT!A1269="","",RAW_INPUT!E1269)</f>
        <v/>
      </c>
      <c r="C1268" t="str">
        <f>IF(RAW_INPUT!A1269="","",RAW_INPUT!F1269)</f>
        <v/>
      </c>
    </row>
    <row r="1269" spans="1:3" x14ac:dyDescent="0.25">
      <c r="A1269" t="str">
        <f>IF(RAW_INPUT!A1270="","",RAW_INPUT!A1270)</f>
        <v/>
      </c>
      <c r="B1269" t="str">
        <f>IF(RAW_INPUT!A1270="","",RAW_INPUT!E1270)</f>
        <v/>
      </c>
      <c r="C1269" t="str">
        <f>IF(RAW_INPUT!A1270="","",RAW_INPUT!F1270)</f>
        <v/>
      </c>
    </row>
    <row r="1270" spans="1:3" x14ac:dyDescent="0.25">
      <c r="A1270" t="str">
        <f>IF(RAW_INPUT!A1271="","",RAW_INPUT!A1271)</f>
        <v/>
      </c>
      <c r="B1270" t="str">
        <f>IF(RAW_INPUT!A1271="","",RAW_INPUT!E1271)</f>
        <v/>
      </c>
      <c r="C1270" t="str">
        <f>IF(RAW_INPUT!A1271="","",RAW_INPUT!F1271)</f>
        <v/>
      </c>
    </row>
    <row r="1271" spans="1:3" x14ac:dyDescent="0.25">
      <c r="A1271" t="str">
        <f>IF(RAW_INPUT!A1272="","",RAW_INPUT!A1272)</f>
        <v/>
      </c>
      <c r="B1271" t="str">
        <f>IF(RAW_INPUT!A1272="","",RAW_INPUT!E1272)</f>
        <v/>
      </c>
      <c r="C1271" t="str">
        <f>IF(RAW_INPUT!A1272="","",RAW_INPUT!F1272)</f>
        <v/>
      </c>
    </row>
    <row r="1272" spans="1:3" x14ac:dyDescent="0.25">
      <c r="A1272" t="str">
        <f>IF(RAW_INPUT!A1273="","",RAW_INPUT!A1273)</f>
        <v/>
      </c>
      <c r="B1272" t="str">
        <f>IF(RAW_INPUT!A1273="","",RAW_INPUT!E1273)</f>
        <v/>
      </c>
      <c r="C1272" t="str">
        <f>IF(RAW_INPUT!A1273="","",RAW_INPUT!F1273)</f>
        <v/>
      </c>
    </row>
    <row r="1273" spans="1:3" x14ac:dyDescent="0.25">
      <c r="A1273" t="str">
        <f>IF(RAW_INPUT!A1274="","",RAW_INPUT!A1274)</f>
        <v/>
      </c>
      <c r="B1273" t="str">
        <f>IF(RAW_INPUT!A1274="","",RAW_INPUT!E1274)</f>
        <v/>
      </c>
      <c r="C1273" t="str">
        <f>IF(RAW_INPUT!A1274="","",RAW_INPUT!F1274)</f>
        <v/>
      </c>
    </row>
    <row r="1274" spans="1:3" x14ac:dyDescent="0.25">
      <c r="A1274" t="str">
        <f>IF(RAW_INPUT!A1275="","",RAW_INPUT!A1275)</f>
        <v/>
      </c>
      <c r="B1274" t="str">
        <f>IF(RAW_INPUT!A1275="","",RAW_INPUT!E1275)</f>
        <v/>
      </c>
      <c r="C1274" t="str">
        <f>IF(RAW_INPUT!A1275="","",RAW_INPUT!F1275)</f>
        <v/>
      </c>
    </row>
    <row r="1275" spans="1:3" x14ac:dyDescent="0.25">
      <c r="A1275" t="str">
        <f>IF(RAW_INPUT!A1276="","",RAW_INPUT!A1276)</f>
        <v/>
      </c>
      <c r="B1275" t="str">
        <f>IF(RAW_INPUT!A1276="","",RAW_INPUT!E1276)</f>
        <v/>
      </c>
      <c r="C1275" t="str">
        <f>IF(RAW_INPUT!A1276="","",RAW_INPUT!F1276)</f>
        <v/>
      </c>
    </row>
    <row r="1276" spans="1:3" x14ac:dyDescent="0.25">
      <c r="A1276" t="str">
        <f>IF(RAW_INPUT!A1277="","",RAW_INPUT!A1277)</f>
        <v/>
      </c>
      <c r="B1276" t="str">
        <f>IF(RAW_INPUT!A1277="","",RAW_INPUT!E1277)</f>
        <v/>
      </c>
      <c r="C1276" t="str">
        <f>IF(RAW_INPUT!A1277="","",RAW_INPUT!F1277)</f>
        <v/>
      </c>
    </row>
    <row r="1277" spans="1:3" x14ac:dyDescent="0.25">
      <c r="A1277" t="str">
        <f>IF(RAW_INPUT!A1278="","",RAW_INPUT!A1278)</f>
        <v/>
      </c>
      <c r="B1277" t="str">
        <f>IF(RAW_INPUT!A1278="","",RAW_INPUT!E1278)</f>
        <v/>
      </c>
      <c r="C1277" t="str">
        <f>IF(RAW_INPUT!A1278="","",RAW_INPUT!F1278)</f>
        <v/>
      </c>
    </row>
    <row r="1278" spans="1:3" x14ac:dyDescent="0.25">
      <c r="A1278" t="str">
        <f>IF(RAW_INPUT!A1279="","",RAW_INPUT!A1279)</f>
        <v/>
      </c>
      <c r="B1278" t="str">
        <f>IF(RAW_INPUT!A1279="","",RAW_INPUT!E1279)</f>
        <v/>
      </c>
      <c r="C1278" t="str">
        <f>IF(RAW_INPUT!A1279="","",RAW_INPUT!F1279)</f>
        <v/>
      </c>
    </row>
    <row r="1279" spans="1:3" x14ac:dyDescent="0.25">
      <c r="A1279" t="str">
        <f>IF(RAW_INPUT!A1280="","",RAW_INPUT!A1280)</f>
        <v/>
      </c>
      <c r="B1279" t="str">
        <f>IF(RAW_INPUT!A1280="","",RAW_INPUT!E1280)</f>
        <v/>
      </c>
      <c r="C1279" t="str">
        <f>IF(RAW_INPUT!A1280="","",RAW_INPUT!F1280)</f>
        <v/>
      </c>
    </row>
    <row r="1280" spans="1:3" x14ac:dyDescent="0.25">
      <c r="A1280" t="str">
        <f>IF(RAW_INPUT!A1281="","",RAW_INPUT!A1281)</f>
        <v/>
      </c>
      <c r="B1280" t="str">
        <f>IF(RAW_INPUT!A1281="","",RAW_INPUT!E1281)</f>
        <v/>
      </c>
      <c r="C1280" t="str">
        <f>IF(RAW_INPUT!A1281="","",RAW_INPUT!F1281)</f>
        <v/>
      </c>
    </row>
    <row r="1281" spans="1:3" x14ac:dyDescent="0.25">
      <c r="A1281" t="str">
        <f>IF(RAW_INPUT!A1282="","",RAW_INPUT!A1282)</f>
        <v/>
      </c>
      <c r="B1281" t="str">
        <f>IF(RAW_INPUT!A1282="","",RAW_INPUT!E1282)</f>
        <v/>
      </c>
      <c r="C1281" t="str">
        <f>IF(RAW_INPUT!A1282="","",RAW_INPUT!F1282)</f>
        <v/>
      </c>
    </row>
    <row r="1282" spans="1:3" x14ac:dyDescent="0.25">
      <c r="A1282" t="str">
        <f>IF(RAW_INPUT!A1283="","",RAW_INPUT!A1283)</f>
        <v/>
      </c>
      <c r="B1282" t="str">
        <f>IF(RAW_INPUT!A1283="","",RAW_INPUT!E1283)</f>
        <v/>
      </c>
      <c r="C1282" t="str">
        <f>IF(RAW_INPUT!A1283="","",RAW_INPUT!F1283)</f>
        <v/>
      </c>
    </row>
    <row r="1283" spans="1:3" x14ac:dyDescent="0.25">
      <c r="A1283" t="str">
        <f>IF(RAW_INPUT!A1284="","",RAW_INPUT!A1284)</f>
        <v/>
      </c>
      <c r="B1283" t="str">
        <f>IF(RAW_INPUT!A1284="","",RAW_INPUT!E1284)</f>
        <v/>
      </c>
      <c r="C1283" t="str">
        <f>IF(RAW_INPUT!A1284="","",RAW_INPUT!F1284)</f>
        <v/>
      </c>
    </row>
    <row r="1284" spans="1:3" x14ac:dyDescent="0.25">
      <c r="A1284" t="str">
        <f>IF(RAW_INPUT!A1285="","",RAW_INPUT!A1285)</f>
        <v/>
      </c>
      <c r="B1284" t="str">
        <f>IF(RAW_INPUT!A1285="","",RAW_INPUT!E1285)</f>
        <v/>
      </c>
      <c r="C1284" t="str">
        <f>IF(RAW_INPUT!A1285="","",RAW_INPUT!F1285)</f>
        <v/>
      </c>
    </row>
    <row r="1285" spans="1:3" x14ac:dyDescent="0.25">
      <c r="A1285" t="str">
        <f>IF(RAW_INPUT!A1286="","",RAW_INPUT!A1286)</f>
        <v/>
      </c>
      <c r="B1285" t="str">
        <f>IF(RAW_INPUT!A1286="","",RAW_INPUT!E1286)</f>
        <v/>
      </c>
      <c r="C1285" t="str">
        <f>IF(RAW_INPUT!A1286="","",RAW_INPUT!F1286)</f>
        <v/>
      </c>
    </row>
    <row r="1286" spans="1:3" x14ac:dyDescent="0.25">
      <c r="A1286" t="str">
        <f>IF(RAW_INPUT!A1287="","",RAW_INPUT!A1287)</f>
        <v/>
      </c>
      <c r="B1286" t="str">
        <f>IF(RAW_INPUT!A1287="","",RAW_INPUT!E1287)</f>
        <v/>
      </c>
      <c r="C1286" t="str">
        <f>IF(RAW_INPUT!A1287="","",RAW_INPUT!F1287)</f>
        <v/>
      </c>
    </row>
    <row r="1287" spans="1:3" x14ac:dyDescent="0.25">
      <c r="A1287" t="str">
        <f>IF(RAW_INPUT!A1288="","",RAW_INPUT!A1288)</f>
        <v/>
      </c>
      <c r="B1287" t="str">
        <f>IF(RAW_INPUT!A1288="","",RAW_INPUT!E1288)</f>
        <v/>
      </c>
      <c r="C1287" t="str">
        <f>IF(RAW_INPUT!A1288="","",RAW_INPUT!F1288)</f>
        <v/>
      </c>
    </row>
    <row r="1288" spans="1:3" x14ac:dyDescent="0.25">
      <c r="A1288" t="str">
        <f>IF(RAW_INPUT!A1289="","",RAW_INPUT!A1289)</f>
        <v/>
      </c>
      <c r="B1288" t="str">
        <f>IF(RAW_INPUT!A1289="","",RAW_INPUT!E1289)</f>
        <v/>
      </c>
      <c r="C1288" t="str">
        <f>IF(RAW_INPUT!A1289="","",RAW_INPUT!F1289)</f>
        <v/>
      </c>
    </row>
    <row r="1289" spans="1:3" x14ac:dyDescent="0.25">
      <c r="A1289" t="str">
        <f>IF(RAW_INPUT!A1290="","",RAW_INPUT!A1290)</f>
        <v/>
      </c>
      <c r="B1289" t="str">
        <f>IF(RAW_INPUT!A1290="","",RAW_INPUT!E1290)</f>
        <v/>
      </c>
      <c r="C1289" t="str">
        <f>IF(RAW_INPUT!A1290="","",RAW_INPUT!F1290)</f>
        <v/>
      </c>
    </row>
    <row r="1290" spans="1:3" x14ac:dyDescent="0.25">
      <c r="A1290" t="str">
        <f>IF(RAW_INPUT!A1291="","",RAW_INPUT!A1291)</f>
        <v/>
      </c>
      <c r="B1290" t="str">
        <f>IF(RAW_INPUT!A1291="","",RAW_INPUT!E1291)</f>
        <v/>
      </c>
      <c r="C1290" t="str">
        <f>IF(RAW_INPUT!A1291="","",RAW_INPUT!F1291)</f>
        <v/>
      </c>
    </row>
    <row r="1291" spans="1:3" x14ac:dyDescent="0.25">
      <c r="A1291" t="str">
        <f>IF(RAW_INPUT!A1292="","",RAW_INPUT!A1292)</f>
        <v/>
      </c>
      <c r="B1291" t="str">
        <f>IF(RAW_INPUT!A1292="","",RAW_INPUT!E1292)</f>
        <v/>
      </c>
      <c r="C1291" t="str">
        <f>IF(RAW_INPUT!A1292="","",RAW_INPUT!F1292)</f>
        <v/>
      </c>
    </row>
    <row r="1292" spans="1:3" x14ac:dyDescent="0.25">
      <c r="A1292" t="str">
        <f>IF(RAW_INPUT!A1293="","",RAW_INPUT!A1293)</f>
        <v/>
      </c>
      <c r="B1292" t="str">
        <f>IF(RAW_INPUT!A1293="","",RAW_INPUT!E1293)</f>
        <v/>
      </c>
      <c r="C1292" t="str">
        <f>IF(RAW_INPUT!A1293="","",RAW_INPUT!F1293)</f>
        <v/>
      </c>
    </row>
    <row r="1293" spans="1:3" x14ac:dyDescent="0.25">
      <c r="A1293" t="str">
        <f>IF(RAW_INPUT!A1294="","",RAW_INPUT!A1294)</f>
        <v/>
      </c>
      <c r="B1293" t="str">
        <f>IF(RAW_INPUT!A1294="","",RAW_INPUT!E1294)</f>
        <v/>
      </c>
      <c r="C1293" t="str">
        <f>IF(RAW_INPUT!A1294="","",RAW_INPUT!F1294)</f>
        <v/>
      </c>
    </row>
    <row r="1294" spans="1:3" x14ac:dyDescent="0.25">
      <c r="A1294" t="str">
        <f>IF(RAW_INPUT!A1295="","",RAW_INPUT!A1295)</f>
        <v/>
      </c>
      <c r="B1294" t="str">
        <f>IF(RAW_INPUT!A1295="","",RAW_INPUT!E1295)</f>
        <v/>
      </c>
      <c r="C1294" t="str">
        <f>IF(RAW_INPUT!A1295="","",RAW_INPUT!F1295)</f>
        <v/>
      </c>
    </row>
    <row r="1295" spans="1:3" x14ac:dyDescent="0.25">
      <c r="A1295" t="str">
        <f>IF(RAW_INPUT!A1296="","",RAW_INPUT!A1296)</f>
        <v/>
      </c>
      <c r="B1295" t="str">
        <f>IF(RAW_INPUT!A1296="","",RAW_INPUT!E1296)</f>
        <v/>
      </c>
      <c r="C1295" t="str">
        <f>IF(RAW_INPUT!A1296="","",RAW_INPUT!F1296)</f>
        <v/>
      </c>
    </row>
    <row r="1296" spans="1:3" x14ac:dyDescent="0.25">
      <c r="A1296" t="str">
        <f>IF(RAW_INPUT!A1297="","",RAW_INPUT!A1297)</f>
        <v/>
      </c>
      <c r="B1296" t="str">
        <f>IF(RAW_INPUT!A1297="","",RAW_INPUT!E1297)</f>
        <v/>
      </c>
      <c r="C1296" t="str">
        <f>IF(RAW_INPUT!A1297="","",RAW_INPUT!F1297)</f>
        <v/>
      </c>
    </row>
    <row r="1297" spans="1:3" x14ac:dyDescent="0.25">
      <c r="A1297" t="str">
        <f>IF(RAW_INPUT!A1298="","",RAW_INPUT!A1298)</f>
        <v/>
      </c>
      <c r="B1297" t="str">
        <f>IF(RAW_INPUT!A1298="","",RAW_INPUT!E1298)</f>
        <v/>
      </c>
      <c r="C1297" t="str">
        <f>IF(RAW_INPUT!A1298="","",RAW_INPUT!F1298)</f>
        <v/>
      </c>
    </row>
    <row r="1298" spans="1:3" x14ac:dyDescent="0.25">
      <c r="A1298" t="str">
        <f>IF(RAW_INPUT!A1299="","",RAW_INPUT!A1299)</f>
        <v/>
      </c>
      <c r="B1298" t="str">
        <f>IF(RAW_INPUT!A1299="","",RAW_INPUT!E1299)</f>
        <v/>
      </c>
      <c r="C1298" t="str">
        <f>IF(RAW_INPUT!A1299="","",RAW_INPUT!F1299)</f>
        <v/>
      </c>
    </row>
    <row r="1299" spans="1:3" x14ac:dyDescent="0.25">
      <c r="A1299" t="str">
        <f>IF(RAW_INPUT!A1300="","",RAW_INPUT!A1300)</f>
        <v/>
      </c>
      <c r="B1299" t="str">
        <f>IF(RAW_INPUT!A1300="","",RAW_INPUT!E1300)</f>
        <v/>
      </c>
      <c r="C1299" t="str">
        <f>IF(RAW_INPUT!A1300="","",RAW_INPUT!F1300)</f>
        <v/>
      </c>
    </row>
    <row r="1300" spans="1:3" x14ac:dyDescent="0.25">
      <c r="A1300" t="str">
        <f>IF(RAW_INPUT!A1301="","",RAW_INPUT!A1301)</f>
        <v/>
      </c>
      <c r="B1300" t="str">
        <f>IF(RAW_INPUT!A1301="","",RAW_INPUT!E1301)</f>
        <v/>
      </c>
      <c r="C1300" t="str">
        <f>IF(RAW_INPUT!A1301="","",RAW_INPUT!F1301)</f>
        <v/>
      </c>
    </row>
    <row r="1301" spans="1:3" x14ac:dyDescent="0.25">
      <c r="A1301" t="str">
        <f>IF(RAW_INPUT!A1302="","",RAW_INPUT!A1302)</f>
        <v/>
      </c>
      <c r="B1301" t="str">
        <f>IF(RAW_INPUT!A1302="","",RAW_INPUT!E1302)</f>
        <v/>
      </c>
      <c r="C1301" t="str">
        <f>IF(RAW_INPUT!A1302="","",RAW_INPUT!F1302)</f>
        <v/>
      </c>
    </row>
    <row r="1302" spans="1:3" x14ac:dyDescent="0.25">
      <c r="A1302" t="str">
        <f>IF(RAW_INPUT!A1303="","",RAW_INPUT!A1303)</f>
        <v/>
      </c>
      <c r="B1302" t="str">
        <f>IF(RAW_INPUT!A1303="","",RAW_INPUT!E1303)</f>
        <v/>
      </c>
      <c r="C1302" t="str">
        <f>IF(RAW_INPUT!A1303="","",RAW_INPUT!F1303)</f>
        <v/>
      </c>
    </row>
    <row r="1303" spans="1:3" x14ac:dyDescent="0.25">
      <c r="A1303" t="str">
        <f>IF(RAW_INPUT!A1304="","",RAW_INPUT!A1304)</f>
        <v/>
      </c>
      <c r="B1303" t="str">
        <f>IF(RAW_INPUT!A1304="","",RAW_INPUT!E1304)</f>
        <v/>
      </c>
      <c r="C1303" t="str">
        <f>IF(RAW_INPUT!A1304="","",RAW_INPUT!F1304)</f>
        <v/>
      </c>
    </row>
    <row r="1304" spans="1:3" x14ac:dyDescent="0.25">
      <c r="A1304" t="str">
        <f>IF(RAW_INPUT!A1305="","",RAW_INPUT!A1305)</f>
        <v/>
      </c>
      <c r="B1304" t="str">
        <f>IF(RAW_INPUT!A1305="","",RAW_INPUT!E1305)</f>
        <v/>
      </c>
      <c r="C1304" t="str">
        <f>IF(RAW_INPUT!A1305="","",RAW_INPUT!F1305)</f>
        <v/>
      </c>
    </row>
    <row r="1305" spans="1:3" x14ac:dyDescent="0.25">
      <c r="A1305" t="str">
        <f>IF(RAW_INPUT!A1306="","",RAW_INPUT!A1306)</f>
        <v/>
      </c>
      <c r="B1305" t="str">
        <f>IF(RAW_INPUT!A1306="","",RAW_INPUT!E1306)</f>
        <v/>
      </c>
      <c r="C1305" t="str">
        <f>IF(RAW_INPUT!A1306="","",RAW_INPUT!F1306)</f>
        <v/>
      </c>
    </row>
    <row r="1306" spans="1:3" x14ac:dyDescent="0.25">
      <c r="A1306" t="str">
        <f>IF(RAW_INPUT!A1307="","",RAW_INPUT!A1307)</f>
        <v/>
      </c>
      <c r="B1306" t="str">
        <f>IF(RAW_INPUT!A1307="","",RAW_INPUT!E1307)</f>
        <v/>
      </c>
      <c r="C1306" t="str">
        <f>IF(RAW_INPUT!A1307="","",RAW_INPUT!F1307)</f>
        <v/>
      </c>
    </row>
    <row r="1307" spans="1:3" x14ac:dyDescent="0.25">
      <c r="A1307" t="str">
        <f>IF(RAW_INPUT!A1308="","",RAW_INPUT!A1308)</f>
        <v/>
      </c>
      <c r="B1307" t="str">
        <f>IF(RAW_INPUT!A1308="","",RAW_INPUT!E1308)</f>
        <v/>
      </c>
      <c r="C1307" t="str">
        <f>IF(RAW_INPUT!A1308="","",RAW_INPUT!F1308)</f>
        <v/>
      </c>
    </row>
    <row r="1308" spans="1:3" x14ac:dyDescent="0.25">
      <c r="A1308" t="str">
        <f>IF(RAW_INPUT!A1309="","",RAW_INPUT!A1309)</f>
        <v/>
      </c>
      <c r="B1308" t="str">
        <f>IF(RAW_INPUT!A1309="","",RAW_INPUT!E1309)</f>
        <v/>
      </c>
      <c r="C1308" t="str">
        <f>IF(RAW_INPUT!A1309="","",RAW_INPUT!F1309)</f>
        <v/>
      </c>
    </row>
    <row r="1309" spans="1:3" x14ac:dyDescent="0.25">
      <c r="A1309" t="str">
        <f>IF(RAW_INPUT!A1310="","",RAW_INPUT!A1310)</f>
        <v/>
      </c>
      <c r="B1309" t="str">
        <f>IF(RAW_INPUT!A1310="","",RAW_INPUT!E1310)</f>
        <v/>
      </c>
      <c r="C1309" t="str">
        <f>IF(RAW_INPUT!A1310="","",RAW_INPUT!F1310)</f>
        <v/>
      </c>
    </row>
    <row r="1310" spans="1:3" x14ac:dyDescent="0.25">
      <c r="A1310" t="str">
        <f>IF(RAW_INPUT!A1311="","",RAW_INPUT!A1311)</f>
        <v/>
      </c>
      <c r="B1310" t="str">
        <f>IF(RAW_INPUT!A1311="","",RAW_INPUT!E1311)</f>
        <v/>
      </c>
      <c r="C1310" t="str">
        <f>IF(RAW_INPUT!A1311="","",RAW_INPUT!F1311)</f>
        <v/>
      </c>
    </row>
    <row r="1311" spans="1:3" x14ac:dyDescent="0.25">
      <c r="A1311" t="str">
        <f>IF(RAW_INPUT!A1312="","",RAW_INPUT!A1312)</f>
        <v/>
      </c>
      <c r="B1311" t="str">
        <f>IF(RAW_INPUT!A1312="","",RAW_INPUT!E1312)</f>
        <v/>
      </c>
      <c r="C1311" t="str">
        <f>IF(RAW_INPUT!A1312="","",RAW_INPUT!F1312)</f>
        <v/>
      </c>
    </row>
    <row r="1312" spans="1:3" x14ac:dyDescent="0.25">
      <c r="A1312" t="str">
        <f>IF(RAW_INPUT!A1313="","",RAW_INPUT!A1313)</f>
        <v/>
      </c>
      <c r="B1312" t="str">
        <f>IF(RAW_INPUT!A1313="","",RAW_INPUT!E1313)</f>
        <v/>
      </c>
      <c r="C1312" t="str">
        <f>IF(RAW_INPUT!A1313="","",RAW_INPUT!F1313)</f>
        <v/>
      </c>
    </row>
    <row r="1313" spans="1:3" x14ac:dyDescent="0.25">
      <c r="A1313" t="str">
        <f>IF(RAW_INPUT!A1314="","",RAW_INPUT!A1314)</f>
        <v/>
      </c>
      <c r="B1313" t="str">
        <f>IF(RAW_INPUT!A1314="","",RAW_INPUT!E1314)</f>
        <v/>
      </c>
      <c r="C1313" t="str">
        <f>IF(RAW_INPUT!A1314="","",RAW_INPUT!F1314)</f>
        <v/>
      </c>
    </row>
    <row r="1314" spans="1:3" x14ac:dyDescent="0.25">
      <c r="A1314" t="str">
        <f>IF(RAW_INPUT!A1315="","",RAW_INPUT!A1315)</f>
        <v/>
      </c>
      <c r="B1314" t="str">
        <f>IF(RAW_INPUT!A1315="","",RAW_INPUT!E1315)</f>
        <v/>
      </c>
      <c r="C1314" t="str">
        <f>IF(RAW_INPUT!A1315="","",RAW_INPUT!F1315)</f>
        <v/>
      </c>
    </row>
    <row r="1315" spans="1:3" x14ac:dyDescent="0.25">
      <c r="A1315" t="str">
        <f>IF(RAW_INPUT!A1316="","",RAW_INPUT!A1316)</f>
        <v/>
      </c>
      <c r="B1315" t="str">
        <f>IF(RAW_INPUT!A1316="","",RAW_INPUT!E1316)</f>
        <v/>
      </c>
      <c r="C1315" t="str">
        <f>IF(RAW_INPUT!A1316="","",RAW_INPUT!F1316)</f>
        <v/>
      </c>
    </row>
    <row r="1316" spans="1:3" x14ac:dyDescent="0.25">
      <c r="A1316" t="str">
        <f>IF(RAW_INPUT!A1317="","",RAW_INPUT!A1317)</f>
        <v/>
      </c>
      <c r="B1316" t="str">
        <f>IF(RAW_INPUT!A1317="","",RAW_INPUT!E1317)</f>
        <v/>
      </c>
      <c r="C1316" t="str">
        <f>IF(RAW_INPUT!A1317="","",RAW_INPUT!F1317)</f>
        <v/>
      </c>
    </row>
    <row r="1317" spans="1:3" x14ac:dyDescent="0.25">
      <c r="A1317" t="str">
        <f>IF(RAW_INPUT!A1318="","",RAW_INPUT!A1318)</f>
        <v/>
      </c>
      <c r="B1317" t="str">
        <f>IF(RAW_INPUT!A1318="","",RAW_INPUT!E1318)</f>
        <v/>
      </c>
      <c r="C1317" t="str">
        <f>IF(RAW_INPUT!A1318="","",RAW_INPUT!F1318)</f>
        <v/>
      </c>
    </row>
    <row r="1318" spans="1:3" x14ac:dyDescent="0.25">
      <c r="A1318" t="str">
        <f>IF(RAW_INPUT!A1319="","",RAW_INPUT!A1319)</f>
        <v/>
      </c>
      <c r="B1318" t="str">
        <f>IF(RAW_INPUT!A1319="","",RAW_INPUT!E1319)</f>
        <v/>
      </c>
      <c r="C1318" t="str">
        <f>IF(RAW_INPUT!A1319="","",RAW_INPUT!F1319)</f>
        <v/>
      </c>
    </row>
    <row r="1319" spans="1:3" x14ac:dyDescent="0.25">
      <c r="A1319" t="str">
        <f>IF(RAW_INPUT!A1320="","",RAW_INPUT!A1320)</f>
        <v/>
      </c>
      <c r="B1319" t="str">
        <f>IF(RAW_INPUT!A1320="","",RAW_INPUT!E1320)</f>
        <v/>
      </c>
      <c r="C1319" t="str">
        <f>IF(RAW_INPUT!A1320="","",RAW_INPUT!F1320)</f>
        <v/>
      </c>
    </row>
    <row r="1320" spans="1:3" x14ac:dyDescent="0.25">
      <c r="A1320" t="str">
        <f>IF(RAW_INPUT!A1321="","",RAW_INPUT!A1321)</f>
        <v/>
      </c>
      <c r="B1320" t="str">
        <f>IF(RAW_INPUT!A1321="","",RAW_INPUT!E1321)</f>
        <v/>
      </c>
      <c r="C1320" t="str">
        <f>IF(RAW_INPUT!A1321="","",RAW_INPUT!F1321)</f>
        <v/>
      </c>
    </row>
    <row r="1321" spans="1:3" x14ac:dyDescent="0.25">
      <c r="A1321" t="str">
        <f>IF(RAW_INPUT!A1322="","",RAW_INPUT!A1322)</f>
        <v/>
      </c>
      <c r="B1321" t="str">
        <f>IF(RAW_INPUT!A1322="","",RAW_INPUT!E1322)</f>
        <v/>
      </c>
      <c r="C1321" t="str">
        <f>IF(RAW_INPUT!A1322="","",RAW_INPUT!F1322)</f>
        <v/>
      </c>
    </row>
    <row r="1322" spans="1:3" x14ac:dyDescent="0.25">
      <c r="A1322" t="str">
        <f>IF(RAW_INPUT!A1323="","",RAW_INPUT!A1323)</f>
        <v/>
      </c>
      <c r="B1322" t="str">
        <f>IF(RAW_INPUT!A1323="","",RAW_INPUT!E1323)</f>
        <v/>
      </c>
      <c r="C1322" t="str">
        <f>IF(RAW_INPUT!A1323="","",RAW_INPUT!F1323)</f>
        <v/>
      </c>
    </row>
    <row r="1323" spans="1:3" x14ac:dyDescent="0.25">
      <c r="A1323" t="str">
        <f>IF(RAW_INPUT!A1324="","",RAW_INPUT!A1324)</f>
        <v/>
      </c>
      <c r="B1323" t="str">
        <f>IF(RAW_INPUT!A1324="","",RAW_INPUT!E1324)</f>
        <v/>
      </c>
      <c r="C1323" t="str">
        <f>IF(RAW_INPUT!A1324="","",RAW_INPUT!F1324)</f>
        <v/>
      </c>
    </row>
    <row r="1324" spans="1:3" x14ac:dyDescent="0.25">
      <c r="A1324" t="str">
        <f>IF(RAW_INPUT!A1325="","",RAW_INPUT!A1325)</f>
        <v/>
      </c>
      <c r="B1324" t="str">
        <f>IF(RAW_INPUT!A1325="","",RAW_INPUT!E1325)</f>
        <v/>
      </c>
      <c r="C1324" t="str">
        <f>IF(RAW_INPUT!A1325="","",RAW_INPUT!F1325)</f>
        <v/>
      </c>
    </row>
    <row r="1325" spans="1:3" x14ac:dyDescent="0.25">
      <c r="A1325" t="str">
        <f>IF(RAW_INPUT!A1326="","",RAW_INPUT!A1326)</f>
        <v/>
      </c>
      <c r="B1325" t="str">
        <f>IF(RAW_INPUT!A1326="","",RAW_INPUT!E1326)</f>
        <v/>
      </c>
      <c r="C1325" t="str">
        <f>IF(RAW_INPUT!A1326="","",RAW_INPUT!F1326)</f>
        <v/>
      </c>
    </row>
    <row r="1326" spans="1:3" x14ac:dyDescent="0.25">
      <c r="A1326" t="str">
        <f>IF(RAW_INPUT!A1327="","",RAW_INPUT!A1327)</f>
        <v/>
      </c>
      <c r="B1326" t="str">
        <f>IF(RAW_INPUT!A1327="","",RAW_INPUT!E1327)</f>
        <v/>
      </c>
      <c r="C1326" t="str">
        <f>IF(RAW_INPUT!A1327="","",RAW_INPUT!F1327)</f>
        <v/>
      </c>
    </row>
    <row r="1327" spans="1:3" x14ac:dyDescent="0.25">
      <c r="A1327" t="str">
        <f>IF(RAW_INPUT!A1328="","",RAW_INPUT!A1328)</f>
        <v/>
      </c>
      <c r="B1327" t="str">
        <f>IF(RAW_INPUT!A1328="","",RAW_INPUT!E1328)</f>
        <v/>
      </c>
      <c r="C1327" t="str">
        <f>IF(RAW_INPUT!A1328="","",RAW_INPUT!F1328)</f>
        <v/>
      </c>
    </row>
    <row r="1328" spans="1:3" x14ac:dyDescent="0.25">
      <c r="A1328" t="str">
        <f>IF(RAW_INPUT!A1329="","",RAW_INPUT!A1329)</f>
        <v/>
      </c>
      <c r="B1328" t="str">
        <f>IF(RAW_INPUT!A1329="","",RAW_INPUT!E1329)</f>
        <v/>
      </c>
      <c r="C1328" t="str">
        <f>IF(RAW_INPUT!A1329="","",RAW_INPUT!F1329)</f>
        <v/>
      </c>
    </row>
    <row r="1329" spans="1:3" x14ac:dyDescent="0.25">
      <c r="A1329" t="str">
        <f>IF(RAW_INPUT!A1330="","",RAW_INPUT!A1330)</f>
        <v/>
      </c>
      <c r="B1329" t="str">
        <f>IF(RAW_INPUT!A1330="","",RAW_INPUT!E1330)</f>
        <v/>
      </c>
      <c r="C1329" t="str">
        <f>IF(RAW_INPUT!A1330="","",RAW_INPUT!F1330)</f>
        <v/>
      </c>
    </row>
    <row r="1330" spans="1:3" x14ac:dyDescent="0.25">
      <c r="A1330" t="str">
        <f>IF(RAW_INPUT!A1331="","",RAW_INPUT!A1331)</f>
        <v/>
      </c>
      <c r="B1330" t="str">
        <f>IF(RAW_INPUT!A1331="","",RAW_INPUT!E1331)</f>
        <v/>
      </c>
      <c r="C1330" t="str">
        <f>IF(RAW_INPUT!A1331="","",RAW_INPUT!F1331)</f>
        <v/>
      </c>
    </row>
    <row r="1331" spans="1:3" x14ac:dyDescent="0.25">
      <c r="A1331" t="str">
        <f>IF(RAW_INPUT!A1332="","",RAW_INPUT!A1332)</f>
        <v/>
      </c>
      <c r="B1331" t="str">
        <f>IF(RAW_INPUT!A1332="","",RAW_INPUT!E1332)</f>
        <v/>
      </c>
      <c r="C1331" t="str">
        <f>IF(RAW_INPUT!A1332="","",RAW_INPUT!F1332)</f>
        <v/>
      </c>
    </row>
    <row r="1332" spans="1:3" x14ac:dyDescent="0.25">
      <c r="A1332" t="str">
        <f>IF(RAW_INPUT!A1333="","",RAW_INPUT!A1333)</f>
        <v/>
      </c>
      <c r="B1332" t="str">
        <f>IF(RAW_INPUT!A1333="","",RAW_INPUT!E1333)</f>
        <v/>
      </c>
      <c r="C1332" t="str">
        <f>IF(RAW_INPUT!A1333="","",RAW_INPUT!F1333)</f>
        <v/>
      </c>
    </row>
    <row r="1333" spans="1:3" x14ac:dyDescent="0.25">
      <c r="A1333" t="str">
        <f>IF(RAW_INPUT!A1334="","",RAW_INPUT!A1334)</f>
        <v/>
      </c>
      <c r="B1333" t="str">
        <f>IF(RAW_INPUT!A1334="","",RAW_INPUT!E1334)</f>
        <v/>
      </c>
      <c r="C1333" t="str">
        <f>IF(RAW_INPUT!A1334="","",RAW_INPUT!F1334)</f>
        <v/>
      </c>
    </row>
    <row r="1334" spans="1:3" x14ac:dyDescent="0.25">
      <c r="A1334" t="str">
        <f>IF(RAW_INPUT!A1335="","",RAW_INPUT!A1335)</f>
        <v/>
      </c>
      <c r="B1334" t="str">
        <f>IF(RAW_INPUT!A1335="","",RAW_INPUT!E1335)</f>
        <v/>
      </c>
      <c r="C1334" t="str">
        <f>IF(RAW_INPUT!A1335="","",RAW_INPUT!F1335)</f>
        <v/>
      </c>
    </row>
    <row r="1335" spans="1:3" x14ac:dyDescent="0.25">
      <c r="A1335" t="str">
        <f>IF(RAW_INPUT!A1336="","",RAW_INPUT!A1336)</f>
        <v/>
      </c>
      <c r="B1335" t="str">
        <f>IF(RAW_INPUT!A1336="","",RAW_INPUT!E1336)</f>
        <v/>
      </c>
      <c r="C1335" t="str">
        <f>IF(RAW_INPUT!A1336="","",RAW_INPUT!F1336)</f>
        <v/>
      </c>
    </row>
    <row r="1336" spans="1:3" x14ac:dyDescent="0.25">
      <c r="A1336" t="str">
        <f>IF(RAW_INPUT!A1337="","",RAW_INPUT!A1337)</f>
        <v/>
      </c>
      <c r="B1336" t="str">
        <f>IF(RAW_INPUT!A1337="","",RAW_INPUT!E1337)</f>
        <v/>
      </c>
      <c r="C1336" t="str">
        <f>IF(RAW_INPUT!A1337="","",RAW_INPUT!F1337)</f>
        <v/>
      </c>
    </row>
    <row r="1337" spans="1:3" x14ac:dyDescent="0.25">
      <c r="A1337" t="str">
        <f>IF(RAW_INPUT!A1338="","",RAW_INPUT!A1338)</f>
        <v/>
      </c>
      <c r="B1337" t="str">
        <f>IF(RAW_INPUT!A1338="","",RAW_INPUT!E1338)</f>
        <v/>
      </c>
      <c r="C1337" t="str">
        <f>IF(RAW_INPUT!A1338="","",RAW_INPUT!F1338)</f>
        <v/>
      </c>
    </row>
    <row r="1338" spans="1:3" x14ac:dyDescent="0.25">
      <c r="A1338" t="str">
        <f>IF(RAW_INPUT!A1339="","",RAW_INPUT!A1339)</f>
        <v/>
      </c>
      <c r="B1338" t="str">
        <f>IF(RAW_INPUT!A1339="","",RAW_INPUT!E1339)</f>
        <v/>
      </c>
      <c r="C1338" t="str">
        <f>IF(RAW_INPUT!A1339="","",RAW_INPUT!F1339)</f>
        <v/>
      </c>
    </row>
    <row r="1339" spans="1:3" x14ac:dyDescent="0.25">
      <c r="A1339" t="str">
        <f>IF(RAW_INPUT!A1340="","",RAW_INPUT!A1340)</f>
        <v/>
      </c>
      <c r="B1339" t="str">
        <f>IF(RAW_INPUT!A1340="","",RAW_INPUT!E1340)</f>
        <v/>
      </c>
      <c r="C1339" t="str">
        <f>IF(RAW_INPUT!A1340="","",RAW_INPUT!F1340)</f>
        <v/>
      </c>
    </row>
    <row r="1340" spans="1:3" x14ac:dyDescent="0.25">
      <c r="A1340" t="str">
        <f>IF(RAW_INPUT!A1341="","",RAW_INPUT!A1341)</f>
        <v/>
      </c>
      <c r="B1340" t="str">
        <f>IF(RAW_INPUT!A1341="","",RAW_INPUT!E1341)</f>
        <v/>
      </c>
      <c r="C1340" t="str">
        <f>IF(RAW_INPUT!A1341="","",RAW_INPUT!F1341)</f>
        <v/>
      </c>
    </row>
    <row r="1341" spans="1:3" x14ac:dyDescent="0.25">
      <c r="A1341" t="str">
        <f>IF(RAW_INPUT!A1342="","",RAW_INPUT!A1342)</f>
        <v/>
      </c>
      <c r="B1341" t="str">
        <f>IF(RAW_INPUT!A1342="","",RAW_INPUT!E1342)</f>
        <v/>
      </c>
      <c r="C1341" t="str">
        <f>IF(RAW_INPUT!A1342="","",RAW_INPUT!F1342)</f>
        <v/>
      </c>
    </row>
    <row r="1342" spans="1:3" x14ac:dyDescent="0.25">
      <c r="A1342" t="str">
        <f>IF(RAW_INPUT!A1343="","",RAW_INPUT!A1343)</f>
        <v/>
      </c>
      <c r="B1342" t="str">
        <f>IF(RAW_INPUT!A1343="","",RAW_INPUT!E1343)</f>
        <v/>
      </c>
      <c r="C1342" t="str">
        <f>IF(RAW_INPUT!A1343="","",RAW_INPUT!F1343)</f>
        <v/>
      </c>
    </row>
    <row r="1343" spans="1:3" x14ac:dyDescent="0.25">
      <c r="A1343" t="str">
        <f>IF(RAW_INPUT!A1344="","",RAW_INPUT!A1344)</f>
        <v/>
      </c>
      <c r="B1343" t="str">
        <f>IF(RAW_INPUT!A1344="","",RAW_INPUT!E1344)</f>
        <v/>
      </c>
      <c r="C1343" t="str">
        <f>IF(RAW_INPUT!A1344="","",RAW_INPUT!F1344)</f>
        <v/>
      </c>
    </row>
    <row r="1344" spans="1:3" x14ac:dyDescent="0.25">
      <c r="A1344" t="str">
        <f>IF(RAW_INPUT!A1345="","",RAW_INPUT!A1345)</f>
        <v/>
      </c>
      <c r="B1344" t="str">
        <f>IF(RAW_INPUT!A1345="","",RAW_INPUT!E1345)</f>
        <v/>
      </c>
      <c r="C1344" t="str">
        <f>IF(RAW_INPUT!A1345="","",RAW_INPUT!F1345)</f>
        <v/>
      </c>
    </row>
    <row r="1345" spans="1:3" x14ac:dyDescent="0.25">
      <c r="A1345" t="str">
        <f>IF(RAW_INPUT!A1346="","",RAW_INPUT!A1346)</f>
        <v/>
      </c>
      <c r="B1345" t="str">
        <f>IF(RAW_INPUT!A1346="","",RAW_INPUT!E1346)</f>
        <v/>
      </c>
      <c r="C1345" t="str">
        <f>IF(RAW_INPUT!A1346="","",RAW_INPUT!F1346)</f>
        <v/>
      </c>
    </row>
    <row r="1346" spans="1:3" x14ac:dyDescent="0.25">
      <c r="A1346" t="str">
        <f>IF(RAW_INPUT!A1347="","",RAW_INPUT!A1347)</f>
        <v/>
      </c>
      <c r="B1346" t="str">
        <f>IF(RAW_INPUT!A1347="","",RAW_INPUT!E1347)</f>
        <v/>
      </c>
      <c r="C1346" t="str">
        <f>IF(RAW_INPUT!A1347="","",RAW_INPUT!F1347)</f>
        <v/>
      </c>
    </row>
    <row r="1347" spans="1:3" x14ac:dyDescent="0.25">
      <c r="A1347" t="str">
        <f>IF(RAW_INPUT!A1348="","",RAW_INPUT!A1348)</f>
        <v/>
      </c>
      <c r="B1347" t="str">
        <f>IF(RAW_INPUT!A1348="","",RAW_INPUT!E1348)</f>
        <v/>
      </c>
      <c r="C1347" t="str">
        <f>IF(RAW_INPUT!A1348="","",RAW_INPUT!F1348)</f>
        <v/>
      </c>
    </row>
    <row r="1348" spans="1:3" x14ac:dyDescent="0.25">
      <c r="A1348" t="str">
        <f>IF(RAW_INPUT!A1349="","",RAW_INPUT!A1349)</f>
        <v/>
      </c>
      <c r="B1348" t="str">
        <f>IF(RAW_INPUT!A1349="","",RAW_INPUT!E1349)</f>
        <v/>
      </c>
      <c r="C1348" t="str">
        <f>IF(RAW_INPUT!A1349="","",RAW_INPUT!F1349)</f>
        <v/>
      </c>
    </row>
    <row r="1349" spans="1:3" x14ac:dyDescent="0.25">
      <c r="A1349" t="str">
        <f>IF(RAW_INPUT!A1350="","",RAW_INPUT!A1350)</f>
        <v/>
      </c>
      <c r="B1349" t="str">
        <f>IF(RAW_INPUT!A1350="","",RAW_INPUT!E1350)</f>
        <v/>
      </c>
      <c r="C1349" t="str">
        <f>IF(RAW_INPUT!A1350="","",RAW_INPUT!F1350)</f>
        <v/>
      </c>
    </row>
    <row r="1350" spans="1:3" x14ac:dyDescent="0.25">
      <c r="A1350" t="str">
        <f>IF(RAW_INPUT!A1351="","",RAW_INPUT!A1351)</f>
        <v/>
      </c>
      <c r="B1350" t="str">
        <f>IF(RAW_INPUT!A1351="","",RAW_INPUT!E1351)</f>
        <v/>
      </c>
      <c r="C1350" t="str">
        <f>IF(RAW_INPUT!A1351="","",RAW_INPUT!F1351)</f>
        <v/>
      </c>
    </row>
    <row r="1351" spans="1:3" x14ac:dyDescent="0.25">
      <c r="A1351" t="str">
        <f>IF(RAW_INPUT!A1352="","",RAW_INPUT!A1352)</f>
        <v/>
      </c>
      <c r="B1351" t="str">
        <f>IF(RAW_INPUT!A1352="","",RAW_INPUT!E1352)</f>
        <v/>
      </c>
      <c r="C1351" t="str">
        <f>IF(RAW_INPUT!A1352="","",RAW_INPUT!F1352)</f>
        <v/>
      </c>
    </row>
    <row r="1352" spans="1:3" x14ac:dyDescent="0.25">
      <c r="A1352" t="str">
        <f>IF(RAW_INPUT!A1353="","",RAW_INPUT!A1353)</f>
        <v/>
      </c>
      <c r="B1352" t="str">
        <f>IF(RAW_INPUT!A1353="","",RAW_INPUT!E1353)</f>
        <v/>
      </c>
      <c r="C1352" t="str">
        <f>IF(RAW_INPUT!A1353="","",RAW_INPUT!F1353)</f>
        <v/>
      </c>
    </row>
    <row r="1353" spans="1:3" x14ac:dyDescent="0.25">
      <c r="A1353" t="str">
        <f>IF(RAW_INPUT!A1354="","",RAW_INPUT!A1354)</f>
        <v/>
      </c>
      <c r="B1353" t="str">
        <f>IF(RAW_INPUT!A1354="","",RAW_INPUT!E1354)</f>
        <v/>
      </c>
      <c r="C1353" t="str">
        <f>IF(RAW_INPUT!A1354="","",RAW_INPUT!F1354)</f>
        <v/>
      </c>
    </row>
    <row r="1354" spans="1:3" x14ac:dyDescent="0.25">
      <c r="A1354" t="str">
        <f>IF(RAW_INPUT!A1355="","",RAW_INPUT!A1355)</f>
        <v/>
      </c>
      <c r="B1354" t="str">
        <f>IF(RAW_INPUT!A1355="","",RAW_INPUT!E1355)</f>
        <v/>
      </c>
      <c r="C1354" t="str">
        <f>IF(RAW_INPUT!A1355="","",RAW_INPUT!F1355)</f>
        <v/>
      </c>
    </row>
    <row r="1355" spans="1:3" x14ac:dyDescent="0.25">
      <c r="A1355" t="str">
        <f>IF(RAW_INPUT!A1356="","",RAW_INPUT!A1356)</f>
        <v/>
      </c>
      <c r="B1355" t="str">
        <f>IF(RAW_INPUT!A1356="","",RAW_INPUT!E1356)</f>
        <v/>
      </c>
      <c r="C1355" t="str">
        <f>IF(RAW_INPUT!A1356="","",RAW_INPUT!F1356)</f>
        <v/>
      </c>
    </row>
    <row r="1356" spans="1:3" x14ac:dyDescent="0.25">
      <c r="A1356" t="str">
        <f>IF(RAW_INPUT!A1357="","",RAW_INPUT!A1357)</f>
        <v/>
      </c>
      <c r="B1356" t="str">
        <f>IF(RAW_INPUT!A1357="","",RAW_INPUT!E1357)</f>
        <v/>
      </c>
      <c r="C1356" t="str">
        <f>IF(RAW_INPUT!A1357="","",RAW_INPUT!F1357)</f>
        <v/>
      </c>
    </row>
    <row r="1357" spans="1:3" x14ac:dyDescent="0.25">
      <c r="A1357" t="str">
        <f>IF(RAW_INPUT!A1358="","",RAW_INPUT!A1358)</f>
        <v/>
      </c>
      <c r="B1357" t="str">
        <f>IF(RAW_INPUT!A1358="","",RAW_INPUT!E1358)</f>
        <v/>
      </c>
      <c r="C1357" t="str">
        <f>IF(RAW_INPUT!A1358="","",RAW_INPUT!F1358)</f>
        <v/>
      </c>
    </row>
    <row r="1358" spans="1:3" x14ac:dyDescent="0.25">
      <c r="A1358" t="str">
        <f>IF(RAW_INPUT!A1359="","",RAW_INPUT!A1359)</f>
        <v/>
      </c>
      <c r="B1358" t="str">
        <f>IF(RAW_INPUT!A1359="","",RAW_INPUT!E1359)</f>
        <v/>
      </c>
      <c r="C1358" t="str">
        <f>IF(RAW_INPUT!A1359="","",RAW_INPUT!F1359)</f>
        <v/>
      </c>
    </row>
    <row r="1359" spans="1:3" x14ac:dyDescent="0.25">
      <c r="A1359" t="str">
        <f>IF(RAW_INPUT!A1360="","",RAW_INPUT!A1360)</f>
        <v/>
      </c>
      <c r="B1359" t="str">
        <f>IF(RAW_INPUT!A1360="","",RAW_INPUT!E1360)</f>
        <v/>
      </c>
      <c r="C1359" t="str">
        <f>IF(RAW_INPUT!A1360="","",RAW_INPUT!F1360)</f>
        <v/>
      </c>
    </row>
    <row r="1360" spans="1:3" x14ac:dyDescent="0.25">
      <c r="A1360" t="str">
        <f>IF(RAW_INPUT!A1361="","",RAW_INPUT!A1361)</f>
        <v/>
      </c>
      <c r="B1360" t="str">
        <f>IF(RAW_INPUT!A1361="","",RAW_INPUT!E1361)</f>
        <v/>
      </c>
      <c r="C1360" t="str">
        <f>IF(RAW_INPUT!A1361="","",RAW_INPUT!F1361)</f>
        <v/>
      </c>
    </row>
    <row r="1361" spans="1:3" x14ac:dyDescent="0.25">
      <c r="A1361" t="str">
        <f>IF(RAW_INPUT!A1362="","",RAW_INPUT!A1362)</f>
        <v/>
      </c>
      <c r="B1361" t="str">
        <f>IF(RAW_INPUT!A1362="","",RAW_INPUT!E1362)</f>
        <v/>
      </c>
      <c r="C1361" t="str">
        <f>IF(RAW_INPUT!A1362="","",RAW_INPUT!F1362)</f>
        <v/>
      </c>
    </row>
    <row r="1362" spans="1:3" x14ac:dyDescent="0.25">
      <c r="A1362" t="str">
        <f>IF(RAW_INPUT!A1363="","",RAW_INPUT!A1363)</f>
        <v/>
      </c>
      <c r="B1362" t="str">
        <f>IF(RAW_INPUT!A1363="","",RAW_INPUT!E1363)</f>
        <v/>
      </c>
      <c r="C1362" t="str">
        <f>IF(RAW_INPUT!A1363="","",RAW_INPUT!F1363)</f>
        <v/>
      </c>
    </row>
    <row r="1363" spans="1:3" x14ac:dyDescent="0.25">
      <c r="A1363" t="str">
        <f>IF(RAW_INPUT!A1364="","",RAW_INPUT!A1364)</f>
        <v/>
      </c>
      <c r="B1363" t="str">
        <f>IF(RAW_INPUT!A1364="","",RAW_INPUT!E1364)</f>
        <v/>
      </c>
      <c r="C1363" t="str">
        <f>IF(RAW_INPUT!A1364="","",RAW_INPUT!F1364)</f>
        <v/>
      </c>
    </row>
    <row r="1364" spans="1:3" x14ac:dyDescent="0.25">
      <c r="A1364" t="str">
        <f>IF(RAW_INPUT!A1365="","",RAW_INPUT!A1365)</f>
        <v/>
      </c>
      <c r="B1364" t="str">
        <f>IF(RAW_INPUT!A1365="","",RAW_INPUT!E1365)</f>
        <v/>
      </c>
      <c r="C1364" t="str">
        <f>IF(RAW_INPUT!A1365="","",RAW_INPUT!F1365)</f>
        <v/>
      </c>
    </row>
    <row r="1365" spans="1:3" x14ac:dyDescent="0.25">
      <c r="A1365" t="str">
        <f>IF(RAW_INPUT!A1366="","",RAW_INPUT!A1366)</f>
        <v/>
      </c>
      <c r="B1365" t="str">
        <f>IF(RAW_INPUT!A1366="","",RAW_INPUT!E1366)</f>
        <v/>
      </c>
      <c r="C1365" t="str">
        <f>IF(RAW_INPUT!A1366="","",RAW_INPUT!F1366)</f>
        <v/>
      </c>
    </row>
    <row r="1366" spans="1:3" x14ac:dyDescent="0.25">
      <c r="A1366" t="str">
        <f>IF(RAW_INPUT!A1367="","",RAW_INPUT!A1367)</f>
        <v/>
      </c>
      <c r="B1366" t="str">
        <f>IF(RAW_INPUT!A1367="","",RAW_INPUT!E1367)</f>
        <v/>
      </c>
      <c r="C1366" t="str">
        <f>IF(RAW_INPUT!A1367="","",RAW_INPUT!F1367)</f>
        <v/>
      </c>
    </row>
    <row r="1367" spans="1:3" x14ac:dyDescent="0.25">
      <c r="A1367" t="str">
        <f>IF(RAW_INPUT!A1368="","",RAW_INPUT!A1368)</f>
        <v/>
      </c>
      <c r="B1367" t="str">
        <f>IF(RAW_INPUT!A1368="","",RAW_INPUT!E1368)</f>
        <v/>
      </c>
      <c r="C1367" t="str">
        <f>IF(RAW_INPUT!A1368="","",RAW_INPUT!F1368)</f>
        <v/>
      </c>
    </row>
    <row r="1368" spans="1:3" x14ac:dyDescent="0.25">
      <c r="A1368" t="str">
        <f>IF(RAW_INPUT!A1369="","",RAW_INPUT!A1369)</f>
        <v/>
      </c>
      <c r="B1368" t="str">
        <f>IF(RAW_INPUT!A1369="","",RAW_INPUT!E1369)</f>
        <v/>
      </c>
      <c r="C1368" t="str">
        <f>IF(RAW_INPUT!A1369="","",RAW_INPUT!F1369)</f>
        <v/>
      </c>
    </row>
    <row r="1369" spans="1:3" x14ac:dyDescent="0.25">
      <c r="A1369" t="str">
        <f>IF(RAW_INPUT!A1370="","",RAW_INPUT!A1370)</f>
        <v/>
      </c>
      <c r="B1369" t="str">
        <f>IF(RAW_INPUT!A1370="","",RAW_INPUT!E1370)</f>
        <v/>
      </c>
      <c r="C1369" t="str">
        <f>IF(RAW_INPUT!A1370="","",RAW_INPUT!F1370)</f>
        <v/>
      </c>
    </row>
    <row r="1370" spans="1:3" x14ac:dyDescent="0.25">
      <c r="A1370" t="str">
        <f>IF(RAW_INPUT!A1371="","",RAW_INPUT!A1371)</f>
        <v/>
      </c>
      <c r="B1370" t="str">
        <f>IF(RAW_INPUT!A1371="","",RAW_INPUT!E1371)</f>
        <v/>
      </c>
      <c r="C1370" t="str">
        <f>IF(RAW_INPUT!A1371="","",RAW_INPUT!F1371)</f>
        <v/>
      </c>
    </row>
    <row r="1371" spans="1:3" x14ac:dyDescent="0.25">
      <c r="A1371" t="str">
        <f>IF(RAW_INPUT!A1372="","",RAW_INPUT!A1372)</f>
        <v/>
      </c>
      <c r="B1371" t="str">
        <f>IF(RAW_INPUT!A1372="","",RAW_INPUT!E1372)</f>
        <v/>
      </c>
      <c r="C1371" t="str">
        <f>IF(RAW_INPUT!A1372="","",RAW_INPUT!F1372)</f>
        <v/>
      </c>
    </row>
    <row r="1372" spans="1:3" x14ac:dyDescent="0.25">
      <c r="A1372" t="str">
        <f>IF(RAW_INPUT!A1373="","",RAW_INPUT!A1373)</f>
        <v/>
      </c>
      <c r="B1372" t="str">
        <f>IF(RAW_INPUT!A1373="","",RAW_INPUT!E1373)</f>
        <v/>
      </c>
      <c r="C1372" t="str">
        <f>IF(RAW_INPUT!A1373="","",RAW_INPUT!F1373)</f>
        <v/>
      </c>
    </row>
    <row r="1373" spans="1:3" x14ac:dyDescent="0.25">
      <c r="A1373" t="str">
        <f>IF(RAW_INPUT!A1374="","",RAW_INPUT!A1374)</f>
        <v/>
      </c>
      <c r="B1373" t="str">
        <f>IF(RAW_INPUT!A1374="","",RAW_INPUT!E1374)</f>
        <v/>
      </c>
      <c r="C1373" t="str">
        <f>IF(RAW_INPUT!A1374="","",RAW_INPUT!F1374)</f>
        <v/>
      </c>
    </row>
    <row r="1374" spans="1:3" x14ac:dyDescent="0.25">
      <c r="A1374" t="str">
        <f>IF(RAW_INPUT!A1375="","",RAW_INPUT!A1375)</f>
        <v/>
      </c>
      <c r="B1374" t="str">
        <f>IF(RAW_INPUT!A1375="","",RAW_INPUT!E1375)</f>
        <v/>
      </c>
      <c r="C1374" t="str">
        <f>IF(RAW_INPUT!A1375="","",RAW_INPUT!F1375)</f>
        <v/>
      </c>
    </row>
    <row r="1375" spans="1:3" x14ac:dyDescent="0.25">
      <c r="A1375" t="str">
        <f>IF(RAW_INPUT!A1376="","",RAW_INPUT!A1376)</f>
        <v/>
      </c>
      <c r="B1375" t="str">
        <f>IF(RAW_INPUT!A1376="","",RAW_INPUT!E1376)</f>
        <v/>
      </c>
      <c r="C1375" t="str">
        <f>IF(RAW_INPUT!A1376="","",RAW_INPUT!F1376)</f>
        <v/>
      </c>
    </row>
    <row r="1376" spans="1:3" x14ac:dyDescent="0.25">
      <c r="A1376" t="str">
        <f>IF(RAW_INPUT!A1377="","",RAW_INPUT!A1377)</f>
        <v/>
      </c>
      <c r="B1376" t="str">
        <f>IF(RAW_INPUT!A1377="","",RAW_INPUT!E1377)</f>
        <v/>
      </c>
      <c r="C1376" t="str">
        <f>IF(RAW_INPUT!A1377="","",RAW_INPUT!F1377)</f>
        <v/>
      </c>
    </row>
    <row r="1377" spans="1:3" x14ac:dyDescent="0.25">
      <c r="A1377" t="str">
        <f>IF(RAW_INPUT!A1378="","",RAW_INPUT!A1378)</f>
        <v/>
      </c>
      <c r="B1377" t="str">
        <f>IF(RAW_INPUT!A1378="","",RAW_INPUT!E1378)</f>
        <v/>
      </c>
      <c r="C1377" t="str">
        <f>IF(RAW_INPUT!A1378="","",RAW_INPUT!F1378)</f>
        <v/>
      </c>
    </row>
    <row r="1378" spans="1:3" x14ac:dyDescent="0.25">
      <c r="A1378" t="str">
        <f>IF(RAW_INPUT!A1379="","",RAW_INPUT!A1379)</f>
        <v/>
      </c>
      <c r="B1378" t="str">
        <f>IF(RAW_INPUT!A1379="","",RAW_INPUT!E1379)</f>
        <v/>
      </c>
      <c r="C1378" t="str">
        <f>IF(RAW_INPUT!A1379="","",RAW_INPUT!F1379)</f>
        <v/>
      </c>
    </row>
    <row r="1379" spans="1:3" x14ac:dyDescent="0.25">
      <c r="A1379" t="str">
        <f>IF(RAW_INPUT!A1380="","",RAW_INPUT!A1380)</f>
        <v/>
      </c>
      <c r="B1379" t="str">
        <f>IF(RAW_INPUT!A1380="","",RAW_INPUT!E1380)</f>
        <v/>
      </c>
      <c r="C1379" t="str">
        <f>IF(RAW_INPUT!A1380="","",RAW_INPUT!F1380)</f>
        <v/>
      </c>
    </row>
    <row r="1380" spans="1:3" x14ac:dyDescent="0.25">
      <c r="A1380" t="str">
        <f>IF(RAW_INPUT!A1381="","",RAW_INPUT!A1381)</f>
        <v/>
      </c>
      <c r="B1380" t="str">
        <f>IF(RAW_INPUT!A1381="","",RAW_INPUT!E1381)</f>
        <v/>
      </c>
      <c r="C1380" t="str">
        <f>IF(RAW_INPUT!A1381="","",RAW_INPUT!F1381)</f>
        <v/>
      </c>
    </row>
    <row r="1381" spans="1:3" x14ac:dyDescent="0.25">
      <c r="A1381" t="str">
        <f>IF(RAW_INPUT!A1382="","",RAW_INPUT!A1382)</f>
        <v/>
      </c>
      <c r="B1381" t="str">
        <f>IF(RAW_INPUT!A1382="","",RAW_INPUT!E1382)</f>
        <v/>
      </c>
      <c r="C1381" t="str">
        <f>IF(RAW_INPUT!A1382="","",RAW_INPUT!F1382)</f>
        <v/>
      </c>
    </row>
    <row r="1382" spans="1:3" x14ac:dyDescent="0.25">
      <c r="A1382" t="str">
        <f>IF(RAW_INPUT!A1383="","",RAW_INPUT!A1383)</f>
        <v/>
      </c>
      <c r="B1382" t="str">
        <f>IF(RAW_INPUT!A1383="","",RAW_INPUT!E1383)</f>
        <v/>
      </c>
      <c r="C1382" t="str">
        <f>IF(RAW_INPUT!A1383="","",RAW_INPUT!F1383)</f>
        <v/>
      </c>
    </row>
    <row r="1383" spans="1:3" x14ac:dyDescent="0.25">
      <c r="A1383" t="str">
        <f>IF(RAW_INPUT!A1384="","",RAW_INPUT!A1384)</f>
        <v/>
      </c>
      <c r="B1383" t="str">
        <f>IF(RAW_INPUT!A1384="","",RAW_INPUT!E1384)</f>
        <v/>
      </c>
      <c r="C1383" t="str">
        <f>IF(RAW_INPUT!A1384="","",RAW_INPUT!F1384)</f>
        <v/>
      </c>
    </row>
    <row r="1384" spans="1:3" x14ac:dyDescent="0.25">
      <c r="A1384" t="str">
        <f>IF(RAW_INPUT!A1385="","",RAW_INPUT!A1385)</f>
        <v/>
      </c>
      <c r="B1384" t="str">
        <f>IF(RAW_INPUT!A1385="","",RAW_INPUT!E1385)</f>
        <v/>
      </c>
      <c r="C1384" t="str">
        <f>IF(RAW_INPUT!A1385="","",RAW_INPUT!F1385)</f>
        <v/>
      </c>
    </row>
    <row r="1385" spans="1:3" x14ac:dyDescent="0.25">
      <c r="A1385" t="str">
        <f>IF(RAW_INPUT!A1386="","",RAW_INPUT!A1386)</f>
        <v/>
      </c>
      <c r="B1385" t="str">
        <f>IF(RAW_INPUT!A1386="","",RAW_INPUT!E1386)</f>
        <v/>
      </c>
      <c r="C1385" t="str">
        <f>IF(RAW_INPUT!A1386="","",RAW_INPUT!F1386)</f>
        <v/>
      </c>
    </row>
    <row r="1386" spans="1:3" x14ac:dyDescent="0.25">
      <c r="A1386" t="str">
        <f>IF(RAW_INPUT!A1387="","",RAW_INPUT!A1387)</f>
        <v/>
      </c>
      <c r="B1386" t="str">
        <f>IF(RAW_INPUT!A1387="","",RAW_INPUT!E1387)</f>
        <v/>
      </c>
      <c r="C1386" t="str">
        <f>IF(RAW_INPUT!A1387="","",RAW_INPUT!F1387)</f>
        <v/>
      </c>
    </row>
    <row r="1387" spans="1:3" x14ac:dyDescent="0.25">
      <c r="A1387" t="str">
        <f>IF(RAW_INPUT!A1388="","",RAW_INPUT!A1388)</f>
        <v/>
      </c>
      <c r="B1387" t="str">
        <f>IF(RAW_INPUT!A1388="","",RAW_INPUT!E1388)</f>
        <v/>
      </c>
      <c r="C1387" t="str">
        <f>IF(RAW_INPUT!A1388="","",RAW_INPUT!F1388)</f>
        <v/>
      </c>
    </row>
    <row r="1388" spans="1:3" x14ac:dyDescent="0.25">
      <c r="A1388" t="str">
        <f>IF(RAW_INPUT!A1389="","",RAW_INPUT!A1389)</f>
        <v/>
      </c>
      <c r="B1388" t="str">
        <f>IF(RAW_INPUT!A1389="","",RAW_INPUT!E1389)</f>
        <v/>
      </c>
      <c r="C1388" t="str">
        <f>IF(RAW_INPUT!A1389="","",RAW_INPUT!F1389)</f>
        <v/>
      </c>
    </row>
    <row r="1389" spans="1:3" x14ac:dyDescent="0.25">
      <c r="A1389" t="str">
        <f>IF(RAW_INPUT!A1390="","",RAW_INPUT!A1390)</f>
        <v/>
      </c>
      <c r="B1389" t="str">
        <f>IF(RAW_INPUT!A1390="","",RAW_INPUT!E1390)</f>
        <v/>
      </c>
      <c r="C1389" t="str">
        <f>IF(RAW_INPUT!A1390="","",RAW_INPUT!F1390)</f>
        <v/>
      </c>
    </row>
    <row r="1390" spans="1:3" x14ac:dyDescent="0.25">
      <c r="A1390" t="str">
        <f>IF(RAW_INPUT!A1391="","",RAW_INPUT!A1391)</f>
        <v/>
      </c>
      <c r="B1390" t="str">
        <f>IF(RAW_INPUT!A1391="","",RAW_INPUT!E1391)</f>
        <v/>
      </c>
      <c r="C1390" t="str">
        <f>IF(RAW_INPUT!A1391="","",RAW_INPUT!F1391)</f>
        <v/>
      </c>
    </row>
    <row r="1391" spans="1:3" x14ac:dyDescent="0.25">
      <c r="A1391" t="str">
        <f>IF(RAW_INPUT!A1392="","",RAW_INPUT!A1392)</f>
        <v/>
      </c>
      <c r="B1391" t="str">
        <f>IF(RAW_INPUT!A1392="","",RAW_INPUT!E1392)</f>
        <v/>
      </c>
      <c r="C1391" t="str">
        <f>IF(RAW_INPUT!A1392="","",RAW_INPUT!F1392)</f>
        <v/>
      </c>
    </row>
    <row r="1392" spans="1:3" x14ac:dyDescent="0.25">
      <c r="A1392" t="str">
        <f>IF(RAW_INPUT!A1393="","",RAW_INPUT!A1393)</f>
        <v/>
      </c>
      <c r="B1392" t="str">
        <f>IF(RAW_INPUT!A1393="","",RAW_INPUT!E1393)</f>
        <v/>
      </c>
      <c r="C1392" t="str">
        <f>IF(RAW_INPUT!A1393="","",RAW_INPUT!F1393)</f>
        <v/>
      </c>
    </row>
    <row r="1393" spans="1:3" x14ac:dyDescent="0.25">
      <c r="A1393" t="str">
        <f>IF(RAW_INPUT!A1394="","",RAW_INPUT!A1394)</f>
        <v/>
      </c>
      <c r="B1393" t="str">
        <f>IF(RAW_INPUT!A1394="","",RAW_INPUT!E1394)</f>
        <v/>
      </c>
      <c r="C1393" t="str">
        <f>IF(RAW_INPUT!A1394="","",RAW_INPUT!F1394)</f>
        <v/>
      </c>
    </row>
    <row r="1394" spans="1:3" x14ac:dyDescent="0.25">
      <c r="A1394" t="str">
        <f>IF(RAW_INPUT!A1395="","",RAW_INPUT!A1395)</f>
        <v/>
      </c>
      <c r="B1394" t="str">
        <f>IF(RAW_INPUT!A1395="","",RAW_INPUT!E1395)</f>
        <v/>
      </c>
      <c r="C1394" t="str">
        <f>IF(RAW_INPUT!A1395="","",RAW_INPUT!F1395)</f>
        <v/>
      </c>
    </row>
    <row r="1395" spans="1:3" x14ac:dyDescent="0.25">
      <c r="A1395" t="str">
        <f>IF(RAW_INPUT!A1396="","",RAW_INPUT!A1396)</f>
        <v/>
      </c>
      <c r="B1395" t="str">
        <f>IF(RAW_INPUT!A1396="","",RAW_INPUT!E1396)</f>
        <v/>
      </c>
      <c r="C1395" t="str">
        <f>IF(RAW_INPUT!A1396="","",RAW_INPUT!F1396)</f>
        <v/>
      </c>
    </row>
    <row r="1396" spans="1:3" x14ac:dyDescent="0.25">
      <c r="A1396" t="str">
        <f>IF(RAW_INPUT!A1397="","",RAW_INPUT!A1397)</f>
        <v/>
      </c>
      <c r="B1396" t="str">
        <f>IF(RAW_INPUT!A1397="","",RAW_INPUT!E1397)</f>
        <v/>
      </c>
      <c r="C1396" t="str">
        <f>IF(RAW_INPUT!A1397="","",RAW_INPUT!F1397)</f>
        <v/>
      </c>
    </row>
    <row r="1397" spans="1:3" x14ac:dyDescent="0.25">
      <c r="A1397" t="str">
        <f>IF(RAW_INPUT!A1398="","",RAW_INPUT!A1398)</f>
        <v/>
      </c>
      <c r="B1397" t="str">
        <f>IF(RAW_INPUT!A1398="","",RAW_INPUT!E1398)</f>
        <v/>
      </c>
      <c r="C1397" t="str">
        <f>IF(RAW_INPUT!A1398="","",RAW_INPUT!F1398)</f>
        <v/>
      </c>
    </row>
    <row r="1398" spans="1:3" x14ac:dyDescent="0.25">
      <c r="A1398" t="str">
        <f>IF(RAW_INPUT!A1399="","",RAW_INPUT!A1399)</f>
        <v/>
      </c>
      <c r="B1398" t="str">
        <f>IF(RAW_INPUT!A1399="","",RAW_INPUT!E1399)</f>
        <v/>
      </c>
      <c r="C1398" t="str">
        <f>IF(RAW_INPUT!A1399="","",RAW_INPUT!F1399)</f>
        <v/>
      </c>
    </row>
    <row r="1399" spans="1:3" x14ac:dyDescent="0.25">
      <c r="A1399" t="str">
        <f>IF(RAW_INPUT!A1400="","",RAW_INPUT!A1400)</f>
        <v/>
      </c>
      <c r="B1399" t="str">
        <f>IF(RAW_INPUT!A1400="","",RAW_INPUT!E1400)</f>
        <v/>
      </c>
      <c r="C1399" t="str">
        <f>IF(RAW_INPUT!A1400="","",RAW_INPUT!F1400)</f>
        <v/>
      </c>
    </row>
    <row r="1400" spans="1:3" x14ac:dyDescent="0.25">
      <c r="A1400" t="str">
        <f>IF(RAW_INPUT!A1401="","",RAW_INPUT!A1401)</f>
        <v/>
      </c>
      <c r="B1400" t="str">
        <f>IF(RAW_INPUT!A1401="","",RAW_INPUT!E1401)</f>
        <v/>
      </c>
      <c r="C1400" t="str">
        <f>IF(RAW_INPUT!A1401="","",RAW_INPUT!F1401)</f>
        <v/>
      </c>
    </row>
    <row r="1401" spans="1:3" x14ac:dyDescent="0.25">
      <c r="A1401" t="str">
        <f>IF(RAW_INPUT!A1402="","",RAW_INPUT!A1402)</f>
        <v/>
      </c>
      <c r="B1401" t="str">
        <f>IF(RAW_INPUT!A1402="","",RAW_INPUT!E1402)</f>
        <v/>
      </c>
      <c r="C1401" t="str">
        <f>IF(RAW_INPUT!A1402="","",RAW_INPUT!F1402)</f>
        <v/>
      </c>
    </row>
    <row r="1402" spans="1:3" x14ac:dyDescent="0.25">
      <c r="A1402" t="str">
        <f>IF(RAW_INPUT!A1403="","",RAW_INPUT!A1403)</f>
        <v/>
      </c>
      <c r="B1402" t="str">
        <f>IF(RAW_INPUT!A1403="","",RAW_INPUT!E1403)</f>
        <v/>
      </c>
      <c r="C1402" t="str">
        <f>IF(RAW_INPUT!A1403="","",RAW_INPUT!F1403)</f>
        <v/>
      </c>
    </row>
    <row r="1403" spans="1:3" x14ac:dyDescent="0.25">
      <c r="A1403" t="str">
        <f>IF(RAW_INPUT!A1404="","",RAW_INPUT!A1404)</f>
        <v/>
      </c>
      <c r="B1403" t="str">
        <f>IF(RAW_INPUT!A1404="","",RAW_INPUT!E1404)</f>
        <v/>
      </c>
      <c r="C1403" t="str">
        <f>IF(RAW_INPUT!A1404="","",RAW_INPUT!F1404)</f>
        <v/>
      </c>
    </row>
    <row r="1404" spans="1:3" x14ac:dyDescent="0.25">
      <c r="A1404" t="str">
        <f>IF(RAW_INPUT!A1405="","",RAW_INPUT!A1405)</f>
        <v/>
      </c>
      <c r="B1404" t="str">
        <f>IF(RAW_INPUT!A1405="","",RAW_INPUT!E1405)</f>
        <v/>
      </c>
      <c r="C1404" t="str">
        <f>IF(RAW_INPUT!A1405="","",RAW_INPUT!F1405)</f>
        <v/>
      </c>
    </row>
    <row r="1405" spans="1:3" x14ac:dyDescent="0.25">
      <c r="A1405" t="str">
        <f>IF(RAW_INPUT!A1406="","",RAW_INPUT!A1406)</f>
        <v/>
      </c>
      <c r="B1405" t="str">
        <f>IF(RAW_INPUT!A1406="","",RAW_INPUT!E1406)</f>
        <v/>
      </c>
      <c r="C1405" t="str">
        <f>IF(RAW_INPUT!A1406="","",RAW_INPUT!F1406)</f>
        <v/>
      </c>
    </row>
    <row r="1406" spans="1:3" x14ac:dyDescent="0.25">
      <c r="A1406" t="str">
        <f>IF(RAW_INPUT!A1407="","",RAW_INPUT!A1407)</f>
        <v/>
      </c>
      <c r="B1406" t="str">
        <f>IF(RAW_INPUT!A1407="","",RAW_INPUT!E1407)</f>
        <v/>
      </c>
      <c r="C1406" t="str">
        <f>IF(RAW_INPUT!A1407="","",RAW_INPUT!F1407)</f>
        <v/>
      </c>
    </row>
    <row r="1407" spans="1:3" x14ac:dyDescent="0.25">
      <c r="A1407" t="str">
        <f>IF(RAW_INPUT!A1408="","",RAW_INPUT!A1408)</f>
        <v/>
      </c>
      <c r="B1407" t="str">
        <f>IF(RAW_INPUT!A1408="","",RAW_INPUT!E1408)</f>
        <v/>
      </c>
      <c r="C1407" t="str">
        <f>IF(RAW_INPUT!A1408="","",RAW_INPUT!F1408)</f>
        <v/>
      </c>
    </row>
    <row r="1408" spans="1:3" x14ac:dyDescent="0.25">
      <c r="A1408" t="str">
        <f>IF(RAW_INPUT!A1409="","",RAW_INPUT!A1409)</f>
        <v/>
      </c>
      <c r="B1408" t="str">
        <f>IF(RAW_INPUT!A1409="","",RAW_INPUT!E1409)</f>
        <v/>
      </c>
      <c r="C1408" t="str">
        <f>IF(RAW_INPUT!A1409="","",RAW_INPUT!F1409)</f>
        <v/>
      </c>
    </row>
    <row r="1409" spans="1:3" x14ac:dyDescent="0.25">
      <c r="A1409" t="str">
        <f>IF(RAW_INPUT!A1410="","",RAW_INPUT!A1410)</f>
        <v/>
      </c>
      <c r="B1409" t="str">
        <f>IF(RAW_INPUT!A1410="","",RAW_INPUT!E1410)</f>
        <v/>
      </c>
      <c r="C1409" t="str">
        <f>IF(RAW_INPUT!A1410="","",RAW_INPUT!F1410)</f>
        <v/>
      </c>
    </row>
    <row r="1410" spans="1:3" x14ac:dyDescent="0.25">
      <c r="A1410" t="str">
        <f>IF(RAW_INPUT!A1411="","",RAW_INPUT!A1411)</f>
        <v/>
      </c>
      <c r="B1410" t="str">
        <f>IF(RAW_INPUT!A1411="","",RAW_INPUT!E1411)</f>
        <v/>
      </c>
      <c r="C1410" t="str">
        <f>IF(RAW_INPUT!A1411="","",RAW_INPUT!F1411)</f>
        <v/>
      </c>
    </row>
    <row r="1411" spans="1:3" x14ac:dyDescent="0.25">
      <c r="A1411" t="str">
        <f>IF(RAW_INPUT!A1412="","",RAW_INPUT!A1412)</f>
        <v/>
      </c>
      <c r="B1411" t="str">
        <f>IF(RAW_INPUT!A1412="","",RAW_INPUT!E1412)</f>
        <v/>
      </c>
      <c r="C1411" t="str">
        <f>IF(RAW_INPUT!A1412="","",RAW_INPUT!F1412)</f>
        <v/>
      </c>
    </row>
    <row r="1412" spans="1:3" x14ac:dyDescent="0.25">
      <c r="A1412" t="str">
        <f>IF(RAW_INPUT!A1413="","",RAW_INPUT!A1413)</f>
        <v/>
      </c>
      <c r="B1412" t="str">
        <f>IF(RAW_INPUT!A1413="","",RAW_INPUT!E1413)</f>
        <v/>
      </c>
      <c r="C1412" t="str">
        <f>IF(RAW_INPUT!A1413="","",RAW_INPUT!F1413)</f>
        <v/>
      </c>
    </row>
    <row r="1413" spans="1:3" x14ac:dyDescent="0.25">
      <c r="A1413" t="str">
        <f>IF(RAW_INPUT!A1414="","",RAW_INPUT!A1414)</f>
        <v/>
      </c>
      <c r="B1413" t="str">
        <f>IF(RAW_INPUT!A1414="","",RAW_INPUT!E1414)</f>
        <v/>
      </c>
      <c r="C1413" t="str">
        <f>IF(RAW_INPUT!A1414="","",RAW_INPUT!F1414)</f>
        <v/>
      </c>
    </row>
    <row r="1414" spans="1:3" x14ac:dyDescent="0.25">
      <c r="A1414" t="str">
        <f>IF(RAW_INPUT!A1415="","",RAW_INPUT!A1415)</f>
        <v/>
      </c>
      <c r="B1414" t="str">
        <f>IF(RAW_INPUT!A1415="","",RAW_INPUT!E1415)</f>
        <v/>
      </c>
      <c r="C1414" t="str">
        <f>IF(RAW_INPUT!A1415="","",RAW_INPUT!F1415)</f>
        <v/>
      </c>
    </row>
    <row r="1415" spans="1:3" x14ac:dyDescent="0.25">
      <c r="A1415" t="str">
        <f>IF(RAW_INPUT!A1416="","",RAW_INPUT!A1416)</f>
        <v/>
      </c>
      <c r="B1415" t="str">
        <f>IF(RAW_INPUT!A1416="","",RAW_INPUT!E1416)</f>
        <v/>
      </c>
      <c r="C1415" t="str">
        <f>IF(RAW_INPUT!A1416="","",RAW_INPUT!F1416)</f>
        <v/>
      </c>
    </row>
    <row r="1416" spans="1:3" x14ac:dyDescent="0.25">
      <c r="A1416" t="str">
        <f>IF(RAW_INPUT!A1417="","",RAW_INPUT!A1417)</f>
        <v/>
      </c>
      <c r="B1416" t="str">
        <f>IF(RAW_INPUT!A1417="","",RAW_INPUT!E1417)</f>
        <v/>
      </c>
      <c r="C1416" t="str">
        <f>IF(RAW_INPUT!A1417="","",RAW_INPUT!F1417)</f>
        <v/>
      </c>
    </row>
    <row r="1417" spans="1:3" x14ac:dyDescent="0.25">
      <c r="A1417" t="str">
        <f>IF(RAW_INPUT!A1418="","",RAW_INPUT!A1418)</f>
        <v/>
      </c>
      <c r="B1417" t="str">
        <f>IF(RAW_INPUT!A1418="","",RAW_INPUT!E1418)</f>
        <v/>
      </c>
      <c r="C1417" t="str">
        <f>IF(RAW_INPUT!A1418="","",RAW_INPUT!F1418)</f>
        <v/>
      </c>
    </row>
    <row r="1418" spans="1:3" x14ac:dyDescent="0.25">
      <c r="A1418" t="str">
        <f>IF(RAW_INPUT!A1419="","",RAW_INPUT!A1419)</f>
        <v/>
      </c>
      <c r="B1418" t="str">
        <f>IF(RAW_INPUT!A1419="","",RAW_INPUT!E1419)</f>
        <v/>
      </c>
      <c r="C1418" t="str">
        <f>IF(RAW_INPUT!A1419="","",RAW_INPUT!F1419)</f>
        <v/>
      </c>
    </row>
    <row r="1419" spans="1:3" x14ac:dyDescent="0.25">
      <c r="A1419" t="str">
        <f>IF(RAW_INPUT!A1420="","",RAW_INPUT!A1420)</f>
        <v/>
      </c>
      <c r="B1419" t="str">
        <f>IF(RAW_INPUT!A1420="","",RAW_INPUT!E1420)</f>
        <v/>
      </c>
      <c r="C1419" t="str">
        <f>IF(RAW_INPUT!A1420="","",RAW_INPUT!F1420)</f>
        <v/>
      </c>
    </row>
    <row r="1420" spans="1:3" x14ac:dyDescent="0.25">
      <c r="A1420" t="str">
        <f>IF(RAW_INPUT!A1421="","",RAW_INPUT!A1421)</f>
        <v/>
      </c>
      <c r="B1420" t="str">
        <f>IF(RAW_INPUT!A1421="","",RAW_INPUT!E1421)</f>
        <v/>
      </c>
      <c r="C1420" t="str">
        <f>IF(RAW_INPUT!A1421="","",RAW_INPUT!F1421)</f>
        <v/>
      </c>
    </row>
    <row r="1421" spans="1:3" x14ac:dyDescent="0.25">
      <c r="A1421" t="str">
        <f>IF(RAW_INPUT!A1422="","",RAW_INPUT!A1422)</f>
        <v/>
      </c>
      <c r="B1421" t="str">
        <f>IF(RAW_INPUT!A1422="","",RAW_INPUT!E1422)</f>
        <v/>
      </c>
      <c r="C1421" t="str">
        <f>IF(RAW_INPUT!A1422="","",RAW_INPUT!F1422)</f>
        <v/>
      </c>
    </row>
    <row r="1422" spans="1:3" x14ac:dyDescent="0.25">
      <c r="A1422" t="str">
        <f>IF(RAW_INPUT!A1423="","",RAW_INPUT!A1423)</f>
        <v/>
      </c>
      <c r="B1422" t="str">
        <f>IF(RAW_INPUT!A1423="","",RAW_INPUT!E1423)</f>
        <v/>
      </c>
      <c r="C1422" t="str">
        <f>IF(RAW_INPUT!A1423="","",RAW_INPUT!F1423)</f>
        <v/>
      </c>
    </row>
    <row r="1423" spans="1:3" x14ac:dyDescent="0.25">
      <c r="A1423" t="str">
        <f>IF(RAW_INPUT!A1424="","",RAW_INPUT!A1424)</f>
        <v/>
      </c>
      <c r="B1423" t="str">
        <f>IF(RAW_INPUT!A1424="","",RAW_INPUT!E1424)</f>
        <v/>
      </c>
      <c r="C1423" t="str">
        <f>IF(RAW_INPUT!A1424="","",RAW_INPUT!F1424)</f>
        <v/>
      </c>
    </row>
    <row r="1424" spans="1:3" x14ac:dyDescent="0.25">
      <c r="A1424" t="str">
        <f>IF(RAW_INPUT!A1425="","",RAW_INPUT!A1425)</f>
        <v/>
      </c>
      <c r="B1424" t="str">
        <f>IF(RAW_INPUT!A1425="","",RAW_INPUT!E1425)</f>
        <v/>
      </c>
      <c r="C1424" t="str">
        <f>IF(RAW_INPUT!A1425="","",RAW_INPUT!F1425)</f>
        <v/>
      </c>
    </row>
    <row r="1425" spans="1:3" x14ac:dyDescent="0.25">
      <c r="A1425" t="str">
        <f>IF(RAW_INPUT!A1426="","",RAW_INPUT!A1426)</f>
        <v/>
      </c>
      <c r="B1425" t="str">
        <f>IF(RAW_INPUT!A1426="","",RAW_INPUT!E1426)</f>
        <v/>
      </c>
      <c r="C1425" t="str">
        <f>IF(RAW_INPUT!A1426="","",RAW_INPUT!F1426)</f>
        <v/>
      </c>
    </row>
    <row r="1426" spans="1:3" x14ac:dyDescent="0.25">
      <c r="A1426" t="str">
        <f>IF(RAW_INPUT!A1427="","",RAW_INPUT!A1427)</f>
        <v/>
      </c>
      <c r="B1426" t="str">
        <f>IF(RAW_INPUT!A1427="","",RAW_INPUT!E1427)</f>
        <v/>
      </c>
      <c r="C1426" t="str">
        <f>IF(RAW_INPUT!A1427="","",RAW_INPUT!F1427)</f>
        <v/>
      </c>
    </row>
    <row r="1427" spans="1:3" x14ac:dyDescent="0.25">
      <c r="A1427" t="str">
        <f>IF(RAW_INPUT!A1428="","",RAW_INPUT!A1428)</f>
        <v/>
      </c>
      <c r="B1427" t="str">
        <f>IF(RAW_INPUT!A1428="","",RAW_INPUT!E1428)</f>
        <v/>
      </c>
      <c r="C1427" t="str">
        <f>IF(RAW_INPUT!A1428="","",RAW_INPUT!F1428)</f>
        <v/>
      </c>
    </row>
    <row r="1428" spans="1:3" x14ac:dyDescent="0.25">
      <c r="A1428" t="str">
        <f>IF(RAW_INPUT!A1429="","",RAW_INPUT!A1429)</f>
        <v/>
      </c>
      <c r="B1428" t="str">
        <f>IF(RAW_INPUT!A1429="","",RAW_INPUT!E1429)</f>
        <v/>
      </c>
      <c r="C1428" t="str">
        <f>IF(RAW_INPUT!A1429="","",RAW_INPUT!F1429)</f>
        <v/>
      </c>
    </row>
    <row r="1429" spans="1:3" x14ac:dyDescent="0.25">
      <c r="A1429" t="str">
        <f>IF(RAW_INPUT!A1430="","",RAW_INPUT!A1430)</f>
        <v/>
      </c>
      <c r="B1429" t="str">
        <f>IF(RAW_INPUT!A1430="","",RAW_INPUT!E1430)</f>
        <v/>
      </c>
      <c r="C1429" t="str">
        <f>IF(RAW_INPUT!A1430="","",RAW_INPUT!F1430)</f>
        <v/>
      </c>
    </row>
    <row r="1430" spans="1:3" x14ac:dyDescent="0.25">
      <c r="A1430" t="str">
        <f>IF(RAW_INPUT!A1431="","",RAW_INPUT!A1431)</f>
        <v/>
      </c>
      <c r="B1430" t="str">
        <f>IF(RAW_INPUT!A1431="","",RAW_INPUT!E1431)</f>
        <v/>
      </c>
      <c r="C1430" t="str">
        <f>IF(RAW_INPUT!A1431="","",RAW_INPUT!F1431)</f>
        <v/>
      </c>
    </row>
    <row r="1431" spans="1:3" x14ac:dyDescent="0.25">
      <c r="A1431" t="str">
        <f>IF(RAW_INPUT!A1432="","",RAW_INPUT!A1432)</f>
        <v/>
      </c>
      <c r="B1431" t="str">
        <f>IF(RAW_INPUT!A1432="","",RAW_INPUT!E1432)</f>
        <v/>
      </c>
      <c r="C1431" t="str">
        <f>IF(RAW_INPUT!A1432="","",RAW_INPUT!F1432)</f>
        <v/>
      </c>
    </row>
    <row r="1432" spans="1:3" x14ac:dyDescent="0.25">
      <c r="A1432" t="str">
        <f>IF(RAW_INPUT!A1433="","",RAW_INPUT!A1433)</f>
        <v/>
      </c>
      <c r="B1432" t="str">
        <f>IF(RAW_INPUT!A1433="","",RAW_INPUT!E1433)</f>
        <v/>
      </c>
      <c r="C1432" t="str">
        <f>IF(RAW_INPUT!A1433="","",RAW_INPUT!F1433)</f>
        <v/>
      </c>
    </row>
    <row r="1433" spans="1:3" x14ac:dyDescent="0.25">
      <c r="A1433" t="str">
        <f>IF(RAW_INPUT!A1434="","",RAW_INPUT!A1434)</f>
        <v/>
      </c>
      <c r="B1433" t="str">
        <f>IF(RAW_INPUT!A1434="","",RAW_INPUT!E1434)</f>
        <v/>
      </c>
      <c r="C1433" t="str">
        <f>IF(RAW_INPUT!A1434="","",RAW_INPUT!F1434)</f>
        <v/>
      </c>
    </row>
    <row r="1434" spans="1:3" x14ac:dyDescent="0.25">
      <c r="A1434" t="str">
        <f>IF(RAW_INPUT!A1435="","",RAW_INPUT!A1435)</f>
        <v/>
      </c>
      <c r="B1434" t="str">
        <f>IF(RAW_INPUT!A1435="","",RAW_INPUT!E1435)</f>
        <v/>
      </c>
      <c r="C1434" t="str">
        <f>IF(RAW_INPUT!A1435="","",RAW_INPUT!F1435)</f>
        <v/>
      </c>
    </row>
    <row r="1435" spans="1:3" x14ac:dyDescent="0.25">
      <c r="A1435" t="str">
        <f>IF(RAW_INPUT!A1436="","",RAW_INPUT!A1436)</f>
        <v/>
      </c>
      <c r="B1435" t="str">
        <f>IF(RAW_INPUT!A1436="","",RAW_INPUT!E1436)</f>
        <v/>
      </c>
      <c r="C1435" t="str">
        <f>IF(RAW_INPUT!A1436="","",RAW_INPUT!F1436)</f>
        <v/>
      </c>
    </row>
    <row r="1436" spans="1:3" x14ac:dyDescent="0.25">
      <c r="A1436" t="str">
        <f>IF(RAW_INPUT!A1437="","",RAW_INPUT!A1437)</f>
        <v/>
      </c>
      <c r="B1436" t="str">
        <f>IF(RAW_INPUT!A1437="","",RAW_INPUT!E1437)</f>
        <v/>
      </c>
      <c r="C1436" t="str">
        <f>IF(RAW_INPUT!A1437="","",RAW_INPUT!F1437)</f>
        <v/>
      </c>
    </row>
    <row r="1437" spans="1:3" x14ac:dyDescent="0.25">
      <c r="A1437" t="str">
        <f>IF(RAW_INPUT!A1438="","",RAW_INPUT!A1438)</f>
        <v/>
      </c>
      <c r="B1437" t="str">
        <f>IF(RAW_INPUT!A1438="","",RAW_INPUT!E1438)</f>
        <v/>
      </c>
      <c r="C1437" t="str">
        <f>IF(RAW_INPUT!A1438="","",RAW_INPUT!F1438)</f>
        <v/>
      </c>
    </row>
    <row r="1438" spans="1:3" x14ac:dyDescent="0.25">
      <c r="A1438" t="str">
        <f>IF(RAW_INPUT!A1439="","",RAW_INPUT!A1439)</f>
        <v/>
      </c>
      <c r="B1438" t="str">
        <f>IF(RAW_INPUT!A1439="","",RAW_INPUT!E1439)</f>
        <v/>
      </c>
      <c r="C1438" t="str">
        <f>IF(RAW_INPUT!A1439="","",RAW_INPUT!F1439)</f>
        <v/>
      </c>
    </row>
    <row r="1439" spans="1:3" x14ac:dyDescent="0.25">
      <c r="A1439" t="str">
        <f>IF(RAW_INPUT!A1440="","",RAW_INPUT!A1440)</f>
        <v/>
      </c>
      <c r="B1439" t="str">
        <f>IF(RAW_INPUT!A1440="","",RAW_INPUT!E1440)</f>
        <v/>
      </c>
      <c r="C1439" t="str">
        <f>IF(RAW_INPUT!A1440="","",RAW_INPUT!F1440)</f>
        <v/>
      </c>
    </row>
    <row r="1440" spans="1:3" x14ac:dyDescent="0.25">
      <c r="A1440" t="str">
        <f>IF(RAW_INPUT!A1441="","",RAW_INPUT!A1441)</f>
        <v/>
      </c>
      <c r="B1440" t="str">
        <f>IF(RAW_INPUT!A1441="","",RAW_INPUT!E1441)</f>
        <v/>
      </c>
      <c r="C1440" t="str">
        <f>IF(RAW_INPUT!A1441="","",RAW_INPUT!F1441)</f>
        <v/>
      </c>
    </row>
    <row r="1441" spans="1:3" x14ac:dyDescent="0.25">
      <c r="A1441" t="str">
        <f>IF(RAW_INPUT!A1442="","",RAW_INPUT!A1442)</f>
        <v/>
      </c>
      <c r="B1441" t="str">
        <f>IF(RAW_INPUT!A1442="","",RAW_INPUT!E1442)</f>
        <v/>
      </c>
      <c r="C1441" t="str">
        <f>IF(RAW_INPUT!A1442="","",RAW_INPUT!F1442)</f>
        <v/>
      </c>
    </row>
    <row r="1442" spans="1:3" x14ac:dyDescent="0.25">
      <c r="A1442" t="str">
        <f>IF(RAW_INPUT!A1443="","",RAW_INPUT!A1443)</f>
        <v/>
      </c>
      <c r="B1442" t="str">
        <f>IF(RAW_INPUT!A1443="","",RAW_INPUT!E1443)</f>
        <v/>
      </c>
      <c r="C1442" t="str">
        <f>IF(RAW_INPUT!A1443="","",RAW_INPUT!F1443)</f>
        <v/>
      </c>
    </row>
    <row r="1443" spans="1:3" x14ac:dyDescent="0.25">
      <c r="A1443" t="str">
        <f>IF(RAW_INPUT!A1444="","",RAW_INPUT!A1444)</f>
        <v/>
      </c>
      <c r="B1443" t="str">
        <f>IF(RAW_INPUT!A1444="","",RAW_INPUT!E1444)</f>
        <v/>
      </c>
      <c r="C1443" t="str">
        <f>IF(RAW_INPUT!A1444="","",RAW_INPUT!F1444)</f>
        <v/>
      </c>
    </row>
    <row r="1444" spans="1:3" x14ac:dyDescent="0.25">
      <c r="A1444" t="str">
        <f>IF(RAW_INPUT!A1445="","",RAW_INPUT!A1445)</f>
        <v/>
      </c>
      <c r="B1444" t="str">
        <f>IF(RAW_INPUT!A1445="","",RAW_INPUT!E1445)</f>
        <v/>
      </c>
      <c r="C1444" t="str">
        <f>IF(RAW_INPUT!A1445="","",RAW_INPUT!F1445)</f>
        <v/>
      </c>
    </row>
    <row r="1445" spans="1:3" x14ac:dyDescent="0.25">
      <c r="A1445" t="str">
        <f>IF(RAW_INPUT!A1446="","",RAW_INPUT!A1446)</f>
        <v/>
      </c>
      <c r="B1445" t="str">
        <f>IF(RAW_INPUT!A1446="","",RAW_INPUT!E1446)</f>
        <v/>
      </c>
      <c r="C1445" t="str">
        <f>IF(RAW_INPUT!A1446="","",RAW_INPUT!F1446)</f>
        <v/>
      </c>
    </row>
    <row r="1446" spans="1:3" x14ac:dyDescent="0.25">
      <c r="A1446" t="str">
        <f>IF(RAW_INPUT!A1447="","",RAW_INPUT!A1447)</f>
        <v/>
      </c>
      <c r="B1446" t="str">
        <f>IF(RAW_INPUT!A1447="","",RAW_INPUT!E1447)</f>
        <v/>
      </c>
      <c r="C1446" t="str">
        <f>IF(RAW_INPUT!A1447="","",RAW_INPUT!F1447)</f>
        <v/>
      </c>
    </row>
    <row r="1447" spans="1:3" x14ac:dyDescent="0.25">
      <c r="A1447" t="str">
        <f>IF(RAW_INPUT!A1448="","",RAW_INPUT!A1448)</f>
        <v/>
      </c>
      <c r="B1447" t="str">
        <f>IF(RAW_INPUT!A1448="","",RAW_INPUT!E1448)</f>
        <v/>
      </c>
      <c r="C1447" t="str">
        <f>IF(RAW_INPUT!A1448="","",RAW_INPUT!F1448)</f>
        <v/>
      </c>
    </row>
    <row r="1448" spans="1:3" x14ac:dyDescent="0.25">
      <c r="A1448" t="str">
        <f>IF(RAW_INPUT!A1449="","",RAW_INPUT!A1449)</f>
        <v/>
      </c>
      <c r="B1448" t="str">
        <f>IF(RAW_INPUT!A1449="","",RAW_INPUT!E1449)</f>
        <v/>
      </c>
      <c r="C1448" t="str">
        <f>IF(RAW_INPUT!A1449="","",RAW_INPUT!F1449)</f>
        <v/>
      </c>
    </row>
    <row r="1449" spans="1:3" x14ac:dyDescent="0.25">
      <c r="A1449" t="str">
        <f>IF(RAW_INPUT!A1450="","",RAW_INPUT!A1450)</f>
        <v/>
      </c>
      <c r="B1449" t="str">
        <f>IF(RAW_INPUT!A1450="","",RAW_INPUT!E1450)</f>
        <v/>
      </c>
      <c r="C1449" t="str">
        <f>IF(RAW_INPUT!A1450="","",RAW_INPUT!F1450)</f>
        <v/>
      </c>
    </row>
    <row r="1450" spans="1:3" x14ac:dyDescent="0.25">
      <c r="A1450" t="str">
        <f>IF(RAW_INPUT!A1451="","",RAW_INPUT!A1451)</f>
        <v/>
      </c>
      <c r="B1450" t="str">
        <f>IF(RAW_INPUT!A1451="","",RAW_INPUT!E1451)</f>
        <v/>
      </c>
      <c r="C1450" t="str">
        <f>IF(RAW_INPUT!A1451="","",RAW_INPUT!F1451)</f>
        <v/>
      </c>
    </row>
    <row r="1451" spans="1:3" x14ac:dyDescent="0.25">
      <c r="A1451" t="str">
        <f>IF(RAW_INPUT!A1452="","",RAW_INPUT!A1452)</f>
        <v/>
      </c>
      <c r="B1451" t="str">
        <f>IF(RAW_INPUT!A1452="","",RAW_INPUT!E1452)</f>
        <v/>
      </c>
      <c r="C1451" t="str">
        <f>IF(RAW_INPUT!A1452="","",RAW_INPUT!F1452)</f>
        <v/>
      </c>
    </row>
    <row r="1452" spans="1:3" x14ac:dyDescent="0.25">
      <c r="A1452" t="str">
        <f>IF(RAW_INPUT!A1453="","",RAW_INPUT!A1453)</f>
        <v/>
      </c>
      <c r="B1452" t="str">
        <f>IF(RAW_INPUT!A1453="","",RAW_INPUT!E1453)</f>
        <v/>
      </c>
      <c r="C1452" t="str">
        <f>IF(RAW_INPUT!A1453="","",RAW_INPUT!F1453)</f>
        <v/>
      </c>
    </row>
    <row r="1453" spans="1:3" x14ac:dyDescent="0.25">
      <c r="A1453" t="str">
        <f>IF(RAW_INPUT!A1454="","",RAW_INPUT!A1454)</f>
        <v/>
      </c>
      <c r="B1453" t="str">
        <f>IF(RAW_INPUT!A1454="","",RAW_INPUT!E1454)</f>
        <v/>
      </c>
      <c r="C1453" t="str">
        <f>IF(RAW_INPUT!A1454="","",RAW_INPUT!F1454)</f>
        <v/>
      </c>
    </row>
    <row r="1454" spans="1:3" x14ac:dyDescent="0.25">
      <c r="A1454" t="str">
        <f>IF(RAW_INPUT!A1455="","",RAW_INPUT!A1455)</f>
        <v/>
      </c>
      <c r="B1454" t="str">
        <f>IF(RAW_INPUT!A1455="","",RAW_INPUT!E1455)</f>
        <v/>
      </c>
      <c r="C1454" t="str">
        <f>IF(RAW_INPUT!A1455="","",RAW_INPUT!F1455)</f>
        <v/>
      </c>
    </row>
    <row r="1455" spans="1:3" x14ac:dyDescent="0.25">
      <c r="A1455" t="str">
        <f>IF(RAW_INPUT!A1456="","",RAW_INPUT!A1456)</f>
        <v/>
      </c>
      <c r="B1455" t="str">
        <f>IF(RAW_INPUT!A1456="","",RAW_INPUT!E1456)</f>
        <v/>
      </c>
      <c r="C1455" t="str">
        <f>IF(RAW_INPUT!A1456="","",RAW_INPUT!F1456)</f>
        <v/>
      </c>
    </row>
    <row r="1456" spans="1:3" x14ac:dyDescent="0.25">
      <c r="A1456" t="str">
        <f>IF(RAW_INPUT!A1457="","",RAW_INPUT!A1457)</f>
        <v/>
      </c>
      <c r="B1456" t="str">
        <f>IF(RAW_INPUT!A1457="","",RAW_INPUT!E1457)</f>
        <v/>
      </c>
      <c r="C1456" t="str">
        <f>IF(RAW_INPUT!A1457="","",RAW_INPUT!F1457)</f>
        <v/>
      </c>
    </row>
    <row r="1457" spans="1:3" x14ac:dyDescent="0.25">
      <c r="A1457" t="str">
        <f>IF(RAW_INPUT!A1458="","",RAW_INPUT!A1458)</f>
        <v/>
      </c>
      <c r="B1457" t="str">
        <f>IF(RAW_INPUT!A1458="","",RAW_INPUT!E1458)</f>
        <v/>
      </c>
      <c r="C1457" t="str">
        <f>IF(RAW_INPUT!A1458="","",RAW_INPUT!F1458)</f>
        <v/>
      </c>
    </row>
    <row r="1458" spans="1:3" x14ac:dyDescent="0.25">
      <c r="A1458" t="str">
        <f>IF(RAW_INPUT!A1459="","",RAW_INPUT!A1459)</f>
        <v/>
      </c>
      <c r="B1458" t="str">
        <f>IF(RAW_INPUT!A1459="","",RAW_INPUT!E1459)</f>
        <v/>
      </c>
      <c r="C1458" t="str">
        <f>IF(RAW_INPUT!A1459="","",RAW_INPUT!F1459)</f>
        <v/>
      </c>
    </row>
    <row r="1459" spans="1:3" x14ac:dyDescent="0.25">
      <c r="A1459" t="str">
        <f>IF(RAW_INPUT!A1460="","",RAW_INPUT!A1460)</f>
        <v/>
      </c>
      <c r="B1459" t="str">
        <f>IF(RAW_INPUT!A1460="","",RAW_INPUT!E1460)</f>
        <v/>
      </c>
      <c r="C1459" t="str">
        <f>IF(RAW_INPUT!A1460="","",RAW_INPUT!F1460)</f>
        <v/>
      </c>
    </row>
    <row r="1460" spans="1:3" x14ac:dyDescent="0.25">
      <c r="A1460" t="str">
        <f>IF(RAW_INPUT!A1461="","",RAW_INPUT!A1461)</f>
        <v/>
      </c>
      <c r="B1460" t="str">
        <f>IF(RAW_INPUT!A1461="","",RAW_INPUT!E1461)</f>
        <v/>
      </c>
      <c r="C1460" t="str">
        <f>IF(RAW_INPUT!A1461="","",RAW_INPUT!F1461)</f>
        <v/>
      </c>
    </row>
    <row r="1461" spans="1:3" x14ac:dyDescent="0.25">
      <c r="A1461" t="str">
        <f>IF(RAW_INPUT!A1462="","",RAW_INPUT!A1462)</f>
        <v/>
      </c>
      <c r="B1461" t="str">
        <f>IF(RAW_INPUT!A1462="","",RAW_INPUT!E1462)</f>
        <v/>
      </c>
      <c r="C1461" t="str">
        <f>IF(RAW_INPUT!A1462="","",RAW_INPUT!F1462)</f>
        <v/>
      </c>
    </row>
    <row r="1462" spans="1:3" x14ac:dyDescent="0.25">
      <c r="A1462" t="str">
        <f>IF(RAW_INPUT!A1463="","",RAW_INPUT!A1463)</f>
        <v/>
      </c>
      <c r="B1462" t="str">
        <f>IF(RAW_INPUT!A1463="","",RAW_INPUT!E1463)</f>
        <v/>
      </c>
      <c r="C1462" t="str">
        <f>IF(RAW_INPUT!A1463="","",RAW_INPUT!F1463)</f>
        <v/>
      </c>
    </row>
    <row r="1463" spans="1:3" x14ac:dyDescent="0.25">
      <c r="A1463" t="str">
        <f>IF(RAW_INPUT!A1464="","",RAW_INPUT!A1464)</f>
        <v/>
      </c>
      <c r="B1463" t="str">
        <f>IF(RAW_INPUT!A1464="","",RAW_INPUT!E1464)</f>
        <v/>
      </c>
      <c r="C1463" t="str">
        <f>IF(RAW_INPUT!A1464="","",RAW_INPUT!F1464)</f>
        <v/>
      </c>
    </row>
    <row r="1464" spans="1:3" x14ac:dyDescent="0.25">
      <c r="A1464" t="str">
        <f>IF(RAW_INPUT!A1465="","",RAW_INPUT!A1465)</f>
        <v/>
      </c>
      <c r="B1464" t="str">
        <f>IF(RAW_INPUT!A1465="","",RAW_INPUT!E1465)</f>
        <v/>
      </c>
      <c r="C1464" t="str">
        <f>IF(RAW_INPUT!A1465="","",RAW_INPUT!F1465)</f>
        <v/>
      </c>
    </row>
    <row r="1465" spans="1:3" x14ac:dyDescent="0.25">
      <c r="A1465" t="str">
        <f>IF(RAW_INPUT!A1466="","",RAW_INPUT!A1466)</f>
        <v/>
      </c>
      <c r="B1465" t="str">
        <f>IF(RAW_INPUT!A1466="","",RAW_INPUT!E1466)</f>
        <v/>
      </c>
      <c r="C1465" t="str">
        <f>IF(RAW_INPUT!A1466="","",RAW_INPUT!F1466)</f>
        <v/>
      </c>
    </row>
    <row r="1466" spans="1:3" x14ac:dyDescent="0.25">
      <c r="A1466" t="str">
        <f>IF(RAW_INPUT!A1467="","",RAW_INPUT!A1467)</f>
        <v/>
      </c>
      <c r="B1466" t="str">
        <f>IF(RAW_INPUT!A1467="","",RAW_INPUT!E1467)</f>
        <v/>
      </c>
      <c r="C1466" t="str">
        <f>IF(RAW_INPUT!A1467="","",RAW_INPUT!F1467)</f>
        <v/>
      </c>
    </row>
    <row r="1467" spans="1:3" x14ac:dyDescent="0.25">
      <c r="A1467" t="str">
        <f>IF(RAW_INPUT!A1468="","",RAW_INPUT!A1468)</f>
        <v/>
      </c>
      <c r="B1467" t="str">
        <f>IF(RAW_INPUT!A1468="","",RAW_INPUT!E1468)</f>
        <v/>
      </c>
      <c r="C1467" t="str">
        <f>IF(RAW_INPUT!A1468="","",RAW_INPUT!F1468)</f>
        <v/>
      </c>
    </row>
    <row r="1468" spans="1:3" x14ac:dyDescent="0.25">
      <c r="A1468" t="str">
        <f>IF(RAW_INPUT!A1469="","",RAW_INPUT!A1469)</f>
        <v/>
      </c>
      <c r="B1468" t="str">
        <f>IF(RAW_INPUT!A1469="","",RAW_INPUT!E1469)</f>
        <v/>
      </c>
      <c r="C1468" t="str">
        <f>IF(RAW_INPUT!A1469="","",RAW_INPUT!F1469)</f>
        <v/>
      </c>
    </row>
    <row r="1469" spans="1:3" x14ac:dyDescent="0.25">
      <c r="A1469" t="str">
        <f>IF(RAW_INPUT!A1470="","",RAW_INPUT!A1470)</f>
        <v/>
      </c>
      <c r="B1469" t="str">
        <f>IF(RAW_INPUT!A1470="","",RAW_INPUT!E1470)</f>
        <v/>
      </c>
      <c r="C1469" t="str">
        <f>IF(RAW_INPUT!A1470="","",RAW_INPUT!F1470)</f>
        <v/>
      </c>
    </row>
    <row r="1470" spans="1:3" x14ac:dyDescent="0.25">
      <c r="A1470" t="str">
        <f>IF(RAW_INPUT!A1471="","",RAW_INPUT!A1471)</f>
        <v/>
      </c>
      <c r="B1470" t="str">
        <f>IF(RAW_INPUT!A1471="","",RAW_INPUT!E1471)</f>
        <v/>
      </c>
      <c r="C1470" t="str">
        <f>IF(RAW_INPUT!A1471="","",RAW_INPUT!F1471)</f>
        <v/>
      </c>
    </row>
    <row r="1471" spans="1:3" x14ac:dyDescent="0.25">
      <c r="A1471" t="str">
        <f>IF(RAW_INPUT!A1472="","",RAW_INPUT!A1472)</f>
        <v/>
      </c>
      <c r="B1471" t="str">
        <f>IF(RAW_INPUT!A1472="","",RAW_INPUT!E1472)</f>
        <v/>
      </c>
      <c r="C1471" t="str">
        <f>IF(RAW_INPUT!A1472="","",RAW_INPUT!F1472)</f>
        <v/>
      </c>
    </row>
    <row r="1472" spans="1:3" x14ac:dyDescent="0.25">
      <c r="A1472" t="str">
        <f>IF(RAW_INPUT!A1473="","",RAW_INPUT!A1473)</f>
        <v/>
      </c>
      <c r="B1472" t="str">
        <f>IF(RAW_INPUT!A1473="","",RAW_INPUT!E1473)</f>
        <v/>
      </c>
      <c r="C1472" t="str">
        <f>IF(RAW_INPUT!A1473="","",RAW_INPUT!F1473)</f>
        <v/>
      </c>
    </row>
    <row r="1473" spans="1:3" x14ac:dyDescent="0.25">
      <c r="A1473" t="str">
        <f>IF(RAW_INPUT!A1474="","",RAW_INPUT!A1474)</f>
        <v/>
      </c>
      <c r="B1473" t="str">
        <f>IF(RAW_INPUT!A1474="","",RAW_INPUT!E1474)</f>
        <v/>
      </c>
      <c r="C1473" t="str">
        <f>IF(RAW_INPUT!A1474="","",RAW_INPUT!F1474)</f>
        <v/>
      </c>
    </row>
    <row r="1474" spans="1:3" x14ac:dyDescent="0.25">
      <c r="A1474" t="str">
        <f>IF(RAW_INPUT!A1475="","",RAW_INPUT!A1475)</f>
        <v/>
      </c>
      <c r="B1474" t="str">
        <f>IF(RAW_INPUT!A1475="","",RAW_INPUT!E1475)</f>
        <v/>
      </c>
      <c r="C1474" t="str">
        <f>IF(RAW_INPUT!A1475="","",RAW_INPUT!F1475)</f>
        <v/>
      </c>
    </row>
    <row r="1475" spans="1:3" x14ac:dyDescent="0.25">
      <c r="A1475" t="str">
        <f>IF(RAW_INPUT!A1476="","",RAW_INPUT!A1476)</f>
        <v/>
      </c>
      <c r="B1475" t="str">
        <f>IF(RAW_INPUT!A1476="","",RAW_INPUT!E1476)</f>
        <v/>
      </c>
      <c r="C1475" t="str">
        <f>IF(RAW_INPUT!A1476="","",RAW_INPUT!F1476)</f>
        <v/>
      </c>
    </row>
    <row r="1476" spans="1:3" x14ac:dyDescent="0.25">
      <c r="A1476" t="str">
        <f>IF(RAW_INPUT!A1477="","",RAW_INPUT!A1477)</f>
        <v/>
      </c>
      <c r="B1476" t="str">
        <f>IF(RAW_INPUT!A1477="","",RAW_INPUT!E1477)</f>
        <v/>
      </c>
      <c r="C1476" t="str">
        <f>IF(RAW_INPUT!A1477="","",RAW_INPUT!F1477)</f>
        <v/>
      </c>
    </row>
    <row r="1477" spans="1:3" x14ac:dyDescent="0.25">
      <c r="A1477" t="str">
        <f>IF(RAW_INPUT!A1478="","",RAW_INPUT!A1478)</f>
        <v/>
      </c>
      <c r="B1477" t="str">
        <f>IF(RAW_INPUT!A1478="","",RAW_INPUT!E1478)</f>
        <v/>
      </c>
      <c r="C1477" t="str">
        <f>IF(RAW_INPUT!A1478="","",RAW_INPUT!F1478)</f>
        <v/>
      </c>
    </row>
    <row r="1478" spans="1:3" x14ac:dyDescent="0.25">
      <c r="A1478" t="str">
        <f>IF(RAW_INPUT!A1479="","",RAW_INPUT!A1479)</f>
        <v/>
      </c>
      <c r="B1478" t="str">
        <f>IF(RAW_INPUT!A1479="","",RAW_INPUT!E1479)</f>
        <v/>
      </c>
      <c r="C1478" t="str">
        <f>IF(RAW_INPUT!A1479="","",RAW_INPUT!F1479)</f>
        <v/>
      </c>
    </row>
    <row r="1479" spans="1:3" x14ac:dyDescent="0.25">
      <c r="A1479" t="str">
        <f>IF(RAW_INPUT!A1480="","",RAW_INPUT!A1480)</f>
        <v/>
      </c>
      <c r="B1479" t="str">
        <f>IF(RAW_INPUT!A1480="","",RAW_INPUT!E1480)</f>
        <v/>
      </c>
      <c r="C1479" t="str">
        <f>IF(RAW_INPUT!A1480="","",RAW_INPUT!F1480)</f>
        <v/>
      </c>
    </row>
    <row r="1480" spans="1:3" x14ac:dyDescent="0.25">
      <c r="A1480" t="str">
        <f>IF(RAW_INPUT!A1481="","",RAW_INPUT!A1481)</f>
        <v/>
      </c>
      <c r="B1480" t="str">
        <f>IF(RAW_INPUT!A1481="","",RAW_INPUT!E1481)</f>
        <v/>
      </c>
      <c r="C1480" t="str">
        <f>IF(RAW_INPUT!A1481="","",RAW_INPUT!F1481)</f>
        <v/>
      </c>
    </row>
    <row r="1481" spans="1:3" x14ac:dyDescent="0.25">
      <c r="A1481" t="str">
        <f>IF(RAW_INPUT!A1482="","",RAW_INPUT!A1482)</f>
        <v/>
      </c>
      <c r="B1481" t="str">
        <f>IF(RAW_INPUT!A1482="","",RAW_INPUT!E1482)</f>
        <v/>
      </c>
      <c r="C1481" t="str">
        <f>IF(RAW_INPUT!A1482="","",RAW_INPUT!F1482)</f>
        <v/>
      </c>
    </row>
    <row r="1482" spans="1:3" x14ac:dyDescent="0.25">
      <c r="A1482" t="str">
        <f>IF(RAW_INPUT!A1483="","",RAW_INPUT!A1483)</f>
        <v/>
      </c>
      <c r="B1482" t="str">
        <f>IF(RAW_INPUT!A1483="","",RAW_INPUT!E1483)</f>
        <v/>
      </c>
      <c r="C1482" t="str">
        <f>IF(RAW_INPUT!A1483="","",RAW_INPUT!F1483)</f>
        <v/>
      </c>
    </row>
    <row r="1483" spans="1:3" x14ac:dyDescent="0.25">
      <c r="A1483" t="str">
        <f>IF(RAW_INPUT!A1484="","",RAW_INPUT!A1484)</f>
        <v/>
      </c>
      <c r="B1483" t="str">
        <f>IF(RAW_INPUT!A1484="","",RAW_INPUT!E1484)</f>
        <v/>
      </c>
      <c r="C1483" t="str">
        <f>IF(RAW_INPUT!A1484="","",RAW_INPUT!F1484)</f>
        <v/>
      </c>
    </row>
    <row r="1484" spans="1:3" x14ac:dyDescent="0.25">
      <c r="A1484" t="str">
        <f>IF(RAW_INPUT!A1485="","",RAW_INPUT!A1485)</f>
        <v/>
      </c>
      <c r="B1484" t="str">
        <f>IF(RAW_INPUT!A1485="","",RAW_INPUT!E1485)</f>
        <v/>
      </c>
      <c r="C1484" t="str">
        <f>IF(RAW_INPUT!A1485="","",RAW_INPUT!F1485)</f>
        <v/>
      </c>
    </row>
    <row r="1485" spans="1:3" x14ac:dyDescent="0.25">
      <c r="A1485" t="str">
        <f>IF(RAW_INPUT!A1486="","",RAW_INPUT!A1486)</f>
        <v/>
      </c>
      <c r="B1485" t="str">
        <f>IF(RAW_INPUT!A1486="","",RAW_INPUT!E1486)</f>
        <v/>
      </c>
      <c r="C1485" t="str">
        <f>IF(RAW_INPUT!A1486="","",RAW_INPUT!F1486)</f>
        <v/>
      </c>
    </row>
    <row r="1486" spans="1:3" x14ac:dyDescent="0.25">
      <c r="A1486" t="str">
        <f>IF(RAW_INPUT!A1487="","",RAW_INPUT!A1487)</f>
        <v/>
      </c>
      <c r="B1486" t="str">
        <f>IF(RAW_INPUT!A1487="","",RAW_INPUT!E1487)</f>
        <v/>
      </c>
      <c r="C1486" t="str">
        <f>IF(RAW_INPUT!A1487="","",RAW_INPUT!F1487)</f>
        <v/>
      </c>
    </row>
    <row r="1487" spans="1:3" x14ac:dyDescent="0.25">
      <c r="A1487" t="str">
        <f>IF(RAW_INPUT!A1488="","",RAW_INPUT!A1488)</f>
        <v/>
      </c>
      <c r="B1487" t="str">
        <f>IF(RAW_INPUT!A1488="","",RAW_INPUT!E1488)</f>
        <v/>
      </c>
      <c r="C1487" t="str">
        <f>IF(RAW_INPUT!A1488="","",RAW_INPUT!F1488)</f>
        <v/>
      </c>
    </row>
    <row r="1488" spans="1:3" x14ac:dyDescent="0.25">
      <c r="A1488" t="str">
        <f>IF(RAW_INPUT!A1489="","",RAW_INPUT!A1489)</f>
        <v/>
      </c>
      <c r="B1488" t="str">
        <f>IF(RAW_INPUT!A1489="","",RAW_INPUT!E1489)</f>
        <v/>
      </c>
      <c r="C1488" t="str">
        <f>IF(RAW_INPUT!A1489="","",RAW_INPUT!F1489)</f>
        <v/>
      </c>
    </row>
    <row r="1489" spans="1:3" x14ac:dyDescent="0.25">
      <c r="A1489" t="str">
        <f>IF(RAW_INPUT!A1490="","",RAW_INPUT!A1490)</f>
        <v/>
      </c>
      <c r="B1489" t="str">
        <f>IF(RAW_INPUT!A1490="","",RAW_INPUT!E1490)</f>
        <v/>
      </c>
      <c r="C1489" t="str">
        <f>IF(RAW_INPUT!A1490="","",RAW_INPUT!F1490)</f>
        <v/>
      </c>
    </row>
    <row r="1490" spans="1:3" x14ac:dyDescent="0.25">
      <c r="A1490" t="str">
        <f>IF(RAW_INPUT!A1491="","",RAW_INPUT!A1491)</f>
        <v/>
      </c>
      <c r="B1490" t="str">
        <f>IF(RAW_INPUT!A1491="","",RAW_INPUT!E1491)</f>
        <v/>
      </c>
      <c r="C1490" t="str">
        <f>IF(RAW_INPUT!A1491="","",RAW_INPUT!F1491)</f>
        <v/>
      </c>
    </row>
    <row r="1491" spans="1:3" x14ac:dyDescent="0.25">
      <c r="A1491" t="str">
        <f>IF(RAW_INPUT!A1492="","",RAW_INPUT!A1492)</f>
        <v/>
      </c>
      <c r="B1491" t="str">
        <f>IF(RAW_INPUT!A1492="","",RAW_INPUT!E1492)</f>
        <v/>
      </c>
      <c r="C1491" t="str">
        <f>IF(RAW_INPUT!A1492="","",RAW_INPUT!F1492)</f>
        <v/>
      </c>
    </row>
    <row r="1492" spans="1:3" x14ac:dyDescent="0.25">
      <c r="A1492" t="str">
        <f>IF(RAW_INPUT!A1493="","",RAW_INPUT!A1493)</f>
        <v/>
      </c>
      <c r="B1492" t="str">
        <f>IF(RAW_INPUT!A1493="","",RAW_INPUT!E1493)</f>
        <v/>
      </c>
      <c r="C1492" t="str">
        <f>IF(RAW_INPUT!A1493="","",RAW_INPUT!F1493)</f>
        <v/>
      </c>
    </row>
    <row r="1493" spans="1:3" x14ac:dyDescent="0.25">
      <c r="A1493" t="str">
        <f>IF(RAW_INPUT!A1494="","",RAW_INPUT!A1494)</f>
        <v/>
      </c>
      <c r="B1493" t="str">
        <f>IF(RAW_INPUT!A1494="","",RAW_INPUT!E1494)</f>
        <v/>
      </c>
      <c r="C1493" t="str">
        <f>IF(RAW_INPUT!A1494="","",RAW_INPUT!F1494)</f>
        <v/>
      </c>
    </row>
    <row r="1494" spans="1:3" x14ac:dyDescent="0.25">
      <c r="A1494" t="str">
        <f>IF(RAW_INPUT!A1495="","",RAW_INPUT!A1495)</f>
        <v/>
      </c>
      <c r="B1494" t="str">
        <f>IF(RAW_INPUT!A1495="","",RAW_INPUT!E1495)</f>
        <v/>
      </c>
      <c r="C1494" t="str">
        <f>IF(RAW_INPUT!A1495="","",RAW_INPUT!F1495)</f>
        <v/>
      </c>
    </row>
    <row r="1495" spans="1:3" x14ac:dyDescent="0.25">
      <c r="A1495" t="str">
        <f>IF(RAW_INPUT!A1496="","",RAW_INPUT!A1496)</f>
        <v/>
      </c>
      <c r="B1495" t="str">
        <f>IF(RAW_INPUT!A1496="","",RAW_INPUT!E1496)</f>
        <v/>
      </c>
      <c r="C1495" t="str">
        <f>IF(RAW_INPUT!A1496="","",RAW_INPUT!F1496)</f>
        <v/>
      </c>
    </row>
    <row r="1496" spans="1:3" x14ac:dyDescent="0.25">
      <c r="A1496" t="str">
        <f>IF(RAW_INPUT!A1497="","",RAW_INPUT!A1497)</f>
        <v/>
      </c>
      <c r="B1496" t="str">
        <f>IF(RAW_INPUT!A1497="","",RAW_INPUT!E1497)</f>
        <v/>
      </c>
      <c r="C1496" t="str">
        <f>IF(RAW_INPUT!A1497="","",RAW_INPUT!F1497)</f>
        <v/>
      </c>
    </row>
    <row r="1497" spans="1:3" x14ac:dyDescent="0.25">
      <c r="A1497" t="str">
        <f>IF(RAW_INPUT!A1498="","",RAW_INPUT!A1498)</f>
        <v/>
      </c>
      <c r="B1497" t="str">
        <f>IF(RAW_INPUT!A1498="","",RAW_INPUT!E1498)</f>
        <v/>
      </c>
      <c r="C1497" t="str">
        <f>IF(RAW_INPUT!A1498="","",RAW_INPUT!F1498)</f>
        <v/>
      </c>
    </row>
    <row r="1498" spans="1:3" x14ac:dyDescent="0.25">
      <c r="A1498" t="str">
        <f>IF(RAW_INPUT!A1499="","",RAW_INPUT!A1499)</f>
        <v/>
      </c>
      <c r="B1498" t="str">
        <f>IF(RAW_INPUT!A1499="","",RAW_INPUT!E1499)</f>
        <v/>
      </c>
      <c r="C1498" t="str">
        <f>IF(RAW_INPUT!A1499="","",RAW_INPUT!F1499)</f>
        <v/>
      </c>
    </row>
    <row r="1499" spans="1:3" x14ac:dyDescent="0.25">
      <c r="A1499" t="str">
        <f>IF(RAW_INPUT!A1500="","",RAW_INPUT!A1500)</f>
        <v/>
      </c>
      <c r="B1499" t="str">
        <f>IF(RAW_INPUT!A1500="","",RAW_INPUT!E1500)</f>
        <v/>
      </c>
      <c r="C1499" t="str">
        <f>IF(RAW_INPUT!A1500="","",RAW_INPUT!F1500)</f>
        <v/>
      </c>
    </row>
    <row r="1500" spans="1:3" x14ac:dyDescent="0.25">
      <c r="A1500" t="str">
        <f>IF(RAW_INPUT!A1501="","",RAW_INPUT!A1501)</f>
        <v/>
      </c>
      <c r="B1500" t="str">
        <f>IF(RAW_INPUT!A1501="","",RAW_INPUT!E1501)</f>
        <v/>
      </c>
      <c r="C1500" t="str">
        <f>IF(RAW_INPUT!A1501="","",RAW_INPUT!F1501)</f>
        <v/>
      </c>
    </row>
    <row r="1501" spans="1:3" x14ac:dyDescent="0.25">
      <c r="A1501" t="str">
        <f>IF(RAW_INPUT!A1502="","",RAW_INPUT!A1502)</f>
        <v/>
      </c>
      <c r="B1501" t="str">
        <f>IF(RAW_INPUT!A1502="","",RAW_INPUT!E1502)</f>
        <v/>
      </c>
      <c r="C1501" t="str">
        <f>IF(RAW_INPUT!A1502="","",RAW_INPUT!F1502)</f>
        <v/>
      </c>
    </row>
    <row r="1502" spans="1:3" x14ac:dyDescent="0.25">
      <c r="A1502" t="str">
        <f>IF(RAW_INPUT!A1503="","",RAW_INPUT!A1503)</f>
        <v/>
      </c>
      <c r="B1502" t="str">
        <f>IF(RAW_INPUT!A1503="","",RAW_INPUT!E1503)</f>
        <v/>
      </c>
      <c r="C1502" t="str">
        <f>IF(RAW_INPUT!A1503="","",RAW_INPUT!F1503)</f>
        <v/>
      </c>
    </row>
    <row r="1503" spans="1:3" x14ac:dyDescent="0.25">
      <c r="A1503" t="str">
        <f>IF(RAW_INPUT!A1504="","",RAW_INPUT!A1504)</f>
        <v/>
      </c>
      <c r="B1503" t="str">
        <f>IF(RAW_INPUT!A1504="","",RAW_INPUT!E1504)</f>
        <v/>
      </c>
      <c r="C1503" t="str">
        <f>IF(RAW_INPUT!A1504="","",RAW_INPUT!F1504)</f>
        <v/>
      </c>
    </row>
    <row r="1504" spans="1:3" x14ac:dyDescent="0.25">
      <c r="A1504" t="str">
        <f>IF(RAW_INPUT!A1505="","",RAW_INPUT!A1505)</f>
        <v/>
      </c>
      <c r="B1504" t="str">
        <f>IF(RAW_INPUT!A1505="","",RAW_INPUT!E1505)</f>
        <v/>
      </c>
      <c r="C1504" t="str">
        <f>IF(RAW_INPUT!A1505="","",RAW_INPUT!F1505)</f>
        <v/>
      </c>
    </row>
    <row r="1505" spans="1:3" x14ac:dyDescent="0.25">
      <c r="A1505" t="str">
        <f>IF(RAW_INPUT!A1506="","",RAW_INPUT!A1506)</f>
        <v/>
      </c>
      <c r="B1505" t="str">
        <f>IF(RAW_INPUT!A1506="","",RAW_INPUT!E1506)</f>
        <v/>
      </c>
      <c r="C1505" t="str">
        <f>IF(RAW_INPUT!A1506="","",RAW_INPUT!F1506)</f>
        <v/>
      </c>
    </row>
    <row r="1506" spans="1:3" x14ac:dyDescent="0.25">
      <c r="A1506" t="str">
        <f>IF(RAW_INPUT!A1507="","",RAW_INPUT!A1507)</f>
        <v/>
      </c>
      <c r="B1506" t="str">
        <f>IF(RAW_INPUT!A1507="","",RAW_INPUT!E1507)</f>
        <v/>
      </c>
      <c r="C1506" t="str">
        <f>IF(RAW_INPUT!A1507="","",RAW_INPUT!F1507)</f>
        <v/>
      </c>
    </row>
    <row r="1507" spans="1:3" x14ac:dyDescent="0.25">
      <c r="A1507" t="str">
        <f>IF(RAW_INPUT!A1508="","",RAW_INPUT!A1508)</f>
        <v/>
      </c>
      <c r="B1507" t="str">
        <f>IF(RAW_INPUT!A1508="","",RAW_INPUT!E1508)</f>
        <v/>
      </c>
      <c r="C1507" t="str">
        <f>IF(RAW_INPUT!A1508="","",RAW_INPUT!F1508)</f>
        <v/>
      </c>
    </row>
    <row r="1508" spans="1:3" x14ac:dyDescent="0.25">
      <c r="A1508" t="str">
        <f>IF(RAW_INPUT!A1509="","",RAW_INPUT!A1509)</f>
        <v/>
      </c>
      <c r="B1508" t="str">
        <f>IF(RAW_INPUT!A1509="","",RAW_INPUT!E1509)</f>
        <v/>
      </c>
      <c r="C1508" t="str">
        <f>IF(RAW_INPUT!A1509="","",RAW_INPUT!F1509)</f>
        <v/>
      </c>
    </row>
    <row r="1509" spans="1:3" x14ac:dyDescent="0.25">
      <c r="A1509" t="str">
        <f>IF(RAW_INPUT!A1510="","",RAW_INPUT!A1510)</f>
        <v/>
      </c>
      <c r="B1509" t="str">
        <f>IF(RAW_INPUT!A1510="","",RAW_INPUT!E1510)</f>
        <v/>
      </c>
      <c r="C1509" t="str">
        <f>IF(RAW_INPUT!A1510="","",RAW_INPUT!F1510)</f>
        <v/>
      </c>
    </row>
    <row r="1510" spans="1:3" x14ac:dyDescent="0.25">
      <c r="A1510" t="str">
        <f>IF(RAW_INPUT!A1511="","",RAW_INPUT!A1511)</f>
        <v/>
      </c>
      <c r="B1510" t="str">
        <f>IF(RAW_INPUT!A1511="","",RAW_INPUT!E1511)</f>
        <v/>
      </c>
      <c r="C1510" t="str">
        <f>IF(RAW_INPUT!A1511="","",RAW_INPUT!F1511)</f>
        <v/>
      </c>
    </row>
    <row r="1511" spans="1:3" x14ac:dyDescent="0.25">
      <c r="A1511" t="str">
        <f>IF(RAW_INPUT!A1512="","",RAW_INPUT!A1512)</f>
        <v/>
      </c>
      <c r="B1511" t="str">
        <f>IF(RAW_INPUT!A1512="","",RAW_INPUT!E1512)</f>
        <v/>
      </c>
      <c r="C1511" t="str">
        <f>IF(RAW_INPUT!A1512="","",RAW_INPUT!F1512)</f>
        <v/>
      </c>
    </row>
    <row r="1512" spans="1:3" x14ac:dyDescent="0.25">
      <c r="A1512" t="str">
        <f>IF(RAW_INPUT!A1513="","",RAW_INPUT!A1513)</f>
        <v/>
      </c>
      <c r="B1512" t="str">
        <f>IF(RAW_INPUT!A1513="","",RAW_INPUT!E1513)</f>
        <v/>
      </c>
      <c r="C1512" t="str">
        <f>IF(RAW_INPUT!A1513="","",RAW_INPUT!F1513)</f>
        <v/>
      </c>
    </row>
    <row r="1513" spans="1:3" x14ac:dyDescent="0.25">
      <c r="A1513" t="str">
        <f>IF(RAW_INPUT!A1514="","",RAW_INPUT!A1514)</f>
        <v/>
      </c>
      <c r="B1513" t="str">
        <f>IF(RAW_INPUT!A1514="","",RAW_INPUT!E1514)</f>
        <v/>
      </c>
      <c r="C1513" t="str">
        <f>IF(RAW_INPUT!A1514="","",RAW_INPUT!F1514)</f>
        <v/>
      </c>
    </row>
    <row r="1514" spans="1:3" x14ac:dyDescent="0.25">
      <c r="A1514" t="str">
        <f>IF(RAW_INPUT!A1515="","",RAW_INPUT!A1515)</f>
        <v/>
      </c>
      <c r="B1514" t="str">
        <f>IF(RAW_INPUT!A1515="","",RAW_INPUT!E1515)</f>
        <v/>
      </c>
      <c r="C1514" t="str">
        <f>IF(RAW_INPUT!A1515="","",RAW_INPUT!F1515)</f>
        <v/>
      </c>
    </row>
    <row r="1515" spans="1:3" x14ac:dyDescent="0.25">
      <c r="A1515" t="str">
        <f>IF(RAW_INPUT!A1516="","",RAW_INPUT!A1516)</f>
        <v/>
      </c>
      <c r="B1515" t="str">
        <f>IF(RAW_INPUT!A1516="","",RAW_INPUT!E1516)</f>
        <v/>
      </c>
      <c r="C1515" t="str">
        <f>IF(RAW_INPUT!A1516="","",RAW_INPUT!F1516)</f>
        <v/>
      </c>
    </row>
    <row r="1516" spans="1:3" x14ac:dyDescent="0.25">
      <c r="A1516" t="str">
        <f>IF(RAW_INPUT!A1517="","",RAW_INPUT!A1517)</f>
        <v/>
      </c>
      <c r="B1516" t="str">
        <f>IF(RAW_INPUT!A1517="","",RAW_INPUT!E1517)</f>
        <v/>
      </c>
      <c r="C1516" t="str">
        <f>IF(RAW_INPUT!A1517="","",RAW_INPUT!F1517)</f>
        <v/>
      </c>
    </row>
    <row r="1517" spans="1:3" x14ac:dyDescent="0.25">
      <c r="A1517" t="str">
        <f>IF(RAW_INPUT!A1518="","",RAW_INPUT!A1518)</f>
        <v/>
      </c>
      <c r="B1517" t="str">
        <f>IF(RAW_INPUT!A1518="","",RAW_INPUT!E1518)</f>
        <v/>
      </c>
      <c r="C1517" t="str">
        <f>IF(RAW_INPUT!A1518="","",RAW_INPUT!F1518)</f>
        <v/>
      </c>
    </row>
    <row r="1518" spans="1:3" x14ac:dyDescent="0.25">
      <c r="A1518" t="str">
        <f>IF(RAW_INPUT!A1519="","",RAW_INPUT!A1519)</f>
        <v/>
      </c>
      <c r="B1518" t="str">
        <f>IF(RAW_INPUT!A1519="","",RAW_INPUT!E1519)</f>
        <v/>
      </c>
      <c r="C1518" t="str">
        <f>IF(RAW_INPUT!A1519="","",RAW_INPUT!F1519)</f>
        <v/>
      </c>
    </row>
    <row r="1519" spans="1:3" x14ac:dyDescent="0.25">
      <c r="A1519" t="str">
        <f>IF(RAW_INPUT!A1520="","",RAW_INPUT!A1520)</f>
        <v/>
      </c>
      <c r="B1519" t="str">
        <f>IF(RAW_INPUT!A1520="","",RAW_INPUT!E1520)</f>
        <v/>
      </c>
      <c r="C1519" t="str">
        <f>IF(RAW_INPUT!A1520="","",RAW_INPUT!F1520)</f>
        <v/>
      </c>
    </row>
    <row r="1520" spans="1:3" x14ac:dyDescent="0.25">
      <c r="A1520" t="str">
        <f>IF(RAW_INPUT!A1521="","",RAW_INPUT!A1521)</f>
        <v/>
      </c>
      <c r="B1520" t="str">
        <f>IF(RAW_INPUT!A1521="","",RAW_INPUT!E1521)</f>
        <v/>
      </c>
      <c r="C1520" t="str">
        <f>IF(RAW_INPUT!A1521="","",RAW_INPUT!F1521)</f>
        <v/>
      </c>
    </row>
    <row r="1521" spans="1:3" x14ac:dyDescent="0.25">
      <c r="A1521" t="str">
        <f>IF(RAW_INPUT!A1522="","",RAW_INPUT!A1522)</f>
        <v/>
      </c>
      <c r="B1521" t="str">
        <f>IF(RAW_INPUT!A1522="","",RAW_INPUT!E1522)</f>
        <v/>
      </c>
      <c r="C1521" t="str">
        <f>IF(RAW_INPUT!A1522="","",RAW_INPUT!F1522)</f>
        <v/>
      </c>
    </row>
    <row r="1522" spans="1:3" x14ac:dyDescent="0.25">
      <c r="A1522" t="str">
        <f>IF(RAW_INPUT!A1523="","",RAW_INPUT!A1523)</f>
        <v/>
      </c>
      <c r="B1522" t="str">
        <f>IF(RAW_INPUT!A1523="","",RAW_INPUT!E1523)</f>
        <v/>
      </c>
      <c r="C1522" t="str">
        <f>IF(RAW_INPUT!A1523="","",RAW_INPUT!F1523)</f>
        <v/>
      </c>
    </row>
    <row r="1523" spans="1:3" x14ac:dyDescent="0.25">
      <c r="A1523" t="str">
        <f>IF(RAW_INPUT!A1524="","",RAW_INPUT!A1524)</f>
        <v/>
      </c>
      <c r="B1523" t="str">
        <f>IF(RAW_INPUT!A1524="","",RAW_INPUT!E1524)</f>
        <v/>
      </c>
      <c r="C1523" t="str">
        <f>IF(RAW_INPUT!A1524="","",RAW_INPUT!F1524)</f>
        <v/>
      </c>
    </row>
    <row r="1524" spans="1:3" x14ac:dyDescent="0.25">
      <c r="A1524" t="str">
        <f>IF(RAW_INPUT!A1525="","",RAW_INPUT!A1525)</f>
        <v/>
      </c>
      <c r="B1524" t="str">
        <f>IF(RAW_INPUT!A1525="","",RAW_INPUT!E1525)</f>
        <v/>
      </c>
      <c r="C1524" t="str">
        <f>IF(RAW_INPUT!A1525="","",RAW_INPUT!F1525)</f>
        <v/>
      </c>
    </row>
    <row r="1525" spans="1:3" x14ac:dyDescent="0.25">
      <c r="A1525" t="str">
        <f>IF(RAW_INPUT!A1526="","",RAW_INPUT!A1526)</f>
        <v/>
      </c>
      <c r="B1525" t="str">
        <f>IF(RAW_INPUT!A1526="","",RAW_INPUT!E1526)</f>
        <v/>
      </c>
      <c r="C1525" t="str">
        <f>IF(RAW_INPUT!A1526="","",RAW_INPUT!F1526)</f>
        <v/>
      </c>
    </row>
    <row r="1526" spans="1:3" x14ac:dyDescent="0.25">
      <c r="A1526" t="str">
        <f>IF(RAW_INPUT!A1527="","",RAW_INPUT!A1527)</f>
        <v/>
      </c>
      <c r="B1526" t="str">
        <f>IF(RAW_INPUT!A1527="","",RAW_INPUT!E1527)</f>
        <v/>
      </c>
      <c r="C1526" t="str">
        <f>IF(RAW_INPUT!A1527="","",RAW_INPUT!F1527)</f>
        <v/>
      </c>
    </row>
    <row r="1527" spans="1:3" x14ac:dyDescent="0.25">
      <c r="A1527" t="str">
        <f>IF(RAW_INPUT!A1528="","",RAW_INPUT!A1528)</f>
        <v/>
      </c>
      <c r="B1527" t="str">
        <f>IF(RAW_INPUT!A1528="","",RAW_INPUT!E1528)</f>
        <v/>
      </c>
      <c r="C1527" t="str">
        <f>IF(RAW_INPUT!A1528="","",RAW_INPUT!F1528)</f>
        <v/>
      </c>
    </row>
    <row r="1528" spans="1:3" x14ac:dyDescent="0.25">
      <c r="A1528" t="str">
        <f>IF(RAW_INPUT!A1529="","",RAW_INPUT!A1529)</f>
        <v/>
      </c>
      <c r="B1528" t="str">
        <f>IF(RAW_INPUT!A1529="","",RAW_INPUT!E1529)</f>
        <v/>
      </c>
      <c r="C1528" t="str">
        <f>IF(RAW_INPUT!A1529="","",RAW_INPUT!F1529)</f>
        <v/>
      </c>
    </row>
    <row r="1529" spans="1:3" x14ac:dyDescent="0.25">
      <c r="A1529" t="str">
        <f>IF(RAW_INPUT!A1530="","",RAW_INPUT!A1530)</f>
        <v/>
      </c>
      <c r="B1529" t="str">
        <f>IF(RAW_INPUT!A1530="","",RAW_INPUT!E1530)</f>
        <v/>
      </c>
      <c r="C1529" t="str">
        <f>IF(RAW_INPUT!A1530="","",RAW_INPUT!F1530)</f>
        <v/>
      </c>
    </row>
    <row r="1530" spans="1:3" x14ac:dyDescent="0.25">
      <c r="A1530" t="str">
        <f>IF(RAW_INPUT!A1531="","",RAW_INPUT!A1531)</f>
        <v/>
      </c>
      <c r="B1530" t="str">
        <f>IF(RAW_INPUT!A1531="","",RAW_INPUT!E1531)</f>
        <v/>
      </c>
      <c r="C1530" t="str">
        <f>IF(RAW_INPUT!A1531="","",RAW_INPUT!F1531)</f>
        <v/>
      </c>
    </row>
    <row r="1531" spans="1:3" x14ac:dyDescent="0.25">
      <c r="A1531" t="str">
        <f>IF(RAW_INPUT!A1532="","",RAW_INPUT!A1532)</f>
        <v/>
      </c>
      <c r="B1531" t="str">
        <f>IF(RAW_INPUT!A1532="","",RAW_INPUT!E1532)</f>
        <v/>
      </c>
      <c r="C1531" t="str">
        <f>IF(RAW_INPUT!A1532="","",RAW_INPUT!F1532)</f>
        <v/>
      </c>
    </row>
    <row r="1532" spans="1:3" x14ac:dyDescent="0.25">
      <c r="A1532" t="str">
        <f>IF(RAW_INPUT!A1533="","",RAW_INPUT!A1533)</f>
        <v/>
      </c>
      <c r="B1532" t="str">
        <f>IF(RAW_INPUT!A1533="","",RAW_INPUT!E1533)</f>
        <v/>
      </c>
      <c r="C1532" t="str">
        <f>IF(RAW_INPUT!A1533="","",RAW_INPUT!F1533)</f>
        <v/>
      </c>
    </row>
    <row r="1533" spans="1:3" x14ac:dyDescent="0.25">
      <c r="A1533" t="str">
        <f>IF(RAW_INPUT!A1534="","",RAW_INPUT!A1534)</f>
        <v/>
      </c>
      <c r="B1533" t="str">
        <f>IF(RAW_INPUT!A1534="","",RAW_INPUT!E1534)</f>
        <v/>
      </c>
      <c r="C1533" t="str">
        <f>IF(RAW_INPUT!A1534="","",RAW_INPUT!F1534)</f>
        <v/>
      </c>
    </row>
    <row r="1534" spans="1:3" x14ac:dyDescent="0.25">
      <c r="A1534" t="str">
        <f>IF(RAW_INPUT!A1535="","",RAW_INPUT!A1535)</f>
        <v/>
      </c>
      <c r="B1534" t="str">
        <f>IF(RAW_INPUT!A1535="","",RAW_INPUT!E1535)</f>
        <v/>
      </c>
      <c r="C1534" t="str">
        <f>IF(RAW_INPUT!A1535="","",RAW_INPUT!F1535)</f>
        <v/>
      </c>
    </row>
    <row r="1535" spans="1:3" x14ac:dyDescent="0.25">
      <c r="A1535" t="str">
        <f>IF(RAW_INPUT!A1536="","",RAW_INPUT!A1536)</f>
        <v/>
      </c>
      <c r="B1535" t="str">
        <f>IF(RAW_INPUT!A1536="","",RAW_INPUT!E1536)</f>
        <v/>
      </c>
      <c r="C1535" t="str">
        <f>IF(RAW_INPUT!A1536="","",RAW_INPUT!F1536)</f>
        <v/>
      </c>
    </row>
    <row r="1536" spans="1:3" x14ac:dyDescent="0.25">
      <c r="A1536" t="str">
        <f>IF(RAW_INPUT!A1537="","",RAW_INPUT!A1537)</f>
        <v/>
      </c>
      <c r="B1536" t="str">
        <f>IF(RAW_INPUT!A1537="","",RAW_INPUT!E1537)</f>
        <v/>
      </c>
      <c r="C1536" t="str">
        <f>IF(RAW_INPUT!A1537="","",RAW_INPUT!F1537)</f>
        <v/>
      </c>
    </row>
    <row r="1537" spans="1:3" x14ac:dyDescent="0.25">
      <c r="A1537" t="str">
        <f>IF(RAW_INPUT!A1538="","",RAW_INPUT!A1538)</f>
        <v/>
      </c>
      <c r="B1537" t="str">
        <f>IF(RAW_INPUT!A1538="","",RAW_INPUT!E1538)</f>
        <v/>
      </c>
      <c r="C1537" t="str">
        <f>IF(RAW_INPUT!A1538="","",RAW_INPUT!F1538)</f>
        <v/>
      </c>
    </row>
    <row r="1538" spans="1:3" x14ac:dyDescent="0.25">
      <c r="A1538" t="str">
        <f>IF(RAW_INPUT!A1539="","",RAW_INPUT!A1539)</f>
        <v/>
      </c>
      <c r="B1538" t="str">
        <f>IF(RAW_INPUT!A1539="","",RAW_INPUT!E1539)</f>
        <v/>
      </c>
      <c r="C1538" t="str">
        <f>IF(RAW_INPUT!A1539="","",RAW_INPUT!F1539)</f>
        <v/>
      </c>
    </row>
    <row r="1539" spans="1:3" x14ac:dyDescent="0.25">
      <c r="A1539" t="str">
        <f>IF(RAW_INPUT!A1540="","",RAW_INPUT!A1540)</f>
        <v/>
      </c>
      <c r="B1539" t="str">
        <f>IF(RAW_INPUT!A1540="","",RAW_INPUT!E1540)</f>
        <v/>
      </c>
      <c r="C1539" t="str">
        <f>IF(RAW_INPUT!A1540="","",RAW_INPUT!F1540)</f>
        <v/>
      </c>
    </row>
    <row r="1540" spans="1:3" x14ac:dyDescent="0.25">
      <c r="A1540" t="str">
        <f>IF(RAW_INPUT!A1541="","",RAW_INPUT!A1541)</f>
        <v/>
      </c>
      <c r="B1540" t="str">
        <f>IF(RAW_INPUT!A1541="","",RAW_INPUT!E1541)</f>
        <v/>
      </c>
      <c r="C1540" t="str">
        <f>IF(RAW_INPUT!A1541="","",RAW_INPUT!F1541)</f>
        <v/>
      </c>
    </row>
    <row r="1541" spans="1:3" x14ac:dyDescent="0.25">
      <c r="A1541" t="str">
        <f>IF(RAW_INPUT!A1542="","",RAW_INPUT!A1542)</f>
        <v/>
      </c>
      <c r="B1541" t="str">
        <f>IF(RAW_INPUT!A1542="","",RAW_INPUT!E1542)</f>
        <v/>
      </c>
      <c r="C1541" t="str">
        <f>IF(RAW_INPUT!A1542="","",RAW_INPUT!F1542)</f>
        <v/>
      </c>
    </row>
    <row r="1542" spans="1:3" x14ac:dyDescent="0.25">
      <c r="A1542" t="str">
        <f>IF(RAW_INPUT!A1543="","",RAW_INPUT!A1543)</f>
        <v/>
      </c>
      <c r="B1542" t="str">
        <f>IF(RAW_INPUT!A1543="","",RAW_INPUT!E1543)</f>
        <v/>
      </c>
      <c r="C1542" t="str">
        <f>IF(RAW_INPUT!A1543="","",RAW_INPUT!F1543)</f>
        <v/>
      </c>
    </row>
    <row r="1543" spans="1:3" x14ac:dyDescent="0.25">
      <c r="A1543" t="str">
        <f>IF(RAW_INPUT!A1544="","",RAW_INPUT!A1544)</f>
        <v/>
      </c>
      <c r="B1543" t="str">
        <f>IF(RAW_INPUT!A1544="","",RAW_INPUT!E1544)</f>
        <v/>
      </c>
      <c r="C1543" t="str">
        <f>IF(RAW_INPUT!A1544="","",RAW_INPUT!F1544)</f>
        <v/>
      </c>
    </row>
    <row r="1544" spans="1:3" x14ac:dyDescent="0.25">
      <c r="A1544" t="str">
        <f>IF(RAW_INPUT!A1545="","",RAW_INPUT!A1545)</f>
        <v/>
      </c>
      <c r="B1544" t="str">
        <f>IF(RAW_INPUT!A1545="","",RAW_INPUT!E1545)</f>
        <v/>
      </c>
      <c r="C1544" t="str">
        <f>IF(RAW_INPUT!A1545="","",RAW_INPUT!F1545)</f>
        <v/>
      </c>
    </row>
    <row r="1545" spans="1:3" x14ac:dyDescent="0.25">
      <c r="A1545" t="str">
        <f>IF(RAW_INPUT!A1546="","",RAW_INPUT!A1546)</f>
        <v/>
      </c>
      <c r="B1545" t="str">
        <f>IF(RAW_INPUT!A1546="","",RAW_INPUT!E1546)</f>
        <v/>
      </c>
      <c r="C1545" t="str">
        <f>IF(RAW_INPUT!A1546="","",RAW_INPUT!F1546)</f>
        <v/>
      </c>
    </row>
    <row r="1546" spans="1:3" x14ac:dyDescent="0.25">
      <c r="A1546" t="str">
        <f>IF(RAW_INPUT!A1547="","",RAW_INPUT!A1547)</f>
        <v/>
      </c>
      <c r="B1546" t="str">
        <f>IF(RAW_INPUT!A1547="","",RAW_INPUT!E1547)</f>
        <v/>
      </c>
      <c r="C1546" t="str">
        <f>IF(RAW_INPUT!A1547="","",RAW_INPUT!F1547)</f>
        <v/>
      </c>
    </row>
    <row r="1547" spans="1:3" x14ac:dyDescent="0.25">
      <c r="A1547" t="str">
        <f>IF(RAW_INPUT!A1548="","",RAW_INPUT!A1548)</f>
        <v/>
      </c>
      <c r="B1547" t="str">
        <f>IF(RAW_INPUT!A1548="","",RAW_INPUT!E1548)</f>
        <v/>
      </c>
      <c r="C1547" t="str">
        <f>IF(RAW_INPUT!A1548="","",RAW_INPUT!F1548)</f>
        <v/>
      </c>
    </row>
    <row r="1548" spans="1:3" x14ac:dyDescent="0.25">
      <c r="A1548" t="str">
        <f>IF(RAW_INPUT!A1549="","",RAW_INPUT!A1549)</f>
        <v/>
      </c>
      <c r="B1548" t="str">
        <f>IF(RAW_INPUT!A1549="","",RAW_INPUT!E1549)</f>
        <v/>
      </c>
      <c r="C1548" t="str">
        <f>IF(RAW_INPUT!A1549="","",RAW_INPUT!F1549)</f>
        <v/>
      </c>
    </row>
    <row r="1549" spans="1:3" x14ac:dyDescent="0.25">
      <c r="A1549" t="str">
        <f>IF(RAW_INPUT!A1550="","",RAW_INPUT!A1550)</f>
        <v/>
      </c>
      <c r="B1549" t="str">
        <f>IF(RAW_INPUT!A1550="","",RAW_INPUT!E1550)</f>
        <v/>
      </c>
      <c r="C1549" t="str">
        <f>IF(RAW_INPUT!A1550="","",RAW_INPUT!F1550)</f>
        <v/>
      </c>
    </row>
    <row r="1550" spans="1:3" x14ac:dyDescent="0.25">
      <c r="A1550" t="str">
        <f>IF(RAW_INPUT!A1551="","",RAW_INPUT!A1551)</f>
        <v/>
      </c>
      <c r="B1550" t="str">
        <f>IF(RAW_INPUT!A1551="","",RAW_INPUT!E1551)</f>
        <v/>
      </c>
      <c r="C1550" t="str">
        <f>IF(RAW_INPUT!A1551="","",RAW_INPUT!F1551)</f>
        <v/>
      </c>
    </row>
    <row r="1551" spans="1:3" x14ac:dyDescent="0.25">
      <c r="A1551" t="str">
        <f>IF(RAW_INPUT!A1552="","",RAW_INPUT!A1552)</f>
        <v/>
      </c>
      <c r="B1551" t="str">
        <f>IF(RAW_INPUT!A1552="","",RAW_INPUT!E1552)</f>
        <v/>
      </c>
      <c r="C1551" t="str">
        <f>IF(RAW_INPUT!A1552="","",RAW_INPUT!F1552)</f>
        <v/>
      </c>
    </row>
    <row r="1552" spans="1:3" x14ac:dyDescent="0.25">
      <c r="A1552" t="str">
        <f>IF(RAW_INPUT!A1553="","",RAW_INPUT!A1553)</f>
        <v/>
      </c>
      <c r="B1552" t="str">
        <f>IF(RAW_INPUT!A1553="","",RAW_INPUT!E1553)</f>
        <v/>
      </c>
      <c r="C1552" t="str">
        <f>IF(RAW_INPUT!A1553="","",RAW_INPUT!F1553)</f>
        <v/>
      </c>
    </row>
    <row r="1553" spans="1:3" x14ac:dyDescent="0.25">
      <c r="A1553" t="str">
        <f>IF(RAW_INPUT!A1554="","",RAW_INPUT!A1554)</f>
        <v/>
      </c>
      <c r="B1553" t="str">
        <f>IF(RAW_INPUT!A1554="","",RAW_INPUT!E1554)</f>
        <v/>
      </c>
      <c r="C1553" t="str">
        <f>IF(RAW_INPUT!A1554="","",RAW_INPUT!F1554)</f>
        <v/>
      </c>
    </row>
    <row r="1554" spans="1:3" x14ac:dyDescent="0.25">
      <c r="A1554" t="str">
        <f>IF(RAW_INPUT!A1555="","",RAW_INPUT!A1555)</f>
        <v/>
      </c>
      <c r="B1554" t="str">
        <f>IF(RAW_INPUT!A1555="","",RAW_INPUT!E1555)</f>
        <v/>
      </c>
      <c r="C1554" t="str">
        <f>IF(RAW_INPUT!A1555="","",RAW_INPUT!F1555)</f>
        <v/>
      </c>
    </row>
    <row r="1555" spans="1:3" x14ac:dyDescent="0.25">
      <c r="A1555" t="str">
        <f>IF(RAW_INPUT!A1556="","",RAW_INPUT!A1556)</f>
        <v/>
      </c>
      <c r="B1555" t="str">
        <f>IF(RAW_INPUT!A1556="","",RAW_INPUT!E1556)</f>
        <v/>
      </c>
      <c r="C1555" t="str">
        <f>IF(RAW_INPUT!A1556="","",RAW_INPUT!F1556)</f>
        <v/>
      </c>
    </row>
    <row r="1556" spans="1:3" x14ac:dyDescent="0.25">
      <c r="A1556" t="str">
        <f>IF(RAW_INPUT!A1557="","",RAW_INPUT!A1557)</f>
        <v/>
      </c>
      <c r="B1556" t="str">
        <f>IF(RAW_INPUT!A1557="","",RAW_INPUT!E1557)</f>
        <v/>
      </c>
      <c r="C1556" t="str">
        <f>IF(RAW_INPUT!A1557="","",RAW_INPUT!F1557)</f>
        <v/>
      </c>
    </row>
    <row r="1557" spans="1:3" x14ac:dyDescent="0.25">
      <c r="A1557" t="str">
        <f>IF(RAW_INPUT!A1558="","",RAW_INPUT!A1558)</f>
        <v/>
      </c>
      <c r="B1557" t="str">
        <f>IF(RAW_INPUT!A1558="","",RAW_INPUT!E1558)</f>
        <v/>
      </c>
      <c r="C1557" t="str">
        <f>IF(RAW_INPUT!A1558="","",RAW_INPUT!F1558)</f>
        <v/>
      </c>
    </row>
    <row r="1558" spans="1:3" x14ac:dyDescent="0.25">
      <c r="A1558" t="str">
        <f>IF(RAW_INPUT!A1559="","",RAW_INPUT!A1559)</f>
        <v/>
      </c>
      <c r="B1558" t="str">
        <f>IF(RAW_INPUT!A1559="","",RAW_INPUT!E1559)</f>
        <v/>
      </c>
      <c r="C1558" t="str">
        <f>IF(RAW_INPUT!A1559="","",RAW_INPUT!F1559)</f>
        <v/>
      </c>
    </row>
    <row r="1559" spans="1:3" x14ac:dyDescent="0.25">
      <c r="A1559" t="str">
        <f>IF(RAW_INPUT!A1560="","",RAW_INPUT!A1560)</f>
        <v/>
      </c>
      <c r="B1559" t="str">
        <f>IF(RAW_INPUT!A1560="","",RAW_INPUT!E1560)</f>
        <v/>
      </c>
      <c r="C1559" t="str">
        <f>IF(RAW_INPUT!A1560="","",RAW_INPUT!F1560)</f>
        <v/>
      </c>
    </row>
    <row r="1560" spans="1:3" x14ac:dyDescent="0.25">
      <c r="A1560" t="str">
        <f>IF(RAW_INPUT!A1561="","",RAW_INPUT!A1561)</f>
        <v/>
      </c>
      <c r="B1560" t="str">
        <f>IF(RAW_INPUT!A1561="","",RAW_INPUT!E1561)</f>
        <v/>
      </c>
      <c r="C1560" t="str">
        <f>IF(RAW_INPUT!A1561="","",RAW_INPUT!F1561)</f>
        <v/>
      </c>
    </row>
    <row r="1561" spans="1:3" x14ac:dyDescent="0.25">
      <c r="A1561" t="str">
        <f>IF(RAW_INPUT!A1562="","",RAW_INPUT!A1562)</f>
        <v/>
      </c>
      <c r="B1561" t="str">
        <f>IF(RAW_INPUT!A1562="","",RAW_INPUT!E1562)</f>
        <v/>
      </c>
      <c r="C1561" t="str">
        <f>IF(RAW_INPUT!A1562="","",RAW_INPUT!F1562)</f>
        <v/>
      </c>
    </row>
    <row r="1562" spans="1:3" x14ac:dyDescent="0.25">
      <c r="A1562" t="str">
        <f>IF(RAW_INPUT!A1563="","",RAW_INPUT!A1563)</f>
        <v/>
      </c>
      <c r="B1562" t="str">
        <f>IF(RAW_INPUT!A1563="","",RAW_INPUT!E1563)</f>
        <v/>
      </c>
      <c r="C1562" t="str">
        <f>IF(RAW_INPUT!A1563="","",RAW_INPUT!F1563)</f>
        <v/>
      </c>
    </row>
    <row r="1563" spans="1:3" x14ac:dyDescent="0.25">
      <c r="A1563" t="str">
        <f>IF(RAW_INPUT!A1564="","",RAW_INPUT!A1564)</f>
        <v/>
      </c>
      <c r="B1563" t="str">
        <f>IF(RAW_INPUT!A1564="","",RAW_INPUT!E1564)</f>
        <v/>
      </c>
      <c r="C1563" t="str">
        <f>IF(RAW_INPUT!A1564="","",RAW_INPUT!F1564)</f>
        <v/>
      </c>
    </row>
    <row r="1564" spans="1:3" x14ac:dyDescent="0.25">
      <c r="A1564" t="str">
        <f>IF(RAW_INPUT!A1565="","",RAW_INPUT!A1565)</f>
        <v/>
      </c>
      <c r="B1564" t="str">
        <f>IF(RAW_INPUT!A1565="","",RAW_INPUT!E1565)</f>
        <v/>
      </c>
      <c r="C1564" t="str">
        <f>IF(RAW_INPUT!A1565="","",RAW_INPUT!F1565)</f>
        <v/>
      </c>
    </row>
    <row r="1565" spans="1:3" x14ac:dyDescent="0.25">
      <c r="A1565" t="str">
        <f>IF(RAW_INPUT!A1566="","",RAW_INPUT!A1566)</f>
        <v/>
      </c>
      <c r="B1565" t="str">
        <f>IF(RAW_INPUT!A1566="","",RAW_INPUT!E1566)</f>
        <v/>
      </c>
      <c r="C1565" t="str">
        <f>IF(RAW_INPUT!A1566="","",RAW_INPUT!F1566)</f>
        <v/>
      </c>
    </row>
    <row r="1566" spans="1:3" x14ac:dyDescent="0.25">
      <c r="A1566" t="str">
        <f>IF(RAW_INPUT!A1567="","",RAW_INPUT!A1567)</f>
        <v/>
      </c>
      <c r="B1566" t="str">
        <f>IF(RAW_INPUT!A1567="","",RAW_INPUT!E1567)</f>
        <v/>
      </c>
      <c r="C1566" t="str">
        <f>IF(RAW_INPUT!A1567="","",RAW_INPUT!F1567)</f>
        <v/>
      </c>
    </row>
    <row r="1567" spans="1:3" x14ac:dyDescent="0.25">
      <c r="A1567" t="str">
        <f>IF(RAW_INPUT!A1568="","",RAW_INPUT!A1568)</f>
        <v/>
      </c>
      <c r="B1567" t="str">
        <f>IF(RAW_INPUT!A1568="","",RAW_INPUT!E1568)</f>
        <v/>
      </c>
      <c r="C1567" t="str">
        <f>IF(RAW_INPUT!A1568="","",RAW_INPUT!F1568)</f>
        <v/>
      </c>
    </row>
    <row r="1568" spans="1:3" x14ac:dyDescent="0.25">
      <c r="A1568" t="str">
        <f>IF(RAW_INPUT!A1569="","",RAW_INPUT!A1569)</f>
        <v/>
      </c>
      <c r="B1568" t="str">
        <f>IF(RAW_INPUT!A1569="","",RAW_INPUT!E1569)</f>
        <v/>
      </c>
      <c r="C1568" t="str">
        <f>IF(RAW_INPUT!A1569="","",RAW_INPUT!F1569)</f>
        <v/>
      </c>
    </row>
    <row r="1569" spans="1:3" x14ac:dyDescent="0.25">
      <c r="A1569" t="str">
        <f>IF(RAW_INPUT!A1570="","",RAW_INPUT!A1570)</f>
        <v/>
      </c>
      <c r="B1569" t="str">
        <f>IF(RAW_INPUT!A1570="","",RAW_INPUT!E1570)</f>
        <v/>
      </c>
      <c r="C1569" t="str">
        <f>IF(RAW_INPUT!A1570="","",RAW_INPUT!F1570)</f>
        <v/>
      </c>
    </row>
    <row r="1570" spans="1:3" x14ac:dyDescent="0.25">
      <c r="A1570" t="str">
        <f>IF(RAW_INPUT!A1571="","",RAW_INPUT!A1571)</f>
        <v/>
      </c>
      <c r="B1570" t="str">
        <f>IF(RAW_INPUT!A1571="","",RAW_INPUT!E1571)</f>
        <v/>
      </c>
      <c r="C1570" t="str">
        <f>IF(RAW_INPUT!A1571="","",RAW_INPUT!F1571)</f>
        <v/>
      </c>
    </row>
    <row r="1571" spans="1:3" x14ac:dyDescent="0.25">
      <c r="A1571" t="str">
        <f>IF(RAW_INPUT!A1572="","",RAW_INPUT!A1572)</f>
        <v/>
      </c>
      <c r="B1571" t="str">
        <f>IF(RAW_INPUT!A1572="","",RAW_INPUT!E1572)</f>
        <v/>
      </c>
      <c r="C1571" t="str">
        <f>IF(RAW_INPUT!A1572="","",RAW_INPUT!F1572)</f>
        <v/>
      </c>
    </row>
    <row r="1572" spans="1:3" x14ac:dyDescent="0.25">
      <c r="A1572" t="str">
        <f>IF(RAW_INPUT!A1573="","",RAW_INPUT!A1573)</f>
        <v/>
      </c>
      <c r="B1572" t="str">
        <f>IF(RAW_INPUT!A1573="","",RAW_INPUT!E1573)</f>
        <v/>
      </c>
      <c r="C1572" t="str">
        <f>IF(RAW_INPUT!A1573="","",RAW_INPUT!F1573)</f>
        <v/>
      </c>
    </row>
    <row r="1573" spans="1:3" x14ac:dyDescent="0.25">
      <c r="A1573" t="str">
        <f>IF(RAW_INPUT!A1574="","",RAW_INPUT!A1574)</f>
        <v/>
      </c>
      <c r="B1573" t="str">
        <f>IF(RAW_INPUT!A1574="","",RAW_INPUT!E1574)</f>
        <v/>
      </c>
      <c r="C1573" t="str">
        <f>IF(RAW_INPUT!A1574="","",RAW_INPUT!F1574)</f>
        <v/>
      </c>
    </row>
    <row r="1574" spans="1:3" x14ac:dyDescent="0.25">
      <c r="A1574" t="str">
        <f>IF(RAW_INPUT!A1575="","",RAW_INPUT!A1575)</f>
        <v/>
      </c>
      <c r="B1574" t="str">
        <f>IF(RAW_INPUT!A1575="","",RAW_INPUT!E1575)</f>
        <v/>
      </c>
      <c r="C1574" t="str">
        <f>IF(RAW_INPUT!A1575="","",RAW_INPUT!F1575)</f>
        <v/>
      </c>
    </row>
    <row r="1575" spans="1:3" x14ac:dyDescent="0.25">
      <c r="A1575" t="str">
        <f>IF(RAW_INPUT!A1576="","",RAW_INPUT!A1576)</f>
        <v/>
      </c>
      <c r="B1575" t="str">
        <f>IF(RAW_INPUT!A1576="","",RAW_INPUT!E1576)</f>
        <v/>
      </c>
      <c r="C1575" t="str">
        <f>IF(RAW_INPUT!A1576="","",RAW_INPUT!F1576)</f>
        <v/>
      </c>
    </row>
    <row r="1576" spans="1:3" x14ac:dyDescent="0.25">
      <c r="A1576" t="str">
        <f>IF(RAW_INPUT!A1577="","",RAW_INPUT!A1577)</f>
        <v/>
      </c>
      <c r="B1576" t="str">
        <f>IF(RAW_INPUT!A1577="","",RAW_INPUT!E1577)</f>
        <v/>
      </c>
      <c r="C1576" t="str">
        <f>IF(RAW_INPUT!A1577="","",RAW_INPUT!F1577)</f>
        <v/>
      </c>
    </row>
    <row r="1577" spans="1:3" x14ac:dyDescent="0.25">
      <c r="A1577" t="str">
        <f>IF(RAW_INPUT!A1578="","",RAW_INPUT!A1578)</f>
        <v/>
      </c>
      <c r="B1577" t="str">
        <f>IF(RAW_INPUT!A1578="","",RAW_INPUT!E1578)</f>
        <v/>
      </c>
      <c r="C1577" t="str">
        <f>IF(RAW_INPUT!A1578="","",RAW_INPUT!F1578)</f>
        <v/>
      </c>
    </row>
    <row r="1578" spans="1:3" x14ac:dyDescent="0.25">
      <c r="A1578" t="str">
        <f>IF(RAW_INPUT!A1579="","",RAW_INPUT!A1579)</f>
        <v/>
      </c>
      <c r="B1578" t="str">
        <f>IF(RAW_INPUT!A1579="","",RAW_INPUT!E1579)</f>
        <v/>
      </c>
      <c r="C1578" t="str">
        <f>IF(RAW_INPUT!A1579="","",RAW_INPUT!F1579)</f>
        <v/>
      </c>
    </row>
    <row r="1579" spans="1:3" x14ac:dyDescent="0.25">
      <c r="A1579" t="str">
        <f>IF(RAW_INPUT!A1580="","",RAW_INPUT!A1580)</f>
        <v/>
      </c>
      <c r="B1579" t="str">
        <f>IF(RAW_INPUT!A1580="","",RAW_INPUT!E1580)</f>
        <v/>
      </c>
      <c r="C1579" t="str">
        <f>IF(RAW_INPUT!A1580="","",RAW_INPUT!F1580)</f>
        <v/>
      </c>
    </row>
    <row r="1580" spans="1:3" x14ac:dyDescent="0.25">
      <c r="A1580" t="str">
        <f>IF(RAW_INPUT!A1581="","",RAW_INPUT!A1581)</f>
        <v/>
      </c>
      <c r="B1580" t="str">
        <f>IF(RAW_INPUT!A1581="","",RAW_INPUT!E1581)</f>
        <v/>
      </c>
      <c r="C1580" t="str">
        <f>IF(RAW_INPUT!A1581="","",RAW_INPUT!F1581)</f>
        <v/>
      </c>
    </row>
    <row r="1581" spans="1:3" x14ac:dyDescent="0.25">
      <c r="A1581" t="str">
        <f>IF(RAW_INPUT!A1582="","",RAW_INPUT!A1582)</f>
        <v/>
      </c>
      <c r="B1581" t="str">
        <f>IF(RAW_INPUT!A1582="","",RAW_INPUT!E1582)</f>
        <v/>
      </c>
      <c r="C1581" t="str">
        <f>IF(RAW_INPUT!A1582="","",RAW_INPUT!F1582)</f>
        <v/>
      </c>
    </row>
    <row r="1582" spans="1:3" x14ac:dyDescent="0.25">
      <c r="A1582" t="str">
        <f>IF(RAW_INPUT!A1583="","",RAW_INPUT!A1583)</f>
        <v/>
      </c>
      <c r="B1582" t="str">
        <f>IF(RAW_INPUT!A1583="","",RAW_INPUT!E1583)</f>
        <v/>
      </c>
      <c r="C1582" t="str">
        <f>IF(RAW_INPUT!A1583="","",RAW_INPUT!F1583)</f>
        <v/>
      </c>
    </row>
    <row r="1583" spans="1:3" x14ac:dyDescent="0.25">
      <c r="A1583" t="str">
        <f>IF(RAW_INPUT!A1584="","",RAW_INPUT!A1584)</f>
        <v/>
      </c>
      <c r="B1583" t="str">
        <f>IF(RAW_INPUT!A1584="","",RAW_INPUT!E1584)</f>
        <v/>
      </c>
      <c r="C1583" t="str">
        <f>IF(RAW_INPUT!A1584="","",RAW_INPUT!F1584)</f>
        <v/>
      </c>
    </row>
    <row r="1584" spans="1:3" x14ac:dyDescent="0.25">
      <c r="A1584" t="str">
        <f>IF(RAW_INPUT!A1585="","",RAW_INPUT!A1585)</f>
        <v/>
      </c>
      <c r="B1584" t="str">
        <f>IF(RAW_INPUT!A1585="","",RAW_INPUT!E1585)</f>
        <v/>
      </c>
      <c r="C1584" t="str">
        <f>IF(RAW_INPUT!A1585="","",RAW_INPUT!F1585)</f>
        <v/>
      </c>
    </row>
    <row r="1585" spans="1:3" x14ac:dyDescent="0.25">
      <c r="A1585" t="str">
        <f>IF(RAW_INPUT!A1586="","",RAW_INPUT!A1586)</f>
        <v/>
      </c>
      <c r="B1585" t="str">
        <f>IF(RAW_INPUT!A1586="","",RAW_INPUT!E1586)</f>
        <v/>
      </c>
      <c r="C1585" t="str">
        <f>IF(RAW_INPUT!A1586="","",RAW_INPUT!F1586)</f>
        <v/>
      </c>
    </row>
    <row r="1586" spans="1:3" x14ac:dyDescent="0.25">
      <c r="A1586" t="str">
        <f>IF(RAW_INPUT!A1587="","",RAW_INPUT!A1587)</f>
        <v/>
      </c>
      <c r="B1586" t="str">
        <f>IF(RAW_INPUT!A1587="","",RAW_INPUT!E1587)</f>
        <v/>
      </c>
      <c r="C1586" t="str">
        <f>IF(RAW_INPUT!A1587="","",RAW_INPUT!F1587)</f>
        <v/>
      </c>
    </row>
    <row r="1587" spans="1:3" x14ac:dyDescent="0.25">
      <c r="A1587" t="str">
        <f>IF(RAW_INPUT!A1588="","",RAW_INPUT!A1588)</f>
        <v/>
      </c>
      <c r="B1587" t="str">
        <f>IF(RAW_INPUT!A1588="","",RAW_INPUT!E1588)</f>
        <v/>
      </c>
      <c r="C1587" t="str">
        <f>IF(RAW_INPUT!A1588="","",RAW_INPUT!F1588)</f>
        <v/>
      </c>
    </row>
    <row r="1588" spans="1:3" x14ac:dyDescent="0.25">
      <c r="A1588" t="str">
        <f>IF(RAW_INPUT!A1589="","",RAW_INPUT!A1589)</f>
        <v/>
      </c>
      <c r="B1588" t="str">
        <f>IF(RAW_INPUT!A1589="","",RAW_INPUT!E1589)</f>
        <v/>
      </c>
      <c r="C1588" t="str">
        <f>IF(RAW_INPUT!A1589="","",RAW_INPUT!F1589)</f>
        <v/>
      </c>
    </row>
    <row r="1589" spans="1:3" x14ac:dyDescent="0.25">
      <c r="A1589" t="str">
        <f>IF(RAW_INPUT!A1590="","",RAW_INPUT!A1590)</f>
        <v/>
      </c>
      <c r="B1589" t="str">
        <f>IF(RAW_INPUT!A1590="","",RAW_INPUT!E1590)</f>
        <v/>
      </c>
      <c r="C1589" t="str">
        <f>IF(RAW_INPUT!A1590="","",RAW_INPUT!F1590)</f>
        <v/>
      </c>
    </row>
    <row r="1590" spans="1:3" x14ac:dyDescent="0.25">
      <c r="A1590" t="str">
        <f>IF(RAW_INPUT!A1591="","",RAW_INPUT!A1591)</f>
        <v/>
      </c>
      <c r="B1590" t="str">
        <f>IF(RAW_INPUT!A1591="","",RAW_INPUT!E1591)</f>
        <v/>
      </c>
      <c r="C1590" t="str">
        <f>IF(RAW_INPUT!A1591="","",RAW_INPUT!F1591)</f>
        <v/>
      </c>
    </row>
    <row r="1591" spans="1:3" x14ac:dyDescent="0.25">
      <c r="A1591" t="str">
        <f>IF(RAW_INPUT!A1592="","",RAW_INPUT!A1592)</f>
        <v/>
      </c>
      <c r="B1591" t="str">
        <f>IF(RAW_INPUT!A1592="","",RAW_INPUT!E1592)</f>
        <v/>
      </c>
      <c r="C1591" t="str">
        <f>IF(RAW_INPUT!A1592="","",RAW_INPUT!F1592)</f>
        <v/>
      </c>
    </row>
    <row r="1592" spans="1:3" x14ac:dyDescent="0.25">
      <c r="A1592" t="str">
        <f>IF(RAW_INPUT!A1593="","",RAW_INPUT!A1593)</f>
        <v/>
      </c>
      <c r="B1592" t="str">
        <f>IF(RAW_INPUT!A1593="","",RAW_INPUT!E1593)</f>
        <v/>
      </c>
      <c r="C1592" t="str">
        <f>IF(RAW_INPUT!A1593="","",RAW_INPUT!F1593)</f>
        <v/>
      </c>
    </row>
    <row r="1593" spans="1:3" x14ac:dyDescent="0.25">
      <c r="A1593" t="str">
        <f>IF(RAW_INPUT!A1594="","",RAW_INPUT!A1594)</f>
        <v/>
      </c>
      <c r="B1593" t="str">
        <f>IF(RAW_INPUT!A1594="","",RAW_INPUT!E1594)</f>
        <v/>
      </c>
      <c r="C1593" t="str">
        <f>IF(RAW_INPUT!A1594="","",RAW_INPUT!F1594)</f>
        <v/>
      </c>
    </row>
    <row r="1594" spans="1:3" x14ac:dyDescent="0.25">
      <c r="A1594" t="str">
        <f>IF(RAW_INPUT!A1595="","",RAW_INPUT!A1595)</f>
        <v/>
      </c>
      <c r="B1594" t="str">
        <f>IF(RAW_INPUT!A1595="","",RAW_INPUT!E1595)</f>
        <v/>
      </c>
      <c r="C1594" t="str">
        <f>IF(RAW_INPUT!A1595="","",RAW_INPUT!F1595)</f>
        <v/>
      </c>
    </row>
    <row r="1595" spans="1:3" x14ac:dyDescent="0.25">
      <c r="A1595" t="str">
        <f>IF(RAW_INPUT!A1596="","",RAW_INPUT!A1596)</f>
        <v/>
      </c>
      <c r="B1595" t="str">
        <f>IF(RAW_INPUT!A1596="","",RAW_INPUT!E1596)</f>
        <v/>
      </c>
      <c r="C1595" t="str">
        <f>IF(RAW_INPUT!A1596="","",RAW_INPUT!F1596)</f>
        <v/>
      </c>
    </row>
    <row r="1596" spans="1:3" x14ac:dyDescent="0.25">
      <c r="A1596" t="str">
        <f>IF(RAW_INPUT!A1597="","",RAW_INPUT!A1597)</f>
        <v/>
      </c>
      <c r="B1596" t="str">
        <f>IF(RAW_INPUT!A1597="","",RAW_INPUT!E1597)</f>
        <v/>
      </c>
      <c r="C1596" t="str">
        <f>IF(RAW_INPUT!A1597="","",RAW_INPUT!F1597)</f>
        <v/>
      </c>
    </row>
    <row r="1597" spans="1:3" x14ac:dyDescent="0.25">
      <c r="A1597" t="str">
        <f>IF(RAW_INPUT!A1598="","",RAW_INPUT!A1598)</f>
        <v/>
      </c>
      <c r="B1597" t="str">
        <f>IF(RAW_INPUT!A1598="","",RAW_INPUT!E1598)</f>
        <v/>
      </c>
      <c r="C1597" t="str">
        <f>IF(RAW_INPUT!A1598="","",RAW_INPUT!F1598)</f>
        <v/>
      </c>
    </row>
    <row r="1598" spans="1:3" x14ac:dyDescent="0.25">
      <c r="A1598" t="str">
        <f>IF(RAW_INPUT!A1599="","",RAW_INPUT!A1599)</f>
        <v/>
      </c>
      <c r="B1598" t="str">
        <f>IF(RAW_INPUT!A1599="","",RAW_INPUT!E1599)</f>
        <v/>
      </c>
      <c r="C1598" t="str">
        <f>IF(RAW_INPUT!A1599="","",RAW_INPUT!F1599)</f>
        <v/>
      </c>
    </row>
    <row r="1599" spans="1:3" x14ac:dyDescent="0.25">
      <c r="A1599" t="str">
        <f>IF(RAW_INPUT!A1600="","",RAW_INPUT!A1600)</f>
        <v/>
      </c>
      <c r="B1599" t="str">
        <f>IF(RAW_INPUT!A1600="","",RAW_INPUT!E1600)</f>
        <v/>
      </c>
      <c r="C1599" t="str">
        <f>IF(RAW_INPUT!A1600="","",RAW_INPUT!F1600)</f>
        <v/>
      </c>
    </row>
    <row r="1600" spans="1:3" x14ac:dyDescent="0.25">
      <c r="A1600" t="str">
        <f>IF(RAW_INPUT!A1601="","",RAW_INPUT!A1601)</f>
        <v/>
      </c>
      <c r="B1600" t="str">
        <f>IF(RAW_INPUT!A1601="","",RAW_INPUT!E1601)</f>
        <v/>
      </c>
      <c r="C1600" t="str">
        <f>IF(RAW_INPUT!A1601="","",RAW_INPUT!F1601)</f>
        <v/>
      </c>
    </row>
    <row r="1601" spans="1:3" x14ac:dyDescent="0.25">
      <c r="A1601" t="str">
        <f>IF(RAW_INPUT!A1602="","",RAW_INPUT!A1602)</f>
        <v/>
      </c>
      <c r="B1601" t="str">
        <f>IF(RAW_INPUT!A1602="","",RAW_INPUT!E1602)</f>
        <v/>
      </c>
      <c r="C1601" t="str">
        <f>IF(RAW_INPUT!A1602="","",RAW_INPUT!F1602)</f>
        <v/>
      </c>
    </row>
    <row r="1602" spans="1:3" x14ac:dyDescent="0.25">
      <c r="A1602" t="str">
        <f>IF(RAW_INPUT!A1603="","",RAW_INPUT!A1603)</f>
        <v/>
      </c>
      <c r="B1602" t="str">
        <f>IF(RAW_INPUT!A1603="","",RAW_INPUT!E1603)</f>
        <v/>
      </c>
      <c r="C1602" t="str">
        <f>IF(RAW_INPUT!A1603="","",RAW_INPUT!F1603)</f>
        <v/>
      </c>
    </row>
    <row r="1603" spans="1:3" x14ac:dyDescent="0.25">
      <c r="A1603" t="str">
        <f>IF(RAW_INPUT!A1604="","",RAW_INPUT!A1604)</f>
        <v/>
      </c>
      <c r="B1603" t="str">
        <f>IF(RAW_INPUT!A1604="","",RAW_INPUT!E1604)</f>
        <v/>
      </c>
      <c r="C1603" t="str">
        <f>IF(RAW_INPUT!A1604="","",RAW_INPUT!F1604)</f>
        <v/>
      </c>
    </row>
    <row r="1604" spans="1:3" x14ac:dyDescent="0.25">
      <c r="A1604" t="str">
        <f>IF(RAW_INPUT!A1605="","",RAW_INPUT!A1605)</f>
        <v/>
      </c>
      <c r="B1604" t="str">
        <f>IF(RAW_INPUT!A1605="","",RAW_INPUT!E1605)</f>
        <v/>
      </c>
      <c r="C1604" t="str">
        <f>IF(RAW_INPUT!A1605="","",RAW_INPUT!F1605)</f>
        <v/>
      </c>
    </row>
    <row r="1605" spans="1:3" x14ac:dyDescent="0.25">
      <c r="A1605" t="str">
        <f>IF(RAW_INPUT!A1606="","",RAW_INPUT!A1606)</f>
        <v/>
      </c>
      <c r="B1605" t="str">
        <f>IF(RAW_INPUT!A1606="","",RAW_INPUT!E1606)</f>
        <v/>
      </c>
      <c r="C1605" t="str">
        <f>IF(RAW_INPUT!A1606="","",RAW_INPUT!F1606)</f>
        <v/>
      </c>
    </row>
    <row r="1606" spans="1:3" x14ac:dyDescent="0.25">
      <c r="A1606" t="str">
        <f>IF(RAW_INPUT!A1607="","",RAW_INPUT!A1607)</f>
        <v/>
      </c>
      <c r="B1606" t="str">
        <f>IF(RAW_INPUT!A1607="","",RAW_INPUT!E1607)</f>
        <v/>
      </c>
      <c r="C1606" t="str">
        <f>IF(RAW_INPUT!A1607="","",RAW_INPUT!F1607)</f>
        <v/>
      </c>
    </row>
    <row r="1607" spans="1:3" x14ac:dyDescent="0.25">
      <c r="A1607" t="str">
        <f>IF(RAW_INPUT!A1608="","",RAW_INPUT!A1608)</f>
        <v/>
      </c>
      <c r="B1607" t="str">
        <f>IF(RAW_INPUT!A1608="","",RAW_INPUT!E1608)</f>
        <v/>
      </c>
      <c r="C1607" t="str">
        <f>IF(RAW_INPUT!A1608="","",RAW_INPUT!F1608)</f>
        <v/>
      </c>
    </row>
    <row r="1608" spans="1:3" x14ac:dyDescent="0.25">
      <c r="A1608" t="str">
        <f>IF(RAW_INPUT!A1609="","",RAW_INPUT!A1609)</f>
        <v/>
      </c>
      <c r="B1608" t="str">
        <f>IF(RAW_INPUT!A1609="","",RAW_INPUT!E1609)</f>
        <v/>
      </c>
      <c r="C1608" t="str">
        <f>IF(RAW_INPUT!A1609="","",RAW_INPUT!F1609)</f>
        <v/>
      </c>
    </row>
    <row r="1609" spans="1:3" x14ac:dyDescent="0.25">
      <c r="A1609" t="str">
        <f>IF(RAW_INPUT!A1610="","",RAW_INPUT!A1610)</f>
        <v/>
      </c>
      <c r="B1609" t="str">
        <f>IF(RAW_INPUT!A1610="","",RAW_INPUT!E1610)</f>
        <v/>
      </c>
      <c r="C1609" t="str">
        <f>IF(RAW_INPUT!A1610="","",RAW_INPUT!F1610)</f>
        <v/>
      </c>
    </row>
    <row r="1610" spans="1:3" x14ac:dyDescent="0.25">
      <c r="A1610" t="str">
        <f>IF(RAW_INPUT!A1611="","",RAW_INPUT!A1611)</f>
        <v/>
      </c>
      <c r="B1610" t="str">
        <f>IF(RAW_INPUT!A1611="","",RAW_INPUT!E1611)</f>
        <v/>
      </c>
      <c r="C1610" t="str">
        <f>IF(RAW_INPUT!A1611="","",RAW_INPUT!F1611)</f>
        <v/>
      </c>
    </row>
    <row r="1611" spans="1:3" x14ac:dyDescent="0.25">
      <c r="A1611" t="str">
        <f>IF(RAW_INPUT!A1612="","",RAW_INPUT!A1612)</f>
        <v/>
      </c>
      <c r="B1611" t="str">
        <f>IF(RAW_INPUT!A1612="","",RAW_INPUT!E1612)</f>
        <v/>
      </c>
      <c r="C1611" t="str">
        <f>IF(RAW_INPUT!A1612="","",RAW_INPUT!F1612)</f>
        <v/>
      </c>
    </row>
    <row r="1612" spans="1:3" x14ac:dyDescent="0.25">
      <c r="A1612" t="str">
        <f>IF(RAW_INPUT!A1613="","",RAW_INPUT!A1613)</f>
        <v/>
      </c>
      <c r="B1612" t="str">
        <f>IF(RAW_INPUT!A1613="","",RAW_INPUT!E1613)</f>
        <v/>
      </c>
      <c r="C1612" t="str">
        <f>IF(RAW_INPUT!A1613="","",RAW_INPUT!F1613)</f>
        <v/>
      </c>
    </row>
    <row r="1613" spans="1:3" x14ac:dyDescent="0.25">
      <c r="A1613" t="str">
        <f>IF(RAW_INPUT!A1614="","",RAW_INPUT!A1614)</f>
        <v/>
      </c>
      <c r="B1613" t="str">
        <f>IF(RAW_INPUT!A1614="","",RAW_INPUT!E1614)</f>
        <v/>
      </c>
      <c r="C1613" t="str">
        <f>IF(RAW_INPUT!A1614="","",RAW_INPUT!F1614)</f>
        <v/>
      </c>
    </row>
    <row r="1614" spans="1:3" x14ac:dyDescent="0.25">
      <c r="A1614" t="str">
        <f>IF(RAW_INPUT!A1615="","",RAW_INPUT!A1615)</f>
        <v/>
      </c>
      <c r="B1614" t="str">
        <f>IF(RAW_INPUT!A1615="","",RAW_INPUT!E1615)</f>
        <v/>
      </c>
      <c r="C1614" t="str">
        <f>IF(RAW_INPUT!A1615="","",RAW_INPUT!F1615)</f>
        <v/>
      </c>
    </row>
    <row r="1615" spans="1:3" x14ac:dyDescent="0.25">
      <c r="A1615" t="str">
        <f>IF(RAW_INPUT!A1616="","",RAW_INPUT!A1616)</f>
        <v/>
      </c>
      <c r="B1615" t="str">
        <f>IF(RAW_INPUT!A1616="","",RAW_INPUT!E1616)</f>
        <v/>
      </c>
      <c r="C1615" t="str">
        <f>IF(RAW_INPUT!A1616="","",RAW_INPUT!F1616)</f>
        <v/>
      </c>
    </row>
    <row r="1616" spans="1:3" x14ac:dyDescent="0.25">
      <c r="A1616" t="str">
        <f>IF(RAW_INPUT!A1617="","",RAW_INPUT!A1617)</f>
        <v/>
      </c>
      <c r="B1616" t="str">
        <f>IF(RAW_INPUT!A1617="","",RAW_INPUT!E1617)</f>
        <v/>
      </c>
      <c r="C1616" t="str">
        <f>IF(RAW_INPUT!A1617="","",RAW_INPUT!F1617)</f>
        <v/>
      </c>
    </row>
    <row r="1617" spans="1:3" x14ac:dyDescent="0.25">
      <c r="A1617" t="str">
        <f>IF(RAW_INPUT!A1618="","",RAW_INPUT!A1618)</f>
        <v/>
      </c>
      <c r="B1617" t="str">
        <f>IF(RAW_INPUT!A1618="","",RAW_INPUT!E1618)</f>
        <v/>
      </c>
      <c r="C1617" t="str">
        <f>IF(RAW_INPUT!A1618="","",RAW_INPUT!F1618)</f>
        <v/>
      </c>
    </row>
    <row r="1618" spans="1:3" x14ac:dyDescent="0.25">
      <c r="A1618" t="str">
        <f>IF(RAW_INPUT!A1619="","",RAW_INPUT!A1619)</f>
        <v/>
      </c>
      <c r="B1618" t="str">
        <f>IF(RAW_INPUT!A1619="","",RAW_INPUT!E1619)</f>
        <v/>
      </c>
      <c r="C1618" t="str">
        <f>IF(RAW_INPUT!A1619="","",RAW_INPUT!F1619)</f>
        <v/>
      </c>
    </row>
    <row r="1619" spans="1:3" x14ac:dyDescent="0.25">
      <c r="A1619" t="str">
        <f>IF(RAW_INPUT!A1620="","",RAW_INPUT!A1620)</f>
        <v/>
      </c>
      <c r="B1619" t="str">
        <f>IF(RAW_INPUT!A1620="","",RAW_INPUT!E1620)</f>
        <v/>
      </c>
      <c r="C1619" t="str">
        <f>IF(RAW_INPUT!A1620="","",RAW_INPUT!F1620)</f>
        <v/>
      </c>
    </row>
    <row r="1620" spans="1:3" x14ac:dyDescent="0.25">
      <c r="A1620" t="str">
        <f>IF(RAW_INPUT!A1621="","",RAW_INPUT!A1621)</f>
        <v/>
      </c>
      <c r="B1620" t="str">
        <f>IF(RAW_INPUT!A1621="","",RAW_INPUT!E1621)</f>
        <v/>
      </c>
      <c r="C1620" t="str">
        <f>IF(RAW_INPUT!A1621="","",RAW_INPUT!F1621)</f>
        <v/>
      </c>
    </row>
    <row r="1621" spans="1:3" x14ac:dyDescent="0.25">
      <c r="A1621" t="str">
        <f>IF(RAW_INPUT!A1622="","",RAW_INPUT!A1622)</f>
        <v/>
      </c>
      <c r="B1621" t="str">
        <f>IF(RAW_INPUT!A1622="","",RAW_INPUT!E1622)</f>
        <v/>
      </c>
      <c r="C1621" t="str">
        <f>IF(RAW_INPUT!A1622="","",RAW_INPUT!F1622)</f>
        <v/>
      </c>
    </row>
    <row r="1622" spans="1:3" x14ac:dyDescent="0.25">
      <c r="A1622" t="str">
        <f>IF(RAW_INPUT!A1623="","",RAW_INPUT!A1623)</f>
        <v/>
      </c>
      <c r="B1622" t="str">
        <f>IF(RAW_INPUT!A1623="","",RAW_INPUT!E1623)</f>
        <v/>
      </c>
      <c r="C1622" t="str">
        <f>IF(RAW_INPUT!A1623="","",RAW_INPUT!F1623)</f>
        <v/>
      </c>
    </row>
    <row r="1623" spans="1:3" x14ac:dyDescent="0.25">
      <c r="A1623" t="str">
        <f>IF(RAW_INPUT!A1624="","",RAW_INPUT!A1624)</f>
        <v/>
      </c>
      <c r="B1623" t="str">
        <f>IF(RAW_INPUT!A1624="","",RAW_INPUT!E1624)</f>
        <v/>
      </c>
      <c r="C1623" t="str">
        <f>IF(RAW_INPUT!A1624="","",RAW_INPUT!F1624)</f>
        <v/>
      </c>
    </row>
    <row r="1624" spans="1:3" x14ac:dyDescent="0.25">
      <c r="A1624" t="str">
        <f>IF(RAW_INPUT!A1625="","",RAW_INPUT!A1625)</f>
        <v/>
      </c>
      <c r="B1624" t="str">
        <f>IF(RAW_INPUT!A1625="","",RAW_INPUT!E1625)</f>
        <v/>
      </c>
      <c r="C1624" t="str">
        <f>IF(RAW_INPUT!A1625="","",RAW_INPUT!F1625)</f>
        <v/>
      </c>
    </row>
    <row r="1625" spans="1:3" x14ac:dyDescent="0.25">
      <c r="A1625" t="str">
        <f>IF(RAW_INPUT!A1626="","",RAW_INPUT!A1626)</f>
        <v/>
      </c>
      <c r="B1625" t="str">
        <f>IF(RAW_INPUT!A1626="","",RAW_INPUT!E1626)</f>
        <v/>
      </c>
      <c r="C1625" t="str">
        <f>IF(RAW_INPUT!A1626="","",RAW_INPUT!F1626)</f>
        <v/>
      </c>
    </row>
    <row r="1626" spans="1:3" x14ac:dyDescent="0.25">
      <c r="A1626" t="str">
        <f>IF(RAW_INPUT!A1627="","",RAW_INPUT!A1627)</f>
        <v/>
      </c>
      <c r="B1626" t="str">
        <f>IF(RAW_INPUT!A1627="","",RAW_INPUT!E1627)</f>
        <v/>
      </c>
      <c r="C1626" t="str">
        <f>IF(RAW_INPUT!A1627="","",RAW_INPUT!F1627)</f>
        <v/>
      </c>
    </row>
    <row r="1627" spans="1:3" x14ac:dyDescent="0.25">
      <c r="A1627" t="str">
        <f>IF(RAW_INPUT!A1628="","",RAW_INPUT!A1628)</f>
        <v/>
      </c>
      <c r="B1627" t="str">
        <f>IF(RAW_INPUT!A1628="","",RAW_INPUT!E1628)</f>
        <v/>
      </c>
      <c r="C1627" t="str">
        <f>IF(RAW_INPUT!A1628="","",RAW_INPUT!F1628)</f>
        <v/>
      </c>
    </row>
    <row r="1628" spans="1:3" x14ac:dyDescent="0.25">
      <c r="A1628" t="str">
        <f>IF(RAW_INPUT!A1629="","",RAW_INPUT!A1629)</f>
        <v/>
      </c>
      <c r="B1628" t="str">
        <f>IF(RAW_INPUT!A1629="","",RAW_INPUT!E1629)</f>
        <v/>
      </c>
      <c r="C1628" t="str">
        <f>IF(RAW_INPUT!A1629="","",RAW_INPUT!F1629)</f>
        <v/>
      </c>
    </row>
    <row r="1629" spans="1:3" x14ac:dyDescent="0.25">
      <c r="A1629" t="str">
        <f>IF(RAW_INPUT!A1630="","",RAW_INPUT!A1630)</f>
        <v/>
      </c>
      <c r="B1629" t="str">
        <f>IF(RAW_INPUT!A1630="","",RAW_INPUT!E1630)</f>
        <v/>
      </c>
      <c r="C1629" t="str">
        <f>IF(RAW_INPUT!A1630="","",RAW_INPUT!F1630)</f>
        <v/>
      </c>
    </row>
    <row r="1630" spans="1:3" x14ac:dyDescent="0.25">
      <c r="A1630" t="str">
        <f>IF(RAW_INPUT!A1631="","",RAW_INPUT!A1631)</f>
        <v/>
      </c>
      <c r="B1630" t="str">
        <f>IF(RAW_INPUT!A1631="","",RAW_INPUT!E1631)</f>
        <v/>
      </c>
      <c r="C1630" t="str">
        <f>IF(RAW_INPUT!A1631="","",RAW_INPUT!F1631)</f>
        <v/>
      </c>
    </row>
    <row r="1631" spans="1:3" x14ac:dyDescent="0.25">
      <c r="A1631" t="str">
        <f>IF(RAW_INPUT!A1632="","",RAW_INPUT!A1632)</f>
        <v/>
      </c>
      <c r="B1631" t="str">
        <f>IF(RAW_INPUT!A1632="","",RAW_INPUT!E1632)</f>
        <v/>
      </c>
      <c r="C1631" t="str">
        <f>IF(RAW_INPUT!A1632="","",RAW_INPUT!F1632)</f>
        <v/>
      </c>
    </row>
    <row r="1632" spans="1:3" x14ac:dyDescent="0.25">
      <c r="A1632" t="str">
        <f>IF(RAW_INPUT!A1633="","",RAW_INPUT!A1633)</f>
        <v/>
      </c>
      <c r="B1632" t="str">
        <f>IF(RAW_INPUT!A1633="","",RAW_INPUT!E1633)</f>
        <v/>
      </c>
      <c r="C1632" t="str">
        <f>IF(RAW_INPUT!A1633="","",RAW_INPUT!F1633)</f>
        <v/>
      </c>
    </row>
    <row r="1633" spans="1:3" x14ac:dyDescent="0.25">
      <c r="A1633" t="str">
        <f>IF(RAW_INPUT!A1634="","",RAW_INPUT!A1634)</f>
        <v/>
      </c>
      <c r="B1633" t="str">
        <f>IF(RAW_INPUT!A1634="","",RAW_INPUT!E1634)</f>
        <v/>
      </c>
      <c r="C1633" t="str">
        <f>IF(RAW_INPUT!A1634="","",RAW_INPUT!F1634)</f>
        <v/>
      </c>
    </row>
    <row r="1634" spans="1:3" x14ac:dyDescent="0.25">
      <c r="A1634" t="str">
        <f>IF(RAW_INPUT!A1635="","",RAW_INPUT!A1635)</f>
        <v/>
      </c>
      <c r="B1634" t="str">
        <f>IF(RAW_INPUT!A1635="","",RAW_INPUT!E1635)</f>
        <v/>
      </c>
      <c r="C1634" t="str">
        <f>IF(RAW_INPUT!A1635="","",RAW_INPUT!F1635)</f>
        <v/>
      </c>
    </row>
    <row r="1635" spans="1:3" x14ac:dyDescent="0.25">
      <c r="A1635" t="str">
        <f>IF(RAW_INPUT!A1636="","",RAW_INPUT!A1636)</f>
        <v/>
      </c>
      <c r="B1635" t="str">
        <f>IF(RAW_INPUT!A1636="","",RAW_INPUT!E1636)</f>
        <v/>
      </c>
      <c r="C1635" t="str">
        <f>IF(RAW_INPUT!A1636="","",RAW_INPUT!F1636)</f>
        <v/>
      </c>
    </row>
    <row r="1636" spans="1:3" x14ac:dyDescent="0.25">
      <c r="A1636" t="str">
        <f>IF(RAW_INPUT!A1637="","",RAW_INPUT!A1637)</f>
        <v/>
      </c>
      <c r="B1636" t="str">
        <f>IF(RAW_INPUT!A1637="","",RAW_INPUT!E1637)</f>
        <v/>
      </c>
      <c r="C1636" t="str">
        <f>IF(RAW_INPUT!A1637="","",RAW_INPUT!F1637)</f>
        <v/>
      </c>
    </row>
    <row r="1637" spans="1:3" x14ac:dyDescent="0.25">
      <c r="A1637" t="str">
        <f>IF(RAW_INPUT!A1638="","",RAW_INPUT!A1638)</f>
        <v/>
      </c>
      <c r="B1637" t="str">
        <f>IF(RAW_INPUT!A1638="","",RAW_INPUT!E1638)</f>
        <v/>
      </c>
      <c r="C1637" t="str">
        <f>IF(RAW_INPUT!A1638="","",RAW_INPUT!F1638)</f>
        <v/>
      </c>
    </row>
    <row r="1638" spans="1:3" x14ac:dyDescent="0.25">
      <c r="A1638" t="str">
        <f>IF(RAW_INPUT!A1639="","",RAW_INPUT!A1639)</f>
        <v/>
      </c>
      <c r="B1638" t="str">
        <f>IF(RAW_INPUT!A1639="","",RAW_INPUT!E1639)</f>
        <v/>
      </c>
      <c r="C1638" t="str">
        <f>IF(RAW_INPUT!A1639="","",RAW_INPUT!F1639)</f>
        <v/>
      </c>
    </row>
    <row r="1639" spans="1:3" x14ac:dyDescent="0.25">
      <c r="A1639" t="str">
        <f>IF(RAW_INPUT!A1640="","",RAW_INPUT!A1640)</f>
        <v/>
      </c>
      <c r="B1639" t="str">
        <f>IF(RAW_INPUT!A1640="","",RAW_INPUT!E1640)</f>
        <v/>
      </c>
      <c r="C1639" t="str">
        <f>IF(RAW_INPUT!A1640="","",RAW_INPUT!F1640)</f>
        <v/>
      </c>
    </row>
    <row r="1640" spans="1:3" x14ac:dyDescent="0.25">
      <c r="A1640" t="str">
        <f>IF(RAW_INPUT!A1641="","",RAW_INPUT!A1641)</f>
        <v/>
      </c>
      <c r="B1640" t="str">
        <f>IF(RAW_INPUT!A1641="","",RAW_INPUT!E1641)</f>
        <v/>
      </c>
      <c r="C1640" t="str">
        <f>IF(RAW_INPUT!A1641="","",RAW_INPUT!F1641)</f>
        <v/>
      </c>
    </row>
    <row r="1641" spans="1:3" x14ac:dyDescent="0.25">
      <c r="A1641" t="str">
        <f>IF(RAW_INPUT!A1642="","",RAW_INPUT!A1642)</f>
        <v/>
      </c>
      <c r="B1641" t="str">
        <f>IF(RAW_INPUT!A1642="","",RAW_INPUT!E1642)</f>
        <v/>
      </c>
      <c r="C1641" t="str">
        <f>IF(RAW_INPUT!A1642="","",RAW_INPUT!F1642)</f>
        <v/>
      </c>
    </row>
    <row r="1642" spans="1:3" x14ac:dyDescent="0.25">
      <c r="A1642" t="str">
        <f>IF(RAW_INPUT!A1643="","",RAW_INPUT!A1643)</f>
        <v/>
      </c>
      <c r="B1642" t="str">
        <f>IF(RAW_INPUT!A1643="","",RAW_INPUT!E1643)</f>
        <v/>
      </c>
      <c r="C1642" t="str">
        <f>IF(RAW_INPUT!A1643="","",RAW_INPUT!F1643)</f>
        <v/>
      </c>
    </row>
    <row r="1643" spans="1:3" x14ac:dyDescent="0.25">
      <c r="A1643" t="str">
        <f>IF(RAW_INPUT!A1644="","",RAW_INPUT!A1644)</f>
        <v/>
      </c>
      <c r="B1643" t="str">
        <f>IF(RAW_INPUT!A1644="","",RAW_INPUT!E1644)</f>
        <v/>
      </c>
      <c r="C1643" t="str">
        <f>IF(RAW_INPUT!A1644="","",RAW_INPUT!F1644)</f>
        <v/>
      </c>
    </row>
    <row r="1644" spans="1:3" x14ac:dyDescent="0.25">
      <c r="A1644" t="str">
        <f>IF(RAW_INPUT!A1645="","",RAW_INPUT!A1645)</f>
        <v/>
      </c>
      <c r="B1644" t="str">
        <f>IF(RAW_INPUT!A1645="","",RAW_INPUT!E1645)</f>
        <v/>
      </c>
      <c r="C1644" t="str">
        <f>IF(RAW_INPUT!A1645="","",RAW_INPUT!F1645)</f>
        <v/>
      </c>
    </row>
    <row r="1645" spans="1:3" x14ac:dyDescent="0.25">
      <c r="A1645" t="str">
        <f>IF(RAW_INPUT!A1646="","",RAW_INPUT!A1646)</f>
        <v/>
      </c>
      <c r="B1645" t="str">
        <f>IF(RAW_INPUT!A1646="","",RAW_INPUT!E1646)</f>
        <v/>
      </c>
      <c r="C1645" t="str">
        <f>IF(RAW_INPUT!A1646="","",RAW_INPUT!F1646)</f>
        <v/>
      </c>
    </row>
    <row r="1646" spans="1:3" x14ac:dyDescent="0.25">
      <c r="A1646" t="str">
        <f>IF(RAW_INPUT!A1647="","",RAW_INPUT!A1647)</f>
        <v/>
      </c>
      <c r="B1646" t="str">
        <f>IF(RAW_INPUT!A1647="","",RAW_INPUT!E1647)</f>
        <v/>
      </c>
      <c r="C1646" t="str">
        <f>IF(RAW_INPUT!A1647="","",RAW_INPUT!F1647)</f>
        <v/>
      </c>
    </row>
    <row r="1647" spans="1:3" x14ac:dyDescent="0.25">
      <c r="A1647" t="str">
        <f>IF(RAW_INPUT!A1648="","",RAW_INPUT!A1648)</f>
        <v/>
      </c>
      <c r="B1647" t="str">
        <f>IF(RAW_INPUT!A1648="","",RAW_INPUT!E1648)</f>
        <v/>
      </c>
      <c r="C1647" t="str">
        <f>IF(RAW_INPUT!A1648="","",RAW_INPUT!F1648)</f>
        <v/>
      </c>
    </row>
    <row r="1648" spans="1:3" x14ac:dyDescent="0.25">
      <c r="A1648" t="str">
        <f>IF(RAW_INPUT!A1649="","",RAW_INPUT!A1649)</f>
        <v/>
      </c>
      <c r="B1648" t="str">
        <f>IF(RAW_INPUT!A1649="","",RAW_INPUT!E1649)</f>
        <v/>
      </c>
      <c r="C1648" t="str">
        <f>IF(RAW_INPUT!A1649="","",RAW_INPUT!F1649)</f>
        <v/>
      </c>
    </row>
    <row r="1649" spans="1:3" x14ac:dyDescent="0.25">
      <c r="A1649" t="str">
        <f>IF(RAW_INPUT!A1650="","",RAW_INPUT!A1650)</f>
        <v/>
      </c>
      <c r="B1649" t="str">
        <f>IF(RAW_INPUT!A1650="","",RAW_INPUT!E1650)</f>
        <v/>
      </c>
      <c r="C1649" t="str">
        <f>IF(RAW_INPUT!A1650="","",RAW_INPUT!F1650)</f>
        <v/>
      </c>
    </row>
    <row r="1650" spans="1:3" x14ac:dyDescent="0.25">
      <c r="A1650" t="str">
        <f>IF(RAW_INPUT!A1651="","",RAW_INPUT!A1651)</f>
        <v/>
      </c>
      <c r="B1650" t="str">
        <f>IF(RAW_INPUT!A1651="","",RAW_INPUT!E1651)</f>
        <v/>
      </c>
      <c r="C1650" t="str">
        <f>IF(RAW_INPUT!A1651="","",RAW_INPUT!F1651)</f>
        <v/>
      </c>
    </row>
    <row r="1651" spans="1:3" x14ac:dyDescent="0.25">
      <c r="A1651" t="str">
        <f>IF(RAW_INPUT!A1652="","",RAW_INPUT!A1652)</f>
        <v/>
      </c>
      <c r="B1651" t="str">
        <f>IF(RAW_INPUT!A1652="","",RAW_INPUT!E1652)</f>
        <v/>
      </c>
      <c r="C1651" t="str">
        <f>IF(RAW_INPUT!A1652="","",RAW_INPUT!F1652)</f>
        <v/>
      </c>
    </row>
    <row r="1652" spans="1:3" x14ac:dyDescent="0.25">
      <c r="A1652" t="str">
        <f>IF(RAW_INPUT!A1653="","",RAW_INPUT!A1653)</f>
        <v/>
      </c>
      <c r="B1652" t="str">
        <f>IF(RAW_INPUT!A1653="","",RAW_INPUT!E1653)</f>
        <v/>
      </c>
      <c r="C1652" t="str">
        <f>IF(RAW_INPUT!A1653="","",RAW_INPUT!F1653)</f>
        <v/>
      </c>
    </row>
    <row r="1653" spans="1:3" x14ac:dyDescent="0.25">
      <c r="A1653" t="str">
        <f>IF(RAW_INPUT!A1654="","",RAW_INPUT!A1654)</f>
        <v/>
      </c>
      <c r="B1653" t="str">
        <f>IF(RAW_INPUT!A1654="","",RAW_INPUT!E1654)</f>
        <v/>
      </c>
      <c r="C1653" t="str">
        <f>IF(RAW_INPUT!A1654="","",RAW_INPUT!F1654)</f>
        <v/>
      </c>
    </row>
    <row r="1654" spans="1:3" x14ac:dyDescent="0.25">
      <c r="A1654" t="str">
        <f>IF(RAW_INPUT!A1655="","",RAW_INPUT!A1655)</f>
        <v/>
      </c>
      <c r="B1654" t="str">
        <f>IF(RAW_INPUT!A1655="","",RAW_INPUT!E1655)</f>
        <v/>
      </c>
      <c r="C1654" t="str">
        <f>IF(RAW_INPUT!A1655="","",RAW_INPUT!F1655)</f>
        <v/>
      </c>
    </row>
    <row r="1655" spans="1:3" x14ac:dyDescent="0.25">
      <c r="A1655" t="str">
        <f>IF(RAW_INPUT!A1656="","",RAW_INPUT!A1656)</f>
        <v/>
      </c>
      <c r="B1655" t="str">
        <f>IF(RAW_INPUT!A1656="","",RAW_INPUT!E1656)</f>
        <v/>
      </c>
      <c r="C1655" t="str">
        <f>IF(RAW_INPUT!A1656="","",RAW_INPUT!F1656)</f>
        <v/>
      </c>
    </row>
    <row r="1656" spans="1:3" x14ac:dyDescent="0.25">
      <c r="A1656" t="str">
        <f>IF(RAW_INPUT!A1657="","",RAW_INPUT!A1657)</f>
        <v/>
      </c>
      <c r="B1656" t="str">
        <f>IF(RAW_INPUT!A1657="","",RAW_INPUT!E1657)</f>
        <v/>
      </c>
      <c r="C1656" t="str">
        <f>IF(RAW_INPUT!A1657="","",RAW_INPUT!F1657)</f>
        <v/>
      </c>
    </row>
    <row r="1657" spans="1:3" x14ac:dyDescent="0.25">
      <c r="A1657" t="str">
        <f>IF(RAW_INPUT!A1658="","",RAW_INPUT!A1658)</f>
        <v/>
      </c>
      <c r="B1657" t="str">
        <f>IF(RAW_INPUT!A1658="","",RAW_INPUT!E1658)</f>
        <v/>
      </c>
      <c r="C1657" t="str">
        <f>IF(RAW_INPUT!A1658="","",RAW_INPUT!F1658)</f>
        <v/>
      </c>
    </row>
    <row r="1658" spans="1:3" x14ac:dyDescent="0.25">
      <c r="A1658" t="str">
        <f>IF(RAW_INPUT!A1659="","",RAW_INPUT!A1659)</f>
        <v/>
      </c>
      <c r="B1658" t="str">
        <f>IF(RAW_INPUT!A1659="","",RAW_INPUT!E1659)</f>
        <v/>
      </c>
      <c r="C1658" t="str">
        <f>IF(RAW_INPUT!A1659="","",RAW_INPUT!F1659)</f>
        <v/>
      </c>
    </row>
    <row r="1659" spans="1:3" x14ac:dyDescent="0.25">
      <c r="A1659" t="str">
        <f>IF(RAW_INPUT!A1660="","",RAW_INPUT!A1660)</f>
        <v/>
      </c>
      <c r="B1659" t="str">
        <f>IF(RAW_INPUT!A1660="","",RAW_INPUT!E1660)</f>
        <v/>
      </c>
      <c r="C1659" t="str">
        <f>IF(RAW_INPUT!A1660="","",RAW_INPUT!F1660)</f>
        <v/>
      </c>
    </row>
    <row r="1660" spans="1:3" x14ac:dyDescent="0.25">
      <c r="A1660" t="str">
        <f>IF(RAW_INPUT!A1661="","",RAW_INPUT!A1661)</f>
        <v/>
      </c>
      <c r="B1660" t="str">
        <f>IF(RAW_INPUT!A1661="","",RAW_INPUT!E1661)</f>
        <v/>
      </c>
      <c r="C1660" t="str">
        <f>IF(RAW_INPUT!A1661="","",RAW_INPUT!F1661)</f>
        <v/>
      </c>
    </row>
    <row r="1661" spans="1:3" x14ac:dyDescent="0.25">
      <c r="A1661" t="str">
        <f>IF(RAW_INPUT!A1662="","",RAW_INPUT!A1662)</f>
        <v/>
      </c>
      <c r="B1661" t="str">
        <f>IF(RAW_INPUT!A1662="","",RAW_INPUT!E1662)</f>
        <v/>
      </c>
      <c r="C1661" t="str">
        <f>IF(RAW_INPUT!A1662="","",RAW_INPUT!F1662)</f>
        <v/>
      </c>
    </row>
    <row r="1662" spans="1:3" x14ac:dyDescent="0.25">
      <c r="A1662" t="str">
        <f>IF(RAW_INPUT!A1663="","",RAW_INPUT!A1663)</f>
        <v/>
      </c>
      <c r="B1662" t="str">
        <f>IF(RAW_INPUT!A1663="","",RAW_INPUT!E1663)</f>
        <v/>
      </c>
      <c r="C1662" t="str">
        <f>IF(RAW_INPUT!A1663="","",RAW_INPUT!F1663)</f>
        <v/>
      </c>
    </row>
    <row r="1663" spans="1:3" x14ac:dyDescent="0.25">
      <c r="A1663" t="str">
        <f>IF(RAW_INPUT!A1664="","",RAW_INPUT!A1664)</f>
        <v/>
      </c>
      <c r="B1663" t="str">
        <f>IF(RAW_INPUT!A1664="","",RAW_INPUT!E1664)</f>
        <v/>
      </c>
      <c r="C1663" t="str">
        <f>IF(RAW_INPUT!A1664="","",RAW_INPUT!F1664)</f>
        <v/>
      </c>
    </row>
    <row r="1664" spans="1:3" x14ac:dyDescent="0.25">
      <c r="A1664" t="str">
        <f>IF(RAW_INPUT!A1665="","",RAW_INPUT!A1665)</f>
        <v/>
      </c>
      <c r="B1664" t="str">
        <f>IF(RAW_INPUT!A1665="","",RAW_INPUT!E1665)</f>
        <v/>
      </c>
      <c r="C1664" t="str">
        <f>IF(RAW_INPUT!A1665="","",RAW_INPUT!F1665)</f>
        <v/>
      </c>
    </row>
    <row r="1665" spans="1:3" x14ac:dyDescent="0.25">
      <c r="A1665" t="str">
        <f>IF(RAW_INPUT!A1666="","",RAW_INPUT!A1666)</f>
        <v/>
      </c>
      <c r="B1665" t="str">
        <f>IF(RAW_INPUT!A1666="","",RAW_INPUT!E1666)</f>
        <v/>
      </c>
      <c r="C1665" t="str">
        <f>IF(RAW_INPUT!A1666="","",RAW_INPUT!F1666)</f>
        <v/>
      </c>
    </row>
    <row r="1666" spans="1:3" x14ac:dyDescent="0.25">
      <c r="A1666" t="str">
        <f>IF(RAW_INPUT!A1667="","",RAW_INPUT!A1667)</f>
        <v/>
      </c>
      <c r="B1666" t="str">
        <f>IF(RAW_INPUT!A1667="","",RAW_INPUT!E1667)</f>
        <v/>
      </c>
      <c r="C1666" t="str">
        <f>IF(RAW_INPUT!A1667="","",RAW_INPUT!F1667)</f>
        <v/>
      </c>
    </row>
    <row r="1667" spans="1:3" x14ac:dyDescent="0.25">
      <c r="A1667" t="str">
        <f>IF(RAW_INPUT!A1668="","",RAW_INPUT!A1668)</f>
        <v/>
      </c>
      <c r="B1667" t="str">
        <f>IF(RAW_INPUT!A1668="","",RAW_INPUT!E1668)</f>
        <v/>
      </c>
      <c r="C1667" t="str">
        <f>IF(RAW_INPUT!A1668="","",RAW_INPUT!F1668)</f>
        <v/>
      </c>
    </row>
    <row r="1668" spans="1:3" x14ac:dyDescent="0.25">
      <c r="A1668" t="str">
        <f>IF(RAW_INPUT!A1669="","",RAW_INPUT!A1669)</f>
        <v/>
      </c>
      <c r="B1668" t="str">
        <f>IF(RAW_INPUT!A1669="","",RAW_INPUT!E1669)</f>
        <v/>
      </c>
      <c r="C1668" t="str">
        <f>IF(RAW_INPUT!A1669="","",RAW_INPUT!F1669)</f>
        <v/>
      </c>
    </row>
    <row r="1669" spans="1:3" x14ac:dyDescent="0.25">
      <c r="A1669" t="str">
        <f>IF(RAW_INPUT!A1670="","",RAW_INPUT!A1670)</f>
        <v/>
      </c>
      <c r="B1669" t="str">
        <f>IF(RAW_INPUT!A1670="","",RAW_INPUT!E1670)</f>
        <v/>
      </c>
      <c r="C1669" t="str">
        <f>IF(RAW_INPUT!A1670="","",RAW_INPUT!F1670)</f>
        <v/>
      </c>
    </row>
    <row r="1670" spans="1:3" x14ac:dyDescent="0.25">
      <c r="A1670" t="str">
        <f>IF(RAW_INPUT!A1671="","",RAW_INPUT!A1671)</f>
        <v/>
      </c>
      <c r="B1670" t="str">
        <f>IF(RAW_INPUT!A1671="","",RAW_INPUT!E1671)</f>
        <v/>
      </c>
      <c r="C1670" t="str">
        <f>IF(RAW_INPUT!A1671="","",RAW_INPUT!F1671)</f>
        <v/>
      </c>
    </row>
    <row r="1671" spans="1:3" x14ac:dyDescent="0.25">
      <c r="A1671" t="str">
        <f>IF(RAW_INPUT!A1672="","",RAW_INPUT!A1672)</f>
        <v/>
      </c>
      <c r="B1671" t="str">
        <f>IF(RAW_INPUT!A1672="","",RAW_INPUT!E1672)</f>
        <v/>
      </c>
      <c r="C1671" t="str">
        <f>IF(RAW_INPUT!A1672="","",RAW_INPUT!F1672)</f>
        <v/>
      </c>
    </row>
    <row r="1672" spans="1:3" x14ac:dyDescent="0.25">
      <c r="A1672" t="str">
        <f>IF(RAW_INPUT!A1673="","",RAW_INPUT!A1673)</f>
        <v/>
      </c>
      <c r="B1672" t="str">
        <f>IF(RAW_INPUT!A1673="","",RAW_INPUT!E1673)</f>
        <v/>
      </c>
      <c r="C1672" t="str">
        <f>IF(RAW_INPUT!A1673="","",RAW_INPUT!F1673)</f>
        <v/>
      </c>
    </row>
    <row r="1673" spans="1:3" x14ac:dyDescent="0.25">
      <c r="A1673" t="str">
        <f>IF(RAW_INPUT!A1674="","",RAW_INPUT!A1674)</f>
        <v/>
      </c>
      <c r="B1673" t="str">
        <f>IF(RAW_INPUT!A1674="","",RAW_INPUT!E1674)</f>
        <v/>
      </c>
      <c r="C1673" t="str">
        <f>IF(RAW_INPUT!A1674="","",RAW_INPUT!F1674)</f>
        <v/>
      </c>
    </row>
    <row r="1674" spans="1:3" x14ac:dyDescent="0.25">
      <c r="A1674" t="str">
        <f>IF(RAW_INPUT!A1675="","",RAW_INPUT!A1675)</f>
        <v/>
      </c>
      <c r="B1674" t="str">
        <f>IF(RAW_INPUT!A1675="","",RAW_INPUT!E1675)</f>
        <v/>
      </c>
      <c r="C1674" t="str">
        <f>IF(RAW_INPUT!A1675="","",RAW_INPUT!F1675)</f>
        <v/>
      </c>
    </row>
    <row r="1675" spans="1:3" x14ac:dyDescent="0.25">
      <c r="A1675" t="str">
        <f>IF(RAW_INPUT!A1676="","",RAW_INPUT!A1676)</f>
        <v/>
      </c>
      <c r="B1675" t="str">
        <f>IF(RAW_INPUT!A1676="","",RAW_INPUT!E1676)</f>
        <v/>
      </c>
      <c r="C1675" t="str">
        <f>IF(RAW_INPUT!A1676="","",RAW_INPUT!F1676)</f>
        <v/>
      </c>
    </row>
    <row r="1676" spans="1:3" x14ac:dyDescent="0.25">
      <c r="A1676" t="str">
        <f>IF(RAW_INPUT!A1677="","",RAW_INPUT!A1677)</f>
        <v/>
      </c>
      <c r="B1676" t="str">
        <f>IF(RAW_INPUT!A1677="","",RAW_INPUT!E1677)</f>
        <v/>
      </c>
      <c r="C1676" t="str">
        <f>IF(RAW_INPUT!A1677="","",RAW_INPUT!F1677)</f>
        <v/>
      </c>
    </row>
    <row r="1677" spans="1:3" x14ac:dyDescent="0.25">
      <c r="A1677" t="str">
        <f>IF(RAW_INPUT!A1678="","",RAW_INPUT!A1678)</f>
        <v/>
      </c>
      <c r="B1677" t="str">
        <f>IF(RAW_INPUT!A1678="","",RAW_INPUT!E1678)</f>
        <v/>
      </c>
      <c r="C1677" t="str">
        <f>IF(RAW_INPUT!A1678="","",RAW_INPUT!F1678)</f>
        <v/>
      </c>
    </row>
    <row r="1678" spans="1:3" x14ac:dyDescent="0.25">
      <c r="A1678" t="str">
        <f>IF(RAW_INPUT!A1679="","",RAW_INPUT!A1679)</f>
        <v/>
      </c>
      <c r="B1678" t="str">
        <f>IF(RAW_INPUT!A1679="","",RAW_INPUT!E1679)</f>
        <v/>
      </c>
      <c r="C1678" t="str">
        <f>IF(RAW_INPUT!A1679="","",RAW_INPUT!F1679)</f>
        <v/>
      </c>
    </row>
    <row r="1679" spans="1:3" x14ac:dyDescent="0.25">
      <c r="A1679" t="str">
        <f>IF(RAW_INPUT!A1680="","",RAW_INPUT!A1680)</f>
        <v/>
      </c>
      <c r="B1679" t="str">
        <f>IF(RAW_INPUT!A1680="","",RAW_INPUT!E1680)</f>
        <v/>
      </c>
      <c r="C1679" t="str">
        <f>IF(RAW_INPUT!A1680="","",RAW_INPUT!F1680)</f>
        <v/>
      </c>
    </row>
    <row r="1680" spans="1:3" x14ac:dyDescent="0.25">
      <c r="A1680" t="str">
        <f>IF(RAW_INPUT!A1681="","",RAW_INPUT!A1681)</f>
        <v/>
      </c>
      <c r="B1680" t="str">
        <f>IF(RAW_INPUT!A1681="","",RAW_INPUT!E1681)</f>
        <v/>
      </c>
      <c r="C1680" t="str">
        <f>IF(RAW_INPUT!A1681="","",RAW_INPUT!F1681)</f>
        <v/>
      </c>
    </row>
    <row r="1681" spans="1:3" x14ac:dyDescent="0.25">
      <c r="A1681" t="str">
        <f>IF(RAW_INPUT!A1682="","",RAW_INPUT!A1682)</f>
        <v/>
      </c>
      <c r="B1681" t="str">
        <f>IF(RAW_INPUT!A1682="","",RAW_INPUT!E1682)</f>
        <v/>
      </c>
      <c r="C1681" t="str">
        <f>IF(RAW_INPUT!A1682="","",RAW_INPUT!F1682)</f>
        <v/>
      </c>
    </row>
    <row r="1682" spans="1:3" x14ac:dyDescent="0.25">
      <c r="A1682" t="str">
        <f>IF(RAW_INPUT!A1683="","",RAW_INPUT!A1683)</f>
        <v/>
      </c>
      <c r="B1682" t="str">
        <f>IF(RAW_INPUT!A1683="","",RAW_INPUT!E1683)</f>
        <v/>
      </c>
      <c r="C1682" t="str">
        <f>IF(RAW_INPUT!A1683="","",RAW_INPUT!F1683)</f>
        <v/>
      </c>
    </row>
    <row r="1683" spans="1:3" x14ac:dyDescent="0.25">
      <c r="A1683" t="str">
        <f>IF(RAW_INPUT!A1684="","",RAW_INPUT!A1684)</f>
        <v/>
      </c>
      <c r="B1683" t="str">
        <f>IF(RAW_INPUT!A1684="","",RAW_INPUT!E1684)</f>
        <v/>
      </c>
      <c r="C1683" t="str">
        <f>IF(RAW_INPUT!A1684="","",RAW_INPUT!F1684)</f>
        <v/>
      </c>
    </row>
    <row r="1684" spans="1:3" x14ac:dyDescent="0.25">
      <c r="A1684" t="str">
        <f>IF(RAW_INPUT!A1685="","",RAW_INPUT!A1685)</f>
        <v/>
      </c>
      <c r="B1684" t="str">
        <f>IF(RAW_INPUT!A1685="","",RAW_INPUT!E1685)</f>
        <v/>
      </c>
      <c r="C1684" t="str">
        <f>IF(RAW_INPUT!A1685="","",RAW_INPUT!F1685)</f>
        <v/>
      </c>
    </row>
    <row r="1685" spans="1:3" x14ac:dyDescent="0.25">
      <c r="A1685" t="str">
        <f>IF(RAW_INPUT!A1686="","",RAW_INPUT!A1686)</f>
        <v/>
      </c>
      <c r="B1685" t="str">
        <f>IF(RAW_INPUT!A1686="","",RAW_INPUT!E1686)</f>
        <v/>
      </c>
      <c r="C1685" t="str">
        <f>IF(RAW_INPUT!A1686="","",RAW_INPUT!F1686)</f>
        <v/>
      </c>
    </row>
    <row r="1686" spans="1:3" x14ac:dyDescent="0.25">
      <c r="A1686" t="str">
        <f>IF(RAW_INPUT!A1687="","",RAW_INPUT!A1687)</f>
        <v/>
      </c>
      <c r="B1686" t="str">
        <f>IF(RAW_INPUT!A1687="","",RAW_INPUT!E1687)</f>
        <v/>
      </c>
      <c r="C1686" t="str">
        <f>IF(RAW_INPUT!A1687="","",RAW_INPUT!F1687)</f>
        <v/>
      </c>
    </row>
    <row r="1687" spans="1:3" x14ac:dyDescent="0.25">
      <c r="A1687" t="str">
        <f>IF(RAW_INPUT!A1688="","",RAW_INPUT!A1688)</f>
        <v/>
      </c>
      <c r="B1687" t="str">
        <f>IF(RAW_INPUT!A1688="","",RAW_INPUT!E1688)</f>
        <v/>
      </c>
      <c r="C1687" t="str">
        <f>IF(RAW_INPUT!A1688="","",RAW_INPUT!F1688)</f>
        <v/>
      </c>
    </row>
    <row r="1688" spans="1:3" x14ac:dyDescent="0.25">
      <c r="A1688" t="str">
        <f>IF(RAW_INPUT!A1689="","",RAW_INPUT!A1689)</f>
        <v/>
      </c>
      <c r="B1688" t="str">
        <f>IF(RAW_INPUT!A1689="","",RAW_INPUT!E1689)</f>
        <v/>
      </c>
      <c r="C1688" t="str">
        <f>IF(RAW_INPUT!A1689="","",RAW_INPUT!F1689)</f>
        <v/>
      </c>
    </row>
    <row r="1689" spans="1:3" x14ac:dyDescent="0.25">
      <c r="A1689" t="str">
        <f>IF(RAW_INPUT!A1690="","",RAW_INPUT!A1690)</f>
        <v/>
      </c>
      <c r="B1689" t="str">
        <f>IF(RAW_INPUT!A1690="","",RAW_INPUT!E1690)</f>
        <v/>
      </c>
      <c r="C1689" t="str">
        <f>IF(RAW_INPUT!A1690="","",RAW_INPUT!F1690)</f>
        <v/>
      </c>
    </row>
    <row r="1690" spans="1:3" x14ac:dyDescent="0.25">
      <c r="A1690" t="str">
        <f>IF(RAW_INPUT!A1691="","",RAW_INPUT!A1691)</f>
        <v/>
      </c>
      <c r="B1690" t="str">
        <f>IF(RAW_INPUT!A1691="","",RAW_INPUT!E1691)</f>
        <v/>
      </c>
      <c r="C1690" t="str">
        <f>IF(RAW_INPUT!A1691="","",RAW_INPUT!F1691)</f>
        <v/>
      </c>
    </row>
    <row r="1691" spans="1:3" x14ac:dyDescent="0.25">
      <c r="A1691" t="str">
        <f>IF(RAW_INPUT!A1692="","",RAW_INPUT!A1692)</f>
        <v/>
      </c>
      <c r="B1691" t="str">
        <f>IF(RAW_INPUT!A1692="","",RAW_INPUT!E1692)</f>
        <v/>
      </c>
      <c r="C1691" t="str">
        <f>IF(RAW_INPUT!A1692="","",RAW_INPUT!F1692)</f>
        <v/>
      </c>
    </row>
    <row r="1692" spans="1:3" x14ac:dyDescent="0.25">
      <c r="A1692" t="str">
        <f>IF(RAW_INPUT!A1693="","",RAW_INPUT!A1693)</f>
        <v/>
      </c>
      <c r="B1692" t="str">
        <f>IF(RAW_INPUT!A1693="","",RAW_INPUT!E1693)</f>
        <v/>
      </c>
      <c r="C1692" t="str">
        <f>IF(RAW_INPUT!A1693="","",RAW_INPUT!F1693)</f>
        <v/>
      </c>
    </row>
    <row r="1693" spans="1:3" x14ac:dyDescent="0.25">
      <c r="A1693" t="str">
        <f>IF(RAW_INPUT!A1694="","",RAW_INPUT!A1694)</f>
        <v/>
      </c>
      <c r="B1693" t="str">
        <f>IF(RAW_INPUT!A1694="","",RAW_INPUT!E1694)</f>
        <v/>
      </c>
      <c r="C1693" t="str">
        <f>IF(RAW_INPUT!A1694="","",RAW_INPUT!F1694)</f>
        <v/>
      </c>
    </row>
    <row r="1694" spans="1:3" x14ac:dyDescent="0.25">
      <c r="A1694" t="str">
        <f>IF(RAW_INPUT!A1695="","",RAW_INPUT!A1695)</f>
        <v/>
      </c>
      <c r="B1694" t="str">
        <f>IF(RAW_INPUT!A1695="","",RAW_INPUT!E1695)</f>
        <v/>
      </c>
      <c r="C1694" t="str">
        <f>IF(RAW_INPUT!A1695="","",RAW_INPUT!F1695)</f>
        <v/>
      </c>
    </row>
    <row r="1695" spans="1:3" x14ac:dyDescent="0.25">
      <c r="A1695" t="str">
        <f>IF(RAW_INPUT!A1696="","",RAW_INPUT!A1696)</f>
        <v/>
      </c>
      <c r="B1695" t="str">
        <f>IF(RAW_INPUT!A1696="","",RAW_INPUT!E1696)</f>
        <v/>
      </c>
      <c r="C1695" t="str">
        <f>IF(RAW_INPUT!A1696="","",RAW_INPUT!F1696)</f>
        <v/>
      </c>
    </row>
    <row r="1696" spans="1:3" x14ac:dyDescent="0.25">
      <c r="A1696" t="str">
        <f>IF(RAW_INPUT!A1697="","",RAW_INPUT!A1697)</f>
        <v/>
      </c>
      <c r="B1696" t="str">
        <f>IF(RAW_INPUT!A1697="","",RAW_INPUT!E1697)</f>
        <v/>
      </c>
      <c r="C1696" t="str">
        <f>IF(RAW_INPUT!A1697="","",RAW_INPUT!F1697)</f>
        <v/>
      </c>
    </row>
    <row r="1697" spans="1:3" x14ac:dyDescent="0.25">
      <c r="A1697" t="str">
        <f>IF(RAW_INPUT!A1698="","",RAW_INPUT!A1698)</f>
        <v/>
      </c>
      <c r="B1697" t="str">
        <f>IF(RAW_INPUT!A1698="","",RAW_INPUT!E1698)</f>
        <v/>
      </c>
      <c r="C1697" t="str">
        <f>IF(RAW_INPUT!A1698="","",RAW_INPUT!F1698)</f>
        <v/>
      </c>
    </row>
    <row r="1698" spans="1:3" x14ac:dyDescent="0.25">
      <c r="A1698" t="str">
        <f>IF(RAW_INPUT!A1699="","",RAW_INPUT!A1699)</f>
        <v/>
      </c>
      <c r="B1698" t="str">
        <f>IF(RAW_INPUT!A1699="","",RAW_INPUT!E1699)</f>
        <v/>
      </c>
      <c r="C1698" t="str">
        <f>IF(RAW_INPUT!A1699="","",RAW_INPUT!F1699)</f>
        <v/>
      </c>
    </row>
    <row r="1699" spans="1:3" x14ac:dyDescent="0.25">
      <c r="A1699" t="str">
        <f>IF(RAW_INPUT!A1700="","",RAW_INPUT!A1700)</f>
        <v/>
      </c>
      <c r="B1699" t="str">
        <f>IF(RAW_INPUT!A1700="","",RAW_INPUT!E1700)</f>
        <v/>
      </c>
      <c r="C1699" t="str">
        <f>IF(RAW_INPUT!A1700="","",RAW_INPUT!F1700)</f>
        <v/>
      </c>
    </row>
    <row r="1700" spans="1:3" x14ac:dyDescent="0.25">
      <c r="A1700" t="str">
        <f>IF(RAW_INPUT!A1701="","",RAW_INPUT!A1701)</f>
        <v/>
      </c>
      <c r="B1700" t="str">
        <f>IF(RAW_INPUT!A1701="","",RAW_INPUT!E1701)</f>
        <v/>
      </c>
      <c r="C1700" t="str">
        <f>IF(RAW_INPUT!A1701="","",RAW_INPUT!F1701)</f>
        <v/>
      </c>
    </row>
    <row r="1701" spans="1:3" x14ac:dyDescent="0.25">
      <c r="A1701" t="str">
        <f>IF(RAW_INPUT!A1702="","",RAW_INPUT!A1702)</f>
        <v/>
      </c>
      <c r="B1701" t="str">
        <f>IF(RAW_INPUT!A1702="","",RAW_INPUT!E1702)</f>
        <v/>
      </c>
      <c r="C1701" t="str">
        <f>IF(RAW_INPUT!A1702="","",RAW_INPUT!F1702)</f>
        <v/>
      </c>
    </row>
    <row r="1702" spans="1:3" x14ac:dyDescent="0.25">
      <c r="A1702" t="str">
        <f>IF(RAW_INPUT!A1703="","",RAW_INPUT!A1703)</f>
        <v/>
      </c>
      <c r="B1702" t="str">
        <f>IF(RAW_INPUT!A1703="","",RAW_INPUT!E1703)</f>
        <v/>
      </c>
      <c r="C1702" t="str">
        <f>IF(RAW_INPUT!A1703="","",RAW_INPUT!F1703)</f>
        <v/>
      </c>
    </row>
    <row r="1703" spans="1:3" x14ac:dyDescent="0.25">
      <c r="A1703" t="str">
        <f>IF(RAW_INPUT!A1704="","",RAW_INPUT!A1704)</f>
        <v/>
      </c>
      <c r="B1703" t="str">
        <f>IF(RAW_INPUT!A1704="","",RAW_INPUT!E1704)</f>
        <v/>
      </c>
      <c r="C1703" t="str">
        <f>IF(RAW_INPUT!A1704="","",RAW_INPUT!F1704)</f>
        <v/>
      </c>
    </row>
    <row r="1704" spans="1:3" x14ac:dyDescent="0.25">
      <c r="A1704" t="str">
        <f>IF(RAW_INPUT!A1705="","",RAW_INPUT!A1705)</f>
        <v/>
      </c>
      <c r="B1704" t="str">
        <f>IF(RAW_INPUT!A1705="","",RAW_INPUT!E1705)</f>
        <v/>
      </c>
      <c r="C1704" t="str">
        <f>IF(RAW_INPUT!A1705="","",RAW_INPUT!F1705)</f>
        <v/>
      </c>
    </row>
    <row r="1705" spans="1:3" x14ac:dyDescent="0.25">
      <c r="A1705" t="str">
        <f>IF(RAW_INPUT!A1706="","",RAW_INPUT!A1706)</f>
        <v/>
      </c>
      <c r="B1705" t="str">
        <f>IF(RAW_INPUT!A1706="","",RAW_INPUT!E1706)</f>
        <v/>
      </c>
      <c r="C1705" t="str">
        <f>IF(RAW_INPUT!A1706="","",RAW_INPUT!F1706)</f>
        <v/>
      </c>
    </row>
    <row r="1706" spans="1:3" x14ac:dyDescent="0.25">
      <c r="A1706" t="str">
        <f>IF(RAW_INPUT!A1707="","",RAW_INPUT!A1707)</f>
        <v/>
      </c>
      <c r="B1706" t="str">
        <f>IF(RAW_INPUT!A1707="","",RAW_INPUT!E1707)</f>
        <v/>
      </c>
      <c r="C1706" t="str">
        <f>IF(RAW_INPUT!A1707="","",RAW_INPUT!F1707)</f>
        <v/>
      </c>
    </row>
    <row r="1707" spans="1:3" x14ac:dyDescent="0.25">
      <c r="A1707" t="str">
        <f>IF(RAW_INPUT!A1708="","",RAW_INPUT!A1708)</f>
        <v/>
      </c>
      <c r="B1707" t="str">
        <f>IF(RAW_INPUT!A1708="","",RAW_INPUT!E1708)</f>
        <v/>
      </c>
      <c r="C1707" t="str">
        <f>IF(RAW_INPUT!A1708="","",RAW_INPUT!F1708)</f>
        <v/>
      </c>
    </row>
    <row r="1708" spans="1:3" x14ac:dyDescent="0.25">
      <c r="A1708" t="str">
        <f>IF(RAW_INPUT!A1709="","",RAW_INPUT!A1709)</f>
        <v/>
      </c>
      <c r="B1708" t="str">
        <f>IF(RAW_INPUT!A1709="","",RAW_INPUT!E1709)</f>
        <v/>
      </c>
      <c r="C1708" t="str">
        <f>IF(RAW_INPUT!A1709="","",RAW_INPUT!F1709)</f>
        <v/>
      </c>
    </row>
    <row r="1709" spans="1:3" x14ac:dyDescent="0.25">
      <c r="A1709" t="str">
        <f>IF(RAW_INPUT!A1710="","",RAW_INPUT!A1710)</f>
        <v/>
      </c>
      <c r="B1709" t="str">
        <f>IF(RAW_INPUT!A1710="","",RAW_INPUT!E1710)</f>
        <v/>
      </c>
      <c r="C1709" t="str">
        <f>IF(RAW_INPUT!A1710="","",RAW_INPUT!F1710)</f>
        <v/>
      </c>
    </row>
    <row r="1710" spans="1:3" x14ac:dyDescent="0.25">
      <c r="A1710" t="str">
        <f>IF(RAW_INPUT!A1711="","",RAW_INPUT!A1711)</f>
        <v/>
      </c>
      <c r="B1710" t="str">
        <f>IF(RAW_INPUT!A1711="","",RAW_INPUT!E1711)</f>
        <v/>
      </c>
      <c r="C1710" t="str">
        <f>IF(RAW_INPUT!A1711="","",RAW_INPUT!F1711)</f>
        <v/>
      </c>
    </row>
    <row r="1711" spans="1:3" x14ac:dyDescent="0.25">
      <c r="A1711" t="str">
        <f>IF(RAW_INPUT!A1712="","",RAW_INPUT!A1712)</f>
        <v/>
      </c>
      <c r="B1711" t="str">
        <f>IF(RAW_INPUT!A1712="","",RAW_INPUT!E1712)</f>
        <v/>
      </c>
      <c r="C1711" t="str">
        <f>IF(RAW_INPUT!A1712="","",RAW_INPUT!F1712)</f>
        <v/>
      </c>
    </row>
    <row r="1712" spans="1:3" x14ac:dyDescent="0.25">
      <c r="A1712" t="str">
        <f>IF(RAW_INPUT!A1713="","",RAW_INPUT!A1713)</f>
        <v/>
      </c>
      <c r="B1712" t="str">
        <f>IF(RAW_INPUT!A1713="","",RAW_INPUT!E1713)</f>
        <v/>
      </c>
      <c r="C1712" t="str">
        <f>IF(RAW_INPUT!A1713="","",RAW_INPUT!F1713)</f>
        <v/>
      </c>
    </row>
    <row r="1713" spans="1:3" x14ac:dyDescent="0.25">
      <c r="A1713" t="str">
        <f>IF(RAW_INPUT!A1714="","",RAW_INPUT!A1714)</f>
        <v/>
      </c>
      <c r="B1713" t="str">
        <f>IF(RAW_INPUT!A1714="","",RAW_INPUT!E1714)</f>
        <v/>
      </c>
      <c r="C1713" t="str">
        <f>IF(RAW_INPUT!A1714="","",RAW_INPUT!F1714)</f>
        <v/>
      </c>
    </row>
    <row r="1714" spans="1:3" x14ac:dyDescent="0.25">
      <c r="A1714" t="str">
        <f>IF(RAW_INPUT!A1715="","",RAW_INPUT!A1715)</f>
        <v/>
      </c>
      <c r="B1714" t="str">
        <f>IF(RAW_INPUT!A1715="","",RAW_INPUT!E1715)</f>
        <v/>
      </c>
      <c r="C1714" t="str">
        <f>IF(RAW_INPUT!A1715="","",RAW_INPUT!F1715)</f>
        <v/>
      </c>
    </row>
    <row r="1715" spans="1:3" x14ac:dyDescent="0.25">
      <c r="A1715" t="str">
        <f>IF(RAW_INPUT!A1716="","",RAW_INPUT!A1716)</f>
        <v/>
      </c>
      <c r="B1715" t="str">
        <f>IF(RAW_INPUT!A1716="","",RAW_INPUT!E1716)</f>
        <v/>
      </c>
      <c r="C1715" t="str">
        <f>IF(RAW_INPUT!A1716="","",RAW_INPUT!F1716)</f>
        <v/>
      </c>
    </row>
    <row r="1716" spans="1:3" x14ac:dyDescent="0.25">
      <c r="A1716" t="str">
        <f>IF(RAW_INPUT!A1717="","",RAW_INPUT!A1717)</f>
        <v/>
      </c>
      <c r="B1716" t="str">
        <f>IF(RAW_INPUT!A1717="","",RAW_INPUT!E1717)</f>
        <v/>
      </c>
      <c r="C1716" t="str">
        <f>IF(RAW_INPUT!A1717="","",RAW_INPUT!F1717)</f>
        <v/>
      </c>
    </row>
    <row r="1717" spans="1:3" x14ac:dyDescent="0.25">
      <c r="A1717" t="str">
        <f>IF(RAW_INPUT!A1718="","",RAW_INPUT!A1718)</f>
        <v/>
      </c>
      <c r="B1717" t="str">
        <f>IF(RAW_INPUT!A1718="","",RAW_INPUT!E1718)</f>
        <v/>
      </c>
      <c r="C1717" t="str">
        <f>IF(RAW_INPUT!A1718="","",RAW_INPUT!F1718)</f>
        <v/>
      </c>
    </row>
    <row r="1718" spans="1:3" x14ac:dyDescent="0.25">
      <c r="A1718" t="str">
        <f>IF(RAW_INPUT!A1719="","",RAW_INPUT!A1719)</f>
        <v/>
      </c>
      <c r="B1718" t="str">
        <f>IF(RAW_INPUT!A1719="","",RAW_INPUT!E1719)</f>
        <v/>
      </c>
      <c r="C1718" t="str">
        <f>IF(RAW_INPUT!A1719="","",RAW_INPUT!F1719)</f>
        <v/>
      </c>
    </row>
    <row r="1719" spans="1:3" x14ac:dyDescent="0.25">
      <c r="A1719" t="str">
        <f>IF(RAW_INPUT!A1720="","",RAW_INPUT!A1720)</f>
        <v/>
      </c>
      <c r="B1719" t="str">
        <f>IF(RAW_INPUT!A1720="","",RAW_INPUT!E1720)</f>
        <v/>
      </c>
      <c r="C1719" t="str">
        <f>IF(RAW_INPUT!A1720="","",RAW_INPUT!F1720)</f>
        <v/>
      </c>
    </row>
    <row r="1720" spans="1:3" x14ac:dyDescent="0.25">
      <c r="A1720" t="str">
        <f>IF(RAW_INPUT!A1721="","",RAW_INPUT!A1721)</f>
        <v/>
      </c>
      <c r="B1720" t="str">
        <f>IF(RAW_INPUT!A1721="","",RAW_INPUT!E1721)</f>
        <v/>
      </c>
      <c r="C1720" t="str">
        <f>IF(RAW_INPUT!A1721="","",RAW_INPUT!F1721)</f>
        <v/>
      </c>
    </row>
    <row r="1721" spans="1:3" x14ac:dyDescent="0.25">
      <c r="A1721" t="str">
        <f>IF(RAW_INPUT!A1722="","",RAW_INPUT!A1722)</f>
        <v/>
      </c>
      <c r="B1721" t="str">
        <f>IF(RAW_INPUT!A1722="","",RAW_INPUT!E1722)</f>
        <v/>
      </c>
      <c r="C1721" t="str">
        <f>IF(RAW_INPUT!A1722="","",RAW_INPUT!F1722)</f>
        <v/>
      </c>
    </row>
    <row r="1722" spans="1:3" x14ac:dyDescent="0.25">
      <c r="A1722" t="str">
        <f>IF(RAW_INPUT!A1723="","",RAW_INPUT!A1723)</f>
        <v/>
      </c>
      <c r="B1722" t="str">
        <f>IF(RAW_INPUT!A1723="","",RAW_INPUT!E1723)</f>
        <v/>
      </c>
      <c r="C1722" t="str">
        <f>IF(RAW_INPUT!A1723="","",RAW_INPUT!F1723)</f>
        <v/>
      </c>
    </row>
    <row r="1723" spans="1:3" x14ac:dyDescent="0.25">
      <c r="A1723" t="str">
        <f>IF(RAW_INPUT!A1724="","",RAW_INPUT!A1724)</f>
        <v/>
      </c>
      <c r="B1723" t="str">
        <f>IF(RAW_INPUT!A1724="","",RAW_INPUT!E1724)</f>
        <v/>
      </c>
      <c r="C1723" t="str">
        <f>IF(RAW_INPUT!A1724="","",RAW_INPUT!F1724)</f>
        <v/>
      </c>
    </row>
    <row r="1724" spans="1:3" x14ac:dyDescent="0.25">
      <c r="A1724" t="str">
        <f>IF(RAW_INPUT!A1725="","",RAW_INPUT!A1725)</f>
        <v/>
      </c>
      <c r="B1724" t="str">
        <f>IF(RAW_INPUT!A1725="","",RAW_INPUT!E1725)</f>
        <v/>
      </c>
      <c r="C1724" t="str">
        <f>IF(RAW_INPUT!A1725="","",RAW_INPUT!F1725)</f>
        <v/>
      </c>
    </row>
    <row r="1725" spans="1:3" x14ac:dyDescent="0.25">
      <c r="A1725" t="str">
        <f>IF(RAW_INPUT!A1726="","",RAW_INPUT!A1726)</f>
        <v/>
      </c>
      <c r="B1725" t="str">
        <f>IF(RAW_INPUT!A1726="","",RAW_INPUT!E1726)</f>
        <v/>
      </c>
      <c r="C1725" t="str">
        <f>IF(RAW_INPUT!A1726="","",RAW_INPUT!F1726)</f>
        <v/>
      </c>
    </row>
    <row r="1726" spans="1:3" x14ac:dyDescent="0.25">
      <c r="A1726" t="str">
        <f>IF(RAW_INPUT!A1727="","",RAW_INPUT!A1727)</f>
        <v/>
      </c>
      <c r="B1726" t="str">
        <f>IF(RAW_INPUT!A1727="","",RAW_INPUT!E1727)</f>
        <v/>
      </c>
      <c r="C1726" t="str">
        <f>IF(RAW_INPUT!A1727="","",RAW_INPUT!F1727)</f>
        <v/>
      </c>
    </row>
    <row r="1727" spans="1:3" x14ac:dyDescent="0.25">
      <c r="A1727" t="str">
        <f>IF(RAW_INPUT!A1728="","",RAW_INPUT!A1728)</f>
        <v/>
      </c>
      <c r="B1727" t="str">
        <f>IF(RAW_INPUT!A1728="","",RAW_INPUT!E1728)</f>
        <v/>
      </c>
      <c r="C1727" t="str">
        <f>IF(RAW_INPUT!A1728="","",RAW_INPUT!F1728)</f>
        <v/>
      </c>
    </row>
    <row r="1728" spans="1:3" x14ac:dyDescent="0.25">
      <c r="A1728" t="str">
        <f>IF(RAW_INPUT!A1729="","",RAW_INPUT!A1729)</f>
        <v/>
      </c>
      <c r="B1728" t="str">
        <f>IF(RAW_INPUT!A1729="","",RAW_INPUT!E1729)</f>
        <v/>
      </c>
      <c r="C1728" t="str">
        <f>IF(RAW_INPUT!A1729="","",RAW_INPUT!F1729)</f>
        <v/>
      </c>
    </row>
    <row r="1729" spans="1:3" x14ac:dyDescent="0.25">
      <c r="A1729" t="str">
        <f>IF(RAW_INPUT!A1730="","",RAW_INPUT!A1730)</f>
        <v/>
      </c>
      <c r="B1729" t="str">
        <f>IF(RAW_INPUT!A1730="","",RAW_INPUT!E1730)</f>
        <v/>
      </c>
      <c r="C1729" t="str">
        <f>IF(RAW_INPUT!A1730="","",RAW_INPUT!F1730)</f>
        <v/>
      </c>
    </row>
    <row r="1730" spans="1:3" x14ac:dyDescent="0.25">
      <c r="A1730" t="str">
        <f>IF(RAW_INPUT!A1731="","",RAW_INPUT!A1731)</f>
        <v/>
      </c>
      <c r="B1730" t="str">
        <f>IF(RAW_INPUT!A1731="","",RAW_INPUT!E1731)</f>
        <v/>
      </c>
      <c r="C1730" t="str">
        <f>IF(RAW_INPUT!A1731="","",RAW_INPUT!F1731)</f>
        <v/>
      </c>
    </row>
    <row r="1731" spans="1:3" x14ac:dyDescent="0.25">
      <c r="A1731" t="str">
        <f>IF(RAW_INPUT!A1732="","",RAW_INPUT!A1732)</f>
        <v/>
      </c>
      <c r="B1731" t="str">
        <f>IF(RAW_INPUT!A1732="","",RAW_INPUT!E1732)</f>
        <v/>
      </c>
      <c r="C1731" t="str">
        <f>IF(RAW_INPUT!A1732="","",RAW_INPUT!F1732)</f>
        <v/>
      </c>
    </row>
    <row r="1732" spans="1:3" x14ac:dyDescent="0.25">
      <c r="A1732" t="str">
        <f>IF(RAW_INPUT!A1733="","",RAW_INPUT!A1733)</f>
        <v/>
      </c>
      <c r="B1732" t="str">
        <f>IF(RAW_INPUT!A1733="","",RAW_INPUT!E1733)</f>
        <v/>
      </c>
      <c r="C1732" t="str">
        <f>IF(RAW_INPUT!A1733="","",RAW_INPUT!F1733)</f>
        <v/>
      </c>
    </row>
    <row r="1733" spans="1:3" x14ac:dyDescent="0.25">
      <c r="A1733" t="str">
        <f>IF(RAW_INPUT!A1734="","",RAW_INPUT!A1734)</f>
        <v/>
      </c>
      <c r="B1733" t="str">
        <f>IF(RAW_INPUT!A1734="","",RAW_INPUT!E1734)</f>
        <v/>
      </c>
      <c r="C1733" t="str">
        <f>IF(RAW_INPUT!A1734="","",RAW_INPUT!F1734)</f>
        <v/>
      </c>
    </row>
    <row r="1734" spans="1:3" x14ac:dyDescent="0.25">
      <c r="A1734" t="str">
        <f>IF(RAW_INPUT!A1735="","",RAW_INPUT!A1735)</f>
        <v/>
      </c>
      <c r="B1734" t="str">
        <f>IF(RAW_INPUT!A1735="","",RAW_INPUT!E1735)</f>
        <v/>
      </c>
      <c r="C1734" t="str">
        <f>IF(RAW_INPUT!A1735="","",RAW_INPUT!F1735)</f>
        <v/>
      </c>
    </row>
    <row r="1735" spans="1:3" x14ac:dyDescent="0.25">
      <c r="A1735" t="str">
        <f>IF(RAW_INPUT!A1736="","",RAW_INPUT!A1736)</f>
        <v/>
      </c>
      <c r="B1735" t="str">
        <f>IF(RAW_INPUT!A1736="","",RAW_INPUT!E1736)</f>
        <v/>
      </c>
      <c r="C1735" t="str">
        <f>IF(RAW_INPUT!A1736="","",RAW_INPUT!F1736)</f>
        <v/>
      </c>
    </row>
    <row r="1736" spans="1:3" x14ac:dyDescent="0.25">
      <c r="A1736" t="str">
        <f>IF(RAW_INPUT!A1737="","",RAW_INPUT!A1737)</f>
        <v/>
      </c>
      <c r="B1736" t="str">
        <f>IF(RAW_INPUT!A1737="","",RAW_INPUT!E1737)</f>
        <v/>
      </c>
      <c r="C1736" t="str">
        <f>IF(RAW_INPUT!A1737="","",RAW_INPUT!F1737)</f>
        <v/>
      </c>
    </row>
    <row r="1737" spans="1:3" x14ac:dyDescent="0.25">
      <c r="A1737" t="str">
        <f>IF(RAW_INPUT!A1738="","",RAW_INPUT!A1738)</f>
        <v/>
      </c>
      <c r="B1737" t="str">
        <f>IF(RAW_INPUT!A1738="","",RAW_INPUT!E1738)</f>
        <v/>
      </c>
      <c r="C1737" t="str">
        <f>IF(RAW_INPUT!A1738="","",RAW_INPUT!F1738)</f>
        <v/>
      </c>
    </row>
    <row r="1738" spans="1:3" x14ac:dyDescent="0.25">
      <c r="A1738" t="str">
        <f>IF(RAW_INPUT!A1739="","",RAW_INPUT!A1739)</f>
        <v/>
      </c>
      <c r="B1738" t="str">
        <f>IF(RAW_INPUT!A1739="","",RAW_INPUT!E1739)</f>
        <v/>
      </c>
      <c r="C1738" t="str">
        <f>IF(RAW_INPUT!A1739="","",RAW_INPUT!F1739)</f>
        <v/>
      </c>
    </row>
    <row r="1739" spans="1:3" x14ac:dyDescent="0.25">
      <c r="A1739" t="str">
        <f>IF(RAW_INPUT!A1740="","",RAW_INPUT!A1740)</f>
        <v/>
      </c>
      <c r="B1739" t="str">
        <f>IF(RAW_INPUT!A1740="","",RAW_INPUT!E1740)</f>
        <v/>
      </c>
      <c r="C1739" t="str">
        <f>IF(RAW_INPUT!A1740="","",RAW_INPUT!F1740)</f>
        <v/>
      </c>
    </row>
    <row r="1740" spans="1:3" x14ac:dyDescent="0.25">
      <c r="A1740" t="str">
        <f>IF(RAW_INPUT!A1741="","",RAW_INPUT!A1741)</f>
        <v/>
      </c>
      <c r="B1740" t="str">
        <f>IF(RAW_INPUT!A1741="","",RAW_INPUT!E1741)</f>
        <v/>
      </c>
      <c r="C1740" t="str">
        <f>IF(RAW_INPUT!A1741="","",RAW_INPUT!F1741)</f>
        <v/>
      </c>
    </row>
    <row r="1741" spans="1:3" x14ac:dyDescent="0.25">
      <c r="A1741" t="str">
        <f>IF(RAW_INPUT!A1742="","",RAW_INPUT!A1742)</f>
        <v/>
      </c>
      <c r="B1741" t="str">
        <f>IF(RAW_INPUT!A1742="","",RAW_INPUT!E1742)</f>
        <v/>
      </c>
      <c r="C1741" t="str">
        <f>IF(RAW_INPUT!A1742="","",RAW_INPUT!F1742)</f>
        <v/>
      </c>
    </row>
    <row r="1742" spans="1:3" x14ac:dyDescent="0.25">
      <c r="A1742" t="str">
        <f>IF(RAW_INPUT!A1743="","",RAW_INPUT!A1743)</f>
        <v/>
      </c>
      <c r="B1742" t="str">
        <f>IF(RAW_INPUT!A1743="","",RAW_INPUT!E1743)</f>
        <v/>
      </c>
      <c r="C1742" t="str">
        <f>IF(RAW_INPUT!A1743="","",RAW_INPUT!F1743)</f>
        <v/>
      </c>
    </row>
    <row r="1743" spans="1:3" x14ac:dyDescent="0.25">
      <c r="A1743" t="str">
        <f>IF(RAW_INPUT!A1744="","",RAW_INPUT!A1744)</f>
        <v/>
      </c>
      <c r="B1743" t="str">
        <f>IF(RAW_INPUT!A1744="","",RAW_INPUT!E1744)</f>
        <v/>
      </c>
      <c r="C1743" t="str">
        <f>IF(RAW_INPUT!A1744="","",RAW_INPUT!F1744)</f>
        <v/>
      </c>
    </row>
    <row r="1744" spans="1:3" x14ac:dyDescent="0.25">
      <c r="A1744" t="str">
        <f>IF(RAW_INPUT!A1745="","",RAW_INPUT!A1745)</f>
        <v/>
      </c>
      <c r="B1744" t="str">
        <f>IF(RAW_INPUT!A1745="","",RAW_INPUT!E1745)</f>
        <v/>
      </c>
      <c r="C1744" t="str">
        <f>IF(RAW_INPUT!A1745="","",RAW_INPUT!F1745)</f>
        <v/>
      </c>
    </row>
    <row r="1745" spans="1:3" x14ac:dyDescent="0.25">
      <c r="A1745" t="str">
        <f>IF(RAW_INPUT!A1746="","",RAW_INPUT!A1746)</f>
        <v/>
      </c>
      <c r="B1745" t="str">
        <f>IF(RAW_INPUT!A1746="","",RAW_INPUT!E1746)</f>
        <v/>
      </c>
      <c r="C1745" t="str">
        <f>IF(RAW_INPUT!A1746="","",RAW_INPUT!F1746)</f>
        <v/>
      </c>
    </row>
    <row r="1746" spans="1:3" x14ac:dyDescent="0.25">
      <c r="A1746" t="str">
        <f>IF(RAW_INPUT!A1747="","",RAW_INPUT!A1747)</f>
        <v/>
      </c>
      <c r="B1746" t="str">
        <f>IF(RAW_INPUT!A1747="","",RAW_INPUT!E1747)</f>
        <v/>
      </c>
      <c r="C1746" t="str">
        <f>IF(RAW_INPUT!A1747="","",RAW_INPUT!F1747)</f>
        <v/>
      </c>
    </row>
    <row r="1747" spans="1:3" x14ac:dyDescent="0.25">
      <c r="A1747" t="str">
        <f>IF(RAW_INPUT!A1748="","",RAW_INPUT!A1748)</f>
        <v/>
      </c>
      <c r="B1747" t="str">
        <f>IF(RAW_INPUT!A1748="","",RAW_INPUT!E1748)</f>
        <v/>
      </c>
      <c r="C1747" t="str">
        <f>IF(RAW_INPUT!A1748="","",RAW_INPUT!F1748)</f>
        <v/>
      </c>
    </row>
    <row r="1748" spans="1:3" x14ac:dyDescent="0.25">
      <c r="A1748" t="str">
        <f>IF(RAW_INPUT!A1749="","",RAW_INPUT!A1749)</f>
        <v/>
      </c>
      <c r="B1748" t="str">
        <f>IF(RAW_INPUT!A1749="","",RAW_INPUT!E1749)</f>
        <v/>
      </c>
      <c r="C1748" t="str">
        <f>IF(RAW_INPUT!A1749="","",RAW_INPUT!F1749)</f>
        <v/>
      </c>
    </row>
    <row r="1749" spans="1:3" x14ac:dyDescent="0.25">
      <c r="A1749" t="str">
        <f>IF(RAW_INPUT!A1750="","",RAW_INPUT!A1750)</f>
        <v/>
      </c>
      <c r="B1749" t="str">
        <f>IF(RAW_INPUT!A1750="","",RAW_INPUT!E1750)</f>
        <v/>
      </c>
      <c r="C1749" t="str">
        <f>IF(RAW_INPUT!A1750="","",RAW_INPUT!F1750)</f>
        <v/>
      </c>
    </row>
    <row r="1750" spans="1:3" x14ac:dyDescent="0.25">
      <c r="A1750" t="str">
        <f>IF(RAW_INPUT!A1751="","",RAW_INPUT!A1751)</f>
        <v/>
      </c>
      <c r="B1750" t="str">
        <f>IF(RAW_INPUT!A1751="","",RAW_INPUT!E1751)</f>
        <v/>
      </c>
      <c r="C1750" t="str">
        <f>IF(RAW_INPUT!A1751="","",RAW_INPUT!F1751)</f>
        <v/>
      </c>
    </row>
    <row r="1751" spans="1:3" x14ac:dyDescent="0.25">
      <c r="A1751" t="str">
        <f>IF(RAW_INPUT!A1752="","",RAW_INPUT!A1752)</f>
        <v/>
      </c>
      <c r="B1751" t="str">
        <f>IF(RAW_INPUT!A1752="","",RAW_INPUT!E1752)</f>
        <v/>
      </c>
      <c r="C1751" t="str">
        <f>IF(RAW_INPUT!A1752="","",RAW_INPUT!F1752)</f>
        <v/>
      </c>
    </row>
    <row r="1752" spans="1:3" x14ac:dyDescent="0.25">
      <c r="A1752" t="str">
        <f>IF(RAW_INPUT!A1753="","",RAW_INPUT!A1753)</f>
        <v/>
      </c>
      <c r="B1752" t="str">
        <f>IF(RAW_INPUT!A1753="","",RAW_INPUT!E1753)</f>
        <v/>
      </c>
      <c r="C1752" t="str">
        <f>IF(RAW_INPUT!A1753="","",RAW_INPUT!F1753)</f>
        <v/>
      </c>
    </row>
    <row r="1753" spans="1:3" x14ac:dyDescent="0.25">
      <c r="A1753" t="str">
        <f>IF(RAW_INPUT!A1754="","",RAW_INPUT!A1754)</f>
        <v/>
      </c>
      <c r="B1753" t="str">
        <f>IF(RAW_INPUT!A1754="","",RAW_INPUT!E1754)</f>
        <v/>
      </c>
      <c r="C1753" t="str">
        <f>IF(RAW_INPUT!A1754="","",RAW_INPUT!F1754)</f>
        <v/>
      </c>
    </row>
    <row r="1754" spans="1:3" x14ac:dyDescent="0.25">
      <c r="A1754" t="str">
        <f>IF(RAW_INPUT!A1755="","",RAW_INPUT!A1755)</f>
        <v/>
      </c>
      <c r="B1754" t="str">
        <f>IF(RAW_INPUT!A1755="","",RAW_INPUT!E1755)</f>
        <v/>
      </c>
      <c r="C1754" t="str">
        <f>IF(RAW_INPUT!A1755="","",RAW_INPUT!F1755)</f>
        <v/>
      </c>
    </row>
    <row r="1755" spans="1:3" x14ac:dyDescent="0.25">
      <c r="A1755" t="str">
        <f>IF(RAW_INPUT!A1756="","",RAW_INPUT!A1756)</f>
        <v/>
      </c>
      <c r="B1755" t="str">
        <f>IF(RAW_INPUT!A1756="","",RAW_INPUT!E1756)</f>
        <v/>
      </c>
      <c r="C1755" t="str">
        <f>IF(RAW_INPUT!A1756="","",RAW_INPUT!F1756)</f>
        <v/>
      </c>
    </row>
    <row r="1756" spans="1:3" x14ac:dyDescent="0.25">
      <c r="A1756" t="str">
        <f>IF(RAW_INPUT!A1757="","",RAW_INPUT!A1757)</f>
        <v/>
      </c>
      <c r="B1756" t="str">
        <f>IF(RAW_INPUT!A1757="","",RAW_INPUT!E1757)</f>
        <v/>
      </c>
      <c r="C1756" t="str">
        <f>IF(RAW_INPUT!A1757="","",RAW_INPUT!F1757)</f>
        <v/>
      </c>
    </row>
    <row r="1757" spans="1:3" x14ac:dyDescent="0.25">
      <c r="A1757" t="str">
        <f>IF(RAW_INPUT!A1758="","",RAW_INPUT!A1758)</f>
        <v/>
      </c>
      <c r="B1757" t="str">
        <f>IF(RAW_INPUT!A1758="","",RAW_INPUT!E1758)</f>
        <v/>
      </c>
      <c r="C1757" t="str">
        <f>IF(RAW_INPUT!A1758="","",RAW_INPUT!F1758)</f>
        <v/>
      </c>
    </row>
    <row r="1758" spans="1:3" x14ac:dyDescent="0.25">
      <c r="A1758" t="str">
        <f>IF(RAW_INPUT!A1759="","",RAW_INPUT!A1759)</f>
        <v/>
      </c>
      <c r="B1758" t="str">
        <f>IF(RAW_INPUT!A1759="","",RAW_INPUT!E1759)</f>
        <v/>
      </c>
      <c r="C1758" t="str">
        <f>IF(RAW_INPUT!A1759="","",RAW_INPUT!F1759)</f>
        <v/>
      </c>
    </row>
    <row r="1759" spans="1:3" x14ac:dyDescent="0.25">
      <c r="A1759" t="str">
        <f>IF(RAW_INPUT!A1760="","",RAW_INPUT!A1760)</f>
        <v/>
      </c>
      <c r="B1759" t="str">
        <f>IF(RAW_INPUT!A1760="","",RAW_INPUT!E1760)</f>
        <v/>
      </c>
      <c r="C1759" t="str">
        <f>IF(RAW_INPUT!A1760="","",RAW_INPUT!F1760)</f>
        <v/>
      </c>
    </row>
    <row r="1760" spans="1:3" x14ac:dyDescent="0.25">
      <c r="A1760" t="str">
        <f>IF(RAW_INPUT!A1761="","",RAW_INPUT!A1761)</f>
        <v/>
      </c>
      <c r="B1760" t="str">
        <f>IF(RAW_INPUT!A1761="","",RAW_INPUT!E1761)</f>
        <v/>
      </c>
      <c r="C1760" t="str">
        <f>IF(RAW_INPUT!A1761="","",RAW_INPUT!F1761)</f>
        <v/>
      </c>
    </row>
    <row r="1761" spans="1:3" x14ac:dyDescent="0.25">
      <c r="A1761" t="str">
        <f>IF(RAW_INPUT!A1762="","",RAW_INPUT!A1762)</f>
        <v/>
      </c>
      <c r="B1761" t="str">
        <f>IF(RAW_INPUT!A1762="","",RAW_INPUT!E1762)</f>
        <v/>
      </c>
      <c r="C1761" t="str">
        <f>IF(RAW_INPUT!A1762="","",RAW_INPUT!F1762)</f>
        <v/>
      </c>
    </row>
    <row r="1762" spans="1:3" x14ac:dyDescent="0.25">
      <c r="A1762" t="str">
        <f>IF(RAW_INPUT!A1763="","",RAW_INPUT!A1763)</f>
        <v/>
      </c>
      <c r="B1762" t="str">
        <f>IF(RAW_INPUT!A1763="","",RAW_INPUT!E1763)</f>
        <v/>
      </c>
      <c r="C1762" t="str">
        <f>IF(RAW_INPUT!A1763="","",RAW_INPUT!F1763)</f>
        <v/>
      </c>
    </row>
    <row r="1763" spans="1:3" x14ac:dyDescent="0.25">
      <c r="A1763" t="str">
        <f>IF(RAW_INPUT!A1764="","",RAW_INPUT!A1764)</f>
        <v/>
      </c>
      <c r="B1763" t="str">
        <f>IF(RAW_INPUT!A1764="","",RAW_INPUT!E1764)</f>
        <v/>
      </c>
      <c r="C1763" t="str">
        <f>IF(RAW_INPUT!A1764="","",RAW_INPUT!F1764)</f>
        <v/>
      </c>
    </row>
    <row r="1764" spans="1:3" x14ac:dyDescent="0.25">
      <c r="A1764" t="str">
        <f>IF(RAW_INPUT!A1765="","",RAW_INPUT!A1765)</f>
        <v/>
      </c>
      <c r="B1764" t="str">
        <f>IF(RAW_INPUT!A1765="","",RAW_INPUT!E1765)</f>
        <v/>
      </c>
      <c r="C1764" t="str">
        <f>IF(RAW_INPUT!A1765="","",RAW_INPUT!F1765)</f>
        <v/>
      </c>
    </row>
    <row r="1765" spans="1:3" x14ac:dyDescent="0.25">
      <c r="A1765" t="str">
        <f>IF(RAW_INPUT!A1766="","",RAW_INPUT!A1766)</f>
        <v/>
      </c>
      <c r="B1765" t="str">
        <f>IF(RAW_INPUT!A1766="","",RAW_INPUT!E1766)</f>
        <v/>
      </c>
      <c r="C1765" t="str">
        <f>IF(RAW_INPUT!A1766="","",RAW_INPUT!F1766)</f>
        <v/>
      </c>
    </row>
    <row r="1766" spans="1:3" x14ac:dyDescent="0.25">
      <c r="A1766" t="str">
        <f>IF(RAW_INPUT!A1767="","",RAW_INPUT!A1767)</f>
        <v/>
      </c>
      <c r="B1766" t="str">
        <f>IF(RAW_INPUT!A1767="","",RAW_INPUT!E1767)</f>
        <v/>
      </c>
      <c r="C1766" t="str">
        <f>IF(RAW_INPUT!A1767="","",RAW_INPUT!F1767)</f>
        <v/>
      </c>
    </row>
    <row r="1767" spans="1:3" x14ac:dyDescent="0.25">
      <c r="A1767" t="str">
        <f>IF(RAW_INPUT!A1768="","",RAW_INPUT!A1768)</f>
        <v/>
      </c>
      <c r="B1767" t="str">
        <f>IF(RAW_INPUT!A1768="","",RAW_INPUT!E1768)</f>
        <v/>
      </c>
      <c r="C1767" t="str">
        <f>IF(RAW_INPUT!A1768="","",RAW_INPUT!F1768)</f>
        <v/>
      </c>
    </row>
    <row r="1768" spans="1:3" x14ac:dyDescent="0.25">
      <c r="A1768" t="str">
        <f>IF(RAW_INPUT!A1769="","",RAW_INPUT!A1769)</f>
        <v/>
      </c>
      <c r="B1768" t="str">
        <f>IF(RAW_INPUT!A1769="","",RAW_INPUT!E1769)</f>
        <v/>
      </c>
      <c r="C1768" t="str">
        <f>IF(RAW_INPUT!A1769="","",RAW_INPUT!F1769)</f>
        <v/>
      </c>
    </row>
    <row r="1769" spans="1:3" x14ac:dyDescent="0.25">
      <c r="A1769" t="str">
        <f>IF(RAW_INPUT!A1770="","",RAW_INPUT!A1770)</f>
        <v/>
      </c>
      <c r="B1769" t="str">
        <f>IF(RAW_INPUT!A1770="","",RAW_INPUT!E1770)</f>
        <v/>
      </c>
      <c r="C1769" t="str">
        <f>IF(RAW_INPUT!A1770="","",RAW_INPUT!F1770)</f>
        <v/>
      </c>
    </row>
    <row r="1770" spans="1:3" x14ac:dyDescent="0.25">
      <c r="A1770" t="str">
        <f>IF(RAW_INPUT!A1771="","",RAW_INPUT!A1771)</f>
        <v/>
      </c>
      <c r="B1770" t="str">
        <f>IF(RAW_INPUT!A1771="","",RAW_INPUT!E1771)</f>
        <v/>
      </c>
      <c r="C1770" t="str">
        <f>IF(RAW_INPUT!A1771="","",RAW_INPUT!F1771)</f>
        <v/>
      </c>
    </row>
    <row r="1771" spans="1:3" x14ac:dyDescent="0.25">
      <c r="A1771" t="str">
        <f>IF(RAW_INPUT!A1772="","",RAW_INPUT!A1772)</f>
        <v/>
      </c>
      <c r="B1771" t="str">
        <f>IF(RAW_INPUT!A1772="","",RAW_INPUT!E1772)</f>
        <v/>
      </c>
      <c r="C1771" t="str">
        <f>IF(RAW_INPUT!A1772="","",RAW_INPUT!F1772)</f>
        <v/>
      </c>
    </row>
    <row r="1772" spans="1:3" x14ac:dyDescent="0.25">
      <c r="A1772" t="str">
        <f>IF(RAW_INPUT!A1773="","",RAW_INPUT!A1773)</f>
        <v/>
      </c>
      <c r="B1772" t="str">
        <f>IF(RAW_INPUT!A1773="","",RAW_INPUT!E1773)</f>
        <v/>
      </c>
      <c r="C1772" t="str">
        <f>IF(RAW_INPUT!A1773="","",RAW_INPUT!F1773)</f>
        <v/>
      </c>
    </row>
    <row r="1773" spans="1:3" x14ac:dyDescent="0.25">
      <c r="A1773" t="str">
        <f>IF(RAW_INPUT!A1774="","",RAW_INPUT!A1774)</f>
        <v/>
      </c>
      <c r="B1773" t="str">
        <f>IF(RAW_INPUT!A1774="","",RAW_INPUT!E1774)</f>
        <v/>
      </c>
      <c r="C1773" t="str">
        <f>IF(RAW_INPUT!A1774="","",RAW_INPUT!F1774)</f>
        <v/>
      </c>
    </row>
    <row r="1774" spans="1:3" x14ac:dyDescent="0.25">
      <c r="A1774" t="str">
        <f>IF(RAW_INPUT!A1775="","",RAW_INPUT!A1775)</f>
        <v/>
      </c>
      <c r="B1774" t="str">
        <f>IF(RAW_INPUT!A1775="","",RAW_INPUT!E1775)</f>
        <v/>
      </c>
      <c r="C1774" t="str">
        <f>IF(RAW_INPUT!A1775="","",RAW_INPUT!F1775)</f>
        <v/>
      </c>
    </row>
    <row r="1775" spans="1:3" x14ac:dyDescent="0.25">
      <c r="A1775" t="str">
        <f>IF(RAW_INPUT!A1776="","",RAW_INPUT!A1776)</f>
        <v/>
      </c>
      <c r="B1775" t="str">
        <f>IF(RAW_INPUT!A1776="","",RAW_INPUT!E1776)</f>
        <v/>
      </c>
      <c r="C1775" t="str">
        <f>IF(RAW_INPUT!A1776="","",RAW_INPUT!F1776)</f>
        <v/>
      </c>
    </row>
    <row r="1776" spans="1:3" x14ac:dyDescent="0.25">
      <c r="A1776" t="str">
        <f>IF(RAW_INPUT!A1777="","",RAW_INPUT!A1777)</f>
        <v/>
      </c>
      <c r="B1776" t="str">
        <f>IF(RAW_INPUT!A1777="","",RAW_INPUT!E1777)</f>
        <v/>
      </c>
      <c r="C1776" t="str">
        <f>IF(RAW_INPUT!A1777="","",RAW_INPUT!F1777)</f>
        <v/>
      </c>
    </row>
    <row r="1777" spans="1:3" x14ac:dyDescent="0.25">
      <c r="A1777" t="str">
        <f>IF(RAW_INPUT!A1778="","",RAW_INPUT!A1778)</f>
        <v/>
      </c>
      <c r="B1777" t="str">
        <f>IF(RAW_INPUT!A1778="","",RAW_INPUT!E1778)</f>
        <v/>
      </c>
      <c r="C1777" t="str">
        <f>IF(RAW_INPUT!A1778="","",RAW_INPUT!F1778)</f>
        <v/>
      </c>
    </row>
    <row r="1778" spans="1:3" x14ac:dyDescent="0.25">
      <c r="A1778" t="str">
        <f>IF(RAW_INPUT!A1779="","",RAW_INPUT!A1779)</f>
        <v/>
      </c>
      <c r="B1778" t="str">
        <f>IF(RAW_INPUT!A1779="","",RAW_INPUT!E1779)</f>
        <v/>
      </c>
      <c r="C1778" t="str">
        <f>IF(RAW_INPUT!A1779="","",RAW_INPUT!F1779)</f>
        <v/>
      </c>
    </row>
    <row r="1779" spans="1:3" x14ac:dyDescent="0.25">
      <c r="A1779" t="str">
        <f>IF(RAW_INPUT!A1780="","",RAW_INPUT!A1780)</f>
        <v/>
      </c>
      <c r="B1779" t="str">
        <f>IF(RAW_INPUT!A1780="","",RAW_INPUT!E1780)</f>
        <v/>
      </c>
      <c r="C1779" t="str">
        <f>IF(RAW_INPUT!A1780="","",RAW_INPUT!F1780)</f>
        <v/>
      </c>
    </row>
    <row r="1780" spans="1:3" x14ac:dyDescent="0.25">
      <c r="A1780" t="str">
        <f>IF(RAW_INPUT!A1781="","",RAW_INPUT!A1781)</f>
        <v/>
      </c>
      <c r="B1780" t="str">
        <f>IF(RAW_INPUT!A1781="","",RAW_INPUT!E1781)</f>
        <v/>
      </c>
      <c r="C1780" t="str">
        <f>IF(RAW_INPUT!A1781="","",RAW_INPUT!F1781)</f>
        <v/>
      </c>
    </row>
    <row r="1781" spans="1:3" x14ac:dyDescent="0.25">
      <c r="A1781" t="str">
        <f>IF(RAW_INPUT!A1782="","",RAW_INPUT!A1782)</f>
        <v/>
      </c>
      <c r="B1781" t="str">
        <f>IF(RAW_INPUT!A1782="","",RAW_INPUT!E1782)</f>
        <v/>
      </c>
      <c r="C1781" t="str">
        <f>IF(RAW_INPUT!A1782="","",RAW_INPUT!F1782)</f>
        <v/>
      </c>
    </row>
    <row r="1782" spans="1:3" x14ac:dyDescent="0.25">
      <c r="A1782" t="str">
        <f>IF(RAW_INPUT!A1783="","",RAW_INPUT!A1783)</f>
        <v/>
      </c>
      <c r="B1782" t="str">
        <f>IF(RAW_INPUT!A1783="","",RAW_INPUT!E1783)</f>
        <v/>
      </c>
      <c r="C1782" t="str">
        <f>IF(RAW_INPUT!A1783="","",RAW_INPUT!F1783)</f>
        <v/>
      </c>
    </row>
    <row r="1783" spans="1:3" x14ac:dyDescent="0.25">
      <c r="A1783" t="str">
        <f>IF(RAW_INPUT!A1784="","",RAW_INPUT!A1784)</f>
        <v/>
      </c>
      <c r="B1783" t="str">
        <f>IF(RAW_INPUT!A1784="","",RAW_INPUT!E1784)</f>
        <v/>
      </c>
      <c r="C1783" t="str">
        <f>IF(RAW_INPUT!A1784="","",RAW_INPUT!F1784)</f>
        <v/>
      </c>
    </row>
    <row r="1784" spans="1:3" x14ac:dyDescent="0.25">
      <c r="A1784" t="str">
        <f>IF(RAW_INPUT!A1785="","",RAW_INPUT!A1785)</f>
        <v/>
      </c>
      <c r="B1784" t="str">
        <f>IF(RAW_INPUT!A1785="","",RAW_INPUT!E1785)</f>
        <v/>
      </c>
      <c r="C1784" t="str">
        <f>IF(RAW_INPUT!A1785="","",RAW_INPUT!F1785)</f>
        <v/>
      </c>
    </row>
    <row r="1785" spans="1:3" x14ac:dyDescent="0.25">
      <c r="A1785" t="str">
        <f>IF(RAW_INPUT!A1786="","",RAW_INPUT!A1786)</f>
        <v/>
      </c>
      <c r="B1785" t="str">
        <f>IF(RAW_INPUT!A1786="","",RAW_INPUT!E1786)</f>
        <v/>
      </c>
      <c r="C1785" t="str">
        <f>IF(RAW_INPUT!A1786="","",RAW_INPUT!F1786)</f>
        <v/>
      </c>
    </row>
    <row r="1786" spans="1:3" x14ac:dyDescent="0.25">
      <c r="A1786" t="str">
        <f>IF(RAW_INPUT!A1787="","",RAW_INPUT!A1787)</f>
        <v/>
      </c>
      <c r="B1786" t="str">
        <f>IF(RAW_INPUT!A1787="","",RAW_INPUT!E1787)</f>
        <v/>
      </c>
      <c r="C1786" t="str">
        <f>IF(RAW_INPUT!A1787="","",RAW_INPUT!F1787)</f>
        <v/>
      </c>
    </row>
    <row r="1787" spans="1:3" x14ac:dyDescent="0.25">
      <c r="A1787" t="str">
        <f>IF(RAW_INPUT!A1788="","",RAW_INPUT!A1788)</f>
        <v/>
      </c>
      <c r="B1787" t="str">
        <f>IF(RAW_INPUT!A1788="","",RAW_INPUT!E1788)</f>
        <v/>
      </c>
      <c r="C1787" t="str">
        <f>IF(RAW_INPUT!A1788="","",RAW_INPUT!F1788)</f>
        <v/>
      </c>
    </row>
    <row r="1788" spans="1:3" x14ac:dyDescent="0.25">
      <c r="A1788" t="str">
        <f>IF(RAW_INPUT!A1789="","",RAW_INPUT!A1789)</f>
        <v/>
      </c>
      <c r="B1788" t="str">
        <f>IF(RAW_INPUT!A1789="","",RAW_INPUT!E1789)</f>
        <v/>
      </c>
      <c r="C1788" t="str">
        <f>IF(RAW_INPUT!A1789="","",RAW_INPUT!F1789)</f>
        <v/>
      </c>
    </row>
    <row r="1789" spans="1:3" x14ac:dyDescent="0.25">
      <c r="A1789" t="str">
        <f>IF(RAW_INPUT!A1790="","",RAW_INPUT!A1790)</f>
        <v/>
      </c>
      <c r="B1789" t="str">
        <f>IF(RAW_INPUT!A1790="","",RAW_INPUT!E1790)</f>
        <v/>
      </c>
      <c r="C1789" t="str">
        <f>IF(RAW_INPUT!A1790="","",RAW_INPUT!F1790)</f>
        <v/>
      </c>
    </row>
    <row r="1790" spans="1:3" x14ac:dyDescent="0.25">
      <c r="A1790" t="str">
        <f>IF(RAW_INPUT!A1791="","",RAW_INPUT!A1791)</f>
        <v/>
      </c>
      <c r="B1790" t="str">
        <f>IF(RAW_INPUT!A1791="","",RAW_INPUT!E1791)</f>
        <v/>
      </c>
      <c r="C1790" t="str">
        <f>IF(RAW_INPUT!A1791="","",RAW_INPUT!F1791)</f>
        <v/>
      </c>
    </row>
    <row r="1791" spans="1:3" x14ac:dyDescent="0.25">
      <c r="A1791" t="str">
        <f>IF(RAW_INPUT!A1792="","",RAW_INPUT!A1792)</f>
        <v/>
      </c>
      <c r="B1791" t="str">
        <f>IF(RAW_INPUT!A1792="","",RAW_INPUT!E1792)</f>
        <v/>
      </c>
      <c r="C1791" t="str">
        <f>IF(RAW_INPUT!A1792="","",RAW_INPUT!F1792)</f>
        <v/>
      </c>
    </row>
    <row r="1792" spans="1:3" x14ac:dyDescent="0.25">
      <c r="A1792" t="str">
        <f>IF(RAW_INPUT!A1793="","",RAW_INPUT!A1793)</f>
        <v/>
      </c>
      <c r="B1792" t="str">
        <f>IF(RAW_INPUT!A1793="","",RAW_INPUT!E1793)</f>
        <v/>
      </c>
      <c r="C1792" t="str">
        <f>IF(RAW_INPUT!A1793="","",RAW_INPUT!F1793)</f>
        <v/>
      </c>
    </row>
    <row r="1793" spans="1:3" x14ac:dyDescent="0.25">
      <c r="A1793" t="str">
        <f>IF(RAW_INPUT!A1794="","",RAW_INPUT!A1794)</f>
        <v/>
      </c>
      <c r="B1793" t="str">
        <f>IF(RAW_INPUT!A1794="","",RAW_INPUT!E1794)</f>
        <v/>
      </c>
      <c r="C1793" t="str">
        <f>IF(RAW_INPUT!A1794="","",RAW_INPUT!F1794)</f>
        <v/>
      </c>
    </row>
    <row r="1794" spans="1:3" x14ac:dyDescent="0.25">
      <c r="A1794" t="str">
        <f>IF(RAW_INPUT!A1795="","",RAW_INPUT!A1795)</f>
        <v/>
      </c>
      <c r="B1794" t="str">
        <f>IF(RAW_INPUT!A1795="","",RAW_INPUT!E1795)</f>
        <v/>
      </c>
      <c r="C1794" t="str">
        <f>IF(RAW_INPUT!A1795="","",RAW_INPUT!F1795)</f>
        <v/>
      </c>
    </row>
    <row r="1795" spans="1:3" x14ac:dyDescent="0.25">
      <c r="A1795" t="str">
        <f>IF(RAW_INPUT!A1796="","",RAW_INPUT!A1796)</f>
        <v/>
      </c>
      <c r="B1795" t="str">
        <f>IF(RAW_INPUT!A1796="","",RAW_INPUT!E1796)</f>
        <v/>
      </c>
      <c r="C1795" t="str">
        <f>IF(RAW_INPUT!A1796="","",RAW_INPUT!F1796)</f>
        <v/>
      </c>
    </row>
    <row r="1796" spans="1:3" x14ac:dyDescent="0.25">
      <c r="A1796" t="str">
        <f>IF(RAW_INPUT!A1797="","",RAW_INPUT!A1797)</f>
        <v/>
      </c>
      <c r="B1796" t="str">
        <f>IF(RAW_INPUT!A1797="","",RAW_INPUT!E1797)</f>
        <v/>
      </c>
      <c r="C1796" t="str">
        <f>IF(RAW_INPUT!A1797="","",RAW_INPUT!F1797)</f>
        <v/>
      </c>
    </row>
    <row r="1797" spans="1:3" x14ac:dyDescent="0.25">
      <c r="A1797" t="str">
        <f>IF(RAW_INPUT!A1798="","",RAW_INPUT!A1798)</f>
        <v/>
      </c>
      <c r="B1797" t="str">
        <f>IF(RAW_INPUT!A1798="","",RAW_INPUT!E1798)</f>
        <v/>
      </c>
      <c r="C1797" t="str">
        <f>IF(RAW_INPUT!A1798="","",RAW_INPUT!F1798)</f>
        <v/>
      </c>
    </row>
    <row r="1798" spans="1:3" x14ac:dyDescent="0.25">
      <c r="A1798" t="str">
        <f>IF(RAW_INPUT!A1799="","",RAW_INPUT!A1799)</f>
        <v/>
      </c>
      <c r="B1798" t="str">
        <f>IF(RAW_INPUT!A1799="","",RAW_INPUT!E1799)</f>
        <v/>
      </c>
      <c r="C1798" t="str">
        <f>IF(RAW_INPUT!A1799="","",RAW_INPUT!F1799)</f>
        <v/>
      </c>
    </row>
    <row r="1799" spans="1:3" x14ac:dyDescent="0.25">
      <c r="A1799" t="str">
        <f>IF(RAW_INPUT!A1800="","",RAW_INPUT!A1800)</f>
        <v/>
      </c>
      <c r="B1799" t="str">
        <f>IF(RAW_INPUT!A1800="","",RAW_INPUT!E1800)</f>
        <v/>
      </c>
      <c r="C1799" t="str">
        <f>IF(RAW_INPUT!A1800="","",RAW_INPUT!F1800)</f>
        <v/>
      </c>
    </row>
    <row r="1800" spans="1:3" x14ac:dyDescent="0.25">
      <c r="A1800" t="str">
        <f>IF(RAW_INPUT!A1801="","",RAW_INPUT!A1801)</f>
        <v/>
      </c>
      <c r="B1800" t="str">
        <f>IF(RAW_INPUT!A1801="","",RAW_INPUT!E1801)</f>
        <v/>
      </c>
      <c r="C1800" t="str">
        <f>IF(RAW_INPUT!A1801="","",RAW_INPUT!F1801)</f>
        <v/>
      </c>
    </row>
    <row r="1801" spans="1:3" x14ac:dyDescent="0.25">
      <c r="A1801" t="str">
        <f>IF(RAW_INPUT!A1802="","",RAW_INPUT!A1802)</f>
        <v/>
      </c>
      <c r="B1801" t="str">
        <f>IF(RAW_INPUT!A1802="","",RAW_INPUT!E1802)</f>
        <v/>
      </c>
      <c r="C1801" t="str">
        <f>IF(RAW_INPUT!A1802="","",RAW_INPUT!F1802)</f>
        <v/>
      </c>
    </row>
    <row r="1802" spans="1:3" x14ac:dyDescent="0.25">
      <c r="A1802" t="str">
        <f>IF(RAW_INPUT!A1803="","",RAW_INPUT!A1803)</f>
        <v/>
      </c>
      <c r="B1802" t="str">
        <f>IF(RAW_INPUT!A1803="","",RAW_INPUT!E1803)</f>
        <v/>
      </c>
      <c r="C1802" t="str">
        <f>IF(RAW_INPUT!A1803="","",RAW_INPUT!F1803)</f>
        <v/>
      </c>
    </row>
    <row r="1803" spans="1:3" x14ac:dyDescent="0.25">
      <c r="A1803" t="str">
        <f>IF(RAW_INPUT!A1804="","",RAW_INPUT!A1804)</f>
        <v/>
      </c>
      <c r="B1803" t="str">
        <f>IF(RAW_INPUT!A1804="","",RAW_INPUT!E1804)</f>
        <v/>
      </c>
      <c r="C1803" t="str">
        <f>IF(RAW_INPUT!A1804="","",RAW_INPUT!F1804)</f>
        <v/>
      </c>
    </row>
    <row r="1804" spans="1:3" x14ac:dyDescent="0.25">
      <c r="A1804" t="str">
        <f>IF(RAW_INPUT!A1805="","",RAW_INPUT!A1805)</f>
        <v/>
      </c>
      <c r="B1804" t="str">
        <f>IF(RAW_INPUT!A1805="","",RAW_INPUT!E1805)</f>
        <v/>
      </c>
      <c r="C1804" t="str">
        <f>IF(RAW_INPUT!A1805="","",RAW_INPUT!F1805)</f>
        <v/>
      </c>
    </row>
    <row r="1805" spans="1:3" x14ac:dyDescent="0.25">
      <c r="A1805" t="str">
        <f>IF(RAW_INPUT!A1806="","",RAW_INPUT!A1806)</f>
        <v/>
      </c>
      <c r="B1805" t="str">
        <f>IF(RAW_INPUT!A1806="","",RAW_INPUT!E1806)</f>
        <v/>
      </c>
      <c r="C1805" t="str">
        <f>IF(RAW_INPUT!A1806="","",RAW_INPUT!F1806)</f>
        <v/>
      </c>
    </row>
    <row r="1806" spans="1:3" x14ac:dyDescent="0.25">
      <c r="A1806" t="str">
        <f>IF(RAW_INPUT!A1807="","",RAW_INPUT!A1807)</f>
        <v/>
      </c>
      <c r="B1806" t="str">
        <f>IF(RAW_INPUT!A1807="","",RAW_INPUT!E1807)</f>
        <v/>
      </c>
      <c r="C1806" t="str">
        <f>IF(RAW_INPUT!A1807="","",RAW_INPUT!F1807)</f>
        <v/>
      </c>
    </row>
    <row r="1807" spans="1:3" x14ac:dyDescent="0.25">
      <c r="A1807" t="str">
        <f>IF(RAW_INPUT!A1808="","",RAW_INPUT!A1808)</f>
        <v/>
      </c>
      <c r="B1807" t="str">
        <f>IF(RAW_INPUT!A1808="","",RAW_INPUT!E1808)</f>
        <v/>
      </c>
      <c r="C1807" t="str">
        <f>IF(RAW_INPUT!A1808="","",RAW_INPUT!F1808)</f>
        <v/>
      </c>
    </row>
    <row r="1808" spans="1:3" x14ac:dyDescent="0.25">
      <c r="A1808" t="str">
        <f>IF(RAW_INPUT!A1809="","",RAW_INPUT!A1809)</f>
        <v/>
      </c>
      <c r="B1808" t="str">
        <f>IF(RAW_INPUT!A1809="","",RAW_INPUT!E1809)</f>
        <v/>
      </c>
      <c r="C1808" t="str">
        <f>IF(RAW_INPUT!A1809="","",RAW_INPUT!F1809)</f>
        <v/>
      </c>
    </row>
    <row r="1809" spans="1:3" x14ac:dyDescent="0.25">
      <c r="A1809" t="str">
        <f>IF(RAW_INPUT!A1810="","",RAW_INPUT!A1810)</f>
        <v/>
      </c>
      <c r="B1809" t="str">
        <f>IF(RAW_INPUT!A1810="","",RAW_INPUT!E1810)</f>
        <v/>
      </c>
      <c r="C1809" t="str">
        <f>IF(RAW_INPUT!A1810="","",RAW_INPUT!F1810)</f>
        <v/>
      </c>
    </row>
    <row r="1810" spans="1:3" x14ac:dyDescent="0.25">
      <c r="A1810" t="str">
        <f>IF(RAW_INPUT!A1811="","",RAW_INPUT!A1811)</f>
        <v/>
      </c>
      <c r="B1810" t="str">
        <f>IF(RAW_INPUT!A1811="","",RAW_INPUT!E1811)</f>
        <v/>
      </c>
      <c r="C1810" t="str">
        <f>IF(RAW_INPUT!A1811="","",RAW_INPUT!F1811)</f>
        <v/>
      </c>
    </row>
    <row r="1811" spans="1:3" x14ac:dyDescent="0.25">
      <c r="A1811" t="str">
        <f>IF(RAW_INPUT!A1812="","",RAW_INPUT!A1812)</f>
        <v/>
      </c>
      <c r="B1811" t="str">
        <f>IF(RAW_INPUT!A1812="","",RAW_INPUT!E1812)</f>
        <v/>
      </c>
      <c r="C1811" t="str">
        <f>IF(RAW_INPUT!A1812="","",RAW_INPUT!F1812)</f>
        <v/>
      </c>
    </row>
    <row r="1812" spans="1:3" x14ac:dyDescent="0.25">
      <c r="A1812" t="str">
        <f>IF(RAW_INPUT!A1813="","",RAW_INPUT!A1813)</f>
        <v/>
      </c>
      <c r="B1812" t="str">
        <f>IF(RAW_INPUT!A1813="","",RAW_INPUT!E1813)</f>
        <v/>
      </c>
      <c r="C1812" t="str">
        <f>IF(RAW_INPUT!A1813="","",RAW_INPUT!F1813)</f>
        <v/>
      </c>
    </row>
    <row r="1813" spans="1:3" x14ac:dyDescent="0.25">
      <c r="A1813" t="str">
        <f>IF(RAW_INPUT!A1814="","",RAW_INPUT!A1814)</f>
        <v/>
      </c>
      <c r="B1813" t="str">
        <f>IF(RAW_INPUT!A1814="","",RAW_INPUT!E1814)</f>
        <v/>
      </c>
      <c r="C1813" t="str">
        <f>IF(RAW_INPUT!A1814="","",RAW_INPUT!F1814)</f>
        <v/>
      </c>
    </row>
    <row r="1814" spans="1:3" x14ac:dyDescent="0.25">
      <c r="A1814" t="str">
        <f>IF(RAW_INPUT!A1815="","",RAW_INPUT!A1815)</f>
        <v/>
      </c>
      <c r="B1814" t="str">
        <f>IF(RAW_INPUT!A1815="","",RAW_INPUT!E1815)</f>
        <v/>
      </c>
      <c r="C1814" t="str">
        <f>IF(RAW_INPUT!A1815="","",RAW_INPUT!F1815)</f>
        <v/>
      </c>
    </row>
    <row r="1815" spans="1:3" x14ac:dyDescent="0.25">
      <c r="A1815" t="str">
        <f>IF(RAW_INPUT!A1816="","",RAW_INPUT!A1816)</f>
        <v/>
      </c>
      <c r="B1815" t="str">
        <f>IF(RAW_INPUT!A1816="","",RAW_INPUT!E1816)</f>
        <v/>
      </c>
      <c r="C1815" t="str">
        <f>IF(RAW_INPUT!A1816="","",RAW_INPUT!F1816)</f>
        <v/>
      </c>
    </row>
    <row r="1816" spans="1:3" x14ac:dyDescent="0.25">
      <c r="A1816" t="str">
        <f>IF(RAW_INPUT!A1817="","",RAW_INPUT!A1817)</f>
        <v/>
      </c>
      <c r="B1816" t="str">
        <f>IF(RAW_INPUT!A1817="","",RAW_INPUT!E1817)</f>
        <v/>
      </c>
      <c r="C1816" t="str">
        <f>IF(RAW_INPUT!A1817="","",RAW_INPUT!F1817)</f>
        <v/>
      </c>
    </row>
    <row r="1817" spans="1:3" x14ac:dyDescent="0.25">
      <c r="A1817" t="str">
        <f>IF(RAW_INPUT!A1818="","",RAW_INPUT!A1818)</f>
        <v/>
      </c>
      <c r="B1817" t="str">
        <f>IF(RAW_INPUT!A1818="","",RAW_INPUT!E1818)</f>
        <v/>
      </c>
      <c r="C1817" t="str">
        <f>IF(RAW_INPUT!A1818="","",RAW_INPUT!F1818)</f>
        <v/>
      </c>
    </row>
    <row r="1818" spans="1:3" x14ac:dyDescent="0.25">
      <c r="A1818" t="str">
        <f>IF(RAW_INPUT!A1819="","",RAW_INPUT!A1819)</f>
        <v/>
      </c>
      <c r="B1818" t="str">
        <f>IF(RAW_INPUT!A1819="","",RAW_INPUT!E1819)</f>
        <v/>
      </c>
      <c r="C1818" t="str">
        <f>IF(RAW_INPUT!A1819="","",RAW_INPUT!F1819)</f>
        <v/>
      </c>
    </row>
    <row r="1819" spans="1:3" x14ac:dyDescent="0.25">
      <c r="A1819" t="str">
        <f>IF(RAW_INPUT!A1820="","",RAW_INPUT!A1820)</f>
        <v/>
      </c>
      <c r="B1819" t="str">
        <f>IF(RAW_INPUT!A1820="","",RAW_INPUT!E1820)</f>
        <v/>
      </c>
      <c r="C1819" t="str">
        <f>IF(RAW_INPUT!A1820="","",RAW_INPUT!F1820)</f>
        <v/>
      </c>
    </row>
    <row r="1820" spans="1:3" x14ac:dyDescent="0.25">
      <c r="A1820" t="str">
        <f>IF(RAW_INPUT!A1821="","",RAW_INPUT!A1821)</f>
        <v/>
      </c>
      <c r="B1820" t="str">
        <f>IF(RAW_INPUT!A1821="","",RAW_INPUT!E1821)</f>
        <v/>
      </c>
      <c r="C1820" t="str">
        <f>IF(RAW_INPUT!A1821="","",RAW_INPUT!F1821)</f>
        <v/>
      </c>
    </row>
    <row r="1821" spans="1:3" x14ac:dyDescent="0.25">
      <c r="A1821" t="str">
        <f>IF(RAW_INPUT!A1822="","",RAW_INPUT!A1822)</f>
        <v/>
      </c>
      <c r="B1821" t="str">
        <f>IF(RAW_INPUT!A1822="","",RAW_INPUT!E1822)</f>
        <v/>
      </c>
      <c r="C1821" t="str">
        <f>IF(RAW_INPUT!A1822="","",RAW_INPUT!F1822)</f>
        <v/>
      </c>
    </row>
    <row r="1822" spans="1:3" x14ac:dyDescent="0.25">
      <c r="A1822" t="str">
        <f>IF(RAW_INPUT!A1823="","",RAW_INPUT!A1823)</f>
        <v/>
      </c>
      <c r="B1822" t="str">
        <f>IF(RAW_INPUT!A1823="","",RAW_INPUT!E1823)</f>
        <v/>
      </c>
      <c r="C1822" t="str">
        <f>IF(RAW_INPUT!A1823="","",RAW_INPUT!F1823)</f>
        <v/>
      </c>
    </row>
    <row r="1823" spans="1:3" x14ac:dyDescent="0.25">
      <c r="A1823" t="str">
        <f>IF(RAW_INPUT!A1824="","",RAW_INPUT!A1824)</f>
        <v/>
      </c>
      <c r="B1823" t="str">
        <f>IF(RAW_INPUT!A1824="","",RAW_INPUT!E1824)</f>
        <v/>
      </c>
      <c r="C1823" t="str">
        <f>IF(RAW_INPUT!A1824="","",RAW_INPUT!F1824)</f>
        <v/>
      </c>
    </row>
    <row r="1824" spans="1:3" x14ac:dyDescent="0.25">
      <c r="A1824" t="str">
        <f>IF(RAW_INPUT!A1825="","",RAW_INPUT!A1825)</f>
        <v/>
      </c>
      <c r="B1824" t="str">
        <f>IF(RAW_INPUT!A1825="","",RAW_INPUT!E1825)</f>
        <v/>
      </c>
      <c r="C1824" t="str">
        <f>IF(RAW_INPUT!A1825="","",RAW_INPUT!F1825)</f>
        <v/>
      </c>
    </row>
    <row r="1825" spans="1:3" x14ac:dyDescent="0.25">
      <c r="A1825" t="str">
        <f>IF(RAW_INPUT!A1826="","",RAW_INPUT!A1826)</f>
        <v/>
      </c>
      <c r="B1825" t="str">
        <f>IF(RAW_INPUT!A1826="","",RAW_INPUT!E1826)</f>
        <v/>
      </c>
      <c r="C1825" t="str">
        <f>IF(RAW_INPUT!A1826="","",RAW_INPUT!F1826)</f>
        <v/>
      </c>
    </row>
    <row r="1826" spans="1:3" x14ac:dyDescent="0.25">
      <c r="A1826" t="str">
        <f>IF(RAW_INPUT!A1827="","",RAW_INPUT!A1827)</f>
        <v/>
      </c>
      <c r="B1826" t="str">
        <f>IF(RAW_INPUT!A1827="","",RAW_INPUT!E1827)</f>
        <v/>
      </c>
      <c r="C1826" t="str">
        <f>IF(RAW_INPUT!A1827="","",RAW_INPUT!F1827)</f>
        <v/>
      </c>
    </row>
    <row r="1827" spans="1:3" x14ac:dyDescent="0.25">
      <c r="A1827" t="str">
        <f>IF(RAW_INPUT!A1828="","",RAW_INPUT!A1828)</f>
        <v/>
      </c>
      <c r="B1827" t="str">
        <f>IF(RAW_INPUT!A1828="","",RAW_INPUT!E1828)</f>
        <v/>
      </c>
      <c r="C1827" t="str">
        <f>IF(RAW_INPUT!A1828="","",RAW_INPUT!F1828)</f>
        <v/>
      </c>
    </row>
    <row r="1828" spans="1:3" x14ac:dyDescent="0.25">
      <c r="A1828" t="str">
        <f>IF(RAW_INPUT!A1829="","",RAW_INPUT!A1829)</f>
        <v/>
      </c>
      <c r="B1828" t="str">
        <f>IF(RAW_INPUT!A1829="","",RAW_INPUT!E1829)</f>
        <v/>
      </c>
      <c r="C1828" t="str">
        <f>IF(RAW_INPUT!A1829="","",RAW_INPUT!F1829)</f>
        <v/>
      </c>
    </row>
    <row r="1829" spans="1:3" x14ac:dyDescent="0.25">
      <c r="A1829" t="str">
        <f>IF(RAW_INPUT!A1830="","",RAW_INPUT!A1830)</f>
        <v/>
      </c>
      <c r="B1829" t="str">
        <f>IF(RAW_INPUT!A1830="","",RAW_INPUT!E1830)</f>
        <v/>
      </c>
      <c r="C1829" t="str">
        <f>IF(RAW_INPUT!A1830="","",RAW_INPUT!F1830)</f>
        <v/>
      </c>
    </row>
    <row r="1830" spans="1:3" x14ac:dyDescent="0.25">
      <c r="A1830" t="str">
        <f>IF(RAW_INPUT!A1831="","",RAW_INPUT!A1831)</f>
        <v/>
      </c>
      <c r="B1830" t="str">
        <f>IF(RAW_INPUT!A1831="","",RAW_INPUT!E1831)</f>
        <v/>
      </c>
      <c r="C1830" t="str">
        <f>IF(RAW_INPUT!A1831="","",RAW_INPUT!F1831)</f>
        <v/>
      </c>
    </row>
    <row r="1831" spans="1:3" x14ac:dyDescent="0.25">
      <c r="A1831" t="str">
        <f>IF(RAW_INPUT!A1832="","",RAW_INPUT!A1832)</f>
        <v/>
      </c>
      <c r="B1831" t="str">
        <f>IF(RAW_INPUT!A1832="","",RAW_INPUT!E1832)</f>
        <v/>
      </c>
      <c r="C1831" t="str">
        <f>IF(RAW_INPUT!A1832="","",RAW_INPUT!F1832)</f>
        <v/>
      </c>
    </row>
    <row r="1832" spans="1:3" x14ac:dyDescent="0.25">
      <c r="A1832" t="str">
        <f>IF(RAW_INPUT!A1833="","",RAW_INPUT!A1833)</f>
        <v/>
      </c>
      <c r="B1832" t="str">
        <f>IF(RAW_INPUT!A1833="","",RAW_INPUT!E1833)</f>
        <v/>
      </c>
      <c r="C1832" t="str">
        <f>IF(RAW_INPUT!A1833="","",RAW_INPUT!F1833)</f>
        <v/>
      </c>
    </row>
    <row r="1833" spans="1:3" x14ac:dyDescent="0.25">
      <c r="A1833" t="str">
        <f>IF(RAW_INPUT!A1834="","",RAW_INPUT!A1834)</f>
        <v/>
      </c>
      <c r="B1833" t="str">
        <f>IF(RAW_INPUT!A1834="","",RAW_INPUT!E1834)</f>
        <v/>
      </c>
      <c r="C1833" t="str">
        <f>IF(RAW_INPUT!A1834="","",RAW_INPUT!F1834)</f>
        <v/>
      </c>
    </row>
    <row r="1834" spans="1:3" x14ac:dyDescent="0.25">
      <c r="A1834" t="str">
        <f>IF(RAW_INPUT!A1835="","",RAW_INPUT!A1835)</f>
        <v/>
      </c>
      <c r="B1834" t="str">
        <f>IF(RAW_INPUT!A1835="","",RAW_INPUT!E1835)</f>
        <v/>
      </c>
      <c r="C1834" t="str">
        <f>IF(RAW_INPUT!A1835="","",RAW_INPUT!F1835)</f>
        <v/>
      </c>
    </row>
    <row r="1835" spans="1:3" x14ac:dyDescent="0.25">
      <c r="A1835" t="str">
        <f>IF(RAW_INPUT!A1836="","",RAW_INPUT!A1836)</f>
        <v/>
      </c>
      <c r="B1835" t="str">
        <f>IF(RAW_INPUT!A1836="","",RAW_INPUT!E1836)</f>
        <v/>
      </c>
      <c r="C1835" t="str">
        <f>IF(RAW_INPUT!A1836="","",RAW_INPUT!F1836)</f>
        <v/>
      </c>
    </row>
    <row r="1836" spans="1:3" x14ac:dyDescent="0.25">
      <c r="A1836" t="str">
        <f>IF(RAW_INPUT!A1837="","",RAW_INPUT!A1837)</f>
        <v/>
      </c>
      <c r="B1836" t="str">
        <f>IF(RAW_INPUT!A1837="","",RAW_INPUT!E1837)</f>
        <v/>
      </c>
      <c r="C1836" t="str">
        <f>IF(RAW_INPUT!A1837="","",RAW_INPUT!F1837)</f>
        <v/>
      </c>
    </row>
    <row r="1837" spans="1:3" x14ac:dyDescent="0.25">
      <c r="A1837" t="str">
        <f>IF(RAW_INPUT!A1838="","",RAW_INPUT!A1838)</f>
        <v/>
      </c>
      <c r="B1837" t="str">
        <f>IF(RAW_INPUT!A1838="","",RAW_INPUT!E1838)</f>
        <v/>
      </c>
      <c r="C1837" t="str">
        <f>IF(RAW_INPUT!A1838="","",RAW_INPUT!F1838)</f>
        <v/>
      </c>
    </row>
    <row r="1838" spans="1:3" x14ac:dyDescent="0.25">
      <c r="A1838" t="str">
        <f>IF(RAW_INPUT!A1839="","",RAW_INPUT!A1839)</f>
        <v/>
      </c>
      <c r="B1838" t="str">
        <f>IF(RAW_INPUT!A1839="","",RAW_INPUT!E1839)</f>
        <v/>
      </c>
      <c r="C1838" t="str">
        <f>IF(RAW_INPUT!A1839="","",RAW_INPUT!F1839)</f>
        <v/>
      </c>
    </row>
    <row r="1839" spans="1:3" x14ac:dyDescent="0.25">
      <c r="A1839" t="str">
        <f>IF(RAW_INPUT!A1840="","",RAW_INPUT!A1840)</f>
        <v/>
      </c>
      <c r="B1839" t="str">
        <f>IF(RAW_INPUT!A1840="","",RAW_INPUT!E1840)</f>
        <v/>
      </c>
      <c r="C1839" t="str">
        <f>IF(RAW_INPUT!A1840="","",RAW_INPUT!F1840)</f>
        <v/>
      </c>
    </row>
    <row r="1840" spans="1:3" x14ac:dyDescent="0.25">
      <c r="A1840" t="str">
        <f>IF(RAW_INPUT!A1841="","",RAW_INPUT!A1841)</f>
        <v/>
      </c>
      <c r="B1840" t="str">
        <f>IF(RAW_INPUT!A1841="","",RAW_INPUT!E1841)</f>
        <v/>
      </c>
      <c r="C1840" t="str">
        <f>IF(RAW_INPUT!A1841="","",RAW_INPUT!F1841)</f>
        <v/>
      </c>
    </row>
    <row r="1841" spans="1:3" x14ac:dyDescent="0.25">
      <c r="A1841" t="str">
        <f>IF(RAW_INPUT!A1842="","",RAW_INPUT!A1842)</f>
        <v/>
      </c>
      <c r="B1841" t="str">
        <f>IF(RAW_INPUT!A1842="","",RAW_INPUT!E1842)</f>
        <v/>
      </c>
      <c r="C1841" t="str">
        <f>IF(RAW_INPUT!A1842="","",RAW_INPUT!F1842)</f>
        <v/>
      </c>
    </row>
    <row r="1842" spans="1:3" x14ac:dyDescent="0.25">
      <c r="A1842" t="str">
        <f>IF(RAW_INPUT!A1843="","",RAW_INPUT!A1843)</f>
        <v/>
      </c>
      <c r="B1842" t="str">
        <f>IF(RAW_INPUT!A1843="","",RAW_INPUT!E1843)</f>
        <v/>
      </c>
      <c r="C1842" t="str">
        <f>IF(RAW_INPUT!A1843="","",RAW_INPUT!F1843)</f>
        <v/>
      </c>
    </row>
    <row r="1843" spans="1:3" x14ac:dyDescent="0.25">
      <c r="A1843" t="str">
        <f>IF(RAW_INPUT!A1844="","",RAW_INPUT!A1844)</f>
        <v/>
      </c>
      <c r="B1843" t="str">
        <f>IF(RAW_INPUT!A1844="","",RAW_INPUT!E1844)</f>
        <v/>
      </c>
      <c r="C1843" t="str">
        <f>IF(RAW_INPUT!A1844="","",RAW_INPUT!F1844)</f>
        <v/>
      </c>
    </row>
    <row r="1844" spans="1:3" x14ac:dyDescent="0.25">
      <c r="A1844" t="str">
        <f>IF(RAW_INPUT!A1845="","",RAW_INPUT!A1845)</f>
        <v/>
      </c>
      <c r="B1844" t="str">
        <f>IF(RAW_INPUT!A1845="","",RAW_INPUT!E1845)</f>
        <v/>
      </c>
      <c r="C1844" t="str">
        <f>IF(RAW_INPUT!A1845="","",RAW_INPUT!F1845)</f>
        <v/>
      </c>
    </row>
    <row r="1845" spans="1:3" x14ac:dyDescent="0.25">
      <c r="A1845" t="str">
        <f>IF(RAW_INPUT!A1846="","",RAW_INPUT!A1846)</f>
        <v/>
      </c>
      <c r="B1845" t="str">
        <f>IF(RAW_INPUT!A1846="","",RAW_INPUT!E1846)</f>
        <v/>
      </c>
      <c r="C1845" t="str">
        <f>IF(RAW_INPUT!A1846="","",RAW_INPUT!F1846)</f>
        <v/>
      </c>
    </row>
    <row r="1846" spans="1:3" x14ac:dyDescent="0.25">
      <c r="A1846" t="str">
        <f>IF(RAW_INPUT!A1847="","",RAW_INPUT!A1847)</f>
        <v/>
      </c>
      <c r="B1846" t="str">
        <f>IF(RAW_INPUT!A1847="","",RAW_INPUT!E1847)</f>
        <v/>
      </c>
      <c r="C1846" t="str">
        <f>IF(RAW_INPUT!A1847="","",RAW_INPUT!F1847)</f>
        <v/>
      </c>
    </row>
    <row r="1847" spans="1:3" x14ac:dyDescent="0.25">
      <c r="A1847" t="str">
        <f>IF(RAW_INPUT!A1848="","",RAW_INPUT!A1848)</f>
        <v/>
      </c>
      <c r="B1847" t="str">
        <f>IF(RAW_INPUT!A1848="","",RAW_INPUT!E1848)</f>
        <v/>
      </c>
      <c r="C1847" t="str">
        <f>IF(RAW_INPUT!A1848="","",RAW_INPUT!F1848)</f>
        <v/>
      </c>
    </row>
    <row r="1848" spans="1:3" x14ac:dyDescent="0.25">
      <c r="A1848" t="str">
        <f>IF(RAW_INPUT!A1849="","",RAW_INPUT!A1849)</f>
        <v/>
      </c>
      <c r="B1848" t="str">
        <f>IF(RAW_INPUT!A1849="","",RAW_INPUT!E1849)</f>
        <v/>
      </c>
      <c r="C1848" t="str">
        <f>IF(RAW_INPUT!A1849="","",RAW_INPUT!F1849)</f>
        <v/>
      </c>
    </row>
    <row r="1849" spans="1:3" x14ac:dyDescent="0.25">
      <c r="A1849" t="str">
        <f>IF(RAW_INPUT!A1850="","",RAW_INPUT!A1850)</f>
        <v/>
      </c>
      <c r="B1849" t="str">
        <f>IF(RAW_INPUT!A1850="","",RAW_INPUT!E1850)</f>
        <v/>
      </c>
      <c r="C1849" t="str">
        <f>IF(RAW_INPUT!A1850="","",RAW_INPUT!F1850)</f>
        <v/>
      </c>
    </row>
    <row r="1850" spans="1:3" x14ac:dyDescent="0.25">
      <c r="A1850" t="str">
        <f>IF(RAW_INPUT!A1851="","",RAW_INPUT!A1851)</f>
        <v/>
      </c>
      <c r="B1850" t="str">
        <f>IF(RAW_INPUT!A1851="","",RAW_INPUT!E1851)</f>
        <v/>
      </c>
      <c r="C1850" t="str">
        <f>IF(RAW_INPUT!A1851="","",RAW_INPUT!F1851)</f>
        <v/>
      </c>
    </row>
    <row r="1851" spans="1:3" x14ac:dyDescent="0.25">
      <c r="A1851" t="str">
        <f>IF(RAW_INPUT!A1852="","",RAW_INPUT!A1852)</f>
        <v/>
      </c>
      <c r="B1851" t="str">
        <f>IF(RAW_INPUT!A1852="","",RAW_INPUT!E1852)</f>
        <v/>
      </c>
      <c r="C1851" t="str">
        <f>IF(RAW_INPUT!A1852="","",RAW_INPUT!F1852)</f>
        <v/>
      </c>
    </row>
    <row r="1852" spans="1:3" x14ac:dyDescent="0.25">
      <c r="A1852" t="str">
        <f>IF(RAW_INPUT!A1853="","",RAW_INPUT!A1853)</f>
        <v/>
      </c>
      <c r="B1852" t="str">
        <f>IF(RAW_INPUT!A1853="","",RAW_INPUT!E1853)</f>
        <v/>
      </c>
      <c r="C1852" t="str">
        <f>IF(RAW_INPUT!A1853="","",RAW_INPUT!F1853)</f>
        <v/>
      </c>
    </row>
    <row r="1853" spans="1:3" x14ac:dyDescent="0.25">
      <c r="A1853" t="str">
        <f>IF(RAW_INPUT!A1854="","",RAW_INPUT!A1854)</f>
        <v/>
      </c>
      <c r="B1853" t="str">
        <f>IF(RAW_INPUT!A1854="","",RAW_INPUT!E1854)</f>
        <v/>
      </c>
      <c r="C1853" t="str">
        <f>IF(RAW_INPUT!A1854="","",RAW_INPUT!F1854)</f>
        <v/>
      </c>
    </row>
    <row r="1854" spans="1:3" x14ac:dyDescent="0.25">
      <c r="A1854" t="str">
        <f>IF(RAW_INPUT!A1855="","",RAW_INPUT!A1855)</f>
        <v/>
      </c>
      <c r="B1854" t="str">
        <f>IF(RAW_INPUT!A1855="","",RAW_INPUT!E1855)</f>
        <v/>
      </c>
      <c r="C1854" t="str">
        <f>IF(RAW_INPUT!A1855="","",RAW_INPUT!F1855)</f>
        <v/>
      </c>
    </row>
    <row r="1855" spans="1:3" x14ac:dyDescent="0.25">
      <c r="A1855" t="str">
        <f>IF(RAW_INPUT!A1856="","",RAW_INPUT!A1856)</f>
        <v/>
      </c>
      <c r="B1855" t="str">
        <f>IF(RAW_INPUT!A1856="","",RAW_INPUT!E1856)</f>
        <v/>
      </c>
      <c r="C1855" t="str">
        <f>IF(RAW_INPUT!A1856="","",RAW_INPUT!F1856)</f>
        <v/>
      </c>
    </row>
    <row r="1856" spans="1:3" x14ac:dyDescent="0.25">
      <c r="A1856" t="str">
        <f>IF(RAW_INPUT!A1857="","",RAW_INPUT!A1857)</f>
        <v/>
      </c>
      <c r="B1856" t="str">
        <f>IF(RAW_INPUT!A1857="","",RAW_INPUT!E1857)</f>
        <v/>
      </c>
      <c r="C1856" t="str">
        <f>IF(RAW_INPUT!A1857="","",RAW_INPUT!F1857)</f>
        <v/>
      </c>
    </row>
    <row r="1857" spans="1:3" x14ac:dyDescent="0.25">
      <c r="A1857" t="str">
        <f>IF(RAW_INPUT!A1858="","",RAW_INPUT!A1858)</f>
        <v/>
      </c>
      <c r="B1857" t="str">
        <f>IF(RAW_INPUT!A1858="","",RAW_INPUT!E1858)</f>
        <v/>
      </c>
      <c r="C1857" t="str">
        <f>IF(RAW_INPUT!A1858="","",RAW_INPUT!F1858)</f>
        <v/>
      </c>
    </row>
    <row r="1858" spans="1:3" x14ac:dyDescent="0.25">
      <c r="A1858" t="str">
        <f>IF(RAW_INPUT!A1859="","",RAW_INPUT!A1859)</f>
        <v/>
      </c>
      <c r="B1858" t="str">
        <f>IF(RAW_INPUT!A1859="","",RAW_INPUT!E1859)</f>
        <v/>
      </c>
      <c r="C1858" t="str">
        <f>IF(RAW_INPUT!A1859="","",RAW_INPUT!F1859)</f>
        <v/>
      </c>
    </row>
    <row r="1859" spans="1:3" x14ac:dyDescent="0.25">
      <c r="A1859" t="str">
        <f>IF(RAW_INPUT!A1860="","",RAW_INPUT!A1860)</f>
        <v/>
      </c>
      <c r="B1859" t="str">
        <f>IF(RAW_INPUT!A1860="","",RAW_INPUT!E1860)</f>
        <v/>
      </c>
      <c r="C1859" t="str">
        <f>IF(RAW_INPUT!A1860="","",RAW_INPUT!F1860)</f>
        <v/>
      </c>
    </row>
    <row r="1860" spans="1:3" x14ac:dyDescent="0.25">
      <c r="A1860" t="str">
        <f>IF(RAW_INPUT!A1861="","",RAW_INPUT!A1861)</f>
        <v/>
      </c>
      <c r="B1860" t="str">
        <f>IF(RAW_INPUT!A1861="","",RAW_INPUT!E1861)</f>
        <v/>
      </c>
      <c r="C1860" t="str">
        <f>IF(RAW_INPUT!A1861="","",RAW_INPUT!F1861)</f>
        <v/>
      </c>
    </row>
    <row r="1861" spans="1:3" x14ac:dyDescent="0.25">
      <c r="A1861" t="str">
        <f>IF(RAW_INPUT!A1862="","",RAW_INPUT!A1862)</f>
        <v/>
      </c>
      <c r="B1861" t="str">
        <f>IF(RAW_INPUT!A1862="","",RAW_INPUT!E1862)</f>
        <v/>
      </c>
      <c r="C1861" t="str">
        <f>IF(RAW_INPUT!A1862="","",RAW_INPUT!F1862)</f>
        <v/>
      </c>
    </row>
    <row r="1862" spans="1:3" x14ac:dyDescent="0.25">
      <c r="A1862" t="str">
        <f>IF(RAW_INPUT!A1863="","",RAW_INPUT!A1863)</f>
        <v/>
      </c>
      <c r="B1862" t="str">
        <f>IF(RAW_INPUT!A1863="","",RAW_INPUT!E1863)</f>
        <v/>
      </c>
      <c r="C1862" t="str">
        <f>IF(RAW_INPUT!A1863="","",RAW_INPUT!F1863)</f>
        <v/>
      </c>
    </row>
    <row r="1863" spans="1:3" x14ac:dyDescent="0.25">
      <c r="A1863" t="str">
        <f>IF(RAW_INPUT!A1864="","",RAW_INPUT!A1864)</f>
        <v/>
      </c>
      <c r="B1863" t="str">
        <f>IF(RAW_INPUT!A1864="","",RAW_INPUT!E1864)</f>
        <v/>
      </c>
      <c r="C1863" t="str">
        <f>IF(RAW_INPUT!A1864="","",RAW_INPUT!F1864)</f>
        <v/>
      </c>
    </row>
    <row r="1864" spans="1:3" x14ac:dyDescent="0.25">
      <c r="A1864" t="str">
        <f>IF(RAW_INPUT!A1865="","",RAW_INPUT!A1865)</f>
        <v/>
      </c>
      <c r="B1864" t="str">
        <f>IF(RAW_INPUT!A1865="","",RAW_INPUT!E1865)</f>
        <v/>
      </c>
      <c r="C1864" t="str">
        <f>IF(RAW_INPUT!A1865="","",RAW_INPUT!F1865)</f>
        <v/>
      </c>
    </row>
    <row r="1865" spans="1:3" x14ac:dyDescent="0.25">
      <c r="A1865" t="str">
        <f>IF(RAW_INPUT!A1866="","",RAW_INPUT!A1866)</f>
        <v/>
      </c>
      <c r="B1865" t="str">
        <f>IF(RAW_INPUT!A1866="","",RAW_INPUT!E1866)</f>
        <v/>
      </c>
      <c r="C1865" t="str">
        <f>IF(RAW_INPUT!A1866="","",RAW_INPUT!F1866)</f>
        <v/>
      </c>
    </row>
    <row r="1866" spans="1:3" x14ac:dyDescent="0.25">
      <c r="A1866" t="str">
        <f>IF(RAW_INPUT!A1867="","",RAW_INPUT!A1867)</f>
        <v/>
      </c>
      <c r="B1866" t="str">
        <f>IF(RAW_INPUT!A1867="","",RAW_INPUT!E1867)</f>
        <v/>
      </c>
      <c r="C1866" t="str">
        <f>IF(RAW_INPUT!A1867="","",RAW_INPUT!F1867)</f>
        <v/>
      </c>
    </row>
    <row r="1867" spans="1:3" x14ac:dyDescent="0.25">
      <c r="A1867" t="str">
        <f>IF(RAW_INPUT!A1868="","",RAW_INPUT!A1868)</f>
        <v/>
      </c>
      <c r="B1867" t="str">
        <f>IF(RAW_INPUT!A1868="","",RAW_INPUT!E1868)</f>
        <v/>
      </c>
      <c r="C1867" t="str">
        <f>IF(RAW_INPUT!A1868="","",RAW_INPUT!F1868)</f>
        <v/>
      </c>
    </row>
    <row r="1868" spans="1:3" x14ac:dyDescent="0.25">
      <c r="A1868" t="str">
        <f>IF(RAW_INPUT!A1869="","",RAW_INPUT!A1869)</f>
        <v/>
      </c>
      <c r="B1868" t="str">
        <f>IF(RAW_INPUT!A1869="","",RAW_INPUT!E1869)</f>
        <v/>
      </c>
      <c r="C1868" t="str">
        <f>IF(RAW_INPUT!A1869="","",RAW_INPUT!F1869)</f>
        <v/>
      </c>
    </row>
    <row r="1869" spans="1:3" x14ac:dyDescent="0.25">
      <c r="A1869" t="str">
        <f>IF(RAW_INPUT!A1870="","",RAW_INPUT!A1870)</f>
        <v/>
      </c>
      <c r="B1869" t="str">
        <f>IF(RAW_INPUT!A1870="","",RAW_INPUT!E1870)</f>
        <v/>
      </c>
      <c r="C1869" t="str">
        <f>IF(RAW_INPUT!A1870="","",RAW_INPUT!F1870)</f>
        <v/>
      </c>
    </row>
    <row r="1870" spans="1:3" x14ac:dyDescent="0.25">
      <c r="A1870" t="str">
        <f>IF(RAW_INPUT!A1871="","",RAW_INPUT!A1871)</f>
        <v/>
      </c>
      <c r="B1870" t="str">
        <f>IF(RAW_INPUT!A1871="","",RAW_INPUT!E1871)</f>
        <v/>
      </c>
      <c r="C1870" t="str">
        <f>IF(RAW_INPUT!A1871="","",RAW_INPUT!F1871)</f>
        <v/>
      </c>
    </row>
    <row r="1871" spans="1:3" x14ac:dyDescent="0.25">
      <c r="A1871" t="str">
        <f>IF(RAW_INPUT!A1872="","",RAW_INPUT!A1872)</f>
        <v/>
      </c>
      <c r="B1871" t="str">
        <f>IF(RAW_INPUT!A1872="","",RAW_INPUT!E1872)</f>
        <v/>
      </c>
      <c r="C1871" t="str">
        <f>IF(RAW_INPUT!A1872="","",RAW_INPUT!F1872)</f>
        <v/>
      </c>
    </row>
    <row r="1872" spans="1:3" x14ac:dyDescent="0.25">
      <c r="A1872" t="str">
        <f>IF(RAW_INPUT!A1873="","",RAW_INPUT!A1873)</f>
        <v/>
      </c>
      <c r="B1872" t="str">
        <f>IF(RAW_INPUT!A1873="","",RAW_INPUT!E1873)</f>
        <v/>
      </c>
      <c r="C1872" t="str">
        <f>IF(RAW_INPUT!A1873="","",RAW_INPUT!F1873)</f>
        <v/>
      </c>
    </row>
    <row r="1873" spans="1:3" x14ac:dyDescent="0.25">
      <c r="A1873" t="str">
        <f>IF(RAW_INPUT!A1874="","",RAW_INPUT!A1874)</f>
        <v/>
      </c>
      <c r="B1873" t="str">
        <f>IF(RAW_INPUT!A1874="","",RAW_INPUT!E1874)</f>
        <v/>
      </c>
      <c r="C1873" t="str">
        <f>IF(RAW_INPUT!A1874="","",RAW_INPUT!F1874)</f>
        <v/>
      </c>
    </row>
    <row r="1874" spans="1:3" x14ac:dyDescent="0.25">
      <c r="A1874" t="str">
        <f>IF(RAW_INPUT!A1875="","",RAW_INPUT!A1875)</f>
        <v/>
      </c>
      <c r="B1874" t="str">
        <f>IF(RAW_INPUT!A1875="","",RAW_INPUT!E1875)</f>
        <v/>
      </c>
      <c r="C1874" t="str">
        <f>IF(RAW_INPUT!A1875="","",RAW_INPUT!F1875)</f>
        <v/>
      </c>
    </row>
    <row r="1875" spans="1:3" x14ac:dyDescent="0.25">
      <c r="A1875" t="str">
        <f>IF(RAW_INPUT!A1876="","",RAW_INPUT!A1876)</f>
        <v/>
      </c>
      <c r="B1875" t="str">
        <f>IF(RAW_INPUT!A1876="","",RAW_INPUT!E1876)</f>
        <v/>
      </c>
      <c r="C1875" t="str">
        <f>IF(RAW_INPUT!A1876="","",RAW_INPUT!F1876)</f>
        <v/>
      </c>
    </row>
    <row r="1876" spans="1:3" x14ac:dyDescent="0.25">
      <c r="A1876" t="str">
        <f>IF(RAW_INPUT!A1877="","",RAW_INPUT!A1877)</f>
        <v/>
      </c>
      <c r="B1876" t="str">
        <f>IF(RAW_INPUT!A1877="","",RAW_INPUT!E1877)</f>
        <v/>
      </c>
      <c r="C1876" t="str">
        <f>IF(RAW_INPUT!A1877="","",RAW_INPUT!F1877)</f>
        <v/>
      </c>
    </row>
    <row r="1877" spans="1:3" x14ac:dyDescent="0.25">
      <c r="A1877" t="str">
        <f>IF(RAW_INPUT!A1878="","",RAW_INPUT!A1878)</f>
        <v/>
      </c>
      <c r="B1877" t="str">
        <f>IF(RAW_INPUT!A1878="","",RAW_INPUT!E1878)</f>
        <v/>
      </c>
      <c r="C1877" t="str">
        <f>IF(RAW_INPUT!A1878="","",RAW_INPUT!F1878)</f>
        <v/>
      </c>
    </row>
    <row r="1878" spans="1:3" x14ac:dyDescent="0.25">
      <c r="A1878" t="str">
        <f>IF(RAW_INPUT!A1879="","",RAW_INPUT!A1879)</f>
        <v/>
      </c>
      <c r="B1878" t="str">
        <f>IF(RAW_INPUT!A1879="","",RAW_INPUT!E1879)</f>
        <v/>
      </c>
      <c r="C1878" t="str">
        <f>IF(RAW_INPUT!A1879="","",RAW_INPUT!F1879)</f>
        <v/>
      </c>
    </row>
    <row r="1879" spans="1:3" x14ac:dyDescent="0.25">
      <c r="A1879" t="str">
        <f>IF(RAW_INPUT!A1880="","",RAW_INPUT!A1880)</f>
        <v/>
      </c>
      <c r="B1879" t="str">
        <f>IF(RAW_INPUT!A1880="","",RAW_INPUT!E1880)</f>
        <v/>
      </c>
      <c r="C1879" t="str">
        <f>IF(RAW_INPUT!A1880="","",RAW_INPUT!F1880)</f>
        <v/>
      </c>
    </row>
    <row r="1880" spans="1:3" x14ac:dyDescent="0.25">
      <c r="A1880" t="str">
        <f>IF(RAW_INPUT!A1881="","",RAW_INPUT!A1881)</f>
        <v/>
      </c>
      <c r="B1880" t="str">
        <f>IF(RAW_INPUT!A1881="","",RAW_INPUT!E1881)</f>
        <v/>
      </c>
      <c r="C1880" t="str">
        <f>IF(RAW_INPUT!A1881="","",RAW_INPUT!F1881)</f>
        <v/>
      </c>
    </row>
    <row r="1881" spans="1:3" x14ac:dyDescent="0.25">
      <c r="A1881" t="str">
        <f>IF(RAW_INPUT!A1882="","",RAW_INPUT!A1882)</f>
        <v/>
      </c>
      <c r="B1881" t="str">
        <f>IF(RAW_INPUT!A1882="","",RAW_INPUT!E1882)</f>
        <v/>
      </c>
      <c r="C1881" t="str">
        <f>IF(RAW_INPUT!A1882="","",RAW_INPUT!F1882)</f>
        <v/>
      </c>
    </row>
    <row r="1882" spans="1:3" x14ac:dyDescent="0.25">
      <c r="A1882" t="str">
        <f>IF(RAW_INPUT!A1883="","",RAW_INPUT!A1883)</f>
        <v/>
      </c>
      <c r="B1882" t="str">
        <f>IF(RAW_INPUT!A1883="","",RAW_INPUT!E1883)</f>
        <v/>
      </c>
      <c r="C1882" t="str">
        <f>IF(RAW_INPUT!A1883="","",RAW_INPUT!F1883)</f>
        <v/>
      </c>
    </row>
    <row r="1883" spans="1:3" x14ac:dyDescent="0.25">
      <c r="A1883" t="str">
        <f>IF(RAW_INPUT!A1884="","",RAW_INPUT!A1884)</f>
        <v/>
      </c>
      <c r="B1883" t="str">
        <f>IF(RAW_INPUT!A1884="","",RAW_INPUT!E1884)</f>
        <v/>
      </c>
      <c r="C1883" t="str">
        <f>IF(RAW_INPUT!A1884="","",RAW_INPUT!F1884)</f>
        <v/>
      </c>
    </row>
    <row r="1884" spans="1:3" x14ac:dyDescent="0.25">
      <c r="A1884" t="str">
        <f>IF(RAW_INPUT!A1885="","",RAW_INPUT!A1885)</f>
        <v/>
      </c>
      <c r="B1884" t="str">
        <f>IF(RAW_INPUT!A1885="","",RAW_INPUT!E1885)</f>
        <v/>
      </c>
      <c r="C1884" t="str">
        <f>IF(RAW_INPUT!A1885="","",RAW_INPUT!F1885)</f>
        <v/>
      </c>
    </row>
    <row r="1885" spans="1:3" x14ac:dyDescent="0.25">
      <c r="A1885" t="str">
        <f>IF(RAW_INPUT!A1886="","",RAW_INPUT!A1886)</f>
        <v/>
      </c>
      <c r="B1885" t="str">
        <f>IF(RAW_INPUT!A1886="","",RAW_INPUT!E1886)</f>
        <v/>
      </c>
      <c r="C1885" t="str">
        <f>IF(RAW_INPUT!A1886="","",RAW_INPUT!F1886)</f>
        <v/>
      </c>
    </row>
    <row r="1886" spans="1:3" x14ac:dyDescent="0.25">
      <c r="A1886" t="str">
        <f>IF(RAW_INPUT!A1887="","",RAW_INPUT!A1887)</f>
        <v/>
      </c>
      <c r="B1886" t="str">
        <f>IF(RAW_INPUT!A1887="","",RAW_INPUT!E1887)</f>
        <v/>
      </c>
      <c r="C1886" t="str">
        <f>IF(RAW_INPUT!A1887="","",RAW_INPUT!F1887)</f>
        <v/>
      </c>
    </row>
    <row r="1887" spans="1:3" x14ac:dyDescent="0.25">
      <c r="A1887" t="str">
        <f>IF(RAW_INPUT!A1888="","",RAW_INPUT!A1888)</f>
        <v/>
      </c>
      <c r="B1887" t="str">
        <f>IF(RAW_INPUT!A1888="","",RAW_INPUT!E1888)</f>
        <v/>
      </c>
      <c r="C1887" t="str">
        <f>IF(RAW_INPUT!A1888="","",RAW_INPUT!F1888)</f>
        <v/>
      </c>
    </row>
    <row r="1888" spans="1:3" x14ac:dyDescent="0.25">
      <c r="A1888" t="str">
        <f>IF(RAW_INPUT!A1889="","",RAW_INPUT!A1889)</f>
        <v/>
      </c>
      <c r="B1888" t="str">
        <f>IF(RAW_INPUT!A1889="","",RAW_INPUT!E1889)</f>
        <v/>
      </c>
      <c r="C1888" t="str">
        <f>IF(RAW_INPUT!A1889="","",RAW_INPUT!F1889)</f>
        <v/>
      </c>
    </row>
    <row r="1889" spans="1:3" x14ac:dyDescent="0.25">
      <c r="A1889" t="str">
        <f>IF(RAW_INPUT!A1890="","",RAW_INPUT!A1890)</f>
        <v/>
      </c>
      <c r="B1889" t="str">
        <f>IF(RAW_INPUT!A1890="","",RAW_INPUT!E1890)</f>
        <v/>
      </c>
      <c r="C1889" t="str">
        <f>IF(RAW_INPUT!A1890="","",RAW_INPUT!F1890)</f>
        <v/>
      </c>
    </row>
    <row r="1890" spans="1:3" x14ac:dyDescent="0.25">
      <c r="A1890" t="str">
        <f>IF(RAW_INPUT!A1891="","",RAW_INPUT!A1891)</f>
        <v/>
      </c>
      <c r="B1890" t="str">
        <f>IF(RAW_INPUT!A1891="","",RAW_INPUT!E1891)</f>
        <v/>
      </c>
      <c r="C1890" t="str">
        <f>IF(RAW_INPUT!A1891="","",RAW_INPUT!F1891)</f>
        <v/>
      </c>
    </row>
    <row r="1891" spans="1:3" x14ac:dyDescent="0.25">
      <c r="A1891" t="str">
        <f>IF(RAW_INPUT!A1892="","",RAW_INPUT!A1892)</f>
        <v/>
      </c>
      <c r="B1891" t="str">
        <f>IF(RAW_INPUT!A1892="","",RAW_INPUT!E1892)</f>
        <v/>
      </c>
      <c r="C1891" t="str">
        <f>IF(RAW_INPUT!A1892="","",RAW_INPUT!F1892)</f>
        <v/>
      </c>
    </row>
    <row r="1892" spans="1:3" x14ac:dyDescent="0.25">
      <c r="A1892" t="str">
        <f>IF(RAW_INPUT!A1893="","",RAW_INPUT!A1893)</f>
        <v/>
      </c>
      <c r="B1892" t="str">
        <f>IF(RAW_INPUT!A1893="","",RAW_INPUT!E1893)</f>
        <v/>
      </c>
      <c r="C1892" t="str">
        <f>IF(RAW_INPUT!A1893="","",RAW_INPUT!F1893)</f>
        <v/>
      </c>
    </row>
    <row r="1893" spans="1:3" x14ac:dyDescent="0.25">
      <c r="A1893" t="str">
        <f>IF(RAW_INPUT!A1894="","",RAW_INPUT!A1894)</f>
        <v/>
      </c>
      <c r="B1893" t="str">
        <f>IF(RAW_INPUT!A1894="","",RAW_INPUT!E1894)</f>
        <v/>
      </c>
      <c r="C1893" t="str">
        <f>IF(RAW_INPUT!A1894="","",RAW_INPUT!F1894)</f>
        <v/>
      </c>
    </row>
    <row r="1894" spans="1:3" x14ac:dyDescent="0.25">
      <c r="A1894" t="str">
        <f>IF(RAW_INPUT!A1895="","",RAW_INPUT!A1895)</f>
        <v/>
      </c>
      <c r="B1894" t="str">
        <f>IF(RAW_INPUT!A1895="","",RAW_INPUT!E1895)</f>
        <v/>
      </c>
      <c r="C1894" t="str">
        <f>IF(RAW_INPUT!A1895="","",RAW_INPUT!F1895)</f>
        <v/>
      </c>
    </row>
    <row r="1895" spans="1:3" x14ac:dyDescent="0.25">
      <c r="A1895" t="str">
        <f>IF(RAW_INPUT!A1896="","",RAW_INPUT!A1896)</f>
        <v/>
      </c>
      <c r="B1895" t="str">
        <f>IF(RAW_INPUT!A1896="","",RAW_INPUT!E1896)</f>
        <v/>
      </c>
      <c r="C1895" t="str">
        <f>IF(RAW_INPUT!A1896="","",RAW_INPUT!F1896)</f>
        <v/>
      </c>
    </row>
    <row r="1896" spans="1:3" x14ac:dyDescent="0.25">
      <c r="A1896" t="str">
        <f>IF(RAW_INPUT!A1897="","",RAW_INPUT!A1897)</f>
        <v/>
      </c>
      <c r="B1896" t="str">
        <f>IF(RAW_INPUT!A1897="","",RAW_INPUT!E1897)</f>
        <v/>
      </c>
      <c r="C1896" t="str">
        <f>IF(RAW_INPUT!A1897="","",RAW_INPUT!F1897)</f>
        <v/>
      </c>
    </row>
    <row r="1897" spans="1:3" x14ac:dyDescent="0.25">
      <c r="A1897" t="str">
        <f>IF(RAW_INPUT!A1898="","",RAW_INPUT!A1898)</f>
        <v/>
      </c>
      <c r="B1897" t="str">
        <f>IF(RAW_INPUT!A1898="","",RAW_INPUT!E1898)</f>
        <v/>
      </c>
      <c r="C1897" t="str">
        <f>IF(RAW_INPUT!A1898="","",RAW_INPUT!F1898)</f>
        <v/>
      </c>
    </row>
    <row r="1898" spans="1:3" x14ac:dyDescent="0.25">
      <c r="A1898" t="str">
        <f>IF(RAW_INPUT!A1899="","",RAW_INPUT!A1899)</f>
        <v/>
      </c>
      <c r="B1898" t="str">
        <f>IF(RAW_INPUT!A1899="","",RAW_INPUT!E1899)</f>
        <v/>
      </c>
      <c r="C1898" t="str">
        <f>IF(RAW_INPUT!A1899="","",RAW_INPUT!F1899)</f>
        <v/>
      </c>
    </row>
    <row r="1899" spans="1:3" x14ac:dyDescent="0.25">
      <c r="A1899" t="str">
        <f>IF(RAW_INPUT!A1900="","",RAW_INPUT!A1900)</f>
        <v/>
      </c>
      <c r="B1899" t="str">
        <f>IF(RAW_INPUT!A1900="","",RAW_INPUT!E1900)</f>
        <v/>
      </c>
      <c r="C1899" t="str">
        <f>IF(RAW_INPUT!A1900="","",RAW_INPUT!F1900)</f>
        <v/>
      </c>
    </row>
    <row r="1900" spans="1:3" x14ac:dyDescent="0.25">
      <c r="A1900" t="str">
        <f>IF(RAW_INPUT!A1901="","",RAW_INPUT!A1901)</f>
        <v/>
      </c>
      <c r="B1900" t="str">
        <f>IF(RAW_INPUT!A1901="","",RAW_INPUT!E1901)</f>
        <v/>
      </c>
      <c r="C1900" t="str">
        <f>IF(RAW_INPUT!A1901="","",RAW_INPUT!F1901)</f>
        <v/>
      </c>
    </row>
    <row r="1901" spans="1:3" x14ac:dyDescent="0.25">
      <c r="A1901" t="str">
        <f>IF(RAW_INPUT!A1902="","",RAW_INPUT!A1902)</f>
        <v/>
      </c>
      <c r="B1901" t="str">
        <f>IF(RAW_INPUT!A1902="","",RAW_INPUT!E1902)</f>
        <v/>
      </c>
      <c r="C1901" t="str">
        <f>IF(RAW_INPUT!A1902="","",RAW_INPUT!F1902)</f>
        <v/>
      </c>
    </row>
    <row r="1902" spans="1:3" x14ac:dyDescent="0.25">
      <c r="A1902" t="str">
        <f>IF(RAW_INPUT!A1903="","",RAW_INPUT!A1903)</f>
        <v/>
      </c>
      <c r="B1902" t="str">
        <f>IF(RAW_INPUT!A1903="","",RAW_INPUT!E1903)</f>
        <v/>
      </c>
      <c r="C1902" t="str">
        <f>IF(RAW_INPUT!A1903="","",RAW_INPUT!F1903)</f>
        <v/>
      </c>
    </row>
    <row r="1903" spans="1:3" x14ac:dyDescent="0.25">
      <c r="A1903" t="str">
        <f>IF(RAW_INPUT!A1904="","",RAW_INPUT!A1904)</f>
        <v/>
      </c>
      <c r="B1903" t="str">
        <f>IF(RAW_INPUT!A1904="","",RAW_INPUT!E1904)</f>
        <v/>
      </c>
      <c r="C1903" t="str">
        <f>IF(RAW_INPUT!A1904="","",RAW_INPUT!F1904)</f>
        <v/>
      </c>
    </row>
    <row r="1904" spans="1:3" x14ac:dyDescent="0.25">
      <c r="A1904" t="str">
        <f>IF(RAW_INPUT!A1905="","",RAW_INPUT!A1905)</f>
        <v/>
      </c>
      <c r="B1904" t="str">
        <f>IF(RAW_INPUT!A1905="","",RAW_INPUT!E1905)</f>
        <v/>
      </c>
      <c r="C1904" t="str">
        <f>IF(RAW_INPUT!A1905="","",RAW_INPUT!F1905)</f>
        <v/>
      </c>
    </row>
    <row r="1905" spans="1:3" x14ac:dyDescent="0.25">
      <c r="A1905" t="str">
        <f>IF(RAW_INPUT!A1906="","",RAW_INPUT!A1906)</f>
        <v/>
      </c>
      <c r="B1905" t="str">
        <f>IF(RAW_INPUT!A1906="","",RAW_INPUT!E1906)</f>
        <v/>
      </c>
      <c r="C1905" t="str">
        <f>IF(RAW_INPUT!A1906="","",RAW_INPUT!F1906)</f>
        <v/>
      </c>
    </row>
    <row r="1906" spans="1:3" x14ac:dyDescent="0.25">
      <c r="A1906" t="str">
        <f>IF(RAW_INPUT!A1907="","",RAW_INPUT!A1907)</f>
        <v/>
      </c>
      <c r="B1906" t="str">
        <f>IF(RAW_INPUT!A1907="","",RAW_INPUT!E1907)</f>
        <v/>
      </c>
      <c r="C1906" t="str">
        <f>IF(RAW_INPUT!A1907="","",RAW_INPUT!F1907)</f>
        <v/>
      </c>
    </row>
    <row r="1907" spans="1:3" x14ac:dyDescent="0.25">
      <c r="A1907" t="str">
        <f>IF(RAW_INPUT!A1908="","",RAW_INPUT!A1908)</f>
        <v/>
      </c>
      <c r="B1907" t="str">
        <f>IF(RAW_INPUT!A1908="","",RAW_INPUT!E1908)</f>
        <v/>
      </c>
      <c r="C1907" t="str">
        <f>IF(RAW_INPUT!A1908="","",RAW_INPUT!F1908)</f>
        <v/>
      </c>
    </row>
    <row r="1908" spans="1:3" x14ac:dyDescent="0.25">
      <c r="A1908" t="str">
        <f>IF(RAW_INPUT!A1909="","",RAW_INPUT!A1909)</f>
        <v/>
      </c>
      <c r="B1908" t="str">
        <f>IF(RAW_INPUT!A1909="","",RAW_INPUT!E1909)</f>
        <v/>
      </c>
      <c r="C1908" t="str">
        <f>IF(RAW_INPUT!A1909="","",RAW_INPUT!F1909)</f>
        <v/>
      </c>
    </row>
    <row r="1909" spans="1:3" x14ac:dyDescent="0.25">
      <c r="A1909" t="str">
        <f>IF(RAW_INPUT!A1910="","",RAW_INPUT!A1910)</f>
        <v/>
      </c>
      <c r="B1909" t="str">
        <f>IF(RAW_INPUT!A1910="","",RAW_INPUT!E1910)</f>
        <v/>
      </c>
      <c r="C1909" t="str">
        <f>IF(RAW_INPUT!A1910="","",RAW_INPUT!F1910)</f>
        <v/>
      </c>
    </row>
    <row r="1910" spans="1:3" x14ac:dyDescent="0.25">
      <c r="A1910" t="str">
        <f>IF(RAW_INPUT!A1911="","",RAW_INPUT!A1911)</f>
        <v/>
      </c>
      <c r="B1910" t="str">
        <f>IF(RAW_INPUT!A1911="","",RAW_INPUT!E1911)</f>
        <v/>
      </c>
      <c r="C1910" t="str">
        <f>IF(RAW_INPUT!A1911="","",RAW_INPUT!F1911)</f>
        <v/>
      </c>
    </row>
    <row r="1911" spans="1:3" x14ac:dyDescent="0.25">
      <c r="A1911" t="str">
        <f>IF(RAW_INPUT!A1912="","",RAW_INPUT!A1912)</f>
        <v/>
      </c>
      <c r="B1911" t="str">
        <f>IF(RAW_INPUT!A1912="","",RAW_INPUT!E1912)</f>
        <v/>
      </c>
      <c r="C1911" t="str">
        <f>IF(RAW_INPUT!A1912="","",RAW_INPUT!F1912)</f>
        <v/>
      </c>
    </row>
    <row r="1912" spans="1:3" x14ac:dyDescent="0.25">
      <c r="A1912" t="str">
        <f>IF(RAW_INPUT!A1913="","",RAW_INPUT!A1913)</f>
        <v/>
      </c>
      <c r="B1912" t="str">
        <f>IF(RAW_INPUT!A1913="","",RAW_INPUT!E1913)</f>
        <v/>
      </c>
      <c r="C1912" t="str">
        <f>IF(RAW_INPUT!A1913="","",RAW_INPUT!F1913)</f>
        <v/>
      </c>
    </row>
    <row r="1913" spans="1:3" x14ac:dyDescent="0.25">
      <c r="A1913" t="str">
        <f>IF(RAW_INPUT!A1914="","",RAW_INPUT!A1914)</f>
        <v/>
      </c>
      <c r="B1913" t="str">
        <f>IF(RAW_INPUT!A1914="","",RAW_INPUT!E1914)</f>
        <v/>
      </c>
      <c r="C1913" t="str">
        <f>IF(RAW_INPUT!A1914="","",RAW_INPUT!F1914)</f>
        <v/>
      </c>
    </row>
    <row r="1914" spans="1:3" x14ac:dyDescent="0.25">
      <c r="A1914" t="str">
        <f>IF(RAW_INPUT!A1915="","",RAW_INPUT!A1915)</f>
        <v/>
      </c>
      <c r="B1914" t="str">
        <f>IF(RAW_INPUT!A1915="","",RAW_INPUT!E1915)</f>
        <v/>
      </c>
      <c r="C1914" t="str">
        <f>IF(RAW_INPUT!A1915="","",RAW_INPUT!F1915)</f>
        <v/>
      </c>
    </row>
    <row r="1915" spans="1:3" x14ac:dyDescent="0.25">
      <c r="A1915" t="str">
        <f>IF(RAW_INPUT!A1916="","",RAW_INPUT!A1916)</f>
        <v/>
      </c>
      <c r="B1915" t="str">
        <f>IF(RAW_INPUT!A1916="","",RAW_INPUT!E1916)</f>
        <v/>
      </c>
      <c r="C1915" t="str">
        <f>IF(RAW_INPUT!A1916="","",RAW_INPUT!F1916)</f>
        <v/>
      </c>
    </row>
    <row r="1916" spans="1:3" x14ac:dyDescent="0.25">
      <c r="A1916" t="str">
        <f>IF(RAW_INPUT!A1917="","",RAW_INPUT!A1917)</f>
        <v/>
      </c>
      <c r="B1916" t="str">
        <f>IF(RAW_INPUT!A1917="","",RAW_INPUT!E1917)</f>
        <v/>
      </c>
      <c r="C1916" t="str">
        <f>IF(RAW_INPUT!A1917="","",RAW_INPUT!F1917)</f>
        <v/>
      </c>
    </row>
    <row r="1917" spans="1:3" x14ac:dyDescent="0.25">
      <c r="A1917" t="str">
        <f>IF(RAW_INPUT!A1918="","",RAW_INPUT!A1918)</f>
        <v/>
      </c>
      <c r="B1917" t="str">
        <f>IF(RAW_INPUT!A1918="","",RAW_INPUT!E1918)</f>
        <v/>
      </c>
      <c r="C1917" t="str">
        <f>IF(RAW_INPUT!A1918="","",RAW_INPUT!F1918)</f>
        <v/>
      </c>
    </row>
    <row r="1918" spans="1:3" x14ac:dyDescent="0.25">
      <c r="A1918" t="str">
        <f>IF(RAW_INPUT!A1919="","",RAW_INPUT!A1919)</f>
        <v/>
      </c>
      <c r="B1918" t="str">
        <f>IF(RAW_INPUT!A1919="","",RAW_INPUT!E1919)</f>
        <v/>
      </c>
      <c r="C1918" t="str">
        <f>IF(RAW_INPUT!A1919="","",RAW_INPUT!F1919)</f>
        <v/>
      </c>
    </row>
    <row r="1919" spans="1:3" x14ac:dyDescent="0.25">
      <c r="A1919" t="str">
        <f>IF(RAW_INPUT!A1920="","",RAW_INPUT!A1920)</f>
        <v/>
      </c>
      <c r="B1919" t="str">
        <f>IF(RAW_INPUT!A1920="","",RAW_INPUT!E1920)</f>
        <v/>
      </c>
      <c r="C1919" t="str">
        <f>IF(RAW_INPUT!A1920="","",RAW_INPUT!F1920)</f>
        <v/>
      </c>
    </row>
    <row r="1920" spans="1:3" x14ac:dyDescent="0.25">
      <c r="A1920" t="str">
        <f>IF(RAW_INPUT!A1921="","",RAW_INPUT!A1921)</f>
        <v/>
      </c>
      <c r="B1920" t="str">
        <f>IF(RAW_INPUT!A1921="","",RAW_INPUT!E1921)</f>
        <v/>
      </c>
      <c r="C1920" t="str">
        <f>IF(RAW_INPUT!A1921="","",RAW_INPUT!F1921)</f>
        <v/>
      </c>
    </row>
    <row r="1921" spans="1:3" x14ac:dyDescent="0.25">
      <c r="A1921" t="str">
        <f>IF(RAW_INPUT!A1922="","",RAW_INPUT!A1922)</f>
        <v/>
      </c>
      <c r="B1921" t="str">
        <f>IF(RAW_INPUT!A1922="","",RAW_INPUT!E1922)</f>
        <v/>
      </c>
      <c r="C1921" t="str">
        <f>IF(RAW_INPUT!A1922="","",RAW_INPUT!F1922)</f>
        <v/>
      </c>
    </row>
    <row r="1922" spans="1:3" x14ac:dyDescent="0.25">
      <c r="A1922" t="str">
        <f>IF(RAW_INPUT!A1923="","",RAW_INPUT!A1923)</f>
        <v/>
      </c>
      <c r="B1922" t="str">
        <f>IF(RAW_INPUT!A1923="","",RAW_INPUT!E1923)</f>
        <v/>
      </c>
      <c r="C1922" t="str">
        <f>IF(RAW_INPUT!A1923="","",RAW_INPUT!F1923)</f>
        <v/>
      </c>
    </row>
    <row r="1923" spans="1:3" x14ac:dyDescent="0.25">
      <c r="A1923" t="str">
        <f>IF(RAW_INPUT!A1924="","",RAW_INPUT!A1924)</f>
        <v/>
      </c>
      <c r="B1923" t="str">
        <f>IF(RAW_INPUT!A1924="","",RAW_INPUT!E1924)</f>
        <v/>
      </c>
      <c r="C1923" t="str">
        <f>IF(RAW_INPUT!A1924="","",RAW_INPUT!F1924)</f>
        <v/>
      </c>
    </row>
    <row r="1924" spans="1:3" x14ac:dyDescent="0.25">
      <c r="A1924" t="str">
        <f>IF(RAW_INPUT!A1925="","",RAW_INPUT!A1925)</f>
        <v/>
      </c>
      <c r="B1924" t="str">
        <f>IF(RAW_INPUT!A1925="","",RAW_INPUT!E1925)</f>
        <v/>
      </c>
      <c r="C1924" t="str">
        <f>IF(RAW_INPUT!A1925="","",RAW_INPUT!F1925)</f>
        <v/>
      </c>
    </row>
    <row r="1925" spans="1:3" x14ac:dyDescent="0.25">
      <c r="A1925" t="str">
        <f>IF(RAW_INPUT!A1926="","",RAW_INPUT!A1926)</f>
        <v/>
      </c>
      <c r="B1925" t="str">
        <f>IF(RAW_INPUT!A1926="","",RAW_INPUT!E1926)</f>
        <v/>
      </c>
      <c r="C1925" t="str">
        <f>IF(RAW_INPUT!A1926="","",RAW_INPUT!F1926)</f>
        <v/>
      </c>
    </row>
    <row r="1926" spans="1:3" x14ac:dyDescent="0.25">
      <c r="A1926" t="str">
        <f>IF(RAW_INPUT!A1927="","",RAW_INPUT!A1927)</f>
        <v/>
      </c>
      <c r="B1926" t="str">
        <f>IF(RAW_INPUT!A1927="","",RAW_INPUT!E1927)</f>
        <v/>
      </c>
      <c r="C1926" t="str">
        <f>IF(RAW_INPUT!A1927="","",RAW_INPUT!F1927)</f>
        <v/>
      </c>
    </row>
    <row r="1927" spans="1:3" x14ac:dyDescent="0.25">
      <c r="A1927" t="str">
        <f>IF(RAW_INPUT!A1928="","",RAW_INPUT!A1928)</f>
        <v/>
      </c>
      <c r="B1927" t="str">
        <f>IF(RAW_INPUT!A1928="","",RAW_INPUT!E1928)</f>
        <v/>
      </c>
      <c r="C1927" t="str">
        <f>IF(RAW_INPUT!A1928="","",RAW_INPUT!F1928)</f>
        <v/>
      </c>
    </row>
    <row r="1928" spans="1:3" x14ac:dyDescent="0.25">
      <c r="A1928" t="str">
        <f>IF(RAW_INPUT!A1929="","",RAW_INPUT!A1929)</f>
        <v/>
      </c>
      <c r="B1928" t="str">
        <f>IF(RAW_INPUT!A1929="","",RAW_INPUT!E1929)</f>
        <v/>
      </c>
      <c r="C1928" t="str">
        <f>IF(RAW_INPUT!A1929="","",RAW_INPUT!F1929)</f>
        <v/>
      </c>
    </row>
    <row r="1929" spans="1:3" x14ac:dyDescent="0.25">
      <c r="A1929" t="str">
        <f>IF(RAW_INPUT!A1930="","",RAW_INPUT!A1930)</f>
        <v/>
      </c>
      <c r="B1929" t="str">
        <f>IF(RAW_INPUT!A1930="","",RAW_INPUT!E1930)</f>
        <v/>
      </c>
      <c r="C1929" t="str">
        <f>IF(RAW_INPUT!A1930="","",RAW_INPUT!F1930)</f>
        <v/>
      </c>
    </row>
    <row r="1930" spans="1:3" x14ac:dyDescent="0.25">
      <c r="A1930" t="str">
        <f>IF(RAW_INPUT!A1931="","",RAW_INPUT!A1931)</f>
        <v/>
      </c>
      <c r="B1930" t="str">
        <f>IF(RAW_INPUT!A1931="","",RAW_INPUT!E1931)</f>
        <v/>
      </c>
      <c r="C1930" t="str">
        <f>IF(RAW_INPUT!A1931="","",RAW_INPUT!F1931)</f>
        <v/>
      </c>
    </row>
    <row r="1931" spans="1:3" x14ac:dyDescent="0.25">
      <c r="A1931" t="str">
        <f>IF(RAW_INPUT!A1932="","",RAW_INPUT!A1932)</f>
        <v/>
      </c>
      <c r="B1931" t="str">
        <f>IF(RAW_INPUT!A1932="","",RAW_INPUT!E1932)</f>
        <v/>
      </c>
      <c r="C1931" t="str">
        <f>IF(RAW_INPUT!A1932="","",RAW_INPUT!F1932)</f>
        <v/>
      </c>
    </row>
    <row r="1932" spans="1:3" x14ac:dyDescent="0.25">
      <c r="A1932" t="str">
        <f>IF(RAW_INPUT!A1933="","",RAW_INPUT!A1933)</f>
        <v/>
      </c>
      <c r="B1932" t="str">
        <f>IF(RAW_INPUT!A1933="","",RAW_INPUT!E1933)</f>
        <v/>
      </c>
      <c r="C1932" t="str">
        <f>IF(RAW_INPUT!A1933="","",RAW_INPUT!F1933)</f>
        <v/>
      </c>
    </row>
    <row r="1933" spans="1:3" x14ac:dyDescent="0.25">
      <c r="A1933" t="str">
        <f>IF(RAW_INPUT!A1934="","",RAW_INPUT!A1934)</f>
        <v/>
      </c>
      <c r="B1933" t="str">
        <f>IF(RAW_INPUT!A1934="","",RAW_INPUT!E1934)</f>
        <v/>
      </c>
      <c r="C1933" t="str">
        <f>IF(RAW_INPUT!A1934="","",RAW_INPUT!F1934)</f>
        <v/>
      </c>
    </row>
    <row r="1934" spans="1:3" x14ac:dyDescent="0.25">
      <c r="A1934" t="str">
        <f>IF(RAW_INPUT!A1935="","",RAW_INPUT!A1935)</f>
        <v/>
      </c>
      <c r="B1934" t="str">
        <f>IF(RAW_INPUT!A1935="","",RAW_INPUT!E1935)</f>
        <v/>
      </c>
      <c r="C1934" t="str">
        <f>IF(RAW_INPUT!A1935="","",RAW_INPUT!F1935)</f>
        <v/>
      </c>
    </row>
    <row r="1935" spans="1:3" x14ac:dyDescent="0.25">
      <c r="A1935" t="str">
        <f>IF(RAW_INPUT!A1936="","",RAW_INPUT!A1936)</f>
        <v/>
      </c>
      <c r="B1935" t="str">
        <f>IF(RAW_INPUT!A1936="","",RAW_INPUT!E1936)</f>
        <v/>
      </c>
      <c r="C1935" t="str">
        <f>IF(RAW_INPUT!A1936="","",RAW_INPUT!F1936)</f>
        <v/>
      </c>
    </row>
    <row r="1936" spans="1:3" x14ac:dyDescent="0.25">
      <c r="A1936" t="str">
        <f>IF(RAW_INPUT!A1937="","",RAW_INPUT!A1937)</f>
        <v/>
      </c>
      <c r="B1936" t="str">
        <f>IF(RAW_INPUT!A1937="","",RAW_INPUT!E1937)</f>
        <v/>
      </c>
      <c r="C1936" t="str">
        <f>IF(RAW_INPUT!A1937="","",RAW_INPUT!F1937)</f>
        <v/>
      </c>
    </row>
    <row r="1937" spans="1:3" x14ac:dyDescent="0.25">
      <c r="A1937" t="str">
        <f>IF(RAW_INPUT!A1938="","",RAW_INPUT!A1938)</f>
        <v/>
      </c>
      <c r="B1937" t="str">
        <f>IF(RAW_INPUT!A1938="","",RAW_INPUT!E1938)</f>
        <v/>
      </c>
      <c r="C1937" t="str">
        <f>IF(RAW_INPUT!A1938="","",RAW_INPUT!F1938)</f>
        <v/>
      </c>
    </row>
    <row r="1938" spans="1:3" x14ac:dyDescent="0.25">
      <c r="A1938" t="str">
        <f>IF(RAW_INPUT!A1939="","",RAW_INPUT!A1939)</f>
        <v/>
      </c>
      <c r="B1938" t="str">
        <f>IF(RAW_INPUT!A1939="","",RAW_INPUT!E1939)</f>
        <v/>
      </c>
      <c r="C1938" t="str">
        <f>IF(RAW_INPUT!A1939="","",RAW_INPUT!F1939)</f>
        <v/>
      </c>
    </row>
    <row r="1939" spans="1:3" x14ac:dyDescent="0.25">
      <c r="A1939" t="str">
        <f>IF(RAW_INPUT!A1940="","",RAW_INPUT!A1940)</f>
        <v/>
      </c>
      <c r="B1939" t="str">
        <f>IF(RAW_INPUT!A1940="","",RAW_INPUT!E1940)</f>
        <v/>
      </c>
      <c r="C1939" t="str">
        <f>IF(RAW_INPUT!A1940="","",RAW_INPUT!F1940)</f>
        <v/>
      </c>
    </row>
    <row r="1940" spans="1:3" x14ac:dyDescent="0.25">
      <c r="A1940" t="str">
        <f>IF(RAW_INPUT!A1941="","",RAW_INPUT!A1941)</f>
        <v/>
      </c>
      <c r="B1940" t="str">
        <f>IF(RAW_INPUT!A1941="","",RAW_INPUT!E1941)</f>
        <v/>
      </c>
      <c r="C1940" t="str">
        <f>IF(RAW_INPUT!A1941="","",RAW_INPUT!F1941)</f>
        <v/>
      </c>
    </row>
    <row r="1941" spans="1:3" x14ac:dyDescent="0.25">
      <c r="A1941" t="str">
        <f>IF(RAW_INPUT!A1942="","",RAW_INPUT!A1942)</f>
        <v/>
      </c>
      <c r="B1941" t="str">
        <f>IF(RAW_INPUT!A1942="","",RAW_INPUT!E1942)</f>
        <v/>
      </c>
      <c r="C1941" t="str">
        <f>IF(RAW_INPUT!A1942="","",RAW_INPUT!F1942)</f>
        <v/>
      </c>
    </row>
    <row r="1942" spans="1:3" x14ac:dyDescent="0.25">
      <c r="A1942" t="str">
        <f>IF(RAW_INPUT!A1943="","",RAW_INPUT!A1943)</f>
        <v/>
      </c>
      <c r="B1942" t="str">
        <f>IF(RAW_INPUT!A1943="","",RAW_INPUT!E1943)</f>
        <v/>
      </c>
      <c r="C1942" t="str">
        <f>IF(RAW_INPUT!A1943="","",RAW_INPUT!F1943)</f>
        <v/>
      </c>
    </row>
    <row r="1943" spans="1:3" x14ac:dyDescent="0.25">
      <c r="A1943" t="str">
        <f>IF(RAW_INPUT!A1944="","",RAW_INPUT!A1944)</f>
        <v/>
      </c>
      <c r="B1943" t="str">
        <f>IF(RAW_INPUT!A1944="","",RAW_INPUT!E1944)</f>
        <v/>
      </c>
      <c r="C1943" t="str">
        <f>IF(RAW_INPUT!A1944="","",RAW_INPUT!F1944)</f>
        <v/>
      </c>
    </row>
    <row r="1944" spans="1:3" x14ac:dyDescent="0.25">
      <c r="A1944" t="str">
        <f>IF(RAW_INPUT!A1945="","",RAW_INPUT!A1945)</f>
        <v/>
      </c>
      <c r="B1944" t="str">
        <f>IF(RAW_INPUT!A1945="","",RAW_INPUT!E1945)</f>
        <v/>
      </c>
      <c r="C1944" t="str">
        <f>IF(RAW_INPUT!A1945="","",RAW_INPUT!F1945)</f>
        <v/>
      </c>
    </row>
    <row r="1945" spans="1:3" x14ac:dyDescent="0.25">
      <c r="A1945" t="str">
        <f>IF(RAW_INPUT!A1946="","",RAW_INPUT!A1946)</f>
        <v/>
      </c>
      <c r="B1945" t="str">
        <f>IF(RAW_INPUT!A1946="","",RAW_INPUT!E1946)</f>
        <v/>
      </c>
      <c r="C1945" t="str">
        <f>IF(RAW_INPUT!A1946="","",RAW_INPUT!F1946)</f>
        <v/>
      </c>
    </row>
    <row r="1946" spans="1:3" x14ac:dyDescent="0.25">
      <c r="A1946" t="str">
        <f>IF(RAW_INPUT!A1947="","",RAW_INPUT!A1947)</f>
        <v/>
      </c>
      <c r="B1946" t="str">
        <f>IF(RAW_INPUT!A1947="","",RAW_INPUT!E1947)</f>
        <v/>
      </c>
      <c r="C1946" t="str">
        <f>IF(RAW_INPUT!A1947="","",RAW_INPUT!F1947)</f>
        <v/>
      </c>
    </row>
    <row r="1947" spans="1:3" x14ac:dyDescent="0.25">
      <c r="A1947" t="str">
        <f>IF(RAW_INPUT!A1948="","",RAW_INPUT!A1948)</f>
        <v/>
      </c>
      <c r="B1947" t="str">
        <f>IF(RAW_INPUT!A1948="","",RAW_INPUT!E1948)</f>
        <v/>
      </c>
      <c r="C1947" t="str">
        <f>IF(RAW_INPUT!A1948="","",RAW_INPUT!F1948)</f>
        <v/>
      </c>
    </row>
    <row r="1948" spans="1:3" x14ac:dyDescent="0.25">
      <c r="A1948" t="str">
        <f>IF(RAW_INPUT!A1949="","",RAW_INPUT!A1949)</f>
        <v/>
      </c>
      <c r="B1948" t="str">
        <f>IF(RAW_INPUT!A1949="","",RAW_INPUT!E1949)</f>
        <v/>
      </c>
      <c r="C1948" t="str">
        <f>IF(RAW_INPUT!A1949="","",RAW_INPUT!F1949)</f>
        <v/>
      </c>
    </row>
    <row r="1949" spans="1:3" x14ac:dyDescent="0.25">
      <c r="A1949" t="str">
        <f>IF(RAW_INPUT!A1950="","",RAW_INPUT!A1950)</f>
        <v/>
      </c>
      <c r="B1949" t="str">
        <f>IF(RAW_INPUT!A1950="","",RAW_INPUT!E1950)</f>
        <v/>
      </c>
      <c r="C1949" t="str">
        <f>IF(RAW_INPUT!A1950="","",RAW_INPUT!F1950)</f>
        <v/>
      </c>
    </row>
    <row r="1950" spans="1:3" x14ac:dyDescent="0.25">
      <c r="A1950" t="str">
        <f>IF(RAW_INPUT!A1951="","",RAW_INPUT!A1951)</f>
        <v/>
      </c>
      <c r="B1950" t="str">
        <f>IF(RAW_INPUT!A1951="","",RAW_INPUT!E1951)</f>
        <v/>
      </c>
      <c r="C1950" t="str">
        <f>IF(RAW_INPUT!A1951="","",RAW_INPUT!F1951)</f>
        <v/>
      </c>
    </row>
    <row r="1951" spans="1:3" x14ac:dyDescent="0.25">
      <c r="A1951" t="str">
        <f>IF(RAW_INPUT!A1952="","",RAW_INPUT!A1952)</f>
        <v/>
      </c>
      <c r="B1951" t="str">
        <f>IF(RAW_INPUT!A1952="","",RAW_INPUT!E1952)</f>
        <v/>
      </c>
      <c r="C1951" t="str">
        <f>IF(RAW_INPUT!A1952="","",RAW_INPUT!F1952)</f>
        <v/>
      </c>
    </row>
    <row r="1952" spans="1:3" x14ac:dyDescent="0.25">
      <c r="A1952" t="str">
        <f>IF(RAW_INPUT!A1953="","",RAW_INPUT!A1953)</f>
        <v/>
      </c>
      <c r="B1952" t="str">
        <f>IF(RAW_INPUT!A1953="","",RAW_INPUT!E1953)</f>
        <v/>
      </c>
      <c r="C1952" t="str">
        <f>IF(RAW_INPUT!A1953="","",RAW_INPUT!F1953)</f>
        <v/>
      </c>
    </row>
    <row r="1953" spans="1:3" x14ac:dyDescent="0.25">
      <c r="A1953" t="str">
        <f>IF(RAW_INPUT!A1954="","",RAW_INPUT!A1954)</f>
        <v/>
      </c>
      <c r="B1953" t="str">
        <f>IF(RAW_INPUT!A1954="","",RAW_INPUT!E1954)</f>
        <v/>
      </c>
      <c r="C1953" t="str">
        <f>IF(RAW_INPUT!A1954="","",RAW_INPUT!F1954)</f>
        <v/>
      </c>
    </row>
    <row r="1954" spans="1:3" x14ac:dyDescent="0.25">
      <c r="A1954" t="str">
        <f>IF(RAW_INPUT!A1955="","",RAW_INPUT!A1955)</f>
        <v/>
      </c>
      <c r="B1954" t="str">
        <f>IF(RAW_INPUT!A1955="","",RAW_INPUT!E1955)</f>
        <v/>
      </c>
      <c r="C1954" t="str">
        <f>IF(RAW_INPUT!A1955="","",RAW_INPUT!F1955)</f>
        <v/>
      </c>
    </row>
    <row r="1955" spans="1:3" x14ac:dyDescent="0.25">
      <c r="A1955" t="str">
        <f>IF(RAW_INPUT!A1956="","",RAW_INPUT!A1956)</f>
        <v/>
      </c>
      <c r="B1955" t="str">
        <f>IF(RAW_INPUT!A1956="","",RAW_INPUT!E1956)</f>
        <v/>
      </c>
      <c r="C1955" t="str">
        <f>IF(RAW_INPUT!A1956="","",RAW_INPUT!F1956)</f>
        <v/>
      </c>
    </row>
    <row r="1956" spans="1:3" x14ac:dyDescent="0.25">
      <c r="A1956" t="str">
        <f>IF(RAW_INPUT!A1957="","",RAW_INPUT!A1957)</f>
        <v/>
      </c>
      <c r="B1956" t="str">
        <f>IF(RAW_INPUT!A1957="","",RAW_INPUT!E1957)</f>
        <v/>
      </c>
      <c r="C1956" t="str">
        <f>IF(RAW_INPUT!A1957="","",RAW_INPUT!F1957)</f>
        <v/>
      </c>
    </row>
    <row r="1957" spans="1:3" x14ac:dyDescent="0.25">
      <c r="A1957" t="str">
        <f>IF(RAW_INPUT!A1958="","",RAW_INPUT!A1958)</f>
        <v/>
      </c>
      <c r="B1957" t="str">
        <f>IF(RAW_INPUT!A1958="","",RAW_INPUT!E1958)</f>
        <v/>
      </c>
      <c r="C1957" t="str">
        <f>IF(RAW_INPUT!A1958="","",RAW_INPUT!F1958)</f>
        <v/>
      </c>
    </row>
    <row r="1958" spans="1:3" x14ac:dyDescent="0.25">
      <c r="A1958" t="str">
        <f>IF(RAW_INPUT!A1959="","",RAW_INPUT!A1959)</f>
        <v/>
      </c>
      <c r="B1958" t="str">
        <f>IF(RAW_INPUT!A1959="","",RAW_INPUT!E1959)</f>
        <v/>
      </c>
      <c r="C1958" t="str">
        <f>IF(RAW_INPUT!A1959="","",RAW_INPUT!F1959)</f>
        <v/>
      </c>
    </row>
    <row r="1959" spans="1:3" x14ac:dyDescent="0.25">
      <c r="A1959" t="str">
        <f>IF(RAW_INPUT!A1960="","",RAW_INPUT!A1960)</f>
        <v/>
      </c>
      <c r="B1959" t="str">
        <f>IF(RAW_INPUT!A1960="","",RAW_INPUT!E1960)</f>
        <v/>
      </c>
      <c r="C1959" t="str">
        <f>IF(RAW_INPUT!A1960="","",RAW_INPUT!F1960)</f>
        <v/>
      </c>
    </row>
    <row r="1960" spans="1:3" x14ac:dyDescent="0.25">
      <c r="A1960" t="str">
        <f>IF(RAW_INPUT!A1961="","",RAW_INPUT!A1961)</f>
        <v/>
      </c>
      <c r="B1960" t="str">
        <f>IF(RAW_INPUT!A1961="","",RAW_INPUT!E1961)</f>
        <v/>
      </c>
      <c r="C1960" t="str">
        <f>IF(RAW_INPUT!A1961="","",RAW_INPUT!F1961)</f>
        <v/>
      </c>
    </row>
    <row r="1961" spans="1:3" x14ac:dyDescent="0.25">
      <c r="A1961" t="str">
        <f>IF(RAW_INPUT!A1962="","",RAW_INPUT!A1962)</f>
        <v/>
      </c>
      <c r="B1961" t="str">
        <f>IF(RAW_INPUT!A1962="","",RAW_INPUT!E1962)</f>
        <v/>
      </c>
      <c r="C1961" t="str">
        <f>IF(RAW_INPUT!A1962="","",RAW_INPUT!F1962)</f>
        <v/>
      </c>
    </row>
    <row r="1962" spans="1:3" x14ac:dyDescent="0.25">
      <c r="A1962" t="str">
        <f>IF(RAW_INPUT!A1963="","",RAW_INPUT!A1963)</f>
        <v/>
      </c>
      <c r="B1962" t="str">
        <f>IF(RAW_INPUT!A1963="","",RAW_INPUT!E1963)</f>
        <v/>
      </c>
      <c r="C1962" t="str">
        <f>IF(RAW_INPUT!A1963="","",RAW_INPUT!F1963)</f>
        <v/>
      </c>
    </row>
    <row r="1963" spans="1:3" x14ac:dyDescent="0.25">
      <c r="A1963" t="str">
        <f>IF(RAW_INPUT!A1964="","",RAW_INPUT!A1964)</f>
        <v/>
      </c>
      <c r="B1963" t="str">
        <f>IF(RAW_INPUT!A1964="","",RAW_INPUT!E1964)</f>
        <v/>
      </c>
      <c r="C1963" t="str">
        <f>IF(RAW_INPUT!A1964="","",RAW_INPUT!F1964)</f>
        <v/>
      </c>
    </row>
    <row r="1964" spans="1:3" x14ac:dyDescent="0.25">
      <c r="A1964" t="str">
        <f>IF(RAW_INPUT!A1965="","",RAW_INPUT!A1965)</f>
        <v/>
      </c>
      <c r="B1964" t="str">
        <f>IF(RAW_INPUT!A1965="","",RAW_INPUT!E1965)</f>
        <v/>
      </c>
      <c r="C1964" t="str">
        <f>IF(RAW_INPUT!A1965="","",RAW_INPUT!F1965)</f>
        <v/>
      </c>
    </row>
    <row r="1965" spans="1:3" x14ac:dyDescent="0.25">
      <c r="A1965" t="str">
        <f>IF(RAW_INPUT!A1966="","",RAW_INPUT!A1966)</f>
        <v/>
      </c>
      <c r="B1965" t="str">
        <f>IF(RAW_INPUT!A1966="","",RAW_INPUT!E1966)</f>
        <v/>
      </c>
      <c r="C1965" t="str">
        <f>IF(RAW_INPUT!A1966="","",RAW_INPUT!F1966)</f>
        <v/>
      </c>
    </row>
    <row r="1966" spans="1:3" x14ac:dyDescent="0.25">
      <c r="A1966" t="str">
        <f>IF(RAW_INPUT!A1967="","",RAW_INPUT!A1967)</f>
        <v/>
      </c>
      <c r="B1966" t="str">
        <f>IF(RAW_INPUT!A1967="","",RAW_INPUT!E1967)</f>
        <v/>
      </c>
      <c r="C1966" t="str">
        <f>IF(RAW_INPUT!A1967="","",RAW_INPUT!F1967)</f>
        <v/>
      </c>
    </row>
    <row r="1967" spans="1:3" x14ac:dyDescent="0.25">
      <c r="A1967" t="str">
        <f>IF(RAW_INPUT!A1968="","",RAW_INPUT!A1968)</f>
        <v/>
      </c>
      <c r="B1967" t="str">
        <f>IF(RAW_INPUT!A1968="","",RAW_INPUT!E1968)</f>
        <v/>
      </c>
      <c r="C1967" t="str">
        <f>IF(RAW_INPUT!A1968="","",RAW_INPUT!F1968)</f>
        <v/>
      </c>
    </row>
    <row r="1968" spans="1:3" x14ac:dyDescent="0.25">
      <c r="A1968" t="str">
        <f>IF(RAW_INPUT!A1969="","",RAW_INPUT!A1969)</f>
        <v/>
      </c>
      <c r="B1968" t="str">
        <f>IF(RAW_INPUT!A1969="","",RAW_INPUT!E1969)</f>
        <v/>
      </c>
      <c r="C1968" t="str">
        <f>IF(RAW_INPUT!A1969="","",RAW_INPUT!F1969)</f>
        <v/>
      </c>
    </row>
    <row r="1969" spans="1:3" x14ac:dyDescent="0.25">
      <c r="A1969" t="str">
        <f>IF(RAW_INPUT!A1970="","",RAW_INPUT!A1970)</f>
        <v/>
      </c>
      <c r="B1969" t="str">
        <f>IF(RAW_INPUT!A1970="","",RAW_INPUT!E1970)</f>
        <v/>
      </c>
      <c r="C1969" t="str">
        <f>IF(RAW_INPUT!A1970="","",RAW_INPUT!F1970)</f>
        <v/>
      </c>
    </row>
    <row r="1970" spans="1:3" x14ac:dyDescent="0.25">
      <c r="A1970" t="str">
        <f>IF(RAW_INPUT!A1971="","",RAW_INPUT!A1971)</f>
        <v/>
      </c>
      <c r="B1970" t="str">
        <f>IF(RAW_INPUT!A1971="","",RAW_INPUT!E1971)</f>
        <v/>
      </c>
      <c r="C1970" t="str">
        <f>IF(RAW_INPUT!A1971="","",RAW_INPUT!F1971)</f>
        <v/>
      </c>
    </row>
    <row r="1971" spans="1:3" x14ac:dyDescent="0.25">
      <c r="A1971" t="str">
        <f>IF(RAW_INPUT!A1972="","",RAW_INPUT!A1972)</f>
        <v/>
      </c>
      <c r="B1971" t="str">
        <f>IF(RAW_INPUT!A1972="","",RAW_INPUT!E1972)</f>
        <v/>
      </c>
      <c r="C1971" t="str">
        <f>IF(RAW_INPUT!A1972="","",RAW_INPUT!F1972)</f>
        <v/>
      </c>
    </row>
    <row r="1972" spans="1:3" x14ac:dyDescent="0.25">
      <c r="A1972" t="str">
        <f>IF(RAW_INPUT!A1973="","",RAW_INPUT!A1973)</f>
        <v/>
      </c>
      <c r="B1972" t="str">
        <f>IF(RAW_INPUT!A1973="","",RAW_INPUT!E1973)</f>
        <v/>
      </c>
      <c r="C1972" t="str">
        <f>IF(RAW_INPUT!A1973="","",RAW_INPUT!F1973)</f>
        <v/>
      </c>
    </row>
    <row r="1973" spans="1:3" x14ac:dyDescent="0.25">
      <c r="A1973" t="str">
        <f>IF(RAW_INPUT!A1974="","",RAW_INPUT!A1974)</f>
        <v/>
      </c>
      <c r="B1973" t="str">
        <f>IF(RAW_INPUT!A1974="","",RAW_INPUT!E1974)</f>
        <v/>
      </c>
      <c r="C1973" t="str">
        <f>IF(RAW_INPUT!A1974="","",RAW_INPUT!F1974)</f>
        <v/>
      </c>
    </row>
    <row r="1974" spans="1:3" x14ac:dyDescent="0.25">
      <c r="A1974" t="str">
        <f>IF(RAW_INPUT!A1975="","",RAW_INPUT!A1975)</f>
        <v/>
      </c>
      <c r="B1974" t="str">
        <f>IF(RAW_INPUT!A1975="","",RAW_INPUT!E1975)</f>
        <v/>
      </c>
      <c r="C1974" t="str">
        <f>IF(RAW_INPUT!A1975="","",RAW_INPUT!F1975)</f>
        <v/>
      </c>
    </row>
    <row r="1975" spans="1:3" x14ac:dyDescent="0.25">
      <c r="A1975" t="str">
        <f>IF(RAW_INPUT!A1976="","",RAW_INPUT!A1976)</f>
        <v/>
      </c>
      <c r="B1975" t="str">
        <f>IF(RAW_INPUT!A1976="","",RAW_INPUT!E1976)</f>
        <v/>
      </c>
      <c r="C1975" t="str">
        <f>IF(RAW_INPUT!A1976="","",RAW_INPUT!F1976)</f>
        <v/>
      </c>
    </row>
    <row r="1976" spans="1:3" x14ac:dyDescent="0.25">
      <c r="A1976" t="str">
        <f>IF(RAW_INPUT!A1977="","",RAW_INPUT!A1977)</f>
        <v/>
      </c>
      <c r="B1976" t="str">
        <f>IF(RAW_INPUT!A1977="","",RAW_INPUT!E1977)</f>
        <v/>
      </c>
      <c r="C1976" t="str">
        <f>IF(RAW_INPUT!A1977="","",RAW_INPUT!F1977)</f>
        <v/>
      </c>
    </row>
    <row r="1977" spans="1:3" x14ac:dyDescent="0.25">
      <c r="A1977" t="str">
        <f>IF(RAW_INPUT!A1978="","",RAW_INPUT!A1978)</f>
        <v/>
      </c>
      <c r="B1977" t="str">
        <f>IF(RAW_INPUT!A1978="","",RAW_INPUT!E1978)</f>
        <v/>
      </c>
      <c r="C1977" t="str">
        <f>IF(RAW_INPUT!A1978="","",RAW_INPUT!F1978)</f>
        <v/>
      </c>
    </row>
    <row r="1978" spans="1:3" x14ac:dyDescent="0.25">
      <c r="A1978" t="str">
        <f>IF(RAW_INPUT!A1979="","",RAW_INPUT!A1979)</f>
        <v/>
      </c>
      <c r="B1978" t="str">
        <f>IF(RAW_INPUT!A1979="","",RAW_INPUT!E1979)</f>
        <v/>
      </c>
      <c r="C1978" t="str">
        <f>IF(RAW_INPUT!A1979="","",RAW_INPUT!F1979)</f>
        <v/>
      </c>
    </row>
    <row r="1979" spans="1:3" x14ac:dyDescent="0.25">
      <c r="A1979" t="str">
        <f>IF(RAW_INPUT!A1980="","",RAW_INPUT!A1980)</f>
        <v/>
      </c>
      <c r="B1979" t="str">
        <f>IF(RAW_INPUT!A1980="","",RAW_INPUT!E1980)</f>
        <v/>
      </c>
      <c r="C1979" t="str">
        <f>IF(RAW_INPUT!A1980="","",RAW_INPUT!F1980)</f>
        <v/>
      </c>
    </row>
    <row r="1980" spans="1:3" x14ac:dyDescent="0.25">
      <c r="A1980" t="str">
        <f>IF(RAW_INPUT!A1981="","",RAW_INPUT!A1981)</f>
        <v/>
      </c>
      <c r="B1980" t="str">
        <f>IF(RAW_INPUT!A1981="","",RAW_INPUT!E1981)</f>
        <v/>
      </c>
      <c r="C1980" t="str">
        <f>IF(RAW_INPUT!A1981="","",RAW_INPUT!F1981)</f>
        <v/>
      </c>
    </row>
    <row r="1981" spans="1:3" x14ac:dyDescent="0.25">
      <c r="A1981" t="str">
        <f>IF(RAW_INPUT!A1982="","",RAW_INPUT!A1982)</f>
        <v/>
      </c>
      <c r="B1981" t="str">
        <f>IF(RAW_INPUT!A1982="","",RAW_INPUT!E1982)</f>
        <v/>
      </c>
      <c r="C1981" t="str">
        <f>IF(RAW_INPUT!A1982="","",RAW_INPUT!F1982)</f>
        <v/>
      </c>
    </row>
    <row r="1982" spans="1:3" x14ac:dyDescent="0.25">
      <c r="A1982" t="str">
        <f>IF(RAW_INPUT!A1983="","",RAW_INPUT!A1983)</f>
        <v/>
      </c>
      <c r="B1982" t="str">
        <f>IF(RAW_INPUT!A1983="","",RAW_INPUT!E1983)</f>
        <v/>
      </c>
      <c r="C1982" t="str">
        <f>IF(RAW_INPUT!A1983="","",RAW_INPUT!F1983)</f>
        <v/>
      </c>
    </row>
    <row r="1983" spans="1:3" x14ac:dyDescent="0.25">
      <c r="A1983" t="str">
        <f>IF(RAW_INPUT!A1984="","",RAW_INPUT!A1984)</f>
        <v/>
      </c>
      <c r="B1983" t="str">
        <f>IF(RAW_INPUT!A1984="","",RAW_INPUT!E1984)</f>
        <v/>
      </c>
      <c r="C1983" t="str">
        <f>IF(RAW_INPUT!A1984="","",RAW_INPUT!F1984)</f>
        <v/>
      </c>
    </row>
    <row r="1984" spans="1:3" x14ac:dyDescent="0.25">
      <c r="A1984" t="str">
        <f>IF(RAW_INPUT!A1985="","",RAW_INPUT!A1985)</f>
        <v/>
      </c>
      <c r="B1984" t="str">
        <f>IF(RAW_INPUT!A1985="","",RAW_INPUT!E1985)</f>
        <v/>
      </c>
      <c r="C1984" t="str">
        <f>IF(RAW_INPUT!A1985="","",RAW_INPUT!F1985)</f>
        <v/>
      </c>
    </row>
    <row r="1985" spans="1:3" x14ac:dyDescent="0.25">
      <c r="A1985" t="str">
        <f>IF(RAW_INPUT!A1986="","",RAW_INPUT!A1986)</f>
        <v/>
      </c>
      <c r="B1985" t="str">
        <f>IF(RAW_INPUT!A1986="","",RAW_INPUT!E1986)</f>
        <v/>
      </c>
      <c r="C1985" t="str">
        <f>IF(RAW_INPUT!A1986="","",RAW_INPUT!F1986)</f>
        <v/>
      </c>
    </row>
    <row r="1986" spans="1:3" x14ac:dyDescent="0.25">
      <c r="A1986" t="str">
        <f>IF(RAW_INPUT!A1987="","",RAW_INPUT!A1987)</f>
        <v/>
      </c>
      <c r="B1986" t="str">
        <f>IF(RAW_INPUT!A1987="","",RAW_INPUT!E1987)</f>
        <v/>
      </c>
      <c r="C1986" t="str">
        <f>IF(RAW_INPUT!A1987="","",RAW_INPUT!F1987)</f>
        <v/>
      </c>
    </row>
    <row r="1987" spans="1:3" x14ac:dyDescent="0.25">
      <c r="A1987" t="str">
        <f>IF(RAW_INPUT!A1988="","",RAW_INPUT!A1988)</f>
        <v/>
      </c>
      <c r="B1987" t="str">
        <f>IF(RAW_INPUT!A1988="","",RAW_INPUT!E1988)</f>
        <v/>
      </c>
      <c r="C1987" t="str">
        <f>IF(RAW_INPUT!A1988="","",RAW_INPUT!F1988)</f>
        <v/>
      </c>
    </row>
    <row r="1988" spans="1:3" x14ac:dyDescent="0.25">
      <c r="A1988" t="str">
        <f>IF(RAW_INPUT!A1989="","",RAW_INPUT!A1989)</f>
        <v/>
      </c>
      <c r="B1988" t="str">
        <f>IF(RAW_INPUT!A1989="","",RAW_INPUT!E1989)</f>
        <v/>
      </c>
      <c r="C1988" t="str">
        <f>IF(RAW_INPUT!A1989="","",RAW_INPUT!F1989)</f>
        <v/>
      </c>
    </row>
    <row r="1989" spans="1:3" x14ac:dyDescent="0.25">
      <c r="A1989" t="str">
        <f>IF(RAW_INPUT!A1990="","",RAW_INPUT!A1990)</f>
        <v/>
      </c>
      <c r="B1989" t="str">
        <f>IF(RAW_INPUT!A1990="","",RAW_INPUT!E1990)</f>
        <v/>
      </c>
      <c r="C1989" t="str">
        <f>IF(RAW_INPUT!A1990="","",RAW_INPUT!F1990)</f>
        <v/>
      </c>
    </row>
    <row r="1990" spans="1:3" x14ac:dyDescent="0.25">
      <c r="A1990" t="str">
        <f>IF(RAW_INPUT!A1991="","",RAW_INPUT!A1991)</f>
        <v/>
      </c>
      <c r="B1990" t="str">
        <f>IF(RAW_INPUT!A1991="","",RAW_INPUT!E1991)</f>
        <v/>
      </c>
      <c r="C1990" t="str">
        <f>IF(RAW_INPUT!A1991="","",RAW_INPUT!F1991)</f>
        <v/>
      </c>
    </row>
    <row r="1991" spans="1:3" x14ac:dyDescent="0.25">
      <c r="A1991" t="str">
        <f>IF(RAW_INPUT!A1992="","",RAW_INPUT!A1992)</f>
        <v/>
      </c>
      <c r="B1991" t="str">
        <f>IF(RAW_INPUT!A1992="","",RAW_INPUT!E1992)</f>
        <v/>
      </c>
      <c r="C1991" t="str">
        <f>IF(RAW_INPUT!A1992="","",RAW_INPUT!F1992)</f>
        <v/>
      </c>
    </row>
    <row r="1992" spans="1:3" x14ac:dyDescent="0.25">
      <c r="A1992" t="str">
        <f>IF(RAW_INPUT!A1993="","",RAW_INPUT!A1993)</f>
        <v/>
      </c>
      <c r="B1992" t="str">
        <f>IF(RAW_INPUT!A1993="","",RAW_INPUT!E1993)</f>
        <v/>
      </c>
      <c r="C1992" t="str">
        <f>IF(RAW_INPUT!A1993="","",RAW_INPUT!F1993)</f>
        <v/>
      </c>
    </row>
    <row r="1993" spans="1:3" x14ac:dyDescent="0.25">
      <c r="A1993" t="str">
        <f>IF(RAW_INPUT!A1994="","",RAW_INPUT!A1994)</f>
        <v/>
      </c>
      <c r="B1993" t="str">
        <f>IF(RAW_INPUT!A1994="","",RAW_INPUT!E1994)</f>
        <v/>
      </c>
      <c r="C1993" t="str">
        <f>IF(RAW_INPUT!A1994="","",RAW_INPUT!F1994)</f>
        <v/>
      </c>
    </row>
    <row r="1994" spans="1:3" x14ac:dyDescent="0.25">
      <c r="A1994" t="str">
        <f>IF(RAW_INPUT!A1995="","",RAW_INPUT!A1995)</f>
        <v/>
      </c>
      <c r="B1994" t="str">
        <f>IF(RAW_INPUT!A1995="","",RAW_INPUT!E1995)</f>
        <v/>
      </c>
      <c r="C1994" t="str">
        <f>IF(RAW_INPUT!A1995="","",RAW_INPUT!F1995)</f>
        <v/>
      </c>
    </row>
    <row r="1995" spans="1:3" x14ac:dyDescent="0.25">
      <c r="A1995" t="str">
        <f>IF(RAW_INPUT!A1996="","",RAW_INPUT!A1996)</f>
        <v/>
      </c>
      <c r="B1995" t="str">
        <f>IF(RAW_INPUT!A1996="","",RAW_INPUT!E1996)</f>
        <v/>
      </c>
      <c r="C1995" t="str">
        <f>IF(RAW_INPUT!A1996="","",RAW_INPUT!F1996)</f>
        <v/>
      </c>
    </row>
    <row r="1996" spans="1:3" x14ac:dyDescent="0.25">
      <c r="A1996" t="str">
        <f>IF(RAW_INPUT!A1997="","",RAW_INPUT!A1997)</f>
        <v/>
      </c>
      <c r="B1996" t="str">
        <f>IF(RAW_INPUT!A1997="","",RAW_INPUT!E1997)</f>
        <v/>
      </c>
      <c r="C1996" t="str">
        <f>IF(RAW_INPUT!A1997="","",RAW_INPUT!F1997)</f>
        <v/>
      </c>
    </row>
    <row r="1997" spans="1:3" x14ac:dyDescent="0.25">
      <c r="A1997" t="str">
        <f>IF(RAW_INPUT!A1998="","",RAW_INPUT!A1998)</f>
        <v/>
      </c>
      <c r="B1997" t="str">
        <f>IF(RAW_INPUT!A1998="","",RAW_INPUT!E1998)</f>
        <v/>
      </c>
      <c r="C1997" t="str">
        <f>IF(RAW_INPUT!A1998="","",RAW_INPUT!F1998)</f>
        <v/>
      </c>
    </row>
    <row r="1998" spans="1:3" x14ac:dyDescent="0.25">
      <c r="A1998" t="str">
        <f>IF(RAW_INPUT!A1999="","",RAW_INPUT!A1999)</f>
        <v/>
      </c>
      <c r="B1998" t="str">
        <f>IF(RAW_INPUT!A1999="","",RAW_INPUT!E1999)</f>
        <v/>
      </c>
      <c r="C1998" t="str">
        <f>IF(RAW_INPUT!A1999="","",RAW_INPUT!F1999)</f>
        <v/>
      </c>
    </row>
    <row r="1999" spans="1:3" x14ac:dyDescent="0.25">
      <c r="A1999" t="str">
        <f>IF(RAW_INPUT!A2000="","",RAW_INPUT!A2000)</f>
        <v/>
      </c>
      <c r="B1999" t="str">
        <f>IF(RAW_INPUT!A2000="","",RAW_INPUT!E2000)</f>
        <v/>
      </c>
      <c r="C1999" t="str">
        <f>IF(RAW_INPUT!A2000="","",RAW_INPUT!F2000)</f>
        <v/>
      </c>
    </row>
    <row r="2000" spans="1:3" x14ac:dyDescent="0.25">
      <c r="A2000" t="str">
        <f>IF(RAW_INPUT!A2001="","",RAW_INPUT!A2001)</f>
        <v/>
      </c>
      <c r="B2000" t="str">
        <f>IF(RAW_INPUT!A2001="","",RAW_INPUT!E2001)</f>
        <v/>
      </c>
      <c r="C2000" t="str">
        <f>IF(RAW_INPUT!A2001="","",RAW_INPUT!F2001)</f>
        <v/>
      </c>
    </row>
    <row r="2001" spans="1:3" x14ac:dyDescent="0.25">
      <c r="A2001" t="str">
        <f>IF(RAW_INPUT!A2002="","",RAW_INPUT!A2002)</f>
        <v/>
      </c>
      <c r="B2001" t="str">
        <f>IF(RAW_INPUT!A2002="","",RAW_INPUT!E2002)</f>
        <v/>
      </c>
      <c r="C2001" t="str">
        <f>IF(RAW_INPUT!A2002="","",RAW_INPUT!F2002)</f>
        <v/>
      </c>
    </row>
    <row r="2002" spans="1:3" x14ac:dyDescent="0.25">
      <c r="A2002" t="str">
        <f>IF(RAW_INPUT!A2003="","",RAW_INPUT!A2003)</f>
        <v/>
      </c>
      <c r="B2002" t="str">
        <f>IF(RAW_INPUT!A2003="","",RAW_INPUT!E2003)</f>
        <v/>
      </c>
      <c r="C2002" t="str">
        <f>IF(RAW_INPUT!A2003="","",RAW_INPUT!F2003)</f>
        <v/>
      </c>
    </row>
    <row r="2003" spans="1:3" x14ac:dyDescent="0.25">
      <c r="A2003" t="str">
        <f>IF(RAW_INPUT!A2004="","",RAW_INPUT!A2004)</f>
        <v/>
      </c>
      <c r="B2003" t="str">
        <f>IF(RAW_INPUT!A2004="","",RAW_INPUT!E2004)</f>
        <v/>
      </c>
      <c r="C2003" t="str">
        <f>IF(RAW_INPUT!A2004="","",RAW_INPUT!F2004)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workbookViewId="0">
      <selection sqref="A1:D1"/>
    </sheetView>
  </sheetViews>
  <sheetFormatPr defaultRowHeight="15" x14ac:dyDescent="0.25"/>
  <cols>
    <col min="1" max="1" width="28" customWidth="1"/>
    <col min="2" max="2" width="18" customWidth="1"/>
    <col min="3" max="3" width="16" customWidth="1"/>
    <col min="4" max="4" width="50" customWidth="1"/>
  </cols>
  <sheetData>
    <row r="1" spans="1:4" ht="27.95" customHeight="1" x14ac:dyDescent="0.25">
      <c r="A1" s="31" t="s">
        <v>486</v>
      </c>
      <c r="B1" s="32"/>
      <c r="C1" s="32"/>
      <c r="D1" s="32"/>
    </row>
    <row r="2" spans="1:4" ht="21.95" customHeight="1" x14ac:dyDescent="0.25">
      <c r="A2" s="2" t="s">
        <v>487</v>
      </c>
      <c r="B2" s="2" t="s">
        <v>488</v>
      </c>
      <c r="C2" s="2" t="s">
        <v>489</v>
      </c>
      <c r="D2" s="2" t="s">
        <v>10</v>
      </c>
    </row>
    <row r="3" spans="1:4" ht="21.95" customHeight="1" x14ac:dyDescent="0.25">
      <c r="A3" s="4" t="s">
        <v>2</v>
      </c>
      <c r="B3" s="4" t="s">
        <v>2</v>
      </c>
      <c r="C3" s="5" t="s">
        <v>490</v>
      </c>
      <c r="D3" s="4" t="s">
        <v>491</v>
      </c>
    </row>
    <row r="4" spans="1:4" ht="21.95" customHeight="1" x14ac:dyDescent="0.25">
      <c r="A4" s="6" t="s">
        <v>6</v>
      </c>
      <c r="B4" s="6" t="s">
        <v>6</v>
      </c>
      <c r="C4" s="7" t="s">
        <v>492</v>
      </c>
      <c r="D4" s="6" t="s">
        <v>493</v>
      </c>
    </row>
    <row r="5" spans="1:4" ht="21.95" customHeight="1" x14ac:dyDescent="0.25">
      <c r="A5" s="4" t="s">
        <v>7</v>
      </c>
      <c r="B5" s="4" t="s">
        <v>7</v>
      </c>
      <c r="C5" s="8" t="s">
        <v>492</v>
      </c>
      <c r="D5" s="4" t="s">
        <v>494</v>
      </c>
    </row>
    <row r="6" spans="1:4" ht="21.95" customHeight="1" x14ac:dyDescent="0.25">
      <c r="A6" s="6" t="s">
        <v>495</v>
      </c>
      <c r="B6" s="6" t="s">
        <v>8</v>
      </c>
      <c r="C6" s="6" t="s">
        <v>496</v>
      </c>
      <c r="D6" s="6" t="s">
        <v>497</v>
      </c>
    </row>
    <row r="7" spans="1:4" ht="21.95" customHeight="1" x14ac:dyDescent="0.25">
      <c r="A7" s="4" t="s">
        <v>3</v>
      </c>
      <c r="B7" s="4" t="s">
        <v>3</v>
      </c>
      <c r="C7" s="4" t="s">
        <v>498</v>
      </c>
      <c r="D7" s="4" t="s">
        <v>499</v>
      </c>
    </row>
    <row r="8" spans="1:4" ht="21.95" customHeight="1" x14ac:dyDescent="0.25">
      <c r="A8" s="6" t="s">
        <v>500</v>
      </c>
      <c r="B8" s="6" t="s">
        <v>4</v>
      </c>
      <c r="C8" s="6" t="s">
        <v>498</v>
      </c>
      <c r="D8" s="6" t="s">
        <v>501</v>
      </c>
    </row>
    <row r="9" spans="1:4" ht="21.95" customHeight="1" x14ac:dyDescent="0.25">
      <c r="A9" s="4" t="s">
        <v>502</v>
      </c>
      <c r="B9" s="4" t="s">
        <v>5</v>
      </c>
      <c r="C9" s="4" t="s">
        <v>498</v>
      </c>
      <c r="D9" s="4" t="s">
        <v>501</v>
      </c>
    </row>
    <row r="10" spans="1:4" ht="21.95" customHeight="1" x14ac:dyDescent="0.25">
      <c r="A10" s="6" t="s">
        <v>9</v>
      </c>
      <c r="B10" s="6" t="s">
        <v>9</v>
      </c>
      <c r="C10" s="6" t="s">
        <v>498</v>
      </c>
      <c r="D10" s="6" t="s">
        <v>503</v>
      </c>
    </row>
    <row r="11" spans="1:4" ht="21.95" customHeight="1" x14ac:dyDescent="0.25">
      <c r="A11" s="4" t="s">
        <v>504</v>
      </c>
      <c r="B11" s="4" t="s">
        <v>10</v>
      </c>
      <c r="C11" s="4" t="s">
        <v>498</v>
      </c>
      <c r="D11" s="4" t="s">
        <v>505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DD7A-65E3-44FA-BCE7-0221B535B164}">
  <sheetPr>
    <tabColor rgb="FF1F4E79"/>
  </sheetPr>
  <dimension ref="A1:L229"/>
  <sheetViews>
    <sheetView tabSelected="1" topLeftCell="A29" workbookViewId="0">
      <selection activeCell="I234" sqref="I234"/>
    </sheetView>
  </sheetViews>
  <sheetFormatPr defaultRowHeight="15" x14ac:dyDescent="0.25"/>
  <cols>
    <col min="1" max="1" width="33.28515625" customWidth="1"/>
    <col min="2" max="6" width="21" customWidth="1"/>
    <col min="7" max="7" width="26.7109375" customWidth="1"/>
    <col min="8" max="8" width="21" customWidth="1"/>
    <col min="9" max="9" width="16.7109375" bestFit="1" customWidth="1"/>
    <col min="11" max="11" width="24.7109375" customWidth="1"/>
    <col min="12" max="12" width="11.42578125" customWidth="1"/>
  </cols>
  <sheetData>
    <row r="1" spans="1:12" ht="30" customHeight="1" x14ac:dyDescent="0.3">
      <c r="A1" s="38" t="s">
        <v>506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x14ac:dyDescent="0.25">
      <c r="A2" s="39" t="s">
        <v>507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4" spans="1:12" ht="24.95" customHeight="1" x14ac:dyDescent="0.25">
      <c r="A4" s="36" t="s">
        <v>508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 x14ac:dyDescent="0.25">
      <c r="A6" s="41" t="s">
        <v>509</v>
      </c>
      <c r="B6" s="42">
        <f>SUM(RAW_INPUT!G5:G445)</f>
        <v>790660.08000000007</v>
      </c>
      <c r="C6" s="40"/>
      <c r="D6" s="41" t="s">
        <v>512</v>
      </c>
      <c r="E6" s="42">
        <f>B6/B7</f>
        <v>1792.88</v>
      </c>
      <c r="F6" s="40"/>
      <c r="G6" s="41" t="s">
        <v>515</v>
      </c>
      <c r="H6" s="43">
        <f>MIN(RAW_INPUT!A5:A445)</f>
        <v>45600</v>
      </c>
      <c r="I6" s="40"/>
      <c r="J6" s="40"/>
      <c r="K6" s="40"/>
      <c r="L6" s="40"/>
    </row>
    <row r="7" spans="1:12" x14ac:dyDescent="0.25">
      <c r="A7" s="41" t="s">
        <v>510</v>
      </c>
      <c r="B7" s="44">
        <f>COUNTA(RAW_INPUT!A5:A445)</f>
        <v>441</v>
      </c>
      <c r="C7" s="40"/>
      <c r="D7" s="41" t="s">
        <v>513</v>
      </c>
      <c r="E7" s="45" cm="1">
        <f t="array" ref="E7">SUMPRODUCT((RAW_INPUT!F5:F445&lt;20)*(RAW_INPUT!G5:G445))/SUMPRODUCT((RAW_INPUT!F5:F445&lt;20)*(RAW_INPUT!E5:E445))</f>
        <v>3.6986725399927107</v>
      </c>
      <c r="F7" s="40"/>
      <c r="G7" s="41" t="s">
        <v>516</v>
      </c>
      <c r="H7" s="43">
        <f>MAX(RAW_INPUT!A5:A445)</f>
        <v>46224</v>
      </c>
      <c r="I7" s="40"/>
      <c r="J7" s="40"/>
      <c r="K7" s="40"/>
      <c r="L7" s="40"/>
    </row>
    <row r="8" spans="1:12" x14ac:dyDescent="0.25">
      <c r="A8" s="41" t="s">
        <v>511</v>
      </c>
      <c r="B8" s="44" cm="1">
        <f t="array" ref="B8">SUMPRODUCT((RAW_INPUT!F5:F445&lt;20)*(RAW_INPUT!E5:E445))</f>
        <v>181158</v>
      </c>
      <c r="C8" s="40"/>
      <c r="D8" s="41" t="s">
        <v>514</v>
      </c>
      <c r="E8" s="44" cm="1">
        <f t="array" ref="E8">SUMPRODUCT((RAW_INPUT!E5:E445=1)*(RAW_INPUT!F5:F445&gt;=20)*1)</f>
        <v>72</v>
      </c>
      <c r="F8" s="40"/>
      <c r="G8" s="41" t="s">
        <v>517</v>
      </c>
      <c r="H8" s="44" cm="1">
        <f t="array" ref="H8">SUMPRODUCT(1/COUNTIF(RAW_INPUT!B5:B445,RAW_INPUT!B5:B445))</f>
        <v>15.000000000000009</v>
      </c>
      <c r="I8" s="40"/>
      <c r="J8" s="40"/>
      <c r="K8" s="40"/>
      <c r="L8" s="40"/>
    </row>
    <row r="10" spans="1:12" ht="24.95" customHeight="1" x14ac:dyDescent="0.25">
      <c r="A10" s="36" t="s">
        <v>518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</row>
    <row r="11" spans="1:12" x14ac:dyDescent="0.25">
      <c r="A11" s="48" t="s">
        <v>519</v>
      </c>
      <c r="B11" s="48" t="s">
        <v>520</v>
      </c>
      <c r="C11" s="48" t="s">
        <v>521</v>
      </c>
      <c r="D11" s="48" t="s">
        <v>522</v>
      </c>
      <c r="E11" s="48" t="s">
        <v>523</v>
      </c>
      <c r="F11" s="48" t="s">
        <v>512</v>
      </c>
    </row>
    <row r="12" spans="1:12" x14ac:dyDescent="0.25">
      <c r="A12" s="49">
        <f>DATE(YEAR(MIN(RAW_INPUT!A5:A445)),MONTH(MIN(RAW_INPUT!A5:A445)),1)</f>
        <v>45597</v>
      </c>
      <c r="B12" s="50" cm="1">
        <f t="array" ref="B12">SUMPRODUCT((RAW_INPUT!A5:A445&gt;=A12)*(RAW_INPUT!A5:A445&lt;A13)*RAW_INPUT!G5:G445)</f>
        <v>30502.090000000004</v>
      </c>
      <c r="C12" s="51" cm="1">
        <f t="array" ref="C12">SUMPRODUCT((RAW_INPUT!A5:A445&gt;=A12)*(RAW_INPUT!A5:A445&lt;A13)*1)</f>
        <v>18</v>
      </c>
      <c r="D12" s="51" cm="1">
        <f t="array" ref="D12">SUMPRODUCT((RAW_INPUT!A5:A445&gt;=A12)*(RAW_INPUT!A5:A445&lt;A13)*(RAW_INPUT!F5:F445&lt;20)*RAW_INPUT!E5:E445)</f>
        <v>7660</v>
      </c>
      <c r="E12" s="52" cm="1">
        <f t="array" ref="E12">IFERROR(SUMPRODUCT((RAW_INPUT!A5:A445&gt;=A12)*(RAW_INPUT!A5:A445&lt;A13)*(RAW_INPUT!F5:F445&lt;20)*RAW_INPUT!G5:G445)/D12,0)</f>
        <v>3.818810704960836</v>
      </c>
      <c r="F12" s="50">
        <f>IFERROR(B12/C12,0)</f>
        <v>1694.5605555555558</v>
      </c>
    </row>
    <row r="13" spans="1:12" x14ac:dyDescent="0.25">
      <c r="A13" s="49">
        <f>EDATE(A12,1)</f>
        <v>45627</v>
      </c>
      <c r="B13" s="50" cm="1">
        <f t="array" ref="B13">SUMPRODUCT((RAW_INPUT!A5:A445&gt;=A13)*(RAW_INPUT!A5:A445&lt;A14)*RAW_INPUT!G5:G445)</f>
        <v>28816.900000000005</v>
      </c>
      <c r="C13" s="51" cm="1">
        <f t="array" ref="C13">SUMPRODUCT((RAW_INPUT!A5:A445&gt;=A13)*(RAW_INPUT!A5:A445&lt;A14)*1)</f>
        <v>21</v>
      </c>
      <c r="D13" s="51" cm="1">
        <f t="array" ref="D13">SUMPRODUCT((RAW_INPUT!A5:A445&gt;=A13)*(RAW_INPUT!A5:A445&lt;A14)*(RAW_INPUT!F5:F445&lt;20)*RAW_INPUT!E5:E445)</f>
        <v>6999</v>
      </c>
      <c r="E13" s="52" cm="1">
        <f t="array" ref="E13">IFERROR(SUMPRODUCT((RAW_INPUT!A5:A445&gt;=A13)*(RAW_INPUT!A5:A445&lt;A14)*(RAW_INPUT!F5:F445&lt;20)*RAW_INPUT!G5:G445)/D13,0)</f>
        <v>3.6529361337333914</v>
      </c>
      <c r="F13" s="50">
        <f>IFERROR(B13/C13,0)</f>
        <v>1372.2333333333336</v>
      </c>
    </row>
    <row r="14" spans="1:12" x14ac:dyDescent="0.25">
      <c r="A14" s="49">
        <f>EDATE(A12,2)</f>
        <v>45658</v>
      </c>
      <c r="B14" s="50" cm="1">
        <f t="array" ref="B14">SUMPRODUCT((RAW_INPUT!A5:A445&gt;=A14)*(RAW_INPUT!A5:A445&lt;A15)*RAW_INPUT!G5:G445)</f>
        <v>33836.199999999997</v>
      </c>
      <c r="C14" s="51" cm="1">
        <f t="array" ref="C14">SUMPRODUCT((RAW_INPUT!A5:A445&gt;=A14)*(RAW_INPUT!A5:A445&lt;A15)*1)</f>
        <v>21</v>
      </c>
      <c r="D14" s="51" cm="1">
        <f t="array" ref="D14">SUMPRODUCT((RAW_INPUT!A5:A445&gt;=A14)*(RAW_INPUT!A5:A445&lt;A15)*(RAW_INPUT!F5:F445&lt;20)*RAW_INPUT!E5:E445)</f>
        <v>8338</v>
      </c>
      <c r="E14" s="52" cm="1">
        <f t="array" ref="E14">IFERROR(SUMPRODUCT((RAW_INPUT!A5:A445&gt;=A14)*(RAW_INPUT!A5:A445&lt;A15)*(RAW_INPUT!F5:F445&lt;20)*RAW_INPUT!G5:G445)/D14,0)</f>
        <v>3.4524106500359801</v>
      </c>
      <c r="F14" s="50">
        <f>IFERROR(B14/C14,0)</f>
        <v>1611.2476190476189</v>
      </c>
    </row>
    <row r="15" spans="1:12" x14ac:dyDescent="0.25">
      <c r="A15" s="49">
        <f>EDATE(A12,3)</f>
        <v>45689</v>
      </c>
      <c r="B15" s="50" cm="1">
        <f t="array" ref="B15">SUMPRODUCT((RAW_INPUT!A5:A445&gt;=A15)*(RAW_INPUT!A5:A445&lt;A16)*RAW_INPUT!G5:G445)</f>
        <v>37066.839999999997</v>
      </c>
      <c r="C15" s="51" cm="1">
        <f t="array" ref="C15">SUMPRODUCT((RAW_INPUT!A5:A445&gt;=A15)*(RAW_INPUT!A5:A445&lt;A16)*1)</f>
        <v>19</v>
      </c>
      <c r="D15" s="51" cm="1">
        <f t="array" ref="D15">SUMPRODUCT((RAW_INPUT!A5:A445&gt;=A15)*(RAW_INPUT!A5:A445&lt;A16)*(RAW_INPUT!F5:F445&lt;20)*RAW_INPUT!E5:E445)</f>
        <v>8310</v>
      </c>
      <c r="E15" s="52" cm="1">
        <f t="array" ref="E15">IFERROR(SUMPRODUCT((RAW_INPUT!A5:A445&gt;=A15)*(RAW_INPUT!A5:A445&lt;A16)*(RAW_INPUT!F5:F445&lt;20)*RAW_INPUT!G5:G445)/D15,0)</f>
        <v>3.8136991576413961</v>
      </c>
      <c r="F15" s="50">
        <f>IFERROR(B15/C15,0)</f>
        <v>1950.8863157894734</v>
      </c>
    </row>
    <row r="16" spans="1:12" x14ac:dyDescent="0.25">
      <c r="A16" s="49">
        <f>EDATE(A12,4)</f>
        <v>45717</v>
      </c>
      <c r="B16" s="50" cm="1">
        <f t="array" ref="B16">SUMPRODUCT((RAW_INPUT!A5:A445&gt;=A16)*(RAW_INPUT!A5:A445&lt;A17)*RAW_INPUT!G5:G445)</f>
        <v>38946.240000000005</v>
      </c>
      <c r="C16" s="51" cm="1">
        <f t="array" ref="C16">SUMPRODUCT((RAW_INPUT!A5:A445&gt;=A16)*(RAW_INPUT!A5:A445&lt;A17)*1)</f>
        <v>21</v>
      </c>
      <c r="D16" s="51" cm="1">
        <f t="array" ref="D16">SUMPRODUCT((RAW_INPUT!A5:A445&gt;=A16)*(RAW_INPUT!A5:A445&lt;A17)*(RAW_INPUT!F5:F445&lt;20)*RAW_INPUT!E5:E445)</f>
        <v>9023</v>
      </c>
      <c r="E16" s="52" cm="1">
        <f t="array" ref="E16">IFERROR(SUMPRODUCT((RAW_INPUT!A5:A445&gt;=A16)*(RAW_INPUT!A5:A445&lt;A17)*(RAW_INPUT!F5:F445&lt;20)*RAW_INPUT!G5:G445)/D16,0)</f>
        <v>3.8392153385791872</v>
      </c>
      <c r="F16" s="50">
        <f>IFERROR(B16/C16,0)</f>
        <v>1854.5828571428574</v>
      </c>
    </row>
    <row r="17" spans="1:6" x14ac:dyDescent="0.25">
      <c r="A17" s="49">
        <f>EDATE(A12,5)</f>
        <v>45748</v>
      </c>
      <c r="B17" s="50" cm="1">
        <f t="array" ref="B17">SUMPRODUCT((RAW_INPUT!A5:A445&gt;=A17)*(RAW_INPUT!A5:A445&lt;A18)*RAW_INPUT!G5:G445)</f>
        <v>34623.599999999999</v>
      </c>
      <c r="C17" s="51" cm="1">
        <f t="array" ref="C17">SUMPRODUCT((RAW_INPUT!A5:A445&gt;=A17)*(RAW_INPUT!A5:A445&lt;A18)*1)</f>
        <v>22</v>
      </c>
      <c r="D17" s="51" cm="1">
        <f t="array" ref="D17">SUMPRODUCT((RAW_INPUT!A5:A445&gt;=A17)*(RAW_INPUT!A5:A445&lt;A18)*(RAW_INPUT!F5:F445&lt;20)*RAW_INPUT!E5:E445)</f>
        <v>8091</v>
      </c>
      <c r="E17" s="52" cm="1">
        <f t="array" ref="E17">IFERROR(SUMPRODUCT((RAW_INPUT!A5:A445&gt;=A17)*(RAW_INPUT!A5:A445&lt;A18)*(RAW_INPUT!F5:F445&lt;20)*RAW_INPUT!G5:G445)/D17,0)</f>
        <v>3.7183846248918551</v>
      </c>
      <c r="F17" s="50">
        <f>IFERROR(B17/C17,0)</f>
        <v>1573.8</v>
      </c>
    </row>
    <row r="18" spans="1:6" x14ac:dyDescent="0.25">
      <c r="A18" s="49">
        <f>EDATE(A12,6)</f>
        <v>45778</v>
      </c>
      <c r="B18" s="50" cm="1">
        <f t="array" ref="B18">SUMPRODUCT((RAW_INPUT!A5:A445&gt;=A18)*(RAW_INPUT!A5:A445&lt;A19)*RAW_INPUT!G5:G445)</f>
        <v>31493.260000000006</v>
      </c>
      <c r="C18" s="51" cm="1">
        <f t="array" ref="C18">SUMPRODUCT((RAW_INPUT!A5:A445&gt;=A18)*(RAW_INPUT!A5:A445&lt;A19)*1)</f>
        <v>22</v>
      </c>
      <c r="D18" s="51" cm="1">
        <f t="array" ref="D18">SUMPRODUCT((RAW_INPUT!A5:A445&gt;=A18)*(RAW_INPUT!A5:A445&lt;A19)*(RAW_INPUT!F5:F445&lt;20)*RAW_INPUT!E5:E445)</f>
        <v>8007</v>
      </c>
      <c r="E18" s="52" cm="1">
        <f t="array" ref="E18">IFERROR(SUMPRODUCT((RAW_INPUT!A5:A445&gt;=A18)*(RAW_INPUT!A5:A445&lt;A19)*(RAW_INPUT!F5:F445&lt;20)*RAW_INPUT!G5:G445)/D18,0)</f>
        <v>3.4926351942050715</v>
      </c>
      <c r="F18" s="50">
        <f>IFERROR(B18/C18,0)</f>
        <v>1431.5118181818184</v>
      </c>
    </row>
    <row r="19" spans="1:6" x14ac:dyDescent="0.25">
      <c r="A19" s="49">
        <f>EDATE(A12,7)</f>
        <v>45809</v>
      </c>
      <c r="B19" s="50" cm="1">
        <f t="array" ref="B19">SUMPRODUCT((RAW_INPUT!A5:A445&gt;=A19)*(RAW_INPUT!A5:A445&lt;A20)*RAW_INPUT!G5:G445)</f>
        <v>40666.239999999998</v>
      </c>
      <c r="C19" s="51" cm="1">
        <f t="array" ref="C19">SUMPRODUCT((RAW_INPUT!A5:A445&gt;=A19)*(RAW_INPUT!A5:A445&lt;A20)*1)</f>
        <v>21</v>
      </c>
      <c r="D19" s="51" cm="1">
        <f t="array" ref="D19">SUMPRODUCT((RAW_INPUT!A5:A445&gt;=A19)*(RAW_INPUT!A5:A445&lt;A20)*(RAW_INPUT!F5:F445&lt;20)*RAW_INPUT!E5:E445)</f>
        <v>9566</v>
      </c>
      <c r="E19" s="52" cm="1">
        <f t="array" ref="E19">IFERROR(SUMPRODUCT((RAW_INPUT!A5:A445&gt;=A19)*(RAW_INPUT!A5:A445&lt;A20)*(RAW_INPUT!F5:F445&lt;20)*RAW_INPUT!G5:G445)/D19,0)</f>
        <v>3.7048933723604436</v>
      </c>
      <c r="F19" s="50">
        <f>IFERROR(B19/C19,0)</f>
        <v>1936.4876190476189</v>
      </c>
    </row>
    <row r="20" spans="1:6" x14ac:dyDescent="0.25">
      <c r="A20" s="49">
        <f>EDATE(A12,8)</f>
        <v>45839</v>
      </c>
      <c r="B20" s="50" cm="1">
        <f t="array" ref="B20">SUMPRODUCT((RAW_INPUT!A5:A445&gt;=A20)*(RAW_INPUT!A5:A445&lt;A21)*RAW_INPUT!G5:G445)</f>
        <v>51448.45</v>
      </c>
      <c r="C20" s="51" cm="1">
        <f t="array" ref="C20">SUMPRODUCT((RAW_INPUT!A5:A445&gt;=A20)*(RAW_INPUT!A5:A445&lt;A21)*1)</f>
        <v>23</v>
      </c>
      <c r="D20" s="51" cm="1">
        <f t="array" ref="D20">SUMPRODUCT((RAW_INPUT!A5:A445&gt;=A20)*(RAW_INPUT!A5:A445&lt;A21)*(RAW_INPUT!F5:F445&lt;20)*RAW_INPUT!E5:E445)</f>
        <v>10000</v>
      </c>
      <c r="E20" s="52" cm="1">
        <f t="array" ref="E20">IFERROR(SUMPRODUCT((RAW_INPUT!A5:A445&gt;=A20)*(RAW_INPUT!A5:A445&lt;A21)*(RAW_INPUT!F5:F445&lt;20)*RAW_INPUT!G5:G445)/D20,0)</f>
        <v>3.8408620000000004</v>
      </c>
      <c r="F20" s="50">
        <f>IFERROR(B20/C20,0)</f>
        <v>2236.8891304347826</v>
      </c>
    </row>
    <row r="21" spans="1:6" x14ac:dyDescent="0.25">
      <c r="A21" s="49">
        <f>EDATE(A12,9)</f>
        <v>45870</v>
      </c>
      <c r="B21" s="50" cm="1">
        <f t="array" ref="B21">SUMPRODUCT((RAW_INPUT!A5:A445&gt;=A21)*(RAW_INPUT!A5:A445&lt;A22)*RAW_INPUT!G5:G445)</f>
        <v>34339.14</v>
      </c>
      <c r="C21" s="51" cm="1">
        <f t="array" ref="C21">SUMPRODUCT((RAW_INPUT!A5:A445&gt;=A21)*(RAW_INPUT!A5:A445&lt;A22)*1)</f>
        <v>21</v>
      </c>
      <c r="D21" s="51" cm="1">
        <f t="array" ref="D21">SUMPRODUCT((RAW_INPUT!A5:A445&gt;=A21)*(RAW_INPUT!A5:A445&lt;A22)*(RAW_INPUT!F5:F445&lt;20)*RAW_INPUT!E5:E445)</f>
        <v>8294</v>
      </c>
      <c r="E21" s="52" cm="1">
        <f t="array" ref="E21">IFERROR(SUMPRODUCT((RAW_INPUT!A5:A445&gt;=A21)*(RAW_INPUT!A5:A445&lt;A22)*(RAW_INPUT!F5:F445&lt;20)*RAW_INPUT!G5:G445)/D21,0)</f>
        <v>3.7354424885459365</v>
      </c>
      <c r="F21" s="50">
        <f>IFERROR(B21/C21,0)</f>
        <v>1635.1971428571428</v>
      </c>
    </row>
    <row r="22" spans="1:6" x14ac:dyDescent="0.25">
      <c r="A22" s="49">
        <f>EDATE(A12,10)</f>
        <v>45901</v>
      </c>
      <c r="B22" s="50" cm="1">
        <f t="array" ref="B22">SUMPRODUCT((RAW_INPUT!A5:A445&gt;=A22)*(RAW_INPUT!A5:A445&lt;A23)*RAW_INPUT!G5:G445)</f>
        <v>30597.68</v>
      </c>
      <c r="C22" s="51" cm="1">
        <f t="array" ref="C22">SUMPRODUCT((RAW_INPUT!A5:A445&gt;=A22)*(RAW_INPUT!A5:A445&lt;A23)*1)</f>
        <v>22</v>
      </c>
      <c r="D22" s="51" cm="1">
        <f t="array" ref="D22">SUMPRODUCT((RAW_INPUT!A5:A445&gt;=A22)*(RAW_INPUT!A5:A445&lt;A23)*(RAW_INPUT!F5:F445&lt;20)*RAW_INPUT!E5:E445)</f>
        <v>7761</v>
      </c>
      <c r="E22" s="52" cm="1">
        <f t="array" ref="E22">IFERROR(SUMPRODUCT((RAW_INPUT!A5:A445&gt;=A22)*(RAW_INPUT!A5:A445&lt;A23)*(RAW_INPUT!F5:F445&lt;20)*RAW_INPUT!G5:G445)/D22,0)</f>
        <v>3.5220847828888031</v>
      </c>
      <c r="F22" s="50">
        <f>IFERROR(B22/C22,0)</f>
        <v>1390.8036363636363</v>
      </c>
    </row>
    <row r="23" spans="1:6" x14ac:dyDescent="0.25">
      <c r="A23" s="49">
        <f>EDATE(A12,11)</f>
        <v>45931</v>
      </c>
      <c r="B23" s="50" cm="1">
        <f t="array" ref="B23">SUMPRODUCT((RAW_INPUT!A5:A445&gt;=A23)*(RAW_INPUT!A5:A445&lt;A24)*RAW_INPUT!G5:G445)</f>
        <v>42499.18</v>
      </c>
      <c r="C23" s="51" cm="1">
        <f t="array" ref="C23">SUMPRODUCT((RAW_INPUT!A5:A445&gt;=A23)*(RAW_INPUT!A5:A445&lt;A24)*1)</f>
        <v>23</v>
      </c>
      <c r="D23" s="51" cm="1">
        <f t="array" ref="D23">SUMPRODUCT((RAW_INPUT!A5:A445&gt;=A23)*(RAW_INPUT!A5:A445&lt;A24)*(RAW_INPUT!F5:F445&lt;20)*RAW_INPUT!E5:E445)</f>
        <v>9880</v>
      </c>
      <c r="E23" s="52" cm="1">
        <f t="array" ref="E23">IFERROR(SUMPRODUCT((RAW_INPUT!A5:A445&gt;=A23)*(RAW_INPUT!A5:A445&lt;A24)*(RAW_INPUT!F5:F445&lt;20)*RAW_INPUT!G5:G445)/D23,0)</f>
        <v>3.6711558704453444</v>
      </c>
      <c r="F23" s="50">
        <f>IFERROR(B23/C23,0)</f>
        <v>1847.7904347826086</v>
      </c>
    </row>
    <row r="24" spans="1:6" x14ac:dyDescent="0.25">
      <c r="A24" s="49">
        <f>EDATE(A12,12)</f>
        <v>45962</v>
      </c>
      <c r="B24" s="50" cm="1">
        <f t="array" ref="B24">SUMPRODUCT((RAW_INPUT!A5:A445&gt;=A24)*(RAW_INPUT!A5:A445&lt;A25)*RAW_INPUT!G5:G445)</f>
        <v>45169.679999999993</v>
      </c>
      <c r="C24" s="51" cm="1">
        <f t="array" ref="C24">SUMPRODUCT((RAW_INPUT!A5:A445&gt;=A24)*(RAW_INPUT!A5:A445&lt;A25)*1)</f>
        <v>20</v>
      </c>
      <c r="D24" s="51" cm="1">
        <f t="array" ref="D24">SUMPRODUCT((RAW_INPUT!A5:A445&gt;=A24)*(RAW_INPUT!A5:A445&lt;A25)*(RAW_INPUT!F5:F445&lt;20)*RAW_INPUT!E5:E445)</f>
        <v>8506</v>
      </c>
      <c r="E24" s="52" cm="1">
        <f t="array" ref="E24">IFERROR(SUMPRODUCT((RAW_INPUT!A5:A445&gt;=A24)*(RAW_INPUT!A5:A445&lt;A25)*(RAW_INPUT!F5:F445&lt;20)*RAW_INPUT!G5:G445)/D24,0)</f>
        <v>3.8284246414295788</v>
      </c>
      <c r="F24" s="50">
        <f>IFERROR(B24/C24,0)</f>
        <v>2258.4839999999995</v>
      </c>
    </row>
    <row r="25" spans="1:6" x14ac:dyDescent="0.25">
      <c r="A25" s="49">
        <f>EDATE(A12,13)</f>
        <v>45992</v>
      </c>
      <c r="B25" s="50" cm="1">
        <f t="array" ref="B25">SUMPRODUCT((RAW_INPUT!A5:A445&gt;=A25)*(RAW_INPUT!A5:A445&lt;A26)*RAW_INPUT!G5:G445)</f>
        <v>40036.92</v>
      </c>
      <c r="C25" s="51" cm="1">
        <f t="array" ref="C25">SUMPRODUCT((RAW_INPUT!A5:A445&gt;=A25)*(RAW_INPUT!A5:A445&lt;A26)*1)</f>
        <v>23</v>
      </c>
      <c r="D25" s="51" cm="1">
        <f t="array" ref="D25">SUMPRODUCT((RAW_INPUT!A5:A445&gt;=A25)*(RAW_INPUT!A5:A445&lt;A26)*(RAW_INPUT!F5:F445&lt;20)*RAW_INPUT!E5:E445)</f>
        <v>10094</v>
      </c>
      <c r="E25" s="52" cm="1">
        <f t="array" ref="E25">IFERROR(SUMPRODUCT((RAW_INPUT!A5:A445&gt;=A25)*(RAW_INPUT!A5:A445&lt;A26)*(RAW_INPUT!F5:F445&lt;20)*RAW_INPUT!G5:G445)/D25,0)</f>
        <v>3.7634139092530225</v>
      </c>
      <c r="F25" s="50">
        <f>IFERROR(B25/C25,0)</f>
        <v>1740.735652173913</v>
      </c>
    </row>
    <row r="26" spans="1:6" x14ac:dyDescent="0.25">
      <c r="A26" s="49">
        <f>EDATE(A12,14)</f>
        <v>46023</v>
      </c>
      <c r="B26" s="50" cm="1">
        <f t="array" ref="B26">SUMPRODUCT((RAW_INPUT!A5:A445&gt;=A26)*(RAW_INPUT!A5:A445&lt;A27)*RAW_INPUT!G5:G445)</f>
        <v>31595.999999999993</v>
      </c>
      <c r="C26" s="51" cm="1">
        <f t="array" ref="C26">SUMPRODUCT((RAW_INPUT!A5:A445&gt;=A26)*(RAW_INPUT!A5:A445&lt;A27)*1)</f>
        <v>22</v>
      </c>
      <c r="D26" s="51" cm="1">
        <f t="array" ref="D26">SUMPRODUCT((RAW_INPUT!A5:A445&gt;=A26)*(RAW_INPUT!A5:A445&lt;A27)*(RAW_INPUT!F5:F445&lt;20)*RAW_INPUT!E5:E445)</f>
        <v>7521</v>
      </c>
      <c r="E26" s="52" cm="1">
        <f t="array" ref="E26">IFERROR(SUMPRODUCT((RAW_INPUT!A5:A445&gt;=A26)*(RAW_INPUT!A5:A445&lt;A27)*(RAW_INPUT!F5:F445&lt;20)*RAW_INPUT!G5:G445)/D26,0)</f>
        <v>3.5460483978194386</v>
      </c>
      <c r="F26" s="50">
        <f>IFERROR(B26/C26,0)</f>
        <v>1436.1818181818178</v>
      </c>
    </row>
    <row r="27" spans="1:6" x14ac:dyDescent="0.25">
      <c r="A27" s="49">
        <f>EDATE(A12,15)</f>
        <v>46054</v>
      </c>
      <c r="B27" s="50" cm="1">
        <f t="array" ref="B27">SUMPRODUCT((RAW_INPUT!A5:A445&gt;=A27)*(RAW_INPUT!A5:A445&lt;A28)*RAW_INPUT!G5:G445)</f>
        <v>38335.350000000006</v>
      </c>
      <c r="C27" s="51" cm="1">
        <f t="array" ref="C27">SUMPRODUCT((RAW_INPUT!A5:A445&gt;=A27)*(RAW_INPUT!A5:A445&lt;A28)*1)</f>
        <v>20</v>
      </c>
      <c r="D27" s="51" cm="1">
        <f t="array" ref="D27">SUMPRODUCT((RAW_INPUT!A5:A445&gt;=A27)*(RAW_INPUT!A5:A445&lt;A28)*(RAW_INPUT!F5:F445&lt;20)*RAW_INPUT!E5:E445)</f>
        <v>9147</v>
      </c>
      <c r="E27" s="52" cm="1">
        <f t="array" ref="E27">IFERROR(SUMPRODUCT((RAW_INPUT!A5:A445&gt;=A27)*(RAW_INPUT!A5:A445&lt;A28)*(RAW_INPUT!F5:F445&lt;20)*RAW_INPUT!G5:G445)/D27,0)</f>
        <v>3.6122269596589045</v>
      </c>
      <c r="F27" s="50">
        <f>IFERROR(B27/C27,0)</f>
        <v>1916.7675000000004</v>
      </c>
    </row>
    <row r="28" spans="1:6" x14ac:dyDescent="0.25">
      <c r="A28" s="49">
        <f>EDATE(A12,16)</f>
        <v>46082</v>
      </c>
      <c r="B28" s="50" cm="1">
        <f t="array" ref="B28">SUMPRODUCT((RAW_INPUT!A5:A445&gt;=A28)*(RAW_INPUT!A5:A445&lt;A29)*RAW_INPUT!G5:G445)</f>
        <v>53895.359999999993</v>
      </c>
      <c r="C28" s="51" cm="1">
        <f t="array" ref="C28">SUMPRODUCT((RAW_INPUT!A5:A445&gt;=A28)*(RAW_INPUT!A5:A445&lt;A29)*1)</f>
        <v>22</v>
      </c>
      <c r="D28" s="51" cm="1">
        <f t="array" ref="D28">SUMPRODUCT((RAW_INPUT!A5:A445&gt;=A28)*(RAW_INPUT!A5:A445&lt;A29)*(RAW_INPUT!F5:F445&lt;20)*RAW_INPUT!E5:E445)</f>
        <v>10152</v>
      </c>
      <c r="E28" s="52" cm="1">
        <f t="array" ref="E28">IFERROR(SUMPRODUCT((RAW_INPUT!A5:A445&gt;=A28)*(RAW_INPUT!A5:A445&lt;A29)*(RAW_INPUT!F5:F445&lt;20)*RAW_INPUT!G5:G445)/D28,0)</f>
        <v>3.8064174546887313</v>
      </c>
      <c r="F28" s="50">
        <f>IFERROR(B28/C28,0)</f>
        <v>2449.7890909090906</v>
      </c>
    </row>
    <row r="29" spans="1:6" x14ac:dyDescent="0.25">
      <c r="A29" s="49">
        <f>EDATE(A12,17)</f>
        <v>46113</v>
      </c>
      <c r="B29" s="50" cm="1">
        <f t="array" ref="B29">SUMPRODUCT((RAW_INPUT!A5:A445&gt;=A29)*(RAW_INPUT!A5:A445&lt;A30)*RAW_INPUT!G5:G445)</f>
        <v>39209.54</v>
      </c>
      <c r="C29" s="51" cm="1">
        <f t="array" ref="C29">SUMPRODUCT((RAW_INPUT!A5:A445&gt;=A29)*(RAW_INPUT!A5:A445&lt;A30)*1)</f>
        <v>22</v>
      </c>
      <c r="D29" s="51" cm="1">
        <f t="array" ref="D29">SUMPRODUCT((RAW_INPUT!A5:A445&gt;=A29)*(RAW_INPUT!A5:A445&lt;A30)*(RAW_INPUT!F5:F445&lt;20)*RAW_INPUT!E5:E445)</f>
        <v>9733</v>
      </c>
      <c r="E29" s="52" cm="1">
        <f t="array" ref="E29">IFERROR(SUMPRODUCT((RAW_INPUT!A5:A445&gt;=A29)*(RAW_INPUT!A5:A445&lt;A30)*(RAW_INPUT!F5:F445&lt;20)*RAW_INPUT!G5:G445)/D29,0)</f>
        <v>3.8078105414568992</v>
      </c>
      <c r="F29" s="50">
        <f>IFERROR(B29/C29,0)</f>
        <v>1782.2518181818182</v>
      </c>
    </row>
    <row r="30" spans="1:6" x14ac:dyDescent="0.25">
      <c r="A30" s="49">
        <f>EDATE(A12,18)</f>
        <v>46143</v>
      </c>
      <c r="B30" s="50" cm="1">
        <f t="array" ref="B30">SUMPRODUCT((RAW_INPUT!A5:A445&gt;=A30)*(RAW_INPUT!A5:A445&lt;A31)*RAW_INPUT!G5:G445)</f>
        <v>29912.14</v>
      </c>
      <c r="C30" s="51" cm="1">
        <f t="array" ref="C30">SUMPRODUCT((RAW_INPUT!A5:A445&gt;=A30)*(RAW_INPUT!A5:A445&lt;A31)*1)</f>
        <v>21</v>
      </c>
      <c r="D30" s="51" cm="1">
        <f t="array" ref="D30">SUMPRODUCT((RAW_INPUT!A5:A445&gt;=A30)*(RAW_INPUT!A5:A445&lt;A31)*(RAW_INPUT!F5:F445&lt;20)*RAW_INPUT!E5:E445)</f>
        <v>7420</v>
      </c>
      <c r="E30" s="52" cm="1">
        <f t="array" ref="E30">IFERROR(SUMPRODUCT((RAW_INPUT!A5:A445&gt;=A30)*(RAW_INPUT!A5:A445&lt;A31)*(RAW_INPUT!F5:F445&lt;20)*RAW_INPUT!G5:G445)/D30,0)</f>
        <v>3.5973221024258755</v>
      </c>
      <c r="F30" s="50">
        <f>IFERROR(B30/C30,0)</f>
        <v>1424.387619047619</v>
      </c>
    </row>
    <row r="31" spans="1:6" x14ac:dyDescent="0.25">
      <c r="A31" s="49">
        <f>EDATE(A12,19)</f>
        <v>46174</v>
      </c>
      <c r="B31" s="50" cm="1">
        <f t="array" ref="B31">SUMPRODUCT((RAW_INPUT!A5:A445&gt;=A31)*(RAW_INPUT!A5:A445&lt;A32)*RAW_INPUT!G5:G445)</f>
        <v>40410.19999999999</v>
      </c>
      <c r="C31" s="51" cm="1">
        <f t="array" ref="C31">SUMPRODUCT((RAW_INPUT!A5:A445&gt;=A31)*(RAW_INPUT!A5:A445&lt;A32)*1)</f>
        <v>22</v>
      </c>
      <c r="D31" s="51" cm="1">
        <f t="array" ref="D31">SUMPRODUCT((RAW_INPUT!A5:A445&gt;=A31)*(RAW_INPUT!A5:A445&lt;A32)*(RAW_INPUT!F5:F445&lt;20)*RAW_INPUT!E5:E445)</f>
        <v>9498</v>
      </c>
      <c r="E31" s="52" cm="1">
        <f t="array" ref="E31">IFERROR(SUMPRODUCT((RAW_INPUT!A5:A445&gt;=A31)*(RAW_INPUT!A5:A445&lt;A32)*(RAW_INPUT!F5:F445&lt;20)*RAW_INPUT!G5:G445)/D31,0)</f>
        <v>3.5440187407875339</v>
      </c>
      <c r="F31" s="50">
        <f>IFERROR(B31/C31,0)</f>
        <v>1836.8272727272722</v>
      </c>
    </row>
    <row r="32" spans="1:6" x14ac:dyDescent="0.25">
      <c r="A32" s="49">
        <f>EDATE(A12,20)</f>
        <v>46204</v>
      </c>
      <c r="B32" s="50" cm="1">
        <f t="array" ref="B32">SUMPRODUCT((RAW_INPUT!A5:A445&gt;=A32)*(RAW_INPUT!A5:A445&lt;EDATE(A32,1))*RAW_INPUT!G5:G445)</f>
        <v>37259.07</v>
      </c>
      <c r="C32" s="51" cm="1">
        <f t="array" ref="C32">SUMPRODUCT((RAW_INPUT!A5:A445&gt;=A32)*(RAW_INPUT!A5:A445&lt;EDATE(A32,1))*1)</f>
        <v>15</v>
      </c>
      <c r="D32" s="51" cm="1">
        <f t="array" ref="D32">SUMPRODUCT((RAW_INPUT!A5:A445&gt;=A32)*(RAW_INPUT!A5:A445&lt;EDATE(A32,1))*(RAW_INPUT!F5:F445&lt;20)*RAW_INPUT!E5:E445)</f>
        <v>7158</v>
      </c>
      <c r="E32" s="52" cm="1">
        <f t="array" ref="E32">IFERROR(SUMPRODUCT((RAW_INPUT!A5:A445&gt;=A32)*(RAW_INPUT!A5:A445&lt;EDATE(A32,1))*(RAW_INPUT!F5:F445&lt;20)*RAW_INPUT!G5:G445)/D32,0)</f>
        <v>3.8134702430846605</v>
      </c>
      <c r="F32" s="50">
        <f>IFERROR(B32/C32,0)</f>
        <v>2483.9380000000001</v>
      </c>
    </row>
    <row r="35" spans="1:12" ht="24.95" customHeight="1" x14ac:dyDescent="0.25">
      <c r="A35" s="36" t="s">
        <v>524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</row>
    <row r="36" spans="1:12" x14ac:dyDescent="0.25">
      <c r="A36" s="48" t="s">
        <v>3</v>
      </c>
      <c r="B36" s="48" t="s">
        <v>520</v>
      </c>
      <c r="C36" s="48" t="s">
        <v>525</v>
      </c>
      <c r="D36" s="48" t="s">
        <v>521</v>
      </c>
      <c r="E36" s="48" t="s">
        <v>526</v>
      </c>
    </row>
    <row r="37" spans="1:12" x14ac:dyDescent="0.25">
      <c r="A37" t="s">
        <v>16</v>
      </c>
      <c r="B37" s="50">
        <f>SUMIF(RAW_INPUT!B5:B445,A37,RAW_INPUT!G5:G445)</f>
        <v>41501.67</v>
      </c>
      <c r="C37" s="53">
        <f>B37/B$6</f>
        <v>5.2489901855168906E-2</v>
      </c>
      <c r="D37" s="51">
        <f>COUNTIF(RAW_INPUT!B5:B445,A37)</f>
        <v>24</v>
      </c>
      <c r="E37" s="50">
        <f>IFERROR(B37/D37,0)</f>
        <v>1729.2362499999999</v>
      </c>
    </row>
    <row r="38" spans="1:12" x14ac:dyDescent="0.25">
      <c r="A38" s="60" t="s">
        <v>22</v>
      </c>
      <c r="B38" s="61">
        <f>SUMIF(RAW_INPUT!B5:B445,A38,RAW_INPUT!G5:G445)</f>
        <v>61909.020000000004</v>
      </c>
      <c r="C38" s="62">
        <f>B38/B$6</f>
        <v>7.8300424627483406E-2</v>
      </c>
      <c r="D38" s="63">
        <f>COUNTIF(RAW_INPUT!B5:B445,A38)</f>
        <v>31</v>
      </c>
      <c r="E38" s="61">
        <f>IFERROR(B38/D38,0)</f>
        <v>1997.0651612903227</v>
      </c>
    </row>
    <row r="39" spans="1:12" x14ac:dyDescent="0.25">
      <c r="A39" t="s">
        <v>35</v>
      </c>
      <c r="B39" s="50">
        <f>SUMIF(RAW_INPUT!B5:B445,A39,RAW_INPUT!G5:G445)</f>
        <v>47913.339999999989</v>
      </c>
      <c r="C39" s="53">
        <f>B39/B$6</f>
        <v>6.0599164181907333E-2</v>
      </c>
      <c r="D39" s="51">
        <f>COUNTIF(RAW_INPUT!B5:B445,A39)</f>
        <v>30</v>
      </c>
      <c r="E39" s="50">
        <f>IFERROR(B39/D39,0)</f>
        <v>1597.1113333333331</v>
      </c>
    </row>
    <row r="40" spans="1:12" x14ac:dyDescent="0.25">
      <c r="A40" s="60" t="s">
        <v>79</v>
      </c>
      <c r="B40" s="61">
        <f>SUMIF(RAW_INPUT!B5:B445,A40,RAW_INPUT!G5:G445)</f>
        <v>70383.259999999995</v>
      </c>
      <c r="C40" s="62">
        <f>B40/B$6</f>
        <v>8.901835539742943E-2</v>
      </c>
      <c r="D40" s="63">
        <f>COUNTIF(RAW_INPUT!B5:B445,A40)</f>
        <v>37</v>
      </c>
      <c r="E40" s="61">
        <f>IFERROR(B40/D40,0)</f>
        <v>1902.2502702702702</v>
      </c>
    </row>
    <row r="41" spans="1:12" x14ac:dyDescent="0.25">
      <c r="A41" t="s">
        <v>19</v>
      </c>
      <c r="B41" s="50">
        <f>SUMIF(RAW_INPUT!B5:B445,A41,RAW_INPUT!G5:G445)</f>
        <v>62231.919999999991</v>
      </c>
      <c r="C41" s="53">
        <f>B41/B$6</f>
        <v>7.8708817574298151E-2</v>
      </c>
      <c r="D41" s="51">
        <f>COUNTIF(RAW_INPUT!B5:B445,A41)</f>
        <v>34</v>
      </c>
      <c r="E41" s="50">
        <f>IFERROR(B41/D41,0)</f>
        <v>1830.3505882352938</v>
      </c>
    </row>
    <row r="42" spans="1:12" x14ac:dyDescent="0.25">
      <c r="A42" s="60" t="s">
        <v>55</v>
      </c>
      <c r="B42" s="61">
        <f>SUMIF(RAW_INPUT!B5:B445,A42,RAW_INPUT!G5:G445)</f>
        <v>40276.769999999997</v>
      </c>
      <c r="C42" s="62">
        <f>B42/B$6</f>
        <v>5.0940689961228337E-2</v>
      </c>
      <c r="D42" s="63">
        <f>COUNTIF(RAW_INPUT!B5:B445,A42)</f>
        <v>23</v>
      </c>
      <c r="E42" s="61">
        <f>IFERROR(B42/D42,0)</f>
        <v>1751.163913043478</v>
      </c>
    </row>
    <row r="43" spans="1:12" x14ac:dyDescent="0.25">
      <c r="A43" t="s">
        <v>75</v>
      </c>
      <c r="B43" s="50">
        <f>SUMIF(RAW_INPUT!B5:B445,A43,RAW_INPUT!G5:G445)</f>
        <v>65938.37</v>
      </c>
      <c r="C43" s="53">
        <f>B43/B$6</f>
        <v>8.3396609577152281E-2</v>
      </c>
      <c r="D43" s="51">
        <f>COUNTIF(RAW_INPUT!B5:B445,A43)</f>
        <v>32</v>
      </c>
      <c r="E43" s="50">
        <f>IFERROR(B43/D43,0)</f>
        <v>2060.5740624999999</v>
      </c>
    </row>
    <row r="44" spans="1:12" x14ac:dyDescent="0.25">
      <c r="A44" s="60" t="s">
        <v>37</v>
      </c>
      <c r="B44" s="61">
        <f>SUMIF(RAW_INPUT!B5:B445,A44,RAW_INPUT!G5:G445)</f>
        <v>44276.289999999986</v>
      </c>
      <c r="C44" s="62">
        <f>B44/B$6</f>
        <v>5.5999146940616987E-2</v>
      </c>
      <c r="D44" s="63">
        <f>COUNTIF(RAW_INPUT!B5:B445,A44)</f>
        <v>26</v>
      </c>
      <c r="E44" s="61">
        <f>IFERROR(B44/D44,0)</f>
        <v>1702.9342307692302</v>
      </c>
    </row>
    <row r="45" spans="1:12" x14ac:dyDescent="0.25">
      <c r="A45" t="s">
        <v>33</v>
      </c>
      <c r="B45" s="50">
        <f>SUMIF(RAW_INPUT!B5:B445,A45,RAW_INPUT!G5:G445)</f>
        <v>54238.65</v>
      </c>
      <c r="C45" s="53">
        <f>B45/B$6</f>
        <v>6.8599201315437591E-2</v>
      </c>
      <c r="D45" s="51">
        <f>COUNTIF(RAW_INPUT!B5:B445,A45)</f>
        <v>31</v>
      </c>
      <c r="E45" s="50">
        <f>IFERROR(B45/D45,0)</f>
        <v>1749.633870967742</v>
      </c>
    </row>
    <row r="46" spans="1:12" x14ac:dyDescent="0.25">
      <c r="A46" s="60" t="s">
        <v>42</v>
      </c>
      <c r="B46" s="61">
        <f>SUMIF(RAW_INPUT!B5:B445,A46,RAW_INPUT!G5:G445)</f>
        <v>47618.62000000001</v>
      </c>
      <c r="C46" s="62">
        <f>B46/B$6</f>
        <v>6.0226412341445143E-2</v>
      </c>
      <c r="D46" s="63">
        <f>COUNTIF(RAW_INPUT!B5:B445,A46)</f>
        <v>28</v>
      </c>
      <c r="E46" s="61">
        <f>IFERROR(B46/D46,0)</f>
        <v>1700.6650000000004</v>
      </c>
    </row>
    <row r="47" spans="1:12" x14ac:dyDescent="0.25">
      <c r="A47" t="s">
        <v>45</v>
      </c>
      <c r="B47" s="50">
        <f>SUMIF(RAW_INPUT!B5:B445,A47,RAW_INPUT!G5:G445)</f>
        <v>45844.209999999985</v>
      </c>
      <c r="C47" s="53">
        <f>B47/B$6</f>
        <v>5.7982198873629716E-2</v>
      </c>
      <c r="D47" s="51">
        <f>COUNTIF(RAW_INPUT!B5:B445,A47)</f>
        <v>27</v>
      </c>
      <c r="E47" s="50">
        <f>IFERROR(B47/D47,0)</f>
        <v>1697.933703703703</v>
      </c>
    </row>
    <row r="48" spans="1:12" x14ac:dyDescent="0.25">
      <c r="A48" s="60" t="s">
        <v>47</v>
      </c>
      <c r="B48" s="61">
        <f>SUMIF(RAW_INPUT!B5:B445,A48,RAW_INPUT!G5:G445)</f>
        <v>45275.31</v>
      </c>
      <c r="C48" s="62">
        <f>B48/B$6</f>
        <v>5.7262673486689744E-2</v>
      </c>
      <c r="D48" s="63">
        <f>COUNTIF(RAW_INPUT!B5:B445,A48)</f>
        <v>30</v>
      </c>
      <c r="E48" s="61">
        <f>IFERROR(B48/D48,0)</f>
        <v>1509.1769999999999</v>
      </c>
    </row>
    <row r="49" spans="1:12" x14ac:dyDescent="0.25">
      <c r="A49" t="s">
        <v>28</v>
      </c>
      <c r="B49" s="50">
        <f>SUMIF(RAW_INPUT!B5:B445,A49,RAW_INPUT!G5:G445)</f>
        <v>38353.54</v>
      </c>
      <c r="C49" s="53">
        <f>B49/B$6</f>
        <v>4.8508254014797351E-2</v>
      </c>
      <c r="D49" s="51">
        <f>COUNTIF(RAW_INPUT!B5:B445,A49)</f>
        <v>22</v>
      </c>
      <c r="E49" s="50">
        <f>IFERROR(B49/D49,0)</f>
        <v>1743.3427272727274</v>
      </c>
    </row>
    <row r="50" spans="1:12" x14ac:dyDescent="0.25">
      <c r="A50" s="60" t="s">
        <v>24</v>
      </c>
      <c r="B50" s="61">
        <f>SUMIF(RAW_INPUT!B5:B445,A50,RAW_INPUT!G5:G445)</f>
        <v>74360.390000000014</v>
      </c>
      <c r="C50" s="62">
        <f>B50/B$6</f>
        <v>9.4048494265702665E-2</v>
      </c>
      <c r="D50" s="63">
        <f>COUNTIF(RAW_INPUT!B5:B445,A50)</f>
        <v>38</v>
      </c>
      <c r="E50" s="61">
        <f>IFERROR(B50/D50,0)</f>
        <v>1956.8523684210529</v>
      </c>
    </row>
    <row r="51" spans="1:12" x14ac:dyDescent="0.25">
      <c r="A51" t="s">
        <v>31</v>
      </c>
      <c r="B51" s="50">
        <f>SUMIF(RAW_INPUT!B5:B445,A51,RAW_INPUT!G5:G445)</f>
        <v>50538.719999999994</v>
      </c>
      <c r="C51" s="53">
        <f>B51/B$6</f>
        <v>6.3919655587012805E-2</v>
      </c>
      <c r="D51" s="51">
        <f>COUNTIF(RAW_INPUT!B5:B445,A51)</f>
        <v>28</v>
      </c>
      <c r="E51" s="50">
        <f>IFERROR(B51/D51,0)</f>
        <v>1804.9542857142856</v>
      </c>
    </row>
    <row r="53" spans="1:12" x14ac:dyDescent="0.25">
      <c r="A53" s="54" t="s">
        <v>527</v>
      </c>
      <c r="B53" s="56">
        <f>(LARGE(B37:B51,1)+LARGE(B37:B51,2)+LARGE(B37:B51,3)+LARGE(B37:B51,4)+LARGE(B37:B51,5))/B6</f>
        <v>0.42347270144206595</v>
      </c>
      <c r="C53" s="55"/>
      <c r="D53" s="55"/>
      <c r="E53" s="55"/>
    </row>
    <row r="54" spans="1:12" x14ac:dyDescent="0.25">
      <c r="A54" s="54" t="s">
        <v>528</v>
      </c>
      <c r="B54" s="57">
        <f>MEDIAN(B37:B51)</f>
        <v>47913.339999999989</v>
      </c>
      <c r="C54" s="55"/>
      <c r="D54" s="55"/>
      <c r="E54" s="55"/>
    </row>
    <row r="55" spans="1:12" x14ac:dyDescent="0.25">
      <c r="A55" s="54" t="s">
        <v>529</v>
      </c>
      <c r="B55" s="55">
        <f>COUNTA(A37:A51)</f>
        <v>15</v>
      </c>
      <c r="C55" s="55"/>
      <c r="D55" s="55"/>
      <c r="E55" s="55"/>
    </row>
    <row r="57" spans="1:12" ht="24.95" customHeight="1" x14ac:dyDescent="0.25">
      <c r="A57" s="36" t="s">
        <v>530</v>
      </c>
      <c r="B57" s="36"/>
      <c r="C57" s="36"/>
      <c r="D57" s="36"/>
      <c r="E57" s="36"/>
      <c r="F57" s="36"/>
      <c r="G57" s="36"/>
      <c r="H57" s="36"/>
      <c r="I57" s="66"/>
      <c r="J57" s="36"/>
      <c r="K57" s="36"/>
      <c r="L57" s="36"/>
    </row>
    <row r="58" spans="1:12" x14ac:dyDescent="0.25">
      <c r="A58" s="48" t="s">
        <v>531</v>
      </c>
      <c r="B58" s="48" t="s">
        <v>520</v>
      </c>
      <c r="C58" s="48" t="s">
        <v>525</v>
      </c>
      <c r="D58" s="48" t="s">
        <v>521</v>
      </c>
      <c r="E58" s="48" t="s">
        <v>532</v>
      </c>
      <c r="F58" s="48" t="s">
        <v>533</v>
      </c>
      <c r="H58" s="65" t="s">
        <v>536</v>
      </c>
      <c r="I58" s="67">
        <f>B74</f>
        <v>87690.960000000021</v>
      </c>
    </row>
    <row r="59" spans="1:12" x14ac:dyDescent="0.25">
      <c r="A59" t="s">
        <v>62</v>
      </c>
      <c r="B59" s="50">
        <f>SUMIF(RAW_INPUT!D5:D445,A59,RAW_INPUT!G5:G445)</f>
        <v>137376.79</v>
      </c>
      <c r="C59" s="53">
        <f>B59/B$6</f>
        <v>0.1737494954848359</v>
      </c>
      <c r="D59" s="51">
        <f>COUNTIF(RAW_INPUT!D5:D445,A59)</f>
        <v>74</v>
      </c>
      <c r="E59" s="51">
        <f>IFERROR(SUMIF(RAW_INPUT!D5:D445,A59,RAW_INPUT!E5:E445)/D59,0)</f>
        <v>501.91891891891891</v>
      </c>
      <c r="F59" s="52">
        <f>IFERROR(SUMIF(RAW_INPUT!D5:D445,A59,RAW_INPUT!F5:F445)/D59,0)</f>
        <v>3.6881081081081084</v>
      </c>
      <c r="H59" s="65" t="s">
        <v>537</v>
      </c>
      <c r="I59" s="67">
        <f>B75</f>
        <v>32925</v>
      </c>
    </row>
    <row r="60" spans="1:12" x14ac:dyDescent="0.25">
      <c r="A60" s="60" t="s">
        <v>18</v>
      </c>
      <c r="B60" s="61">
        <f>SUMIF(RAW_INPUT!D5:D445,A60,RAW_INPUT!G5:G445)</f>
        <v>112467.38</v>
      </c>
      <c r="C60" s="62">
        <f>B60/B$6</f>
        <v>0.14224492021906557</v>
      </c>
      <c r="D60" s="63">
        <f>COUNTIF(RAW_INPUT!D5:D445,A60)</f>
        <v>63</v>
      </c>
      <c r="E60" s="63">
        <f>IFERROR(SUMIF(RAW_INPUT!D5:D445,A60,RAW_INPUT!E5:E445)/D60,0)</f>
        <v>480.65079365079367</v>
      </c>
      <c r="F60" s="64">
        <f>IFERROR(SUMIF(RAW_INPUT!D5:D445,A60,RAW_INPUT!F5:F445)/D60,0)</f>
        <v>3.7065079365079363</v>
      </c>
    </row>
    <row r="61" spans="1:12" x14ac:dyDescent="0.25">
      <c r="A61" t="s">
        <v>64</v>
      </c>
      <c r="B61" s="50">
        <f>SUMIF(RAW_INPUT!D5:D445,A61,RAW_INPUT!G5:G445)</f>
        <v>22162.69</v>
      </c>
      <c r="C61" s="53">
        <f>B61/B$6</f>
        <v>2.8030617152190102E-2</v>
      </c>
      <c r="D61" s="51">
        <f>COUNTIF(RAW_INPUT!D5:D445,A61)</f>
        <v>19</v>
      </c>
      <c r="E61" s="51">
        <f>IFERROR(SUMIF(RAW_INPUT!D5:D445,A61,RAW_INPUT!E5:E445)/D61,0)</f>
        <v>1</v>
      </c>
      <c r="F61" s="52">
        <f>IFERROR(SUMIF(RAW_INPUT!D5:D445,A61,RAW_INPUT!F5:F445)/D61,0)</f>
        <v>1166.4573684210525</v>
      </c>
    </row>
    <row r="62" spans="1:12" x14ac:dyDescent="0.25">
      <c r="A62" s="60" t="s">
        <v>26</v>
      </c>
      <c r="B62" s="61">
        <f>SUMIF(RAW_INPUT!D5:D445,A62,RAW_INPUT!G5:G445)</f>
        <v>144026.32999999999</v>
      </c>
      <c r="C62" s="62">
        <f>B62/B$6</f>
        <v>0.18215960770398321</v>
      </c>
      <c r="D62" s="63">
        <f>COUNTIF(RAW_INPUT!D5:D445,A62)</f>
        <v>75</v>
      </c>
      <c r="E62" s="63">
        <f>IFERROR(SUMIF(RAW_INPUT!D5:D445,A62,RAW_INPUT!E5:E445)/D62,0)</f>
        <v>516.74666666666667</v>
      </c>
      <c r="F62" s="64">
        <f>IFERROR(SUMIF(RAW_INPUT!D5:D445,A62,RAW_INPUT!F5:F445)/D62,0)</f>
        <v>3.7110666666666665</v>
      </c>
    </row>
    <row r="63" spans="1:12" x14ac:dyDescent="0.25">
      <c r="A63" t="s">
        <v>39</v>
      </c>
      <c r="B63" s="50">
        <f>SUMIF(RAW_INPUT!D5:D445,A63,RAW_INPUT!G5:G445)</f>
        <v>27346.15</v>
      </c>
      <c r="C63" s="53">
        <f>B63/B$6</f>
        <v>3.4586481209472469E-2</v>
      </c>
      <c r="D63" s="51">
        <f>COUNTIF(RAW_INPUT!D5:D445,A63)</f>
        <v>22</v>
      </c>
      <c r="E63" s="51">
        <f>IFERROR(SUMIF(RAW_INPUT!D5:D445,A63,RAW_INPUT!E5:E445)/D63,0)</f>
        <v>1</v>
      </c>
      <c r="F63" s="52">
        <f>IFERROR(SUMIF(RAW_INPUT!D5:D445,A63,RAW_INPUT!F5:F445)/D63,0)</f>
        <v>1243.0068181818183</v>
      </c>
    </row>
    <row r="64" spans="1:12" x14ac:dyDescent="0.25">
      <c r="A64" s="60" t="s">
        <v>121</v>
      </c>
      <c r="B64" s="61">
        <f>SUMIF(RAW_INPUT!D5:D445,A64,RAW_INPUT!G5:G445)</f>
        <v>1080</v>
      </c>
      <c r="C64" s="62">
        <f>B64/B$6</f>
        <v>1.3659472981107127E-3</v>
      </c>
      <c r="D64" s="63">
        <f>COUNTIF(RAW_INPUT!D5:D445,A64)</f>
        <v>1</v>
      </c>
      <c r="E64" s="63">
        <f>IFERROR(SUMIF(RAW_INPUT!D5:D445,A64,RAW_INPUT!E5:E445)/D64,0)</f>
        <v>24</v>
      </c>
      <c r="F64" s="64">
        <f>IFERROR(SUMIF(RAW_INPUT!D5:D445,A64,RAW_INPUT!F5:F445)/D64,0)</f>
        <v>45</v>
      </c>
    </row>
    <row r="65" spans="1:12" x14ac:dyDescent="0.25">
      <c r="A65" t="s">
        <v>212</v>
      </c>
      <c r="B65" s="50">
        <f>SUMIF(RAW_INPUT!D5:D445,A65,RAW_INPUT!G5:G445)</f>
        <v>15322.599999999999</v>
      </c>
      <c r="C65" s="53">
        <f>B65/B$6</f>
        <v>1.9379503768547409E-2</v>
      </c>
      <c r="D65" s="51">
        <f>COUNTIF(RAW_INPUT!D5:D445,A65)</f>
        <v>2</v>
      </c>
      <c r="E65" s="51">
        <f>IFERROR(SUMIF(RAW_INPUT!D5:D445,A65,RAW_INPUT!E5:E445)/D65,0)</f>
        <v>170</v>
      </c>
      <c r="F65" s="52">
        <f>IFERROR(SUMIF(RAW_INPUT!D5:D445,A65,RAW_INPUT!F5:F445)/D65,0)</f>
        <v>45.07</v>
      </c>
    </row>
    <row r="66" spans="1:12" x14ac:dyDescent="0.25">
      <c r="A66" s="60" t="s">
        <v>44</v>
      </c>
      <c r="B66" s="61">
        <f>SUMIF(RAW_INPUT!D5:D445,A66,RAW_INPUT!G5:G445)</f>
        <v>139607.80000000002</v>
      </c>
      <c r="C66" s="62">
        <f>B66/B$6</f>
        <v>0.17657120111590813</v>
      </c>
      <c r="D66" s="63">
        <f>COUNTIF(RAW_INPUT!D5:D445,A66)</f>
        <v>79</v>
      </c>
      <c r="E66" s="63">
        <f>IFERROR(SUMIF(RAW_INPUT!D5:D445,A66,RAW_INPUT!E5:E445)/D66,0)</f>
        <v>482.40506329113924</v>
      </c>
      <c r="F66" s="64">
        <f>IFERROR(SUMIF(RAW_INPUT!D5:D445,A66,RAW_INPUT!F5:F445)/D66,0)</f>
        <v>3.6563291139240501</v>
      </c>
    </row>
    <row r="67" spans="1:12" x14ac:dyDescent="0.25">
      <c r="A67" t="s">
        <v>57</v>
      </c>
      <c r="B67" s="50">
        <f>SUMIF(RAW_INPUT!D5:D445,A67,RAW_INPUT!G5:G445)</f>
        <v>23147.98</v>
      </c>
      <c r="C67" s="53">
        <f>B67/B$6</f>
        <v>2.9276778460852606E-2</v>
      </c>
      <c r="D67" s="51">
        <f>COUNTIF(RAW_INPUT!D5:D445,A67)</f>
        <v>19</v>
      </c>
      <c r="E67" s="51">
        <f>IFERROR(SUMIF(RAW_INPUT!D5:D445,A67,RAW_INPUT!E5:E445)/D67,0)</f>
        <v>1</v>
      </c>
      <c r="F67" s="52">
        <f>IFERROR(SUMIF(RAW_INPUT!D5:D445,A67,RAW_INPUT!F5:F445)/D67,0)</f>
        <v>1218.3147368421053</v>
      </c>
    </row>
    <row r="68" spans="1:12" x14ac:dyDescent="0.25">
      <c r="A68" s="60" t="s">
        <v>393</v>
      </c>
      <c r="B68" s="61">
        <f>SUMIF(RAW_INPUT!D5:D445,A68,RAW_INPUT!G5:G445)</f>
        <v>16522.400000000001</v>
      </c>
      <c r="C68" s="62">
        <f>B68/B$6</f>
        <v>2.0896970035467075E-2</v>
      </c>
      <c r="D68" s="63">
        <f>COUNTIF(RAW_INPUT!D5:D445,A68)</f>
        <v>2</v>
      </c>
      <c r="E68" s="63">
        <f>IFERROR(SUMIF(RAW_INPUT!D5:D445,A68,RAW_INPUT!E5:E445)/D68,0)</f>
        <v>182</v>
      </c>
      <c r="F68" s="64">
        <f>IFERROR(SUMIF(RAW_INPUT!D5:D445,A68,RAW_INPUT!F5:F445)/D68,0)</f>
        <v>45.39</v>
      </c>
    </row>
    <row r="69" spans="1:12" x14ac:dyDescent="0.25">
      <c r="A69" t="s">
        <v>82</v>
      </c>
      <c r="B69" s="50">
        <f>SUMIF(RAW_INPUT!D5:D445,A69,RAW_INPUT!G5:G445)</f>
        <v>15034.14</v>
      </c>
      <c r="C69" s="53">
        <f>B69/B$6</f>
        <v>1.9014669363350174E-2</v>
      </c>
      <c r="D69" s="51">
        <f>COUNTIF(RAW_INPUT!D5:D445,A69)</f>
        <v>12</v>
      </c>
      <c r="E69" s="51">
        <f>IFERROR(SUMIF(RAW_INPUT!D5:D445,A69,RAW_INPUT!E5:E445)/D69,0)</f>
        <v>1</v>
      </c>
      <c r="F69" s="52">
        <f>IFERROR(SUMIF(RAW_INPUT!D5:D445,A69,RAW_INPUT!F5:F445)/D69,0)</f>
        <v>1252.845</v>
      </c>
    </row>
    <row r="70" spans="1:12" x14ac:dyDescent="0.25">
      <c r="A70" s="60" t="s">
        <v>21</v>
      </c>
      <c r="B70" s="61">
        <f>SUMIF(RAW_INPUT!D5:D445,A70,RAW_INPUT!G5:G445)</f>
        <v>136565.81999999995</v>
      </c>
      <c r="C70" s="62">
        <f>B70/B$6</f>
        <v>0.17272380818821653</v>
      </c>
      <c r="D70" s="63">
        <f>COUNTIF(RAW_INPUT!D5:D445,A70)</f>
        <v>73</v>
      </c>
      <c r="E70" s="63">
        <f>IFERROR(SUMIF(RAW_INPUT!D5:D445,A70,RAW_INPUT!E5:E445)/D70,0)</f>
        <v>505.05479452054794</v>
      </c>
      <c r="F70" s="64">
        <f>IFERROR(SUMIF(RAW_INPUT!D5:D445,A70,RAW_INPUT!F5:F445)/D70,0)</f>
        <v>3.6943835616438347</v>
      </c>
    </row>
    <row r="72" spans="1:12" x14ac:dyDescent="0.25">
      <c r="A72" s="47" t="s">
        <v>534</v>
      </c>
      <c r="B72" s="46"/>
      <c r="C72" s="46"/>
      <c r="D72" s="46"/>
      <c r="E72" s="46"/>
      <c r="F72" s="46"/>
    </row>
    <row r="73" spans="1:12" x14ac:dyDescent="0.25">
      <c r="A73" s="54" t="s">
        <v>535</v>
      </c>
      <c r="B73" s="58" cm="1">
        <f t="array" ref="B73">SUMPRODUCT((ISNUMBER(SEARCH("Delivery",RAW_INPUT!D5:D445))+ISNUMBER(SEARCH("Fuel Drop",RAW_INPUT!D5:D445))+ISNUMBER(SEARCH("Bulk Diesel",RAW_INPUT!D5:D445))&gt;0)*RAW_INPUT!G5:G445)</f>
        <v>670044.11999999953</v>
      </c>
      <c r="C73" s="59">
        <f>B73/B$6</f>
        <v>0.84744903271200878</v>
      </c>
      <c r="D73" s="55"/>
      <c r="E73" s="55"/>
      <c r="F73" s="55"/>
    </row>
    <row r="74" spans="1:12" x14ac:dyDescent="0.25">
      <c r="A74" s="54" t="s">
        <v>536</v>
      </c>
      <c r="B74" s="58" cm="1">
        <f t="array" ref="B74">SUMPRODUCT((ISNUMBER(SEARCH("Line Flush",RAW_INPUT!D5:D445))+ISNUMBER(SEARCH("Pump Maintenance",RAW_INPUT!D5:D445))+ISNUMBER(SEARCH("Tank Inspection",RAW_INPUT!D5:D445))+ISNUMBER(SEARCH("Filter Service",RAW_INPUT!D5:D445))&gt;0)*RAW_INPUT!G5:G445)</f>
        <v>87690.960000000021</v>
      </c>
      <c r="C74" s="59">
        <f>B74/B$6</f>
        <v>0.11090854618586538</v>
      </c>
      <c r="D74" s="55"/>
      <c r="E74" s="55"/>
      <c r="F74" s="55"/>
    </row>
    <row r="75" spans="1:12" x14ac:dyDescent="0.25">
      <c r="A75" s="54" t="s">
        <v>537</v>
      </c>
      <c r="B75" s="58" cm="1">
        <f t="array" ref="B75">SUMPRODUCT((ISNUMBER(SEARCH("Motor Oil",RAW_INPUT!D5:D445))+ISNUMBER(SEARCH("Lubricant",RAW_INPUT!D5:D445))+ISNUMBER(SEARCH("Synthetic",RAW_INPUT!D5:D445))&gt;0)*RAW_INPUT!G5:G445)</f>
        <v>32925</v>
      </c>
      <c r="C75" s="59">
        <f>B75/B$6</f>
        <v>4.1642421102125196E-2</v>
      </c>
      <c r="D75" s="55"/>
      <c r="E75" s="55"/>
      <c r="F75" s="55"/>
    </row>
    <row r="78" spans="1:12" ht="24.95" customHeight="1" x14ac:dyDescent="0.25">
      <c r="A78" s="36" t="s">
        <v>538</v>
      </c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</row>
    <row r="79" spans="1:12" x14ac:dyDescent="0.25">
      <c r="A79" s="48" t="s">
        <v>519</v>
      </c>
      <c r="B79" s="48" t="s">
        <v>539</v>
      </c>
      <c r="C79" s="48" t="s">
        <v>540</v>
      </c>
      <c r="D79" s="48" t="s">
        <v>541</v>
      </c>
      <c r="E79" s="48" t="s">
        <v>542</v>
      </c>
      <c r="F79" s="48" t="s">
        <v>543</v>
      </c>
      <c r="G79" s="48" t="s">
        <v>544</v>
      </c>
      <c r="H79" s="48" t="s">
        <v>545</v>
      </c>
    </row>
    <row r="80" spans="1:12" x14ac:dyDescent="0.25">
      <c r="A80" s="49">
        <f>A12</f>
        <v>45597</v>
      </c>
      <c r="B80" s="52" cm="1">
        <f t="array" ref="B80">IFERROR(SUMPRODUCT((RAW_INPUT!A5:A445&gt;=A12)*(RAW_INPUT!A5:A445&lt;A13)*(ISNUMBER(SEARCH("Diesel Delivery",RAW_INPUT!D5:D445)))*RAW_INPUT!F5:F445)/SUMPRODUCT((RAW_INPUT!A5:A445&gt;=A12)*(RAW_INPUT!A5:A445&lt;A13)*(ISNUMBER(SEARCH("Diesel Delivery",RAW_INPUT!D5:D445)))*1),"-")</f>
        <v>3.8228571428571425</v>
      </c>
      <c r="C80" s="52" cm="1">
        <f t="array" ref="C80">IFERROR(SUMPRODUCT((RAW_INPUT!A5:A445&gt;=A12)*(RAW_INPUT!A5:A445&lt;A13)*(ISNUMBER(SEARCH("Unleaded",RAW_INPUT!D5:D445)))*RAW_INPUT!F5:F445)/SUMPRODUCT((RAW_INPUT!A5:A445&gt;=A12)*(RAW_INPUT!A5:A445&lt;A13)*(ISNUMBER(SEARCH("Unleaded",RAW_INPUT!D5:D445)))*1),"-")</f>
        <v>3.85</v>
      </c>
      <c r="D80" s="52" cm="1">
        <f t="array" ref="D80">IFERROR(SUMPRODUCT((RAW_INPUT!A5:A445&gt;=A12)*(RAW_INPUT!A5:A445&lt;A13)*(ISNUMBER(SEARCH("Premium",RAW_INPUT!D5:D445)))*RAW_INPUT!F5:F445)/SUMPRODUCT((RAW_INPUT!A5:A445&gt;=A12)*(RAW_INPUT!A5:A445&lt;A13)*(ISNUMBER(SEARCH("Premium",RAW_INPUT!D5:D445)))*1),"-")</f>
        <v>3.77</v>
      </c>
      <c r="E80" s="52" t="str" cm="1">
        <f t="array" ref="E80">IFERROR(SUMPRODUCT((RAW_INPUT!A5:A445&gt;=A12)*(RAW_INPUT!A5:A445&lt;A13)*(ISNUMBER(SEARCH("Bulk",RAW_INPUT!D5:D445)))*RAW_INPUT!F5:F445)/SUMPRODUCT((RAW_INPUT!A5:A445&gt;=A12)*(RAW_INPUT!A5:A445&lt;A13)*(ISNUMBER(SEARCH("Bulk",RAW_INPUT!D5:D445)))*1),"-")</f>
        <v>-</v>
      </c>
      <c r="F80" s="52" cm="1">
        <f t="array" ref="F80">IFERROR(SUMPRODUCT((RAW_INPUT!A5:A445&gt;=A12)*(RAW_INPUT!A5:A445&lt;A13)*(ISNUMBER(SEARCH("Fleet",RAW_INPUT!D5:D445)))*RAW_INPUT!F5:F445)/SUMPRODUCT((RAW_INPUT!A5:A445&gt;=A12)*(RAW_INPUT!A5:A445&lt;A13)*(ISNUMBER(SEARCH("Fleet",RAW_INPUT!D5:D445)))*1),"-")</f>
        <v>3.8033333333333332</v>
      </c>
      <c r="G80" s="52">
        <f>E12</f>
        <v>3.818810704960836</v>
      </c>
      <c r="H80" s="53" t="s">
        <v>546</v>
      </c>
    </row>
    <row r="81" spans="1:8" x14ac:dyDescent="0.25">
      <c r="A81" s="68">
        <f>A13</f>
        <v>45627</v>
      </c>
      <c r="B81" s="64" cm="1">
        <f t="array" ref="B81">IFERROR(SUMPRODUCT((RAW_INPUT!A5:A445&gt;=A13)*(RAW_INPUT!A5:A445&lt;A14)*(ISNUMBER(SEARCH("Diesel Delivery",RAW_INPUT!D5:D445)))*RAW_INPUT!F5:F445)/SUMPRODUCT((RAW_INPUT!A5:A445&gt;=A13)*(RAW_INPUT!A5:A445&lt;A14)*(ISNUMBER(SEARCH("Diesel Delivery",RAW_INPUT!D5:D445)))*1),"-")</f>
        <v>3.6579999999999999</v>
      </c>
      <c r="C81" s="64" cm="1">
        <f t="array" ref="C81">IFERROR(SUMPRODUCT((RAW_INPUT!A5:A445&gt;=A13)*(RAW_INPUT!A5:A445&lt;A14)*(ISNUMBER(SEARCH("Unleaded",RAW_INPUT!D5:D445)))*RAW_INPUT!F5:F445)/SUMPRODUCT((RAW_INPUT!A5:A445&gt;=A13)*(RAW_INPUT!A5:A445&lt;A14)*(ISNUMBER(SEARCH("Unleaded",RAW_INPUT!D5:D445)))*1),"-")</f>
        <v>3.6133333333333333</v>
      </c>
      <c r="D81" s="64" cm="1">
        <f t="array" ref="D81">IFERROR(SUMPRODUCT((RAW_INPUT!A5:A445&gt;=A13)*(RAW_INPUT!A5:A445&lt;A14)*(ISNUMBER(SEARCH("Premium",RAW_INPUT!D5:D445)))*RAW_INPUT!F5:F445)/SUMPRODUCT((RAW_INPUT!A5:A445&gt;=A13)*(RAW_INPUT!A5:A445&lt;A14)*(ISNUMBER(SEARCH("Premium",RAW_INPUT!D5:D445)))*1),"-")</f>
        <v>3.64</v>
      </c>
      <c r="E81" s="64" cm="1">
        <f t="array" ref="E81">IFERROR(SUMPRODUCT((RAW_INPUT!A5:A445&gt;=A13)*(RAW_INPUT!A5:A445&lt;A14)*(ISNUMBER(SEARCH("Bulk",RAW_INPUT!D5:D445)))*RAW_INPUT!F5:F445)/SUMPRODUCT((RAW_INPUT!A5:A445&gt;=A13)*(RAW_INPUT!A5:A445&lt;A14)*(ISNUMBER(SEARCH("Bulk",RAW_INPUT!D5:D445)))*1),"-")</f>
        <v>3.6233333333333331</v>
      </c>
      <c r="F81" s="64" cm="1">
        <f t="array" ref="F81">IFERROR(SUMPRODUCT((RAW_INPUT!A5:A445&gt;=A13)*(RAW_INPUT!A5:A445&lt;A14)*(ISNUMBER(SEARCH("Fleet",RAW_INPUT!D5:D445)))*RAW_INPUT!F5:F445)/SUMPRODUCT((RAW_INPUT!A5:A445&gt;=A13)*(RAW_INPUT!A5:A445&lt;A14)*(ISNUMBER(SEARCH("Fleet",RAW_INPUT!D5:D445)))*1),"-")</f>
        <v>3.66</v>
      </c>
      <c r="G81" s="64">
        <f>E13</f>
        <v>3.6529361337333914</v>
      </c>
      <c r="H81" s="62">
        <f>IFERROR((G81-G80)/G80,"-")</f>
        <v>-4.3436185776887223E-2</v>
      </c>
    </row>
    <row r="82" spans="1:8" x14ac:dyDescent="0.25">
      <c r="A82" s="49">
        <f>A14</f>
        <v>45658</v>
      </c>
      <c r="B82" s="52" t="str" cm="1">
        <f t="array" ref="B82">IFERROR(SUMPRODUCT((RAW_INPUT!A5:A445&gt;=A14)*(RAW_INPUT!A5:A445&lt;A15)*(ISNUMBER(SEARCH("Diesel Delivery",RAW_INPUT!D5:D445)))*RAW_INPUT!F5:F445)/SUMPRODUCT((RAW_INPUT!A5:A445&gt;=A14)*(RAW_INPUT!A5:A445&lt;A15)*(ISNUMBER(SEARCH("Diesel Delivery",RAW_INPUT!D5:D445)))*1),"-")</f>
        <v>-</v>
      </c>
      <c r="C82" s="52" cm="1">
        <f t="array" ref="C82">IFERROR(SUMPRODUCT((RAW_INPUT!A5:A445&gt;=A14)*(RAW_INPUT!A5:A445&lt;A15)*(ISNUMBER(SEARCH("Unleaded",RAW_INPUT!D5:D445)))*RAW_INPUT!F5:F445)/SUMPRODUCT((RAW_INPUT!A5:A445&gt;=A14)*(RAW_INPUT!A5:A445&lt;A15)*(ISNUMBER(SEARCH("Unleaded",RAW_INPUT!D5:D445)))*1),"-")</f>
        <v>3.4666666666666663</v>
      </c>
      <c r="D82" s="52" cm="1">
        <f t="array" ref="D82">IFERROR(SUMPRODUCT((RAW_INPUT!A5:A445&gt;=A14)*(RAW_INPUT!A5:A445&lt;A15)*(ISNUMBER(SEARCH("Premium",RAW_INPUT!D5:D445)))*RAW_INPUT!F5:F445)/SUMPRODUCT((RAW_INPUT!A5:A445&gt;=A14)*(RAW_INPUT!A5:A445&lt;A15)*(ISNUMBER(SEARCH("Premium",RAW_INPUT!D5:D445)))*1),"-")</f>
        <v>3.46</v>
      </c>
      <c r="E82" s="52" cm="1">
        <f t="array" ref="E82">IFERROR(SUMPRODUCT((RAW_INPUT!A5:A445&gt;=A14)*(RAW_INPUT!A5:A445&lt;A15)*(ISNUMBER(SEARCH("Bulk",RAW_INPUT!D5:D445)))*RAW_INPUT!F5:F445)/SUMPRODUCT((RAW_INPUT!A5:A445&gt;=A14)*(RAW_INPUT!A5:A445&lt;A15)*(ISNUMBER(SEARCH("Bulk",RAW_INPUT!D5:D445)))*1),"-")</f>
        <v>3.4</v>
      </c>
      <c r="F82" s="52" cm="1">
        <f t="array" ref="F82">IFERROR(SUMPRODUCT((RAW_INPUT!A5:A445&gt;=A14)*(RAW_INPUT!A5:A445&lt;A15)*(ISNUMBER(SEARCH("Fleet",RAW_INPUT!D5:D445)))*RAW_INPUT!F5:F445)/SUMPRODUCT((RAW_INPUT!A5:A445&gt;=A14)*(RAW_INPUT!A5:A445&lt;A15)*(ISNUMBER(SEARCH("Fleet",RAW_INPUT!D5:D445)))*1),"-")</f>
        <v>3.4549999999999996</v>
      </c>
      <c r="G82" s="52">
        <f>E14</f>
        <v>3.4524106500359801</v>
      </c>
      <c r="H82" s="53">
        <f>IFERROR((G82-G81)/G81,"-")</f>
        <v>-5.4894330575790622E-2</v>
      </c>
    </row>
    <row r="83" spans="1:8" x14ac:dyDescent="0.25">
      <c r="A83" s="68">
        <f>A15</f>
        <v>45689</v>
      </c>
      <c r="B83" s="64" cm="1">
        <f t="array" ref="B83">IFERROR(SUMPRODUCT((RAW_INPUT!A5:A445&gt;=A15)*(RAW_INPUT!A5:A445&lt;A16)*(ISNUMBER(SEARCH("Diesel Delivery",RAW_INPUT!D5:D445)))*RAW_INPUT!F5:F445)/SUMPRODUCT((RAW_INPUT!A5:A445&gt;=A15)*(RAW_INPUT!A5:A445&lt;A16)*(ISNUMBER(SEARCH("Diesel Delivery",RAW_INPUT!D5:D445)))*1),"-")</f>
        <v>3.8240000000000003</v>
      </c>
      <c r="C83" s="64" cm="1">
        <f t="array" ref="C83">IFERROR(SUMPRODUCT((RAW_INPUT!A5:A445&gt;=A15)*(RAW_INPUT!A5:A445&lt;A16)*(ISNUMBER(SEARCH("Unleaded",RAW_INPUT!D5:D445)))*RAW_INPUT!F5:F445)/SUMPRODUCT((RAW_INPUT!A5:A445&gt;=A15)*(RAW_INPUT!A5:A445&lt;A16)*(ISNUMBER(SEARCH("Unleaded",RAW_INPUT!D5:D445)))*1),"-")</f>
        <v>3.82</v>
      </c>
      <c r="D83" s="64" cm="1">
        <f t="array" ref="D83">IFERROR(SUMPRODUCT((RAW_INPUT!A5:A445&gt;=A15)*(RAW_INPUT!A5:A445&lt;A16)*(ISNUMBER(SEARCH("Premium",RAW_INPUT!D5:D445)))*RAW_INPUT!F5:F445)/SUMPRODUCT((RAW_INPUT!A5:A445&gt;=A15)*(RAW_INPUT!A5:A445&lt;A16)*(ISNUMBER(SEARCH("Premium",RAW_INPUT!D5:D445)))*1),"-")</f>
        <v>3.7699999999999996</v>
      </c>
      <c r="E83" s="64" cm="1">
        <f t="array" ref="E83">IFERROR(SUMPRODUCT((RAW_INPUT!A5:A445&gt;=A15)*(RAW_INPUT!A5:A445&lt;A16)*(ISNUMBER(SEARCH("Bulk",RAW_INPUT!D5:D445)))*RAW_INPUT!F5:F445)/SUMPRODUCT((RAW_INPUT!A5:A445&gt;=A15)*(RAW_INPUT!A5:A445&lt;A16)*(ISNUMBER(SEARCH("Bulk",RAW_INPUT!D5:D445)))*1),"-")</f>
        <v>3.813333333333333</v>
      </c>
      <c r="F83" s="64" cm="1">
        <f t="array" ref="F83">IFERROR(SUMPRODUCT((RAW_INPUT!A5:A445&gt;=A15)*(RAW_INPUT!A5:A445&lt;A16)*(ISNUMBER(SEARCH("Fleet",RAW_INPUT!D5:D445)))*RAW_INPUT!F5:F445)/SUMPRODUCT((RAW_INPUT!A5:A445&gt;=A15)*(RAW_INPUT!A5:A445&lt;A16)*(ISNUMBER(SEARCH("Fleet",RAW_INPUT!D5:D445)))*1),"-")</f>
        <v>3.8266666666666667</v>
      </c>
      <c r="G83" s="64">
        <f>E15</f>
        <v>3.8136991576413961</v>
      </c>
      <c r="H83" s="62">
        <f>IFERROR((G83-G82)/G82,"-")</f>
        <v>0.10464818476957563</v>
      </c>
    </row>
    <row r="84" spans="1:8" x14ac:dyDescent="0.25">
      <c r="A84" s="49">
        <f>A16</f>
        <v>45717</v>
      </c>
      <c r="B84" s="52" cm="1">
        <f t="array" ref="B84">IFERROR(SUMPRODUCT((RAW_INPUT!A5:A445&gt;=A16)*(RAW_INPUT!A5:A445&lt;A17)*(ISNUMBER(SEARCH("Diesel Delivery",RAW_INPUT!D5:D445)))*RAW_INPUT!F5:F445)/SUMPRODUCT((RAW_INPUT!A5:A445&gt;=A16)*(RAW_INPUT!A5:A445&lt;A17)*(ISNUMBER(SEARCH("Diesel Delivery",RAW_INPUT!D5:D445)))*1),"-")</f>
        <v>3.8514285714285719</v>
      </c>
      <c r="C84" s="52" cm="1">
        <f t="array" ref="C84">IFERROR(SUMPRODUCT((RAW_INPUT!A5:A445&gt;=A16)*(RAW_INPUT!A5:A445&lt;A17)*(ISNUMBER(SEARCH("Unleaded",RAW_INPUT!D5:D445)))*RAW_INPUT!F5:F445)/SUMPRODUCT((RAW_INPUT!A5:A445&gt;=A16)*(RAW_INPUT!A5:A445&lt;A17)*(ISNUMBER(SEARCH("Unleaded",RAW_INPUT!D5:D445)))*1),"-")</f>
        <v>3.8533333333333335</v>
      </c>
      <c r="D84" s="52" cm="1">
        <f t="array" ref="D84">IFERROR(SUMPRODUCT((RAW_INPUT!A5:A445&gt;=A16)*(RAW_INPUT!A5:A445&lt;A17)*(ISNUMBER(SEARCH("Premium",RAW_INPUT!D5:D445)))*RAW_INPUT!F5:F445)/SUMPRODUCT((RAW_INPUT!A5:A445&gt;=A16)*(RAW_INPUT!A5:A445&lt;A17)*(ISNUMBER(SEARCH("Premium",RAW_INPUT!D5:D445)))*1),"-")</f>
        <v>3.85</v>
      </c>
      <c r="E84" s="52" cm="1">
        <f t="array" ref="E84">IFERROR(SUMPRODUCT((RAW_INPUT!A5:A445&gt;=A16)*(RAW_INPUT!A5:A445&lt;A17)*(ISNUMBER(SEARCH("Bulk",RAW_INPUT!D5:D445)))*RAW_INPUT!F5:F445)/SUMPRODUCT((RAW_INPUT!A5:A445&gt;=A16)*(RAW_INPUT!A5:A445&lt;A17)*(ISNUMBER(SEARCH("Bulk",RAW_INPUT!D5:D445)))*1),"-")</f>
        <v>3.8</v>
      </c>
      <c r="F84" s="52" cm="1">
        <f t="array" ref="F84">IFERROR(SUMPRODUCT((RAW_INPUT!A5:A445&gt;=A16)*(RAW_INPUT!A5:A445&lt;A17)*(ISNUMBER(SEARCH("Fleet",RAW_INPUT!D5:D445)))*RAW_INPUT!F5:F445)/SUMPRODUCT((RAW_INPUT!A5:A445&gt;=A16)*(RAW_INPUT!A5:A445&lt;A17)*(ISNUMBER(SEARCH("Fleet",RAW_INPUT!D5:D445)))*1),"-")</f>
        <v>3.8280000000000003</v>
      </c>
      <c r="G84" s="52">
        <f>E16</f>
        <v>3.8392153385791872</v>
      </c>
      <c r="H84" s="53">
        <f>IFERROR((G84-G83)/G83,"-")</f>
        <v>6.690664334827001E-3</v>
      </c>
    </row>
    <row r="85" spans="1:8" x14ac:dyDescent="0.25">
      <c r="A85" s="68">
        <f>A17</f>
        <v>45748</v>
      </c>
      <c r="B85" s="64" cm="1">
        <f t="array" ref="B85">IFERROR(SUMPRODUCT((RAW_INPUT!A5:A445&gt;=A17)*(RAW_INPUT!A5:A445&lt;A18)*(ISNUMBER(SEARCH("Diesel Delivery",RAW_INPUT!D5:D445)))*RAW_INPUT!F5:F445)/SUMPRODUCT((RAW_INPUT!A5:A445&gt;=A17)*(RAW_INPUT!A5:A445&lt;A18)*(ISNUMBER(SEARCH("Diesel Delivery",RAW_INPUT!D5:D445)))*1),"-")</f>
        <v>3.6866666666666661</v>
      </c>
      <c r="C85" s="64" cm="1">
        <f t="array" ref="C85">IFERROR(SUMPRODUCT((RAW_INPUT!A5:A445&gt;=A17)*(RAW_INPUT!A5:A445&lt;A18)*(ISNUMBER(SEARCH("Unleaded",RAW_INPUT!D5:D445)))*RAW_INPUT!F5:F445)/SUMPRODUCT((RAW_INPUT!A5:A445&gt;=A17)*(RAW_INPUT!A5:A445&lt;A18)*(ISNUMBER(SEARCH("Unleaded",RAW_INPUT!D5:D445)))*1),"-")</f>
        <v>3.718</v>
      </c>
      <c r="D85" s="64" cm="1">
        <f t="array" ref="D85">IFERROR(SUMPRODUCT((RAW_INPUT!A5:A445&gt;=A17)*(RAW_INPUT!A5:A445&lt;A18)*(ISNUMBER(SEARCH("Premium",RAW_INPUT!D5:D445)))*RAW_INPUT!F5:F445)/SUMPRODUCT((RAW_INPUT!A5:A445&gt;=A17)*(RAW_INPUT!A5:A445&lt;A18)*(ISNUMBER(SEARCH("Premium",RAW_INPUT!D5:D445)))*1),"-")</f>
        <v>3.7116666666666664</v>
      </c>
      <c r="E85" s="64" cm="1">
        <f t="array" ref="E85">IFERROR(SUMPRODUCT((RAW_INPUT!A5:A445&gt;=A17)*(RAW_INPUT!A5:A445&lt;A18)*(ISNUMBER(SEARCH("Bulk",RAW_INPUT!D5:D445)))*RAW_INPUT!F5:F445)/SUMPRODUCT((RAW_INPUT!A5:A445&gt;=A17)*(RAW_INPUT!A5:A445&lt;A18)*(ISNUMBER(SEARCH("Bulk",RAW_INPUT!D5:D445)))*1),"-")</f>
        <v>3.76</v>
      </c>
      <c r="F85" s="64" cm="1">
        <f t="array" ref="F85">IFERROR(SUMPRODUCT((RAW_INPUT!A5:A445&gt;=A17)*(RAW_INPUT!A5:A445&lt;A18)*(ISNUMBER(SEARCH("Fleet",RAW_INPUT!D5:D445)))*RAW_INPUT!F5:F445)/SUMPRODUCT((RAW_INPUT!A5:A445&gt;=A17)*(RAW_INPUT!A5:A445&lt;A18)*(ISNUMBER(SEARCH("Fleet",RAW_INPUT!D5:D445)))*1),"-")</f>
        <v>3.74</v>
      </c>
      <c r="G85" s="64">
        <f>E17</f>
        <v>3.7183846248918551</v>
      </c>
      <c r="H85" s="62">
        <f>IFERROR((G85-G84)/G84,"-")</f>
        <v>-3.1472762799507108E-2</v>
      </c>
    </row>
    <row r="86" spans="1:8" x14ac:dyDescent="0.25">
      <c r="A86" s="49">
        <f>A18</f>
        <v>45778</v>
      </c>
      <c r="B86" s="52" cm="1">
        <f t="array" ref="B86">IFERROR(SUMPRODUCT((RAW_INPUT!A5:A445&gt;=A18)*(RAW_INPUT!A5:A445&lt;A19)*(ISNUMBER(SEARCH("Diesel Delivery",RAW_INPUT!D5:D445)))*RAW_INPUT!F5:F445)/SUMPRODUCT((RAW_INPUT!A5:A445&gt;=A18)*(RAW_INPUT!A5:A445&lt;A19)*(ISNUMBER(SEARCH("Diesel Delivery",RAW_INPUT!D5:D445)))*1),"-")</f>
        <v>3.58</v>
      </c>
      <c r="C86" s="52" cm="1">
        <f t="array" ref="C86">IFERROR(SUMPRODUCT((RAW_INPUT!A5:A445&gt;=A18)*(RAW_INPUT!A5:A445&lt;A19)*(ISNUMBER(SEARCH("Unleaded",RAW_INPUT!D5:D445)))*RAW_INPUT!F5:F445)/SUMPRODUCT((RAW_INPUT!A5:A445&gt;=A18)*(RAW_INPUT!A5:A445&lt;A19)*(ISNUMBER(SEARCH("Unleaded",RAW_INPUT!D5:D445)))*1),"-")</f>
        <v>3.4857142857142853</v>
      </c>
      <c r="D86" s="52" cm="1">
        <f t="array" ref="D86">IFERROR(SUMPRODUCT((RAW_INPUT!A5:A445&gt;=A18)*(RAW_INPUT!A5:A445&lt;A19)*(ISNUMBER(SEARCH("Premium",RAW_INPUT!D5:D445)))*RAW_INPUT!F5:F445)/SUMPRODUCT((RAW_INPUT!A5:A445&gt;=A18)*(RAW_INPUT!A5:A445&lt;A19)*(ISNUMBER(SEARCH("Premium",RAW_INPUT!D5:D445)))*1),"-")</f>
        <v>3.5599999999999996</v>
      </c>
      <c r="E86" s="52" cm="1">
        <f t="array" ref="E86">IFERROR(SUMPRODUCT((RAW_INPUT!A5:A445&gt;=A18)*(RAW_INPUT!A5:A445&lt;A19)*(ISNUMBER(SEARCH("Bulk",RAW_INPUT!D5:D445)))*RAW_INPUT!F5:F445)/SUMPRODUCT((RAW_INPUT!A5:A445&gt;=A18)*(RAW_INPUT!A5:A445&lt;A19)*(ISNUMBER(SEARCH("Bulk",RAW_INPUT!D5:D445)))*1),"-")</f>
        <v>3.5000000000000009</v>
      </c>
      <c r="F86" s="52" cm="1">
        <f t="array" ref="F86">IFERROR(SUMPRODUCT((RAW_INPUT!A5:A445&gt;=A18)*(RAW_INPUT!A5:A445&lt;A19)*(ISNUMBER(SEARCH("Fleet",RAW_INPUT!D5:D445)))*RAW_INPUT!F5:F445)/SUMPRODUCT((RAW_INPUT!A5:A445&gt;=A18)*(RAW_INPUT!A5:A445&lt;A19)*(ISNUMBER(SEARCH("Fleet",RAW_INPUT!D5:D445)))*1),"-")</f>
        <v>3.4766666666666666</v>
      </c>
      <c r="G86" s="52">
        <f>E18</f>
        <v>3.4926351942050715</v>
      </c>
      <c r="H86" s="53">
        <f>IFERROR((G86-G85)/G85,"-")</f>
        <v>-6.0711694313588985E-2</v>
      </c>
    </row>
    <row r="87" spans="1:8" x14ac:dyDescent="0.25">
      <c r="A87" s="68">
        <f>A19</f>
        <v>45809</v>
      </c>
      <c r="B87" s="64" cm="1">
        <f t="array" ref="B87">IFERROR(SUMPRODUCT((RAW_INPUT!A5:A445&gt;=A19)*(RAW_INPUT!A5:A445&lt;A20)*(ISNUMBER(SEARCH("Diesel Delivery",RAW_INPUT!D5:D445)))*RAW_INPUT!F5:F445)/SUMPRODUCT((RAW_INPUT!A5:A445&gt;=A19)*(RAW_INPUT!A5:A445&lt;A20)*(ISNUMBER(SEARCH("Diesel Delivery",RAW_INPUT!D5:D445)))*1),"-")</f>
        <v>3.6</v>
      </c>
      <c r="C87" s="64" cm="1">
        <f t="array" ref="C87">IFERROR(SUMPRODUCT((RAW_INPUT!A5:A445&gt;=A19)*(RAW_INPUT!A5:A445&lt;A20)*(ISNUMBER(SEARCH("Unleaded",RAW_INPUT!D5:D445)))*RAW_INPUT!F5:F445)/SUMPRODUCT((RAW_INPUT!A5:A445&gt;=A19)*(RAW_INPUT!A5:A445&lt;A20)*(ISNUMBER(SEARCH("Unleaded",RAW_INPUT!D5:D445)))*1),"-")</f>
        <v>3.6150000000000002</v>
      </c>
      <c r="D87" s="64" cm="1">
        <f t="array" ref="D87">IFERROR(SUMPRODUCT((RAW_INPUT!A5:A445&gt;=A19)*(RAW_INPUT!A5:A445&lt;A20)*(ISNUMBER(SEARCH("Premium",RAW_INPUT!D5:D445)))*RAW_INPUT!F5:F445)/SUMPRODUCT((RAW_INPUT!A5:A445&gt;=A19)*(RAW_INPUT!A5:A445&lt;A20)*(ISNUMBER(SEARCH("Premium",RAW_INPUT!D5:D445)))*1),"-")</f>
        <v>3.6433333333333331</v>
      </c>
      <c r="E87" s="64" cm="1">
        <f t="array" ref="E87">IFERROR(SUMPRODUCT((RAW_INPUT!A5:A445&gt;=A19)*(RAW_INPUT!A5:A445&lt;A20)*(ISNUMBER(SEARCH("Bulk",RAW_INPUT!D5:D445)))*RAW_INPUT!F5:F445)/SUMPRODUCT((RAW_INPUT!A5:A445&gt;=A19)*(RAW_INPUT!A5:A445&lt;A20)*(ISNUMBER(SEARCH("Bulk",RAW_INPUT!D5:D445)))*1),"-")</f>
        <v>3.7274999999999996</v>
      </c>
      <c r="F87" s="64" cm="1">
        <f t="array" ref="F87">IFERROR(SUMPRODUCT((RAW_INPUT!A5:A445&gt;=A19)*(RAW_INPUT!A5:A445&lt;A20)*(ISNUMBER(SEARCH("Fleet",RAW_INPUT!D5:D445)))*RAW_INPUT!F5:F445)/SUMPRODUCT((RAW_INPUT!A5:A445&gt;=A19)*(RAW_INPUT!A5:A445&lt;A20)*(ISNUMBER(SEARCH("Fleet",RAW_INPUT!D5:D445)))*1),"-")</f>
        <v>3.7616666666666667</v>
      </c>
      <c r="G87" s="64">
        <f>E19</f>
        <v>3.7048933723604436</v>
      </c>
      <c r="H87" s="62">
        <f>IFERROR((G87-G86)/G86,"-")</f>
        <v>6.0773074298612027E-2</v>
      </c>
    </row>
    <row r="88" spans="1:8" x14ac:dyDescent="0.25">
      <c r="A88" s="49">
        <f>A20</f>
        <v>45839</v>
      </c>
      <c r="B88" s="52" cm="1">
        <f t="array" ref="B88">IFERROR(SUMPRODUCT((RAW_INPUT!A5:A445&gt;=A20)*(RAW_INPUT!A5:A445&lt;A21)*(ISNUMBER(SEARCH("Diesel Delivery",RAW_INPUT!D5:D445)))*RAW_INPUT!F5:F445)/SUMPRODUCT((RAW_INPUT!A5:A445&gt;=A20)*(RAW_INPUT!A5:A445&lt;A21)*(ISNUMBER(SEARCH("Diesel Delivery",RAW_INPUT!D5:D445)))*1),"-")</f>
        <v>3.8499999999999996</v>
      </c>
      <c r="C88" s="52" cm="1">
        <f t="array" ref="C88">IFERROR(SUMPRODUCT((RAW_INPUT!A5:A445&gt;=A20)*(RAW_INPUT!A5:A445&lt;A21)*(ISNUMBER(SEARCH("Unleaded",RAW_INPUT!D5:D445)))*RAW_INPUT!F5:F445)/SUMPRODUCT((RAW_INPUT!A5:A445&gt;=A20)*(RAW_INPUT!A5:A445&lt;A21)*(ISNUMBER(SEARCH("Unleaded",RAW_INPUT!D5:D445)))*1),"-")</f>
        <v>3.84</v>
      </c>
      <c r="D88" s="52" cm="1">
        <f t="array" ref="D88">IFERROR(SUMPRODUCT((RAW_INPUT!A5:A445&gt;=A20)*(RAW_INPUT!A5:A445&lt;A21)*(ISNUMBER(SEARCH("Premium",RAW_INPUT!D5:D445)))*RAW_INPUT!F5:F445)/SUMPRODUCT((RAW_INPUT!A5:A445&gt;=A20)*(RAW_INPUT!A5:A445&lt;A21)*(ISNUMBER(SEARCH("Premium",RAW_INPUT!D5:D445)))*1),"-")</f>
        <v>3.88</v>
      </c>
      <c r="E88" s="52" cm="1">
        <f t="array" ref="E88">IFERROR(SUMPRODUCT((RAW_INPUT!A5:A445&gt;=A20)*(RAW_INPUT!A5:A445&lt;A21)*(ISNUMBER(SEARCH("Bulk",RAW_INPUT!D5:D445)))*RAW_INPUT!F5:F445)/SUMPRODUCT((RAW_INPUT!A5:A445&gt;=A20)*(RAW_INPUT!A5:A445&lt;A21)*(ISNUMBER(SEARCH("Bulk",RAW_INPUT!D5:D445)))*1),"-")</f>
        <v>3.8833333333333333</v>
      </c>
      <c r="F88" s="52" cm="1">
        <f t="array" ref="F88">IFERROR(SUMPRODUCT((RAW_INPUT!A5:A445&gt;=A20)*(RAW_INPUT!A5:A445&lt;A21)*(ISNUMBER(SEARCH("Fleet",RAW_INPUT!D5:D445)))*RAW_INPUT!F5:F445)/SUMPRODUCT((RAW_INPUT!A5:A445&gt;=A20)*(RAW_INPUT!A5:A445&lt;A21)*(ISNUMBER(SEARCH("Fleet",RAW_INPUT!D5:D445)))*1),"-")</f>
        <v>3.8266666666666667</v>
      </c>
      <c r="G88" s="52">
        <f>E20</f>
        <v>3.8408620000000004</v>
      </c>
      <c r="H88" s="53">
        <f>IFERROR((G88-G87)/G87,"-")</f>
        <v>3.6699741119115982E-2</v>
      </c>
    </row>
    <row r="89" spans="1:8" x14ac:dyDescent="0.25">
      <c r="A89" s="68">
        <f>A21</f>
        <v>45870</v>
      </c>
      <c r="B89" s="64" t="str" cm="1">
        <f t="array" ref="B89">IFERROR(SUMPRODUCT((RAW_INPUT!A5:A445&gt;=A21)*(RAW_INPUT!A5:A445&lt;A22)*(ISNUMBER(SEARCH("Diesel Delivery",RAW_INPUT!D5:D445)))*RAW_INPUT!F5:F445)/SUMPRODUCT((RAW_INPUT!A5:A445&gt;=A21)*(RAW_INPUT!A5:A445&lt;A22)*(ISNUMBER(SEARCH("Diesel Delivery",RAW_INPUT!D5:D445)))*1),"-")</f>
        <v>-</v>
      </c>
      <c r="C89" s="64" cm="1">
        <f t="array" ref="C89">IFERROR(SUMPRODUCT((RAW_INPUT!A5:A445&gt;=A21)*(RAW_INPUT!A5:A445&lt;A22)*(ISNUMBER(SEARCH("Unleaded",RAW_INPUT!D5:D445)))*RAW_INPUT!F5:F445)/SUMPRODUCT((RAW_INPUT!A5:A445&gt;=A21)*(RAW_INPUT!A5:A445&lt;A22)*(ISNUMBER(SEARCH("Unleaded",RAW_INPUT!D5:D445)))*1),"-")</f>
        <v>3.7850000000000001</v>
      </c>
      <c r="D89" s="64" cm="1">
        <f t="array" ref="D89">IFERROR(SUMPRODUCT((RAW_INPUT!A5:A445&gt;=A21)*(RAW_INPUT!A5:A445&lt;A22)*(ISNUMBER(SEARCH("Premium",RAW_INPUT!D5:D445)))*RAW_INPUT!F5:F445)/SUMPRODUCT((RAW_INPUT!A5:A445&gt;=A21)*(RAW_INPUT!A5:A445&lt;A22)*(ISNUMBER(SEARCH("Premium",RAW_INPUT!D5:D445)))*1),"-")</f>
        <v>3.7549999999999994</v>
      </c>
      <c r="E89" s="64" cm="1">
        <f t="array" ref="E89">IFERROR(SUMPRODUCT((RAW_INPUT!A5:A445&gt;=A21)*(RAW_INPUT!A5:A445&lt;A22)*(ISNUMBER(SEARCH("Bulk",RAW_INPUT!D5:D445)))*RAW_INPUT!F5:F445)/SUMPRODUCT((RAW_INPUT!A5:A445&gt;=A21)*(RAW_INPUT!A5:A445&lt;A22)*(ISNUMBER(SEARCH("Bulk",RAW_INPUT!D5:D445)))*1),"-")</f>
        <v>3.7157142857142853</v>
      </c>
      <c r="F89" s="64" cm="1">
        <f t="array" ref="F89">IFERROR(SUMPRODUCT((RAW_INPUT!A5:A445&gt;=A21)*(RAW_INPUT!A5:A445&lt;A22)*(ISNUMBER(SEARCH("Fleet",RAW_INPUT!D5:D445)))*RAW_INPUT!F5:F445)/SUMPRODUCT((RAW_INPUT!A5:A445&gt;=A21)*(RAW_INPUT!A5:A445&lt;A22)*(ISNUMBER(SEARCH("Fleet",RAW_INPUT!D5:D445)))*1),"-")</f>
        <v>3.726</v>
      </c>
      <c r="G89" s="64">
        <f>E21</f>
        <v>3.7354424885459365</v>
      </c>
      <c r="H89" s="62">
        <f>IFERROR((G89-G88)/G88,"-")</f>
        <v>-2.7446836531503579E-2</v>
      </c>
    </row>
    <row r="90" spans="1:8" x14ac:dyDescent="0.25">
      <c r="A90" s="49">
        <f>A22</f>
        <v>45901</v>
      </c>
      <c r="B90" s="52" cm="1">
        <f t="array" ref="B90">IFERROR(SUMPRODUCT((RAW_INPUT!A5:A445&gt;=A22)*(RAW_INPUT!A5:A445&lt;A23)*(ISNUMBER(SEARCH("Diesel Delivery",RAW_INPUT!D5:D445)))*RAW_INPUT!F5:F445)/SUMPRODUCT((RAW_INPUT!A5:A445&gt;=A22)*(RAW_INPUT!A5:A445&lt;A23)*(ISNUMBER(SEARCH("Diesel Delivery",RAW_INPUT!D5:D445)))*1),"-")</f>
        <v>3.5325000000000002</v>
      </c>
      <c r="C90" s="52" cm="1">
        <f t="array" ref="C90">IFERROR(SUMPRODUCT((RAW_INPUT!A5:A445&gt;=A22)*(RAW_INPUT!A5:A445&lt;A23)*(ISNUMBER(SEARCH("Unleaded",RAW_INPUT!D5:D445)))*RAW_INPUT!F5:F445)/SUMPRODUCT((RAW_INPUT!A5:A445&gt;=A22)*(RAW_INPUT!A5:A445&lt;A23)*(ISNUMBER(SEARCH("Unleaded",RAW_INPUT!D5:D445)))*1),"-")</f>
        <v>3.4899999999999998</v>
      </c>
      <c r="D90" s="52" cm="1">
        <f t="array" ref="D90">IFERROR(SUMPRODUCT((RAW_INPUT!A5:A445&gt;=A22)*(RAW_INPUT!A5:A445&lt;A23)*(ISNUMBER(SEARCH("Premium",RAW_INPUT!D5:D445)))*RAW_INPUT!F5:F445)/SUMPRODUCT((RAW_INPUT!A5:A445&gt;=A22)*(RAW_INPUT!A5:A445&lt;A23)*(ISNUMBER(SEARCH("Premium",RAW_INPUT!D5:D445)))*1),"-")</f>
        <v>3.53</v>
      </c>
      <c r="E90" s="52" cm="1">
        <f t="array" ref="E90">IFERROR(SUMPRODUCT((RAW_INPUT!A5:A445&gt;=A22)*(RAW_INPUT!A5:A445&lt;A23)*(ISNUMBER(SEARCH("Bulk",RAW_INPUT!D5:D445)))*RAW_INPUT!F5:F445)/SUMPRODUCT((RAW_INPUT!A5:A445&gt;=A22)*(RAW_INPUT!A5:A445&lt;A23)*(ISNUMBER(SEARCH("Bulk",RAW_INPUT!D5:D445)))*1),"-")</f>
        <v>3.57</v>
      </c>
      <c r="F90" s="52" cm="1">
        <f t="array" ref="F90">IFERROR(SUMPRODUCT((RAW_INPUT!A5:A445&gt;=A22)*(RAW_INPUT!A5:A445&lt;A23)*(ISNUMBER(SEARCH("Fleet",RAW_INPUT!D5:D445)))*RAW_INPUT!F5:F445)/SUMPRODUCT((RAW_INPUT!A5:A445&gt;=A22)*(RAW_INPUT!A5:A445&lt;A23)*(ISNUMBER(SEARCH("Fleet",RAW_INPUT!D5:D445)))*1),"-")</f>
        <v>3.52</v>
      </c>
      <c r="G90" s="52">
        <f>E22</f>
        <v>3.5220847828888031</v>
      </c>
      <c r="H90" s="53">
        <f>IFERROR((G90-G89)/G89,"-")</f>
        <v>-5.7117116997880836E-2</v>
      </c>
    </row>
    <row r="91" spans="1:8" x14ac:dyDescent="0.25">
      <c r="A91" s="68">
        <f>A23</f>
        <v>45931</v>
      </c>
      <c r="B91" s="64" cm="1">
        <f t="array" ref="B91">IFERROR(SUMPRODUCT((RAW_INPUT!A5:A445&gt;=A23)*(RAW_INPUT!A5:A445&lt;A24)*(ISNUMBER(SEARCH("Diesel Delivery",RAW_INPUT!D5:D445)))*RAW_INPUT!F5:F445)/SUMPRODUCT((RAW_INPUT!A5:A445&gt;=A23)*(RAW_INPUT!A5:A445&lt;A24)*(ISNUMBER(SEARCH("Diesel Delivery",RAW_INPUT!D5:D445)))*1),"-")</f>
        <v>3.65</v>
      </c>
      <c r="C91" s="64" cm="1">
        <f t="array" ref="C91">IFERROR(SUMPRODUCT((RAW_INPUT!A5:A445&gt;=A23)*(RAW_INPUT!A5:A445&lt;A24)*(ISNUMBER(SEARCH("Unleaded",RAW_INPUT!D5:D445)))*RAW_INPUT!F5:F445)/SUMPRODUCT((RAW_INPUT!A5:A445&gt;=A23)*(RAW_INPUT!A5:A445&lt;A24)*(ISNUMBER(SEARCH("Unleaded",RAW_INPUT!D5:D445)))*1),"-")</f>
        <v>3.7075000000000005</v>
      </c>
      <c r="D91" s="64" cm="1">
        <f t="array" ref="D91">IFERROR(SUMPRODUCT((RAW_INPUT!A5:A445&gt;=A23)*(RAW_INPUT!A5:A445&lt;A24)*(ISNUMBER(SEARCH("Premium",RAW_INPUT!D5:D445)))*RAW_INPUT!F5:F445)/SUMPRODUCT((RAW_INPUT!A5:A445&gt;=A23)*(RAW_INPUT!A5:A445&lt;A24)*(ISNUMBER(SEARCH("Premium",RAW_INPUT!D5:D445)))*1),"-")</f>
        <v>3.6388888888888888</v>
      </c>
      <c r="E91" s="64" cm="1">
        <f t="array" ref="E91">IFERROR(SUMPRODUCT((RAW_INPUT!A5:A445&gt;=A23)*(RAW_INPUT!A5:A445&lt;A24)*(ISNUMBER(SEARCH("Bulk",RAW_INPUT!D5:D445)))*RAW_INPUT!F5:F445)/SUMPRODUCT((RAW_INPUT!A5:A445&gt;=A23)*(RAW_INPUT!A5:A445&lt;A24)*(ISNUMBER(SEARCH("Bulk",RAW_INPUT!D5:D445)))*1),"-")</f>
        <v>3.59</v>
      </c>
      <c r="F91" s="64" cm="1">
        <f t="array" ref="F91">IFERROR(SUMPRODUCT((RAW_INPUT!A5:A445&gt;=A23)*(RAW_INPUT!A5:A445&lt;A24)*(ISNUMBER(SEARCH("Fleet",RAW_INPUT!D5:D445)))*RAW_INPUT!F5:F445)/SUMPRODUCT((RAW_INPUT!A5:A445&gt;=A23)*(RAW_INPUT!A5:A445&lt;A24)*(ISNUMBER(SEARCH("Fleet",RAW_INPUT!D5:D445)))*1),"-")</f>
        <v>3.85</v>
      </c>
      <c r="G91" s="64">
        <f>E23</f>
        <v>3.6711558704453444</v>
      </c>
      <c r="H91" s="62">
        <f>IFERROR((G91-G90)/G90,"-")</f>
        <v>4.2324673239203983E-2</v>
      </c>
    </row>
    <row r="92" spans="1:8" x14ac:dyDescent="0.25">
      <c r="A92" s="49">
        <f>A24</f>
        <v>45962</v>
      </c>
      <c r="B92" s="52" cm="1">
        <f t="array" ref="B92">IFERROR(SUMPRODUCT((RAW_INPUT!A5:A445&gt;=A24)*(RAW_INPUT!A5:A445&lt;A25)*(ISNUMBER(SEARCH("Diesel Delivery",RAW_INPUT!D5:D445)))*RAW_INPUT!F5:F445)/SUMPRODUCT((RAW_INPUT!A5:A445&gt;=A24)*(RAW_INPUT!A5:A445&lt;A25)*(ISNUMBER(SEARCH("Diesel Delivery",RAW_INPUT!D5:D445)))*1),"-")</f>
        <v>3.8149999999999999</v>
      </c>
      <c r="C92" s="52" cm="1">
        <f t="array" ref="C92">IFERROR(SUMPRODUCT((RAW_INPUT!A5:A445&gt;=A24)*(RAW_INPUT!A5:A445&lt;A25)*(ISNUMBER(SEARCH("Unleaded",RAW_INPUT!D5:D445)))*RAW_INPUT!F5:F445)/SUMPRODUCT((RAW_INPUT!A5:A445&gt;=A24)*(RAW_INPUT!A5:A445&lt;A25)*(ISNUMBER(SEARCH("Unleaded",RAW_INPUT!D5:D445)))*1),"-")</f>
        <v>3.86</v>
      </c>
      <c r="D92" s="52" cm="1">
        <f t="array" ref="D92">IFERROR(SUMPRODUCT((RAW_INPUT!A5:A445&gt;=A24)*(RAW_INPUT!A5:A445&lt;A25)*(ISNUMBER(SEARCH("Premium",RAW_INPUT!D5:D445)))*RAW_INPUT!F5:F445)/SUMPRODUCT((RAW_INPUT!A5:A445&gt;=A24)*(RAW_INPUT!A5:A445&lt;A25)*(ISNUMBER(SEARCH("Premium",RAW_INPUT!D5:D445)))*1),"-")</f>
        <v>3.7800000000000002</v>
      </c>
      <c r="E92" s="52" cm="1">
        <f t="array" ref="E92">IFERROR(SUMPRODUCT((RAW_INPUT!A5:A445&gt;=A24)*(RAW_INPUT!A5:A445&lt;A25)*(ISNUMBER(SEARCH("Bulk",RAW_INPUT!D5:D445)))*RAW_INPUT!F5:F445)/SUMPRODUCT((RAW_INPUT!A5:A445&gt;=A24)*(RAW_INPUT!A5:A445&lt;A25)*(ISNUMBER(SEARCH("Bulk",RAW_INPUT!D5:D445)))*1),"-")</f>
        <v>3.86</v>
      </c>
      <c r="F92" s="52" cm="1">
        <f t="array" ref="F92">IFERROR(SUMPRODUCT((RAW_INPUT!A5:A445&gt;=A24)*(RAW_INPUT!A5:A445&lt;A25)*(ISNUMBER(SEARCH("Fleet",RAW_INPUT!D5:D445)))*RAW_INPUT!F5:F445)/SUMPRODUCT((RAW_INPUT!A5:A445&gt;=A24)*(RAW_INPUT!A5:A445&lt;A25)*(ISNUMBER(SEARCH("Fleet",RAW_INPUT!D5:D445)))*1),"-")</f>
        <v>3.8149999999999999</v>
      </c>
      <c r="G92" s="52">
        <f>E24</f>
        <v>3.8284246414295788</v>
      </c>
      <c r="H92" s="53">
        <f>IFERROR((G92-G91)/G91,"-")</f>
        <v>4.2839033953945491E-2</v>
      </c>
    </row>
    <row r="93" spans="1:8" x14ac:dyDescent="0.25">
      <c r="A93" s="68">
        <f>A25</f>
        <v>45992</v>
      </c>
      <c r="B93" s="64" cm="1">
        <f t="array" ref="B93">IFERROR(SUMPRODUCT((RAW_INPUT!A5:A445&gt;=A25)*(RAW_INPUT!A5:A445&lt;A26)*(ISNUMBER(SEARCH("Diesel Delivery",RAW_INPUT!D5:D445)))*RAW_INPUT!F5:F445)/SUMPRODUCT((RAW_INPUT!A5:A445&gt;=A25)*(RAW_INPUT!A5:A445&lt;A26)*(ISNUMBER(SEARCH("Diesel Delivery",RAW_INPUT!D5:D445)))*1),"-")</f>
        <v>3.7749999999999999</v>
      </c>
      <c r="C93" s="64" cm="1">
        <f t="array" ref="C93">IFERROR(SUMPRODUCT((RAW_INPUT!A5:A445&gt;=A25)*(RAW_INPUT!A5:A445&lt;A26)*(ISNUMBER(SEARCH("Unleaded",RAW_INPUT!D5:D445)))*RAW_INPUT!F5:F445)/SUMPRODUCT((RAW_INPUT!A5:A445&gt;=A25)*(RAW_INPUT!A5:A445&lt;A26)*(ISNUMBER(SEARCH("Unleaded",RAW_INPUT!D5:D445)))*1),"-")</f>
        <v>3.7275</v>
      </c>
      <c r="D93" s="64" cm="1">
        <f t="array" ref="D93">IFERROR(SUMPRODUCT((RAW_INPUT!A5:A445&gt;=A25)*(RAW_INPUT!A5:A445&lt;A26)*(ISNUMBER(SEARCH("Premium",RAW_INPUT!D5:D445)))*RAW_INPUT!F5:F445)/SUMPRODUCT((RAW_INPUT!A5:A445&gt;=A25)*(RAW_INPUT!A5:A445&lt;A26)*(ISNUMBER(SEARCH("Premium",RAW_INPUT!D5:D445)))*1),"-")</f>
        <v>3.7233333333333332</v>
      </c>
      <c r="E93" s="64" cm="1">
        <f t="array" ref="E93">IFERROR(SUMPRODUCT((RAW_INPUT!A5:A445&gt;=A25)*(RAW_INPUT!A5:A445&lt;A26)*(ISNUMBER(SEARCH("Bulk",RAW_INPUT!D5:D445)))*RAW_INPUT!F5:F445)/SUMPRODUCT((RAW_INPUT!A5:A445&gt;=A25)*(RAW_INPUT!A5:A445&lt;A26)*(ISNUMBER(SEARCH("Bulk",RAW_INPUT!D5:D445)))*1),"-")</f>
        <v>3.786</v>
      </c>
      <c r="F93" s="64" cm="1">
        <f t="array" ref="F93">IFERROR(SUMPRODUCT((RAW_INPUT!A5:A445&gt;=A25)*(RAW_INPUT!A5:A445&lt;A26)*(ISNUMBER(SEARCH("Fleet",RAW_INPUT!D5:D445)))*RAW_INPUT!F5:F445)/SUMPRODUCT((RAW_INPUT!A5:A445&gt;=A25)*(RAW_INPUT!A5:A445&lt;A26)*(ISNUMBER(SEARCH("Fleet",RAW_INPUT!D5:D445)))*1),"-")</f>
        <v>3.7933333333333334</v>
      </c>
      <c r="G93" s="64">
        <f>E25</f>
        <v>3.7634139092530225</v>
      </c>
      <c r="H93" s="62">
        <f>IFERROR((G93-G92)/G92,"-")</f>
        <v>-1.6981066173547697E-2</v>
      </c>
    </row>
    <row r="94" spans="1:8" x14ac:dyDescent="0.25">
      <c r="A94" s="49">
        <f>A26</f>
        <v>46023</v>
      </c>
      <c r="B94" s="52" cm="1">
        <f t="array" ref="B94">IFERROR(SUMPRODUCT((RAW_INPUT!A5:A445&gt;=A26)*(RAW_INPUT!A5:A445&lt;A27)*(ISNUMBER(SEARCH("Diesel Delivery",RAW_INPUT!D5:D445)))*RAW_INPUT!F5:F445)/SUMPRODUCT((RAW_INPUT!A5:A445&gt;=A26)*(RAW_INPUT!A5:A445&lt;A27)*(ISNUMBER(SEARCH("Diesel Delivery",RAW_INPUT!D5:D445)))*1),"-")</f>
        <v>3.5400000000000005</v>
      </c>
      <c r="C94" s="52" cm="1">
        <f t="array" ref="C94">IFERROR(SUMPRODUCT((RAW_INPUT!A5:A445&gt;=A26)*(RAW_INPUT!A5:A445&lt;A27)*(ISNUMBER(SEARCH("Unleaded",RAW_INPUT!D5:D445)))*RAW_INPUT!F5:F445)/SUMPRODUCT((RAW_INPUT!A5:A445&gt;=A26)*(RAW_INPUT!A5:A445&lt;A27)*(ISNUMBER(SEARCH("Unleaded",RAW_INPUT!D5:D445)))*1),"-")</f>
        <v>3.54</v>
      </c>
      <c r="D94" s="52" cm="1">
        <f t="array" ref="D94">IFERROR(SUMPRODUCT((RAW_INPUT!A5:A445&gt;=A26)*(RAW_INPUT!A5:A445&lt;A27)*(ISNUMBER(SEARCH("Premium",RAW_INPUT!D5:D445)))*RAW_INPUT!F5:F445)/SUMPRODUCT((RAW_INPUT!A5:A445&gt;=A26)*(RAW_INPUT!A5:A445&lt;A27)*(ISNUMBER(SEARCH("Premium",RAW_INPUT!D5:D445)))*1),"-")</f>
        <v>3.6079999999999997</v>
      </c>
      <c r="E94" s="52" cm="1">
        <f t="array" ref="E94">IFERROR(SUMPRODUCT((RAW_INPUT!A5:A445&gt;=A26)*(RAW_INPUT!A5:A445&lt;A27)*(ISNUMBER(SEARCH("Bulk",RAW_INPUT!D5:D445)))*RAW_INPUT!F5:F445)/SUMPRODUCT((RAW_INPUT!A5:A445&gt;=A26)*(RAW_INPUT!A5:A445&lt;A27)*(ISNUMBER(SEARCH("Bulk",RAW_INPUT!D5:D445)))*1),"-")</f>
        <v>3.524285714285714</v>
      </c>
      <c r="F94" s="52" cm="1">
        <f t="array" ref="F94">IFERROR(SUMPRODUCT((RAW_INPUT!A5:A445&gt;=A26)*(RAW_INPUT!A5:A445&lt;A27)*(ISNUMBER(SEARCH("Fleet",RAW_INPUT!D5:D445)))*RAW_INPUT!F5:F445)/SUMPRODUCT((RAW_INPUT!A5:A445&gt;=A26)*(RAW_INPUT!A5:A445&lt;A27)*(ISNUMBER(SEARCH("Fleet",RAW_INPUT!D5:D445)))*1),"-")</f>
        <v>3.5449999999999999</v>
      </c>
      <c r="G94" s="52">
        <f>E26</f>
        <v>3.5460483978194386</v>
      </c>
      <c r="H94" s="53">
        <f>IFERROR((G94-G93)/G93,"-")</f>
        <v>-5.7757535225969214E-2</v>
      </c>
    </row>
    <row r="95" spans="1:8" x14ac:dyDescent="0.25">
      <c r="A95" s="68">
        <f>A27</f>
        <v>46054</v>
      </c>
      <c r="B95" s="64" cm="1">
        <f t="array" ref="B95">IFERROR(SUMPRODUCT((RAW_INPUT!A5:A445&gt;=A27)*(RAW_INPUT!A5:A445&lt;A28)*(ISNUMBER(SEARCH("Diesel Delivery",RAW_INPUT!D5:D445)))*RAW_INPUT!F5:F445)/SUMPRODUCT((RAW_INPUT!A5:A445&gt;=A27)*(RAW_INPUT!A5:A445&lt;A28)*(ISNUMBER(SEARCH("Diesel Delivery",RAW_INPUT!D5:D445)))*1),"-")</f>
        <v>3.3866666666666667</v>
      </c>
      <c r="C95" s="64" cm="1">
        <f t="array" ref="C95">IFERROR(SUMPRODUCT((RAW_INPUT!A5:A445&gt;=A27)*(RAW_INPUT!A5:A445&lt;A28)*(ISNUMBER(SEARCH("Unleaded",RAW_INPUT!D5:D445)))*RAW_INPUT!F5:F445)/SUMPRODUCT((RAW_INPUT!A5:A445&gt;=A27)*(RAW_INPUT!A5:A445&lt;A28)*(ISNUMBER(SEARCH("Unleaded",RAW_INPUT!D5:D445)))*1),"-")</f>
        <v>3.7133333333333334</v>
      </c>
      <c r="D95" s="64" cm="1">
        <f t="array" ref="D95">IFERROR(SUMPRODUCT((RAW_INPUT!A5:A445&gt;=A27)*(RAW_INPUT!A5:A445&lt;A28)*(ISNUMBER(SEARCH("Premium",RAW_INPUT!D5:D445)))*RAW_INPUT!F5:F445)/SUMPRODUCT((RAW_INPUT!A5:A445&gt;=A27)*(RAW_INPUT!A5:A445&lt;A28)*(ISNUMBER(SEARCH("Premium",RAW_INPUT!D5:D445)))*1),"-")</f>
        <v>3.83</v>
      </c>
      <c r="E95" s="64" cm="1">
        <f t="array" ref="E95">IFERROR(SUMPRODUCT((RAW_INPUT!A5:A445&gt;=A27)*(RAW_INPUT!A5:A445&lt;A28)*(ISNUMBER(SEARCH("Bulk",RAW_INPUT!D5:D445)))*RAW_INPUT!F5:F445)/SUMPRODUCT((RAW_INPUT!A5:A445&gt;=A27)*(RAW_INPUT!A5:A445&lt;A28)*(ISNUMBER(SEARCH("Bulk",RAW_INPUT!D5:D445)))*1),"-")</f>
        <v>3.6859999999999999</v>
      </c>
      <c r="F95" s="64" cm="1">
        <f t="array" ref="F95">IFERROR(SUMPRODUCT((RAW_INPUT!A5:A445&gt;=A27)*(RAW_INPUT!A5:A445&lt;A28)*(ISNUMBER(SEARCH("Fleet",RAW_INPUT!D5:D445)))*RAW_INPUT!F5:F445)/SUMPRODUCT((RAW_INPUT!A5:A445&gt;=A27)*(RAW_INPUT!A5:A445&lt;A28)*(ISNUMBER(SEARCH("Fleet",RAW_INPUT!D5:D445)))*1),"-")</f>
        <v>3.5175000000000001</v>
      </c>
      <c r="G95" s="64">
        <f>E27</f>
        <v>3.6122269596589045</v>
      </c>
      <c r="H95" s="62">
        <f>IFERROR((G95-G94)/G94,"-")</f>
        <v>1.8662622281230258E-2</v>
      </c>
    </row>
    <row r="96" spans="1:8" x14ac:dyDescent="0.25">
      <c r="A96" s="49">
        <f>A28</f>
        <v>46082</v>
      </c>
      <c r="B96" s="52" t="str" cm="1">
        <f t="array" ref="B96">IFERROR(SUMPRODUCT((RAW_INPUT!A5:A445&gt;=A28)*(RAW_INPUT!A5:A445&lt;A29)*(ISNUMBER(SEARCH("Diesel Delivery",RAW_INPUT!D5:D445)))*RAW_INPUT!F5:F445)/SUMPRODUCT((RAW_INPUT!A5:A445&gt;=A28)*(RAW_INPUT!A5:A445&lt;A29)*(ISNUMBER(SEARCH("Diesel Delivery",RAW_INPUT!D5:D445)))*1),"-")</f>
        <v>-</v>
      </c>
      <c r="C96" s="52" cm="1">
        <f t="array" ref="C96">IFERROR(SUMPRODUCT((RAW_INPUT!A5:A445&gt;=A28)*(RAW_INPUT!A5:A445&lt;A29)*(ISNUMBER(SEARCH("Unleaded",RAW_INPUT!D5:D445)))*RAW_INPUT!F5:F445)/SUMPRODUCT((RAW_INPUT!A5:A445&gt;=A28)*(RAW_INPUT!A5:A445&lt;A29)*(ISNUMBER(SEARCH("Unleaded",RAW_INPUT!D5:D445)))*1),"-")</f>
        <v>3.8025000000000002</v>
      </c>
      <c r="D96" s="52" cm="1">
        <f t="array" ref="D96">IFERROR(SUMPRODUCT((RAW_INPUT!A5:A445&gt;=A28)*(RAW_INPUT!A5:A445&lt;A29)*(ISNUMBER(SEARCH("Premium",RAW_INPUT!D5:D445)))*RAW_INPUT!F5:F445)/SUMPRODUCT((RAW_INPUT!A5:A445&gt;=A28)*(RAW_INPUT!A5:A445&lt;A29)*(ISNUMBER(SEARCH("Premium",RAW_INPUT!D5:D445)))*1),"-")</f>
        <v>3.7650000000000001</v>
      </c>
      <c r="E96" s="52" cm="1">
        <f t="array" ref="E96">IFERROR(SUMPRODUCT((RAW_INPUT!A5:A445&gt;=A28)*(RAW_INPUT!A5:A445&lt;A29)*(ISNUMBER(SEARCH("Bulk",RAW_INPUT!D5:D445)))*RAW_INPUT!F5:F445)/SUMPRODUCT((RAW_INPUT!A5:A445&gt;=A28)*(RAW_INPUT!A5:A445&lt;A29)*(ISNUMBER(SEARCH("Bulk",RAW_INPUT!D5:D445)))*1),"-")</f>
        <v>3.8157142857142858</v>
      </c>
      <c r="F96" s="52" cm="1">
        <f t="array" ref="F96">IFERROR(SUMPRODUCT((RAW_INPUT!A5:A445&gt;=A28)*(RAW_INPUT!A5:A445&lt;A29)*(ISNUMBER(SEARCH("Fleet",RAW_INPUT!D5:D445)))*RAW_INPUT!F5:F445)/SUMPRODUCT((RAW_INPUT!A5:A445&gt;=A28)*(RAW_INPUT!A5:A445&lt;A29)*(ISNUMBER(SEARCH("Fleet",RAW_INPUT!D5:D445)))*1),"-")</f>
        <v>3.8266666666666667</v>
      </c>
      <c r="G96" s="52">
        <f>E28</f>
        <v>3.8064174546887313</v>
      </c>
      <c r="H96" s="53">
        <f>IFERROR((G96-G95)/G95,"-")</f>
        <v>5.3759217568146327E-2</v>
      </c>
    </row>
    <row r="97" spans="1:12" x14ac:dyDescent="0.25">
      <c r="A97" s="68">
        <f>A29</f>
        <v>46113</v>
      </c>
      <c r="B97" s="64" cm="1">
        <f t="array" ref="B97">IFERROR(SUMPRODUCT((RAW_INPUT!A5:A445&gt;=A29)*(RAW_INPUT!A5:A445&lt;A30)*(ISNUMBER(SEARCH("Diesel Delivery",RAW_INPUT!D5:D445)))*RAW_INPUT!F5:F445)/SUMPRODUCT((RAW_INPUT!A5:A445&gt;=A29)*(RAW_INPUT!A5:A445&lt;A30)*(ISNUMBER(SEARCH("Diesel Delivery",RAW_INPUT!D5:D445)))*1),"-")</f>
        <v>3.813333333333333</v>
      </c>
      <c r="C97" s="64" cm="1">
        <f t="array" ref="C97">IFERROR(SUMPRODUCT((RAW_INPUT!A5:A445&gt;=A29)*(RAW_INPUT!A5:A445&lt;A30)*(ISNUMBER(SEARCH("Unleaded",RAW_INPUT!D5:D445)))*RAW_INPUT!F5:F445)/SUMPRODUCT((RAW_INPUT!A5:A445&gt;=A29)*(RAW_INPUT!A5:A445&lt;A30)*(ISNUMBER(SEARCH("Unleaded",RAW_INPUT!D5:D445)))*1),"-")</f>
        <v>3.813333333333333</v>
      </c>
      <c r="D97" s="64" cm="1">
        <f t="array" ref="D97">IFERROR(SUMPRODUCT((RAW_INPUT!A5:A445&gt;=A29)*(RAW_INPUT!A5:A445&lt;A30)*(ISNUMBER(SEARCH("Premium",RAW_INPUT!D5:D445)))*RAW_INPUT!F5:F445)/SUMPRODUCT((RAW_INPUT!A5:A445&gt;=A29)*(RAW_INPUT!A5:A445&lt;A30)*(ISNUMBER(SEARCH("Premium",RAW_INPUT!D5:D445)))*1),"-")</f>
        <v>3.82125</v>
      </c>
      <c r="E97" s="64" cm="1">
        <f t="array" ref="E97">IFERROR(SUMPRODUCT((RAW_INPUT!A5:A445&gt;=A29)*(RAW_INPUT!A5:A445&lt;A30)*(ISNUMBER(SEARCH("Bulk",RAW_INPUT!D5:D445)))*RAW_INPUT!F5:F445)/SUMPRODUCT((RAW_INPUT!A5:A445&gt;=A29)*(RAW_INPUT!A5:A445&lt;A30)*(ISNUMBER(SEARCH("Bulk",RAW_INPUT!D5:D445)))*1),"-")</f>
        <v>3.8000000000000003</v>
      </c>
      <c r="F97" s="64" cm="1">
        <f t="array" ref="F97">IFERROR(SUMPRODUCT((RAW_INPUT!A5:A445&gt;=A29)*(RAW_INPUT!A5:A445&lt;A30)*(ISNUMBER(SEARCH("Fleet",RAW_INPUT!D5:D445)))*RAW_INPUT!F5:F445)/SUMPRODUCT((RAW_INPUT!A5:A445&gt;=A29)*(RAW_INPUT!A5:A445&lt;A30)*(ISNUMBER(SEARCH("Fleet",RAW_INPUT!D5:D445)))*1),"-")</f>
        <v>3.7566666666666664</v>
      </c>
      <c r="G97" s="64">
        <f>E29</f>
        <v>3.8078105414568992</v>
      </c>
      <c r="H97" s="62">
        <f>IFERROR((G97-G96)/G96,"-")</f>
        <v>3.6598370639877195E-4</v>
      </c>
    </row>
    <row r="98" spans="1:12" x14ac:dyDescent="0.25">
      <c r="A98" s="49">
        <f>A30</f>
        <v>46143</v>
      </c>
      <c r="B98" s="52" cm="1">
        <f t="array" ref="B98">IFERROR(SUMPRODUCT((RAW_INPUT!A5:A445&gt;=A30)*(RAW_INPUT!A5:A445&lt;A31)*(ISNUMBER(SEARCH("Diesel Delivery",RAW_INPUT!D5:D445)))*RAW_INPUT!F5:F445)/SUMPRODUCT((RAW_INPUT!A5:A445&gt;=A30)*(RAW_INPUT!A5:A445&lt;A31)*(ISNUMBER(SEARCH("Diesel Delivery",RAW_INPUT!D5:D445)))*1),"-")</f>
        <v>3.6300000000000003</v>
      </c>
      <c r="C98" s="52" cm="1">
        <f t="array" ref="C98">IFERROR(SUMPRODUCT((RAW_INPUT!A5:A445&gt;=A30)*(RAW_INPUT!A5:A445&lt;A31)*(ISNUMBER(SEARCH("Unleaded",RAW_INPUT!D5:D445)))*RAW_INPUT!F5:F445)/SUMPRODUCT((RAW_INPUT!A5:A445&gt;=A30)*(RAW_INPUT!A5:A445&lt;A31)*(ISNUMBER(SEARCH("Unleaded",RAW_INPUT!D5:D445)))*1),"-")</f>
        <v>3.6124999999999998</v>
      </c>
      <c r="D98" s="52" cm="1">
        <f t="array" ref="D98">IFERROR(SUMPRODUCT((RAW_INPUT!A5:A445&gt;=A30)*(RAW_INPUT!A5:A445&lt;A31)*(ISNUMBER(SEARCH("Premium",RAW_INPUT!D5:D445)))*RAW_INPUT!F5:F445)/SUMPRODUCT((RAW_INPUT!A5:A445&gt;=A30)*(RAW_INPUT!A5:A445&lt;A31)*(ISNUMBER(SEARCH("Premium",RAW_INPUT!D5:D445)))*1),"-")</f>
        <v>3.5766666666666667</v>
      </c>
      <c r="E98" s="52" cm="1">
        <f t="array" ref="E98">IFERROR(SUMPRODUCT((RAW_INPUT!A5:A445&gt;=A30)*(RAW_INPUT!A5:A445&lt;A31)*(ISNUMBER(SEARCH("Bulk",RAW_INPUT!D5:D445)))*RAW_INPUT!F5:F445)/SUMPRODUCT((RAW_INPUT!A5:A445&gt;=A30)*(RAW_INPUT!A5:A445&lt;A31)*(ISNUMBER(SEARCH("Bulk",RAW_INPUT!D5:D445)))*1),"-")</f>
        <v>3.5674999999999999</v>
      </c>
      <c r="F98" s="52" cm="1">
        <f t="array" ref="F98">IFERROR(SUMPRODUCT((RAW_INPUT!A5:A445&gt;=A30)*(RAW_INPUT!A5:A445&lt;A31)*(ISNUMBER(SEARCH("Fleet",RAW_INPUT!D5:D445)))*RAW_INPUT!F5:F445)/SUMPRODUCT((RAW_INPUT!A5:A445&gt;=A30)*(RAW_INPUT!A5:A445&lt;A31)*(ISNUMBER(SEARCH("Fleet",RAW_INPUT!D5:D445)))*1),"-")</f>
        <v>3.62</v>
      </c>
      <c r="G98" s="52">
        <f>E30</f>
        <v>3.5973221024258755</v>
      </c>
      <c r="H98" s="53">
        <f>IFERROR((G98-G97)/G97,"-")</f>
        <v>-5.5278075613102634E-2</v>
      </c>
    </row>
    <row r="99" spans="1:12" x14ac:dyDescent="0.25">
      <c r="A99" s="68">
        <f>A31</f>
        <v>46174</v>
      </c>
      <c r="B99" s="64" cm="1">
        <f t="array" ref="B99">IFERROR(SUMPRODUCT((RAW_INPUT!A5:A445&gt;=A31)*(RAW_INPUT!A5:A445&lt;A32)*(ISNUMBER(SEARCH("Diesel Delivery",RAW_INPUT!D5:D445)))*RAW_INPUT!F5:F445)/SUMPRODUCT((RAW_INPUT!A5:A445&gt;=A31)*(RAW_INPUT!A5:A445&lt;A32)*(ISNUMBER(SEARCH("Diesel Delivery",RAW_INPUT!D5:D445)))*1),"-")</f>
        <v>3.42</v>
      </c>
      <c r="C99" s="64" cm="1">
        <f t="array" ref="C99">IFERROR(SUMPRODUCT((RAW_INPUT!A5:A445&gt;=A31)*(RAW_INPUT!A5:A445&lt;A32)*(ISNUMBER(SEARCH("Unleaded",RAW_INPUT!D5:D445)))*RAW_INPUT!F5:F445)/SUMPRODUCT((RAW_INPUT!A5:A445&gt;=A31)*(RAW_INPUT!A5:A445&lt;A32)*(ISNUMBER(SEARCH("Unleaded",RAW_INPUT!D5:D445)))*1),"-")</f>
        <v>3.5125000000000002</v>
      </c>
      <c r="D99" s="64" cm="1">
        <f t="array" ref="D99">IFERROR(SUMPRODUCT((RAW_INPUT!A5:A445&gt;=A31)*(RAW_INPUT!A5:A445&lt;A32)*(ISNUMBER(SEARCH("Premium",RAW_INPUT!D5:D445)))*RAW_INPUT!F5:F445)/SUMPRODUCT((RAW_INPUT!A5:A445&gt;=A31)*(RAW_INPUT!A5:A445&lt;A32)*(ISNUMBER(SEARCH("Premium",RAW_INPUT!D5:D445)))*1),"-")</f>
        <v>3.5333333333333332</v>
      </c>
      <c r="E99" s="64" cm="1">
        <f t="array" ref="E99">IFERROR(SUMPRODUCT((RAW_INPUT!A5:A445&gt;=A31)*(RAW_INPUT!A5:A445&lt;A32)*(ISNUMBER(SEARCH("Bulk",RAW_INPUT!D5:D445)))*RAW_INPUT!F5:F445)/SUMPRODUCT((RAW_INPUT!A5:A445&gt;=A31)*(RAW_INPUT!A5:A445&lt;A32)*(ISNUMBER(SEARCH("Bulk",RAW_INPUT!D5:D445)))*1),"-")</f>
        <v>3.5866666666666664</v>
      </c>
      <c r="F99" s="64" cm="1">
        <f t="array" ref="F99">IFERROR(SUMPRODUCT((RAW_INPUT!A5:A445&gt;=A31)*(RAW_INPUT!A5:A445&lt;A32)*(ISNUMBER(SEARCH("Fleet",RAW_INPUT!D5:D445)))*RAW_INPUT!F5:F445)/SUMPRODUCT((RAW_INPUT!A5:A445&gt;=A31)*(RAW_INPUT!A5:A445&lt;A32)*(ISNUMBER(SEARCH("Fleet",RAW_INPUT!D5:D445)))*1),"-")</f>
        <v>3.6399999999999997</v>
      </c>
      <c r="G99" s="64">
        <f>E31</f>
        <v>3.5440187407875339</v>
      </c>
      <c r="H99" s="62">
        <f>IFERROR((G99-G98)/G98,"-")</f>
        <v>-1.4817511504570625E-2</v>
      </c>
    </row>
    <row r="100" spans="1:12" x14ac:dyDescent="0.25">
      <c r="A100" s="49">
        <f>A32</f>
        <v>46204</v>
      </c>
      <c r="B100" s="52" cm="1">
        <f t="array" ref="B100">IFERROR(SUMPRODUCT((RAW_INPUT!A5:A445&gt;=A32)*(RAW_INPUT!A5:A445&lt;EDATE(A32,1))*(ISNUMBER(SEARCH("Diesel Delivery",RAW_INPUT!D5:D445)))*RAW_INPUT!F5:F445)/SUMPRODUCT((RAW_INPUT!A5:A445&gt;=A32)*(RAW_INPUT!A5:A445&lt;EDATE(A32,1))*(ISNUMBER(SEARCH("Diesel Delivery",RAW_INPUT!D5:D445)))*1),"-")</f>
        <v>3.8</v>
      </c>
      <c r="C100" s="52" cm="1">
        <f t="array" ref="C100">IFERROR(SUMPRODUCT((RAW_INPUT!A5:A445&gt;=A32)*(RAW_INPUT!A5:A445&lt;EDATE(A32,1))*(ISNUMBER(SEARCH("Unleaded",RAW_INPUT!D5:D445)))*RAW_INPUT!F5:F445)/SUMPRODUCT((RAW_INPUT!A5:A445&gt;=A32)*(RAW_INPUT!A5:A445&lt;EDATE(A32,1))*(ISNUMBER(SEARCH("Unleaded",RAW_INPUT!D5:D445)))*1),"-")</f>
        <v>3.8125</v>
      </c>
      <c r="D100" s="52" cm="1">
        <f t="array" ref="D100">IFERROR(SUMPRODUCT((RAW_INPUT!A5:A445&gt;=A32)*(RAW_INPUT!A5:A445&lt;EDATE(A32,1))*(ISNUMBER(SEARCH("Premium",RAW_INPUT!D5:D445)))*RAW_INPUT!F5:F445)/SUMPRODUCT((RAW_INPUT!A5:A445&gt;=A32)*(RAW_INPUT!A5:A445&lt;EDATE(A32,1))*(ISNUMBER(SEARCH("Premium",RAW_INPUT!D5:D445)))*1),"-")</f>
        <v>3.79</v>
      </c>
      <c r="E100" s="52" cm="1">
        <f t="array" ref="E100">IFERROR(SUMPRODUCT((RAW_INPUT!A5:A445&gt;=A32)*(RAW_INPUT!A5:A445&lt;EDATE(A32,1))*(ISNUMBER(SEARCH("Bulk",RAW_INPUT!D5:D445)))*RAW_INPUT!F5:F445)/SUMPRODUCT((RAW_INPUT!A5:A445&gt;=A32)*(RAW_INPUT!A5:A445&lt;EDATE(A32,1))*(ISNUMBER(SEARCH("Bulk",RAW_INPUT!D5:D445)))*1),"-")</f>
        <v>3.75</v>
      </c>
      <c r="F100" s="52" cm="1">
        <f t="array" ref="F100">IFERROR(SUMPRODUCT((RAW_INPUT!A5:A445&gt;=A32)*(RAW_INPUT!A5:A445&lt;EDATE(A32,1))*(ISNUMBER(SEARCH("Fleet",RAW_INPUT!D5:D445)))*RAW_INPUT!F5:F445)/SUMPRODUCT((RAW_INPUT!A5:A445&gt;=A32)*(RAW_INPUT!A5:A445&lt;EDATE(A32,1))*(ISNUMBER(SEARCH("Fleet",RAW_INPUT!D5:D445)))*1),"-")</f>
        <v>3.8450000000000002</v>
      </c>
      <c r="G100" s="52">
        <f>E32</f>
        <v>3.8134702430846605</v>
      </c>
      <c r="H100" s="53">
        <f>IFERROR((G100-G99)/G99,"-")</f>
        <v>7.6029931556527416E-2</v>
      </c>
    </row>
    <row r="102" spans="1:12" x14ac:dyDescent="0.25">
      <c r="A102" s="54" t="s">
        <v>547</v>
      </c>
      <c r="B102" s="69">
        <f>MAX(G80:G100)</f>
        <v>3.8408620000000004</v>
      </c>
      <c r="C102" s="55"/>
      <c r="D102" s="55"/>
      <c r="E102" s="55"/>
      <c r="F102" s="55"/>
      <c r="G102" s="55"/>
      <c r="H102" s="55"/>
    </row>
    <row r="103" spans="1:12" x14ac:dyDescent="0.25">
      <c r="A103" s="54" t="s">
        <v>548</v>
      </c>
      <c r="B103" s="69">
        <f>MIN(G80:G100)</f>
        <v>3.4524106500359801</v>
      </c>
      <c r="C103" s="55"/>
      <c r="D103" s="55"/>
      <c r="E103" s="55"/>
      <c r="F103" s="55"/>
      <c r="G103" s="55"/>
      <c r="H103" s="55"/>
    </row>
    <row r="104" spans="1:12" x14ac:dyDescent="0.25">
      <c r="A104" s="54" t="s">
        <v>549</v>
      </c>
      <c r="B104" s="69">
        <f>B102-B103</f>
        <v>0.38845134996402031</v>
      </c>
      <c r="C104" s="55"/>
      <c r="D104" s="55"/>
      <c r="E104" s="55"/>
      <c r="F104" s="55"/>
      <c r="G104" s="55"/>
      <c r="H104" s="55"/>
    </row>
    <row r="108" spans="1:12" ht="24.95" customHeight="1" x14ac:dyDescent="0.25">
      <c r="A108" s="36" t="s">
        <v>550</v>
      </c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</row>
    <row r="109" spans="1:12" x14ac:dyDescent="0.25">
      <c r="A109" s="47" t="s">
        <v>551</v>
      </c>
      <c r="B109" s="46"/>
      <c r="C109" s="46"/>
      <c r="D109" s="46"/>
      <c r="E109" s="46"/>
      <c r="F109" s="46"/>
    </row>
    <row r="110" spans="1:12" x14ac:dyDescent="0.25">
      <c r="A110" s="48" t="s">
        <v>552</v>
      </c>
      <c r="B110" s="48" t="s">
        <v>520</v>
      </c>
      <c r="C110" s="48" t="s">
        <v>521</v>
      </c>
      <c r="D110" s="48" t="s">
        <v>526</v>
      </c>
      <c r="E110" s="48" t="s">
        <v>553</v>
      </c>
    </row>
    <row r="111" spans="1:12" x14ac:dyDescent="0.25">
      <c r="A111" t="s">
        <v>554</v>
      </c>
      <c r="B111" s="50" cm="1">
        <f t="array" ref="B111">SUMPRODUCT((WEEKDAY(RAW_INPUT!A5:A445,1)=2)*RAW_INPUT!G5:G445)</f>
        <v>163108.24999999997</v>
      </c>
      <c r="C111" s="51" cm="1">
        <f t="array" ref="C111">SUMPRODUCT((WEEKDAY(RAW_INPUT!A5:A445,1)=2)*1)</f>
        <v>88</v>
      </c>
      <c r="D111" s="50">
        <f>IFERROR(B111/C111,0)</f>
        <v>1853.5028409090905</v>
      </c>
      <c r="E111" s="53">
        <f>B111/SUM(B111:B115)</f>
        <v>0.20629377165469137</v>
      </c>
    </row>
    <row r="112" spans="1:12" x14ac:dyDescent="0.25">
      <c r="A112" s="60" t="s">
        <v>555</v>
      </c>
      <c r="B112" s="61" cm="1">
        <f t="array" ref="B112">SUMPRODUCT((WEEKDAY(RAW_INPUT!A5:A445,1)=3)*RAW_INPUT!G5:G445)</f>
        <v>171035.55999999997</v>
      </c>
      <c r="C112" s="63" cm="1">
        <f t="array" ref="C112">SUMPRODUCT((WEEKDAY(RAW_INPUT!A5:A445,1)=3)*1)</f>
        <v>90</v>
      </c>
      <c r="D112" s="61">
        <f>IFERROR(B112/C112,0)</f>
        <v>1900.3951111111107</v>
      </c>
      <c r="E112" s="62">
        <f>B112/SUM(B111:B115)</f>
        <v>0.21631996394708583</v>
      </c>
    </row>
    <row r="113" spans="1:6" x14ac:dyDescent="0.25">
      <c r="A113" t="s">
        <v>556</v>
      </c>
      <c r="B113" s="50" cm="1">
        <f t="array" ref="B113">SUMPRODUCT((WEEKDAY(RAW_INPUT!A5:A445,1)=4)*RAW_INPUT!G5:G445)</f>
        <v>146387.14000000001</v>
      </c>
      <c r="C113" s="51" cm="1">
        <f t="array" ref="C113">SUMPRODUCT((WEEKDAY(RAW_INPUT!A5:A445,1)=4)*1)</f>
        <v>87</v>
      </c>
      <c r="D113" s="50">
        <f>IFERROR(B113/C113,0)</f>
        <v>1682.6108045977014</v>
      </c>
      <c r="E113" s="53">
        <f>B113/SUM(B111:B115)</f>
        <v>0.18514547996403213</v>
      </c>
    </row>
    <row r="114" spans="1:6" x14ac:dyDescent="0.25">
      <c r="A114" s="60" t="s">
        <v>557</v>
      </c>
      <c r="B114" s="61" cm="1">
        <f t="array" ref="B114">SUMPRODUCT((WEEKDAY(RAW_INPUT!A5:A445,1)=5)*RAW_INPUT!G5:G445)</f>
        <v>153388.1399999999</v>
      </c>
      <c r="C114" s="63" cm="1">
        <f t="array" ref="C114">SUMPRODUCT((WEEKDAY(RAW_INPUT!A5:A445,1)=5)*1)</f>
        <v>88</v>
      </c>
      <c r="D114" s="61">
        <f>IFERROR(B114/C114,0)</f>
        <v>1743.0470454545443</v>
      </c>
      <c r="E114" s="62">
        <f>B114/SUM(B111:B115)</f>
        <v>0.19400010684743302</v>
      </c>
    </row>
    <row r="115" spans="1:6" x14ac:dyDescent="0.25">
      <c r="A115" t="s">
        <v>558</v>
      </c>
      <c r="B115" s="50" cm="1">
        <f t="array" ref="B115">SUMPRODUCT((WEEKDAY(RAW_INPUT!A5:A445,1)=6)*RAW_INPUT!G5:G445)</f>
        <v>156740.99000000005</v>
      </c>
      <c r="C115" s="51" cm="1">
        <f t="array" ref="C115">SUMPRODUCT((WEEKDAY(RAW_INPUT!A5:A445,1)=6)*1)</f>
        <v>88</v>
      </c>
      <c r="D115" s="50">
        <f>IFERROR(B115/C115,0)</f>
        <v>1781.1476136363642</v>
      </c>
      <c r="E115" s="53">
        <f>B115/SUM(B111:B115)</f>
        <v>0.19824067758675773</v>
      </c>
    </row>
    <row r="117" spans="1:6" x14ac:dyDescent="0.25">
      <c r="A117" s="47" t="s">
        <v>559</v>
      </c>
      <c r="B117" s="46"/>
      <c r="C117" s="46"/>
      <c r="D117" s="46"/>
      <c r="E117" s="46"/>
      <c r="F117" s="46"/>
    </row>
    <row r="118" spans="1:6" x14ac:dyDescent="0.25">
      <c r="A118" s="48" t="s">
        <v>560</v>
      </c>
      <c r="B118" s="48" t="s">
        <v>520</v>
      </c>
      <c r="C118" s="48" t="s">
        <v>521</v>
      </c>
      <c r="D118" s="48" t="s">
        <v>522</v>
      </c>
      <c r="E118" s="48" t="s">
        <v>523</v>
      </c>
      <c r="F118" s="48" t="s">
        <v>526</v>
      </c>
    </row>
    <row r="119" spans="1:6" x14ac:dyDescent="0.25">
      <c r="A119" t="s">
        <v>561</v>
      </c>
      <c r="B119" s="50" cm="1">
        <f t="array" ref="B119">SUMPRODUCT((RAW_INPUT!A5:A445&gt;=DATE(2024,10,1))*(RAW_INPUT!A5:A445&lt;DATE(2025,1,1))*RAW_INPUT!G5:G445)</f>
        <v>59318.990000000005</v>
      </c>
      <c r="C119" s="51" cm="1">
        <f t="array" ref="C119">SUMPRODUCT((RAW_INPUT!A5:A445&gt;=DATE(2024,10,1))*(RAW_INPUT!A5:A445&lt;DATE(2025,1,1))*1)</f>
        <v>39</v>
      </c>
      <c r="D119" s="51" cm="1">
        <f t="array" ref="D119">SUMPRODUCT((RAW_INPUT!A5:A445&gt;=DATE(2024,10,1))*(RAW_INPUT!A5:A445&lt;DATE(2025,1,1))*(RAW_INPUT!F5:F445&lt;20)*RAW_INPUT!E5:E445)</f>
        <v>14659</v>
      </c>
      <c r="E119" s="52" cm="1">
        <f t="array" ref="E119">IFERROR(SUMPRODUCT((RAW_INPUT!A5:A445&gt;=DATE(2024,10,1))*(RAW_INPUT!A5:A445&lt;DATE(2025,1,1))*(RAW_INPUT!F5:F445&lt;20)*RAW_INPUT!G5:G445)/D119,0)</f>
        <v>3.7396132069036088</v>
      </c>
      <c r="F119" s="50">
        <f>IFERROR(B119/C119,0)</f>
        <v>1520.9997435897437</v>
      </c>
    </row>
    <row r="120" spans="1:6" x14ac:dyDescent="0.25">
      <c r="A120" s="60" t="s">
        <v>562</v>
      </c>
      <c r="B120" s="61" cm="1">
        <f t="array" ref="B120">SUMPRODUCT((RAW_INPUT!A5:A445&gt;=DATE(2025,1,1))*(RAW_INPUT!A5:A445&lt;DATE(2025,4,1))*RAW_INPUT!G5:G445)</f>
        <v>109849.28</v>
      </c>
      <c r="C120" s="63" cm="1">
        <f t="array" ref="C120">SUMPRODUCT((RAW_INPUT!A5:A445&gt;=DATE(2025,1,1))*(RAW_INPUT!A5:A445&lt;DATE(2025,4,1))*1)</f>
        <v>61</v>
      </c>
      <c r="D120" s="63" cm="1">
        <f t="array" ref="D120">SUMPRODUCT((RAW_INPUT!A5:A445&gt;=DATE(2025,1,1))*(RAW_INPUT!A5:A445&lt;DATE(2025,4,1))*(RAW_INPUT!F5:F445&lt;20)*RAW_INPUT!E5:E445)</f>
        <v>25671</v>
      </c>
      <c r="E120" s="64" cm="1">
        <f t="array" ref="E120">IFERROR(SUMPRODUCT((RAW_INPUT!A5:A445&gt;=DATE(2025,1,1))*(RAW_INPUT!A5:A445&lt;DATE(2025,4,1))*(RAW_INPUT!F5:F445&lt;20)*RAW_INPUT!G5:G445)/D120,0)</f>
        <v>3.7053204004518712</v>
      </c>
      <c r="F120" s="61">
        <f>IFERROR(B120/C120,0)</f>
        <v>1800.807868852459</v>
      </c>
    </row>
    <row r="121" spans="1:6" x14ac:dyDescent="0.25">
      <c r="A121" t="s">
        <v>563</v>
      </c>
      <c r="B121" s="50" cm="1">
        <f t="array" ref="B121">SUMPRODUCT((RAW_INPUT!A5:A445&gt;=DATE(2025,4,1))*(RAW_INPUT!A5:A445&lt;DATE(2025,7,1))*RAW_INPUT!G5:G445)</f>
        <v>106783.10000000003</v>
      </c>
      <c r="C121" s="51" cm="1">
        <f t="array" ref="C121">SUMPRODUCT((RAW_INPUT!A5:A445&gt;=DATE(2025,4,1))*(RAW_INPUT!A5:A445&lt;DATE(2025,7,1))*1)</f>
        <v>65</v>
      </c>
      <c r="D121" s="51" cm="1">
        <f t="array" ref="D121">SUMPRODUCT((RAW_INPUT!A5:A445&gt;=DATE(2025,4,1))*(RAW_INPUT!A5:A445&lt;DATE(2025,7,1))*(RAW_INPUT!F5:F445&lt;20)*RAW_INPUT!E5:E445)</f>
        <v>25664</v>
      </c>
      <c r="E121" s="52" cm="1">
        <f t="array" ref="E121">IFERROR(SUMPRODUCT((RAW_INPUT!A5:A445&gt;=DATE(2025,4,1))*(RAW_INPUT!A5:A445&lt;DATE(2025,7,1))*(RAW_INPUT!F5:F445&lt;20)*RAW_INPUT!G5:G445)/D121,0)</f>
        <v>3.6429235504987543</v>
      </c>
      <c r="F121" s="50">
        <f>IFERROR(B121/C121,0)</f>
        <v>1642.8169230769236</v>
      </c>
    </row>
    <row r="122" spans="1:6" x14ac:dyDescent="0.25">
      <c r="A122" s="60" t="s">
        <v>564</v>
      </c>
      <c r="B122" s="61" cm="1">
        <f t="array" ref="B122">SUMPRODUCT((RAW_INPUT!A5:A445&gt;=DATE(2025,7,1))*(RAW_INPUT!A5:A445&lt;DATE(2025,10,1))*RAW_INPUT!G5:G445)</f>
        <v>116385.26999999999</v>
      </c>
      <c r="C122" s="63" cm="1">
        <f t="array" ref="C122">SUMPRODUCT((RAW_INPUT!A5:A445&gt;=DATE(2025,7,1))*(RAW_INPUT!A5:A445&lt;DATE(2025,10,1))*1)</f>
        <v>66</v>
      </c>
      <c r="D122" s="63" cm="1">
        <f t="array" ref="D122">SUMPRODUCT((RAW_INPUT!A5:A445&gt;=DATE(2025,7,1))*(RAW_INPUT!A5:A445&lt;DATE(2025,10,1))*(RAW_INPUT!F5:F445&lt;20)*RAW_INPUT!E5:E445)</f>
        <v>26055</v>
      </c>
      <c r="E122" s="64" cm="1">
        <f t="array" ref="E122">IFERROR(SUMPRODUCT((RAW_INPUT!A5:A445&gt;=DATE(2025,7,1))*(RAW_INPUT!A5:A445&lt;DATE(2025,10,1))*(RAW_INPUT!F5:F445&lt;20)*RAW_INPUT!G5:G445)/D122,0)</f>
        <v>3.7123500287852624</v>
      </c>
      <c r="F122" s="61">
        <f>IFERROR(B122/C122,0)</f>
        <v>1763.4131818181816</v>
      </c>
    </row>
    <row r="123" spans="1:6" x14ac:dyDescent="0.25">
      <c r="A123" t="s">
        <v>565</v>
      </c>
      <c r="B123" s="50" cm="1">
        <f t="array" ref="B123">SUMPRODUCT((RAW_INPUT!A5:A445&gt;=DATE(2025,10,1))*(RAW_INPUT!A5:A445&lt;DATE(2026,1,1))*RAW_INPUT!G5:G445)</f>
        <v>127705.78</v>
      </c>
      <c r="C123" s="51" cm="1">
        <f t="array" ref="C123">SUMPRODUCT((RAW_INPUT!A5:A445&gt;=DATE(2025,10,1))*(RAW_INPUT!A5:A445&lt;DATE(2026,1,1))*1)</f>
        <v>66</v>
      </c>
      <c r="D123" s="51" cm="1">
        <f t="array" ref="D123">SUMPRODUCT((RAW_INPUT!A5:A445&gt;=DATE(2025,10,1))*(RAW_INPUT!A5:A445&lt;DATE(2026,1,1))*(RAW_INPUT!F5:F445&lt;20)*RAW_INPUT!E5:E445)</f>
        <v>28480</v>
      </c>
      <c r="E123" s="52" cm="1">
        <f t="array" ref="E123">IFERROR(SUMPRODUCT((RAW_INPUT!A5:A445&gt;=DATE(2025,10,1))*(RAW_INPUT!A5:A445&lt;DATE(2026,1,1))*(RAW_INPUT!F5:F445&lt;20)*RAW_INPUT!G5:G445)/D123,0)</f>
        <v>3.7508251404494386</v>
      </c>
      <c r="F123" s="50">
        <f>IFERROR(B123/C123,0)</f>
        <v>1934.9360606060607</v>
      </c>
    </row>
    <row r="124" spans="1:6" x14ac:dyDescent="0.25">
      <c r="A124" s="60" t="s">
        <v>566</v>
      </c>
      <c r="B124" s="61" cm="1">
        <f t="array" ref="B124">SUMPRODUCT((RAW_INPUT!A5:A445&gt;=DATE(2026,1,1))*(RAW_INPUT!A5:A445&lt;DATE(2026,4,1))*RAW_INPUT!G5:G445)</f>
        <v>123826.70999999996</v>
      </c>
      <c r="C124" s="63" cm="1">
        <f t="array" ref="C124">SUMPRODUCT((RAW_INPUT!A5:A445&gt;=DATE(2026,1,1))*(RAW_INPUT!A5:A445&lt;DATE(2026,4,1))*1)</f>
        <v>64</v>
      </c>
      <c r="D124" s="63" cm="1">
        <f t="array" ref="D124">SUMPRODUCT((RAW_INPUT!A5:A445&gt;=DATE(2026,1,1))*(RAW_INPUT!A5:A445&lt;DATE(2026,4,1))*(RAW_INPUT!F5:F445&lt;20)*RAW_INPUT!E5:E445)</f>
        <v>26820</v>
      </c>
      <c r="E124" s="64" cm="1">
        <f t="array" ref="E124">IFERROR(SUMPRODUCT((RAW_INPUT!A5:A445&gt;=DATE(2026,1,1))*(RAW_INPUT!A5:A445&lt;DATE(2026,4,1))*(RAW_INPUT!F5:F445&lt;20)*RAW_INPUT!G5:G445)/D124,0)</f>
        <v>3.6671744966442956</v>
      </c>
      <c r="F124" s="61">
        <f>IFERROR(B124/C124,0)</f>
        <v>1934.7923437499994</v>
      </c>
    </row>
    <row r="125" spans="1:6" x14ac:dyDescent="0.25">
      <c r="A125" t="s">
        <v>567</v>
      </c>
      <c r="B125" s="50" cm="1">
        <f t="array" ref="B125">SUMPRODUCT((RAW_INPUT!A5:A445&gt;=DATE(2026,4,1))*(RAW_INPUT!A5:A445&lt;DATE(2026,7,1))*RAW_INPUT!G5:G445)</f>
        <v>109531.88</v>
      </c>
      <c r="C125" s="51" cm="1">
        <f t="array" ref="C125">SUMPRODUCT((RAW_INPUT!A5:A445&gt;=DATE(2026,4,1))*(RAW_INPUT!A5:A445&lt;DATE(2026,7,1))*1)</f>
        <v>65</v>
      </c>
      <c r="D125" s="51" cm="1">
        <f t="array" ref="D125">SUMPRODUCT((RAW_INPUT!A5:A445&gt;=DATE(2026,4,1))*(RAW_INPUT!A5:A445&lt;DATE(2026,7,1))*(RAW_INPUT!F5:F445&lt;20)*RAW_INPUT!E5:E445)</f>
        <v>26651</v>
      </c>
      <c r="E125" s="52" cm="1">
        <f t="array" ref="E125">IFERROR(SUMPRODUCT((RAW_INPUT!A5:A445&gt;=DATE(2026,4,1))*(RAW_INPUT!A5:A445&lt;DATE(2026,7,1))*(RAW_INPUT!F5:F445&lt;20)*RAW_INPUT!G5:G445)/D125,0)</f>
        <v>3.6551964279013922</v>
      </c>
      <c r="F125" s="50">
        <f>IFERROR(B125/C125,0)</f>
        <v>1685.1058461538462</v>
      </c>
    </row>
    <row r="126" spans="1:6" x14ac:dyDescent="0.25">
      <c r="A126" s="60" t="s">
        <v>568</v>
      </c>
      <c r="B126" s="61" cm="1">
        <f t="array" ref="B126">SUMPRODUCT((RAW_INPUT!A5:A445&gt;=DATE(2026,7,1))*(RAW_INPUT!A5:A445&lt;DATE(2026,10,1))*RAW_INPUT!G5:G445)</f>
        <v>37259.07</v>
      </c>
      <c r="C126" s="63" cm="1">
        <f t="array" ref="C126">SUMPRODUCT((RAW_INPUT!A5:A445&gt;=DATE(2026,7,1))*(RAW_INPUT!A5:A445&lt;DATE(2026,10,1))*1)</f>
        <v>15</v>
      </c>
      <c r="D126" s="63" cm="1">
        <f t="array" ref="D126">SUMPRODUCT((RAW_INPUT!A5:A445&gt;=DATE(2026,7,1))*(RAW_INPUT!A5:A445&lt;DATE(2026,10,1))*(RAW_INPUT!F5:F445&lt;20)*RAW_INPUT!E5:E445)</f>
        <v>7158</v>
      </c>
      <c r="E126" s="64" cm="1">
        <f t="array" ref="E126">IFERROR(SUMPRODUCT((RAW_INPUT!A5:A445&gt;=DATE(2026,7,1))*(RAW_INPUT!A5:A445&lt;DATE(2026,10,1))*(RAW_INPUT!F5:F445&lt;20)*RAW_INPUT!G5:G445)/D126,0)</f>
        <v>3.8134702430846605</v>
      </c>
      <c r="F126" s="61">
        <f>IFERROR(B126/C126,0)</f>
        <v>2483.9380000000001</v>
      </c>
    </row>
    <row r="130" spans="1:12" ht="24.95" customHeight="1" x14ac:dyDescent="0.25">
      <c r="A130" s="36" t="s">
        <v>569</v>
      </c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</row>
    <row r="131" spans="1:12" x14ac:dyDescent="0.25">
      <c r="A131" s="47" t="s">
        <v>570</v>
      </c>
      <c r="B131" s="46"/>
      <c r="C131" s="46"/>
      <c r="D131" s="46"/>
      <c r="E131" s="46"/>
      <c r="F131" s="46"/>
      <c r="G131" s="46"/>
      <c r="H131" s="46"/>
      <c r="I131" s="46"/>
    </row>
    <row r="132" spans="1:12" x14ac:dyDescent="0.25">
      <c r="A132" s="48" t="s">
        <v>3</v>
      </c>
      <c r="B132" s="48" t="s">
        <v>561</v>
      </c>
      <c r="C132" s="48" t="s">
        <v>562</v>
      </c>
      <c r="D132" s="48" t="s">
        <v>563</v>
      </c>
      <c r="E132" s="48" t="s">
        <v>564</v>
      </c>
      <c r="F132" s="48" t="s">
        <v>565</v>
      </c>
      <c r="G132" s="48" t="s">
        <v>566</v>
      </c>
      <c r="H132" s="48" t="s">
        <v>567</v>
      </c>
      <c r="I132" s="48" t="s">
        <v>568</v>
      </c>
    </row>
    <row r="133" spans="1:12" x14ac:dyDescent="0.25">
      <c r="A133" t="s">
        <v>16</v>
      </c>
      <c r="B133" s="50" cm="1">
        <f t="array" ref="B133">SUMPRODUCT((RAW_INPUT!B5:B445=A133)*(RAW_INPUT!A5:A445&gt;=DATE(2024,10,1))*(RAW_INPUT!A5:A445&lt;DATE(2025,1,1))*RAW_INPUT!G5:G445)</f>
        <v>3528.7</v>
      </c>
      <c r="C133" s="50" cm="1">
        <f t="array" ref="C133">SUMPRODUCT((RAW_INPUT!B5:B445=A133)*(RAW_INPUT!A5:A445&gt;=DATE(2025,1,1))*(RAW_INPUT!A5:A445&lt;DATE(2025,4,1))*RAW_INPUT!G5:G445)</f>
        <v>3000</v>
      </c>
      <c r="D133" s="50" cm="1">
        <f t="array" ref="D133">SUMPRODUCT((RAW_INPUT!B5:B445=A133)*(RAW_INPUT!A5:A445&gt;=DATE(2025,4,1))*(RAW_INPUT!A5:A445&lt;DATE(2025,7,1))*RAW_INPUT!G5:G445)</f>
        <v>9296.93</v>
      </c>
      <c r="E133" s="50" cm="1">
        <f t="array" ref="E133">SUMPRODUCT((RAW_INPUT!B5:B445=A133)*(RAW_INPUT!A5:A445&gt;=DATE(2025,7,1))*(RAW_INPUT!A5:A445&lt;DATE(2025,10,1))*RAW_INPUT!G5:G445)</f>
        <v>1762.38</v>
      </c>
      <c r="F133" s="50" cm="1">
        <f t="array" ref="F133">SUMPRODUCT((RAW_INPUT!B5:B445=A133)*(RAW_INPUT!A5:A445&gt;=DATE(2025,10,1))*(RAW_INPUT!A5:A445&lt;DATE(2026,1,1))*RAW_INPUT!G5:G445)</f>
        <v>4820.1400000000003</v>
      </c>
      <c r="G133" s="50" cm="1">
        <f t="array" ref="G133">SUMPRODUCT((RAW_INPUT!B5:B445=A133)*(RAW_INPUT!A5:A445&gt;=DATE(2026,1,1))*(RAW_INPUT!A5:A445&lt;DATE(2026,4,1))*RAW_INPUT!G5:G445)</f>
        <v>5424.45</v>
      </c>
      <c r="H133" s="50" cm="1">
        <f t="array" ref="H133">SUMPRODUCT((RAW_INPUT!B5:B445=A133)*(RAW_INPUT!A5:A445&gt;=DATE(2026,4,1))*(RAW_INPUT!A5:A445&lt;DATE(2026,7,1))*RAW_INPUT!G5:G445)</f>
        <v>9329.369999999999</v>
      </c>
      <c r="I133" s="50" cm="1">
        <f t="array" ref="I133">SUMPRODUCT((RAW_INPUT!B5:B445=A133)*(RAW_INPUT!A5:A445&gt;=DATE(2026,7,1))*(RAW_INPUT!A5:A445&lt;DATE(2026,10,1))*RAW_INPUT!G5:G445)</f>
        <v>4339.7</v>
      </c>
    </row>
    <row r="134" spans="1:12" x14ac:dyDescent="0.25">
      <c r="A134" s="60" t="s">
        <v>22</v>
      </c>
      <c r="B134" s="61" cm="1">
        <f t="array" ref="B134">SUMPRODUCT((RAW_INPUT!B5:B445=A134)*(RAW_INPUT!A5:A445&gt;=DATE(2024,10,1))*(RAW_INPUT!A5:A445&lt;DATE(2025,1,1))*RAW_INPUT!G5:G445)</f>
        <v>6720</v>
      </c>
      <c r="C134" s="61" cm="1">
        <f t="array" ref="C134">SUMPRODUCT((RAW_INPUT!B5:B445=A134)*(RAW_INPUT!A5:A445&gt;=DATE(2025,1,1))*(RAW_INPUT!A5:A445&lt;DATE(2025,4,1))*RAW_INPUT!G5:G445)</f>
        <v>5663.84</v>
      </c>
      <c r="D134" s="61" cm="1">
        <f t="array" ref="D134">SUMPRODUCT((RAW_INPUT!B5:B445=A134)*(RAW_INPUT!A5:A445&gt;=DATE(2025,4,1))*(RAW_INPUT!A5:A445&lt;DATE(2025,7,1))*RAW_INPUT!G5:G445)</f>
        <v>8697.34</v>
      </c>
      <c r="E134" s="61" cm="1">
        <f t="array" ref="E134">SUMPRODUCT((RAW_INPUT!B5:B445=A134)*(RAW_INPUT!A5:A445&gt;=DATE(2025,7,1))*(RAW_INPUT!A5:A445&lt;DATE(2025,10,1))*RAW_INPUT!G5:G445)</f>
        <v>20015.3</v>
      </c>
      <c r="F134" s="61" cm="1">
        <f t="array" ref="F134">SUMPRODUCT((RAW_INPUT!B5:B445=A134)*(RAW_INPUT!A5:A445&gt;=DATE(2025,10,1))*(RAW_INPUT!A5:A445&lt;DATE(2026,1,1))*RAW_INPUT!G5:G445)</f>
        <v>7279.1</v>
      </c>
      <c r="G134" s="61" cm="1">
        <f t="array" ref="G134">SUMPRODUCT((RAW_INPUT!B5:B445=A134)*(RAW_INPUT!A5:A445&gt;=DATE(2026,1,1))*(RAW_INPUT!A5:A445&lt;DATE(2026,4,1))*RAW_INPUT!G5:G445)</f>
        <v>6573.5</v>
      </c>
      <c r="H134" s="61" cm="1">
        <f t="array" ref="H134">SUMPRODUCT((RAW_INPUT!B5:B445=A134)*(RAW_INPUT!A5:A445&gt;=DATE(2026,4,1))*(RAW_INPUT!A5:A445&lt;DATE(2026,7,1))*RAW_INPUT!G5:G445)</f>
        <v>6959.94</v>
      </c>
      <c r="I134" s="61" cm="1">
        <f t="array" ref="I134">SUMPRODUCT((RAW_INPUT!B5:B445=A134)*(RAW_INPUT!A5:A445&gt;=DATE(2026,7,1))*(RAW_INPUT!A5:A445&lt;DATE(2026,10,1))*RAW_INPUT!G5:G445)</f>
        <v>0</v>
      </c>
    </row>
    <row r="135" spans="1:12" x14ac:dyDescent="0.25">
      <c r="A135" t="s">
        <v>35</v>
      </c>
      <c r="B135" s="50" cm="1">
        <f t="array" ref="B135">SUMPRODUCT((RAW_INPUT!B5:B445=A135)*(RAW_INPUT!A5:A445&gt;=DATE(2024,10,1))*(RAW_INPUT!A5:A445&lt;DATE(2025,1,1))*RAW_INPUT!G5:G445)</f>
        <v>3400.45</v>
      </c>
      <c r="C135" s="50" cm="1">
        <f t="array" ref="C135">SUMPRODUCT((RAW_INPUT!B5:B445=A135)*(RAW_INPUT!A5:A445&gt;=DATE(2025,1,1))*(RAW_INPUT!A5:A445&lt;DATE(2025,4,1))*RAW_INPUT!G5:G445)</f>
        <v>9575.32</v>
      </c>
      <c r="D135" s="50" cm="1">
        <f t="array" ref="D135">SUMPRODUCT((RAW_INPUT!B5:B445=A135)*(RAW_INPUT!A5:A445&gt;=DATE(2025,4,1))*(RAW_INPUT!A5:A445&lt;DATE(2025,7,1))*RAW_INPUT!G5:G445)</f>
        <v>2729.55</v>
      </c>
      <c r="E135" s="50" cm="1">
        <f t="array" ref="E135">SUMPRODUCT((RAW_INPUT!B5:B445=A135)*(RAW_INPUT!A5:A445&gt;=DATE(2025,7,1))*(RAW_INPUT!A5:A445&lt;DATE(2025,10,1))*RAW_INPUT!G5:G445)</f>
        <v>11628.95</v>
      </c>
      <c r="F135" s="50" cm="1">
        <f t="array" ref="F135">SUMPRODUCT((RAW_INPUT!B5:B445=A135)*(RAW_INPUT!A5:A445&gt;=DATE(2025,10,1))*(RAW_INPUT!A5:A445&lt;DATE(2026,1,1))*RAW_INPUT!G5:G445)</f>
        <v>11219.57</v>
      </c>
      <c r="G135" s="50" cm="1">
        <f t="array" ref="G135">SUMPRODUCT((RAW_INPUT!B5:B445=A135)*(RAW_INPUT!A5:A445&gt;=DATE(2026,1,1))*(RAW_INPUT!A5:A445&lt;DATE(2026,4,1))*RAW_INPUT!G5:G445)</f>
        <v>1683.24</v>
      </c>
      <c r="H135" s="50" cm="1">
        <f t="array" ref="H135">SUMPRODUCT((RAW_INPUT!B5:B445=A135)*(RAW_INPUT!A5:A445&gt;=DATE(2026,4,1))*(RAW_INPUT!A5:A445&lt;DATE(2026,7,1))*RAW_INPUT!G5:G445)</f>
        <v>7676.2599999999993</v>
      </c>
      <c r="I135" s="50" cm="1">
        <f t="array" ref="I135">SUMPRODUCT((RAW_INPUT!B5:B445=A135)*(RAW_INPUT!A5:A445&gt;=DATE(2026,7,1))*(RAW_INPUT!A5:A445&lt;DATE(2026,10,1))*RAW_INPUT!G5:G445)</f>
        <v>0</v>
      </c>
    </row>
    <row r="136" spans="1:12" x14ac:dyDescent="0.25">
      <c r="A136" s="60" t="s">
        <v>79</v>
      </c>
      <c r="B136" s="61" cm="1">
        <f t="array" ref="B136">SUMPRODUCT((RAW_INPUT!B5:B445=A136)*(RAW_INPUT!A5:A445&gt;=DATE(2024,10,1))*(RAW_INPUT!A5:A445&lt;DATE(2025,1,1))*RAW_INPUT!G5:G445)</f>
        <v>0</v>
      </c>
      <c r="C136" s="61" cm="1">
        <f t="array" ref="C136">SUMPRODUCT((RAW_INPUT!B5:B445=A136)*(RAW_INPUT!A5:A445&gt;=DATE(2025,1,1))*(RAW_INPUT!A5:A445&lt;DATE(2025,4,1))*RAW_INPUT!G5:G445)</f>
        <v>9175.7200000000012</v>
      </c>
      <c r="D136" s="61" cm="1">
        <f t="array" ref="D136">SUMPRODUCT((RAW_INPUT!B5:B445=A136)*(RAW_INPUT!A5:A445&gt;=DATE(2025,4,1))*(RAW_INPUT!A5:A445&lt;DATE(2025,7,1))*RAW_INPUT!G5:G445)</f>
        <v>0</v>
      </c>
      <c r="E136" s="61" cm="1">
        <f t="array" ref="E136">SUMPRODUCT((RAW_INPUT!B5:B445=A136)*(RAW_INPUT!A5:A445&gt;=DATE(2025,7,1))*(RAW_INPUT!A5:A445&lt;DATE(2025,10,1))*RAW_INPUT!G5:G445)</f>
        <v>21051.68</v>
      </c>
      <c r="F136" s="61" cm="1">
        <f t="array" ref="F136">SUMPRODUCT((RAW_INPUT!B5:B445=A136)*(RAW_INPUT!A5:A445&gt;=DATE(2025,10,1))*(RAW_INPUT!A5:A445&lt;DATE(2026,1,1))*RAW_INPUT!G5:G445)</f>
        <v>9354.9699999999993</v>
      </c>
      <c r="G136" s="61" cm="1">
        <f t="array" ref="G136">SUMPRODUCT((RAW_INPUT!B5:B445=A136)*(RAW_INPUT!A5:A445&gt;=DATE(2026,1,1))*(RAW_INPUT!A5:A445&lt;DATE(2026,4,1))*RAW_INPUT!G5:G445)</f>
        <v>10323.39</v>
      </c>
      <c r="H136" s="61" cm="1">
        <f t="array" ref="H136">SUMPRODUCT((RAW_INPUT!B5:B445=A136)*(RAW_INPUT!A5:A445&gt;=DATE(2026,4,1))*(RAW_INPUT!A5:A445&lt;DATE(2026,7,1))*RAW_INPUT!G5:G445)</f>
        <v>10969.23</v>
      </c>
      <c r="I136" s="61" cm="1">
        <f t="array" ref="I136">SUMPRODUCT((RAW_INPUT!B5:B445=A136)*(RAW_INPUT!A5:A445&gt;=DATE(2026,7,1))*(RAW_INPUT!A5:A445&lt;DATE(2026,10,1))*RAW_INPUT!G5:G445)</f>
        <v>9508.27</v>
      </c>
    </row>
    <row r="137" spans="1:12" x14ac:dyDescent="0.25">
      <c r="A137" t="s">
        <v>19</v>
      </c>
      <c r="B137" s="50" cm="1">
        <f t="array" ref="B137">SUMPRODUCT((RAW_INPUT!B5:B445=A137)*(RAW_INPUT!A5:A445&gt;=DATE(2024,10,1))*(RAW_INPUT!A5:A445&lt;DATE(2025,1,1))*RAW_INPUT!G5:G445)</f>
        <v>7933.86</v>
      </c>
      <c r="C137" s="50" cm="1">
        <f t="array" ref="C137">SUMPRODUCT((RAW_INPUT!B5:B445=A137)*(RAW_INPUT!A5:A445&gt;=DATE(2025,1,1))*(RAW_INPUT!A5:A445&lt;DATE(2025,4,1))*RAW_INPUT!G5:G445)</f>
        <v>16814.09</v>
      </c>
      <c r="D137" s="50" cm="1">
        <f t="array" ref="D137">SUMPRODUCT((RAW_INPUT!B5:B445=A137)*(RAW_INPUT!A5:A445&gt;=DATE(2025,4,1))*(RAW_INPUT!A5:A445&lt;DATE(2025,7,1))*RAW_INPUT!G5:G445)</f>
        <v>7159.36</v>
      </c>
      <c r="E137" s="50" cm="1">
        <f t="array" ref="E137">SUMPRODUCT((RAW_INPUT!B5:B445=A137)*(RAW_INPUT!A5:A445&gt;=DATE(2025,7,1))*(RAW_INPUT!A5:A445&lt;DATE(2025,10,1))*RAW_INPUT!G5:G445)</f>
        <v>7100.16</v>
      </c>
      <c r="F137" s="50" cm="1">
        <f t="array" ref="F137">SUMPRODUCT((RAW_INPUT!B5:B445=A137)*(RAW_INPUT!A5:A445&gt;=DATE(2025,10,1))*(RAW_INPUT!A5:A445&lt;DATE(2026,1,1))*RAW_INPUT!G5:G445)</f>
        <v>5892.1200000000008</v>
      </c>
      <c r="G137" s="50" cm="1">
        <f t="array" ref="G137">SUMPRODUCT((RAW_INPUT!B5:B445=A137)*(RAW_INPUT!A5:A445&gt;=DATE(2026,1,1))*(RAW_INPUT!A5:A445&lt;DATE(2026,4,1))*RAW_INPUT!G5:G445)</f>
        <v>4206.3900000000003</v>
      </c>
      <c r="H137" s="50" cm="1">
        <f t="array" ref="H137">SUMPRODUCT((RAW_INPUT!B5:B445=A137)*(RAW_INPUT!A5:A445&gt;=DATE(2026,4,1))*(RAW_INPUT!A5:A445&lt;DATE(2026,7,1))*RAW_INPUT!G5:G445)</f>
        <v>8702.14</v>
      </c>
      <c r="I137" s="50" cm="1">
        <f t="array" ref="I137">SUMPRODUCT((RAW_INPUT!B5:B445=A137)*(RAW_INPUT!A5:A445&gt;=DATE(2026,7,1))*(RAW_INPUT!A5:A445&lt;DATE(2026,10,1))*RAW_INPUT!G5:G445)</f>
        <v>4423.8</v>
      </c>
    </row>
    <row r="138" spans="1:12" x14ac:dyDescent="0.25">
      <c r="A138" s="60" t="s">
        <v>55</v>
      </c>
      <c r="B138" s="61" cm="1">
        <f t="array" ref="B138">SUMPRODUCT((RAW_INPUT!B5:B445=A138)*(RAW_INPUT!A5:A445&gt;=DATE(2024,10,1))*(RAW_INPUT!A5:A445&lt;DATE(2025,1,1))*RAW_INPUT!G5:G445)</f>
        <v>1914.68</v>
      </c>
      <c r="C138" s="61" cm="1">
        <f t="array" ref="C138">SUMPRODUCT((RAW_INPUT!B5:B445=A138)*(RAW_INPUT!A5:A445&gt;=DATE(2025,1,1))*(RAW_INPUT!A5:A445&lt;DATE(2025,4,1))*RAW_INPUT!G5:G445)</f>
        <v>9259.2799999999988</v>
      </c>
      <c r="D138" s="61" cm="1">
        <f t="array" ref="D138">SUMPRODUCT((RAW_INPUT!B5:B445=A138)*(RAW_INPUT!A5:A445&gt;=DATE(2025,4,1))*(RAW_INPUT!A5:A445&lt;DATE(2025,7,1))*RAW_INPUT!G5:G445)</f>
        <v>3077.62</v>
      </c>
      <c r="E138" s="61" cm="1">
        <f t="array" ref="E138">SUMPRODUCT((RAW_INPUT!B5:B445=A138)*(RAW_INPUT!A5:A445&gt;=DATE(2025,7,1))*(RAW_INPUT!A5:A445&lt;DATE(2025,10,1))*RAW_INPUT!G5:G445)</f>
        <v>9691.92</v>
      </c>
      <c r="F138" s="61" cm="1">
        <f t="array" ref="F138">SUMPRODUCT((RAW_INPUT!B5:B445=A138)*(RAW_INPUT!A5:A445&gt;=DATE(2025,10,1))*(RAW_INPUT!A5:A445&lt;DATE(2026,1,1))*RAW_INPUT!G5:G445)</f>
        <v>5616.45</v>
      </c>
      <c r="G138" s="61" cm="1">
        <f t="array" ref="G138">SUMPRODUCT((RAW_INPUT!B5:B445=A138)*(RAW_INPUT!A5:A445&gt;=DATE(2026,1,1))*(RAW_INPUT!A5:A445&lt;DATE(2026,4,1))*RAW_INPUT!G5:G445)</f>
        <v>1576.1200000000001</v>
      </c>
      <c r="H138" s="61" cm="1">
        <f t="array" ref="H138">SUMPRODUCT((RAW_INPUT!B5:B445=A138)*(RAW_INPUT!A5:A445&gt;=DATE(2026,4,1))*(RAW_INPUT!A5:A445&lt;DATE(2026,7,1))*RAW_INPUT!G5:G445)</f>
        <v>4145.12</v>
      </c>
      <c r="I138" s="61" cm="1">
        <f t="array" ref="I138">SUMPRODUCT((RAW_INPUT!B5:B445=A138)*(RAW_INPUT!A5:A445&gt;=DATE(2026,7,1))*(RAW_INPUT!A5:A445&lt;DATE(2026,10,1))*RAW_INPUT!G5:G445)</f>
        <v>4995.58</v>
      </c>
    </row>
    <row r="139" spans="1:12" x14ac:dyDescent="0.25">
      <c r="A139" t="s">
        <v>75</v>
      </c>
      <c r="B139" s="50" cm="1">
        <f t="array" ref="B139">SUMPRODUCT((RAW_INPUT!B5:B445=A139)*(RAW_INPUT!A5:A445&gt;=DATE(2024,10,1))*(RAW_INPUT!A5:A445&lt;DATE(2025,1,1))*RAW_INPUT!G5:G445)</f>
        <v>1104.48</v>
      </c>
      <c r="C139" s="50" cm="1">
        <f t="array" ref="C139">SUMPRODUCT((RAW_INPUT!B5:B445=A139)*(RAW_INPUT!A5:A445&gt;=DATE(2025,1,1))*(RAW_INPUT!A5:A445&lt;DATE(2025,4,1))*RAW_INPUT!G5:G445)</f>
        <v>9414.2000000000007</v>
      </c>
      <c r="D139" s="50" cm="1">
        <f t="array" ref="D139">SUMPRODUCT((RAW_INPUT!B5:B445=A139)*(RAW_INPUT!A5:A445&gt;=DATE(2025,4,1))*(RAW_INPUT!A5:A445&lt;DATE(2025,7,1))*RAW_INPUT!G5:G445)</f>
        <v>2737.11</v>
      </c>
      <c r="E139" s="50" cm="1">
        <f t="array" ref="E139">SUMPRODUCT((RAW_INPUT!B5:B445=A139)*(RAW_INPUT!A5:A445&gt;=DATE(2025,7,1))*(RAW_INPUT!A5:A445&lt;DATE(2025,10,1))*RAW_INPUT!G5:G445)</f>
        <v>3713.1</v>
      </c>
      <c r="F139" s="50" cm="1">
        <f t="array" ref="F139">SUMPRODUCT((RAW_INPUT!B5:B445=A139)*(RAW_INPUT!A5:A445&gt;=DATE(2025,10,1))*(RAW_INPUT!A5:A445&lt;DATE(2026,1,1))*RAW_INPUT!G5:G445)</f>
        <v>4731.13</v>
      </c>
      <c r="G139" s="50" cm="1">
        <f t="array" ref="G139">SUMPRODUCT((RAW_INPUT!B5:B445=A139)*(RAW_INPUT!A5:A445&gt;=DATE(2026,1,1))*(RAW_INPUT!A5:A445&lt;DATE(2026,4,1))*RAW_INPUT!G5:G445)</f>
        <v>32841.410000000003</v>
      </c>
      <c r="H139" s="50" cm="1">
        <f t="array" ref="H139">SUMPRODUCT((RAW_INPUT!B5:B445=A139)*(RAW_INPUT!A5:A445&gt;=DATE(2026,4,1))*(RAW_INPUT!A5:A445&lt;DATE(2026,7,1))*RAW_INPUT!G5:G445)</f>
        <v>11396.94</v>
      </c>
      <c r="I139" s="50" cm="1">
        <f t="array" ref="I139">SUMPRODUCT((RAW_INPUT!B5:B445=A139)*(RAW_INPUT!A5:A445&gt;=DATE(2026,7,1))*(RAW_INPUT!A5:A445&lt;DATE(2026,10,1))*RAW_INPUT!G5:G445)</f>
        <v>0</v>
      </c>
    </row>
    <row r="140" spans="1:12" x14ac:dyDescent="0.25">
      <c r="A140" s="60" t="s">
        <v>37</v>
      </c>
      <c r="B140" s="61" cm="1">
        <f t="array" ref="B140">SUMPRODUCT((RAW_INPUT!B5:B445=A140)*(RAW_INPUT!A5:A445&gt;=DATE(2024,10,1))*(RAW_INPUT!A5:A445&lt;DATE(2025,1,1))*RAW_INPUT!G5:G445)</f>
        <v>1250</v>
      </c>
      <c r="C140" s="61" cm="1">
        <f t="array" ref="C140">SUMPRODUCT((RAW_INPUT!B5:B445=A140)*(RAW_INPUT!A5:A445&gt;=DATE(2025,1,1))*(RAW_INPUT!A5:A445&lt;DATE(2025,4,1))*RAW_INPUT!G5:G445)</f>
        <v>1999.48</v>
      </c>
      <c r="D140" s="61" cm="1">
        <f t="array" ref="D140">SUMPRODUCT((RAW_INPUT!B5:B445=A140)*(RAW_INPUT!A5:A445&gt;=DATE(2025,4,1))*(RAW_INPUT!A5:A445&lt;DATE(2025,7,1))*RAW_INPUT!G5:G445)</f>
        <v>11252.04</v>
      </c>
      <c r="E140" s="61" cm="1">
        <f t="array" ref="E140">SUMPRODUCT((RAW_INPUT!B5:B445=A140)*(RAW_INPUT!A5:A445&gt;=DATE(2025,7,1))*(RAW_INPUT!A5:A445&lt;DATE(2025,10,1))*RAW_INPUT!G5:G445)</f>
        <v>913.32</v>
      </c>
      <c r="F140" s="61" cm="1">
        <f t="array" ref="F140">SUMPRODUCT((RAW_INPUT!B5:B445=A140)*(RAW_INPUT!A5:A445&gt;=DATE(2025,10,1))*(RAW_INPUT!A5:A445&lt;DATE(2026,1,1))*RAW_INPUT!G5:G445)</f>
        <v>11351.88</v>
      </c>
      <c r="G140" s="61" cm="1">
        <f t="array" ref="G140">SUMPRODUCT((RAW_INPUT!B5:B445=A140)*(RAW_INPUT!A5:A445&gt;=DATE(2026,1,1))*(RAW_INPUT!A5:A445&lt;DATE(2026,4,1))*RAW_INPUT!G5:G445)</f>
        <v>9381.5500000000011</v>
      </c>
      <c r="H140" s="61" cm="1">
        <f t="array" ref="H140">SUMPRODUCT((RAW_INPUT!B5:B445=A140)*(RAW_INPUT!A5:A445&gt;=DATE(2026,4,1))*(RAW_INPUT!A5:A445&lt;DATE(2026,7,1))*RAW_INPUT!G5:G445)</f>
        <v>5875.77</v>
      </c>
      <c r="I140" s="61" cm="1">
        <f t="array" ref="I140">SUMPRODUCT((RAW_INPUT!B5:B445=A140)*(RAW_INPUT!A5:A445&gt;=DATE(2026,7,1))*(RAW_INPUT!A5:A445&lt;DATE(2026,10,1))*RAW_INPUT!G5:G445)</f>
        <v>2252.25</v>
      </c>
    </row>
    <row r="141" spans="1:12" x14ac:dyDescent="0.25">
      <c r="A141" t="s">
        <v>33</v>
      </c>
      <c r="B141" s="50" cm="1">
        <f t="array" ref="B141">SUMPRODUCT((RAW_INPUT!B5:B445=A141)*(RAW_INPUT!A5:A445&gt;=DATE(2024,10,1))*(RAW_INPUT!A5:A445&lt;DATE(2025,1,1))*RAW_INPUT!G5:G445)</f>
        <v>3370.24</v>
      </c>
      <c r="C141" s="50" cm="1">
        <f t="array" ref="C141">SUMPRODUCT((RAW_INPUT!B5:B445=A141)*(RAW_INPUT!A5:A445&gt;=DATE(2025,1,1))*(RAW_INPUT!A5:A445&lt;DATE(2025,4,1))*RAW_INPUT!G5:G445)</f>
        <v>3109.4</v>
      </c>
      <c r="D141" s="50" cm="1">
        <f t="array" ref="D141">SUMPRODUCT((RAW_INPUT!B5:B445=A141)*(RAW_INPUT!A5:A445&gt;=DATE(2025,4,1))*(RAW_INPUT!A5:A445&lt;DATE(2025,7,1))*RAW_INPUT!G5:G445)</f>
        <v>10792.34</v>
      </c>
      <c r="E141" s="50" cm="1">
        <f t="array" ref="E141">SUMPRODUCT((RAW_INPUT!B5:B445=A141)*(RAW_INPUT!A5:A445&gt;=DATE(2025,7,1))*(RAW_INPUT!A5:A445&lt;DATE(2025,10,1))*RAW_INPUT!G5:G445)</f>
        <v>2534.3199999999997</v>
      </c>
      <c r="F141" s="50" cm="1">
        <f t="array" ref="F141">SUMPRODUCT((RAW_INPUT!B5:B445=A141)*(RAW_INPUT!A5:A445&gt;=DATE(2025,10,1))*(RAW_INPUT!A5:A445&lt;DATE(2026,1,1))*RAW_INPUT!G5:G445)</f>
        <v>21734.15</v>
      </c>
      <c r="G141" s="50" cm="1">
        <f t="array" ref="G141">SUMPRODUCT((RAW_INPUT!B5:B445=A141)*(RAW_INPUT!A5:A445&gt;=DATE(2026,1,1))*(RAW_INPUT!A5:A445&lt;DATE(2026,4,1))*RAW_INPUT!G5:G445)</f>
        <v>3862.68</v>
      </c>
      <c r="H141" s="50" cm="1">
        <f t="array" ref="H141">SUMPRODUCT((RAW_INPUT!B5:B445=A141)*(RAW_INPUT!A5:A445&gt;=DATE(2026,4,1))*(RAW_INPUT!A5:A445&lt;DATE(2026,7,1))*RAW_INPUT!G5:G445)</f>
        <v>6532.06</v>
      </c>
      <c r="I141" s="50" cm="1">
        <f t="array" ref="I141">SUMPRODUCT((RAW_INPUT!B5:B445=A141)*(RAW_INPUT!A5:A445&gt;=DATE(2026,7,1))*(RAW_INPUT!A5:A445&lt;DATE(2026,10,1))*RAW_INPUT!G5:G445)</f>
        <v>2303.46</v>
      </c>
    </row>
    <row r="142" spans="1:12" x14ac:dyDescent="0.25">
      <c r="A142" s="60" t="s">
        <v>42</v>
      </c>
      <c r="B142" s="61" cm="1">
        <f t="array" ref="B142">SUMPRODUCT((RAW_INPUT!B5:B445=A142)*(RAW_INPUT!A5:A445&gt;=DATE(2024,10,1))*(RAW_INPUT!A5:A445&lt;DATE(2025,1,1))*RAW_INPUT!G5:G445)</f>
        <v>3681.92</v>
      </c>
      <c r="C142" s="61" cm="1">
        <f t="array" ref="C142">SUMPRODUCT((RAW_INPUT!B5:B445=A142)*(RAW_INPUT!A5:A445&gt;=DATE(2025,1,1))*(RAW_INPUT!A5:A445&lt;DATE(2025,4,1))*RAW_INPUT!G5:G445)</f>
        <v>11110.94</v>
      </c>
      <c r="D142" s="61" cm="1">
        <f t="array" ref="D142">SUMPRODUCT((RAW_INPUT!B5:B445=A142)*(RAW_INPUT!A5:A445&gt;=DATE(2025,4,1))*(RAW_INPUT!A5:A445&lt;DATE(2025,7,1))*RAW_INPUT!G5:G445)</f>
        <v>9161.3700000000008</v>
      </c>
      <c r="E142" s="61" cm="1">
        <f t="array" ref="E142">SUMPRODUCT((RAW_INPUT!B5:B445=A142)*(RAW_INPUT!A5:A445&gt;=DATE(2025,7,1))*(RAW_INPUT!A5:A445&lt;DATE(2025,10,1))*RAW_INPUT!G5:G445)</f>
        <v>3521.01</v>
      </c>
      <c r="F142" s="61" cm="1">
        <f t="array" ref="F142">SUMPRODUCT((RAW_INPUT!B5:B445=A142)*(RAW_INPUT!A5:A445&gt;=DATE(2025,10,1))*(RAW_INPUT!A5:A445&lt;DATE(2026,1,1))*RAW_INPUT!G5:G445)</f>
        <v>7211.7</v>
      </c>
      <c r="G142" s="61" cm="1">
        <f t="array" ref="G142">SUMPRODUCT((RAW_INPUT!B5:B445=A142)*(RAW_INPUT!A5:A445&gt;=DATE(2026,1,1))*(RAW_INPUT!A5:A445&lt;DATE(2026,4,1))*RAW_INPUT!G5:G445)</f>
        <v>6458.6100000000006</v>
      </c>
      <c r="H142" s="61" cm="1">
        <f t="array" ref="H142">SUMPRODUCT((RAW_INPUT!B5:B445=A142)*(RAW_INPUT!A5:A445&gt;=DATE(2026,4,1))*(RAW_INPUT!A5:A445&lt;DATE(2026,7,1))*RAW_INPUT!G5:G445)</f>
        <v>4126.1099999999997</v>
      </c>
      <c r="I142" s="61" cm="1">
        <f t="array" ref="I142">SUMPRODUCT((RAW_INPUT!B5:B445=A142)*(RAW_INPUT!A5:A445&gt;=DATE(2026,7,1))*(RAW_INPUT!A5:A445&lt;DATE(2026,10,1))*RAW_INPUT!G5:G445)</f>
        <v>2346.96</v>
      </c>
    </row>
    <row r="143" spans="1:12" x14ac:dyDescent="0.25">
      <c r="A143" t="s">
        <v>45</v>
      </c>
      <c r="B143" s="50" cm="1">
        <f t="array" ref="B143">SUMPRODUCT((RAW_INPUT!B5:B445=A143)*(RAW_INPUT!A5:A445&gt;=DATE(2024,10,1))*(RAW_INPUT!A5:A445&lt;DATE(2025,1,1))*RAW_INPUT!G5:G445)</f>
        <v>5249.16</v>
      </c>
      <c r="C143" s="50" cm="1">
        <f t="array" ref="C143">SUMPRODUCT((RAW_INPUT!B5:B445=A143)*(RAW_INPUT!A5:A445&gt;=DATE(2025,1,1))*(RAW_INPUT!A5:A445&lt;DATE(2025,4,1))*RAW_INPUT!G5:G445)</f>
        <v>4132.2</v>
      </c>
      <c r="D143" s="50" cm="1">
        <f t="array" ref="D143">SUMPRODUCT((RAW_INPUT!B5:B445=A143)*(RAW_INPUT!A5:A445&gt;=DATE(2025,4,1))*(RAW_INPUT!A5:A445&lt;DATE(2025,7,1))*RAW_INPUT!G5:G445)</f>
        <v>8953.7000000000007</v>
      </c>
      <c r="E143" s="50" cm="1">
        <f t="array" ref="E143">SUMPRODUCT((RAW_INPUT!B5:B445=A143)*(RAW_INPUT!A5:A445&gt;=DATE(2025,7,1))*(RAW_INPUT!A5:A445&lt;DATE(2025,10,1))*RAW_INPUT!G5:G445)</f>
        <v>4959.51</v>
      </c>
      <c r="F143" s="50" cm="1">
        <f t="array" ref="F143">SUMPRODUCT((RAW_INPUT!B5:B445=A143)*(RAW_INPUT!A5:A445&gt;=DATE(2025,10,1))*(RAW_INPUT!A5:A445&lt;DATE(2026,1,1))*RAW_INPUT!G5:G445)</f>
        <v>10780.580000000002</v>
      </c>
      <c r="G143" s="50" cm="1">
        <f t="array" ref="G143">SUMPRODUCT((RAW_INPUT!B5:B445=A143)*(RAW_INPUT!A5:A445&gt;=DATE(2026,1,1))*(RAW_INPUT!A5:A445&lt;DATE(2026,4,1))*RAW_INPUT!G5:G445)</f>
        <v>9024.52</v>
      </c>
      <c r="H143" s="50" cm="1">
        <f t="array" ref="H143">SUMPRODUCT((RAW_INPUT!B5:B445=A143)*(RAW_INPUT!A5:A445&gt;=DATE(2026,4,1))*(RAW_INPUT!A5:A445&lt;DATE(2026,7,1))*RAW_INPUT!G5:G445)</f>
        <v>2744.54</v>
      </c>
      <c r="I143" s="50" cm="1">
        <f t="array" ref="I143">SUMPRODUCT((RAW_INPUT!B5:B445=A143)*(RAW_INPUT!A5:A445&gt;=DATE(2026,7,1))*(RAW_INPUT!A5:A445&lt;DATE(2026,10,1))*RAW_INPUT!G5:G445)</f>
        <v>0</v>
      </c>
    </row>
    <row r="144" spans="1:12" x14ac:dyDescent="0.25">
      <c r="A144" s="60" t="s">
        <v>47</v>
      </c>
      <c r="B144" s="61" cm="1">
        <f t="array" ref="B144">SUMPRODUCT((RAW_INPUT!B5:B445=A144)*(RAW_INPUT!A5:A445&gt;=DATE(2024,10,1))*(RAW_INPUT!A5:A445&lt;DATE(2025,1,1))*RAW_INPUT!G5:G445)</f>
        <v>4946.0599999999995</v>
      </c>
      <c r="C144" s="61" cm="1">
        <f t="array" ref="C144">SUMPRODUCT((RAW_INPUT!B5:B445=A144)*(RAW_INPUT!A5:A445&gt;=DATE(2025,1,1))*(RAW_INPUT!A5:A445&lt;DATE(2025,4,1))*RAW_INPUT!G5:G445)</f>
        <v>6670.92</v>
      </c>
      <c r="D144" s="61" cm="1">
        <f t="array" ref="D144">SUMPRODUCT((RAW_INPUT!B5:B445=A144)*(RAW_INPUT!A5:A445&gt;=DATE(2025,4,1))*(RAW_INPUT!A5:A445&lt;DATE(2025,7,1))*RAW_INPUT!G5:G445)</f>
        <v>11507.539999999999</v>
      </c>
      <c r="E144" s="61" cm="1">
        <f t="array" ref="E144">SUMPRODUCT((RAW_INPUT!B5:B445=A144)*(RAW_INPUT!A5:A445&gt;=DATE(2025,7,1))*(RAW_INPUT!A5:A445&lt;DATE(2025,10,1))*RAW_INPUT!G5:G445)</f>
        <v>6553.4400000000005</v>
      </c>
      <c r="F144" s="61" cm="1">
        <f t="array" ref="F144">SUMPRODUCT((RAW_INPUT!B5:B445=A144)*(RAW_INPUT!A5:A445&gt;=DATE(2025,10,1))*(RAW_INPUT!A5:A445&lt;DATE(2026,1,1))*RAW_INPUT!G5:G445)</f>
        <v>2050.39</v>
      </c>
      <c r="G144" s="61" cm="1">
        <f t="array" ref="G144">SUMPRODUCT((RAW_INPUT!B5:B445=A144)*(RAW_INPUT!A5:A445&gt;=DATE(2026,1,1))*(RAW_INPUT!A5:A445&lt;DATE(2026,4,1))*RAW_INPUT!G5:G445)</f>
        <v>3490.93</v>
      </c>
      <c r="H144" s="61" cm="1">
        <f t="array" ref="H144">SUMPRODUCT((RAW_INPUT!B5:B445=A144)*(RAW_INPUT!A5:A445&gt;=DATE(2026,4,1))*(RAW_INPUT!A5:A445&lt;DATE(2026,7,1))*RAW_INPUT!G5:G445)</f>
        <v>10056.029999999999</v>
      </c>
      <c r="I144" s="61" cm="1">
        <f t="array" ref="I144">SUMPRODUCT((RAW_INPUT!B5:B445=A144)*(RAW_INPUT!A5:A445&gt;=DATE(2026,7,1))*(RAW_INPUT!A5:A445&lt;DATE(2026,10,1))*RAW_INPUT!G5:G445)</f>
        <v>0</v>
      </c>
    </row>
    <row r="145" spans="1:9" x14ac:dyDescent="0.25">
      <c r="A145" t="s">
        <v>28</v>
      </c>
      <c r="B145" s="50" cm="1">
        <f t="array" ref="B145">SUMPRODUCT((RAW_INPUT!B5:B445=A145)*(RAW_INPUT!A5:A445&gt;=DATE(2024,10,1))*(RAW_INPUT!A5:A445&lt;DATE(2025,1,1))*RAW_INPUT!G5:G445)</f>
        <v>2744.2</v>
      </c>
      <c r="C145" s="50" cm="1">
        <f t="array" ref="C145">SUMPRODUCT((RAW_INPUT!B5:B445=A145)*(RAW_INPUT!A5:A445&gt;=DATE(2025,1,1))*(RAW_INPUT!A5:A445&lt;DATE(2025,4,1))*RAW_INPUT!G5:G445)</f>
        <v>3371.96</v>
      </c>
      <c r="D145" s="50" cm="1">
        <f t="array" ref="D145">SUMPRODUCT((RAW_INPUT!B5:B445=A145)*(RAW_INPUT!A5:A445&gt;=DATE(2025,4,1))*(RAW_INPUT!A5:A445&lt;DATE(2025,7,1))*RAW_INPUT!G5:G445)</f>
        <v>7431.5399999999991</v>
      </c>
      <c r="E145" s="50" cm="1">
        <f t="array" ref="E145">SUMPRODUCT((RAW_INPUT!B5:B445=A145)*(RAW_INPUT!A5:A445&gt;=DATE(2025,7,1))*(RAW_INPUT!A5:A445&lt;DATE(2025,10,1))*RAW_INPUT!G5:G445)</f>
        <v>6281.8</v>
      </c>
      <c r="F145" s="50" cm="1">
        <f t="array" ref="F145">SUMPRODUCT((RAW_INPUT!B5:B445=A145)*(RAW_INPUT!A5:A445&gt;=DATE(2025,10,1))*(RAW_INPUT!A5:A445&lt;DATE(2026,1,1))*RAW_INPUT!G5:G445)</f>
        <v>2118.36</v>
      </c>
      <c r="G145" s="50" cm="1">
        <f t="array" ref="G145">SUMPRODUCT((RAW_INPUT!B5:B445=A145)*(RAW_INPUT!A5:A445&gt;=DATE(2026,1,1))*(RAW_INPUT!A5:A445&lt;DATE(2026,4,1))*RAW_INPUT!G5:G445)</f>
        <v>5107.49</v>
      </c>
      <c r="H145" s="50" cm="1">
        <f t="array" ref="H145">SUMPRODUCT((RAW_INPUT!B5:B445=A145)*(RAW_INPUT!A5:A445&gt;=DATE(2026,4,1))*(RAW_INPUT!A5:A445&lt;DATE(2026,7,1))*RAW_INPUT!G5:G445)</f>
        <v>5046.66</v>
      </c>
      <c r="I145" s="50" cm="1">
        <f t="array" ref="I145">SUMPRODUCT((RAW_INPUT!B5:B445=A145)*(RAW_INPUT!A5:A445&gt;=DATE(2026,7,1))*(RAW_INPUT!A5:A445&lt;DATE(2026,10,1))*RAW_INPUT!G5:G445)</f>
        <v>6251.53</v>
      </c>
    </row>
    <row r="146" spans="1:9" x14ac:dyDescent="0.25">
      <c r="A146" s="60" t="s">
        <v>24</v>
      </c>
      <c r="B146" s="61" cm="1">
        <f t="array" ref="B146">SUMPRODUCT((RAW_INPUT!B5:B445=A146)*(RAW_INPUT!A5:A445&gt;=DATE(2024,10,1))*(RAW_INPUT!A5:A445&lt;DATE(2025,1,1))*RAW_INPUT!G5:G445)</f>
        <v>3667.92</v>
      </c>
      <c r="C146" s="61" cm="1">
        <f t="array" ref="C146">SUMPRODUCT((RAW_INPUT!B5:B445=A146)*(RAW_INPUT!A5:A445&gt;=DATE(2025,1,1))*(RAW_INPUT!A5:A445&lt;DATE(2025,4,1))*RAW_INPUT!G5:G445)</f>
        <v>12707</v>
      </c>
      <c r="D146" s="61" cm="1">
        <f t="array" ref="D146">SUMPRODUCT((RAW_INPUT!B5:B445=A146)*(RAW_INPUT!A5:A445&gt;=DATE(2025,4,1))*(RAW_INPUT!A5:A445&lt;DATE(2025,7,1))*RAW_INPUT!G5:G445)</f>
        <v>5032.66</v>
      </c>
      <c r="E146" s="61" cm="1">
        <f t="array" ref="E146">SUMPRODUCT((RAW_INPUT!B5:B445=A146)*(RAW_INPUT!A5:A445&gt;=DATE(2025,7,1))*(RAW_INPUT!A5:A445&lt;DATE(2025,10,1))*RAW_INPUT!G5:G445)</f>
        <v>7258.4400000000005</v>
      </c>
      <c r="F146" s="61" cm="1">
        <f t="array" ref="F146">SUMPRODUCT((RAW_INPUT!B5:B445=A146)*(RAW_INPUT!A5:A445&gt;=DATE(2025,10,1))*(RAW_INPUT!A5:A445&lt;DATE(2026,1,1))*RAW_INPUT!G5:G445)</f>
        <v>19720.54</v>
      </c>
      <c r="G146" s="61" cm="1">
        <f t="array" ref="G146">SUMPRODUCT((RAW_INPUT!B5:B445=A146)*(RAW_INPUT!A5:A445&gt;=DATE(2026,1,1))*(RAW_INPUT!A5:A445&lt;DATE(2026,4,1))*RAW_INPUT!G5:G445)</f>
        <v>11165.300000000001</v>
      </c>
      <c r="H146" s="61" cm="1">
        <f t="array" ref="H146">SUMPRODUCT((RAW_INPUT!B5:B445=A146)*(RAW_INPUT!A5:A445&gt;=DATE(2026,4,1))*(RAW_INPUT!A5:A445&lt;DATE(2026,7,1))*RAW_INPUT!G5:G445)</f>
        <v>13971.01</v>
      </c>
      <c r="I146" s="61" cm="1">
        <f t="array" ref="I146">SUMPRODUCT((RAW_INPUT!B5:B445=A146)*(RAW_INPUT!A5:A445&gt;=DATE(2026,7,1))*(RAW_INPUT!A5:A445&lt;DATE(2026,10,1))*RAW_INPUT!G5:G445)</f>
        <v>837.52</v>
      </c>
    </row>
    <row r="147" spans="1:9" x14ac:dyDescent="0.25">
      <c r="A147" t="s">
        <v>31</v>
      </c>
      <c r="B147" s="50" cm="1">
        <f t="array" ref="B147">SUMPRODUCT((RAW_INPUT!B5:B445=A147)*(RAW_INPUT!A5:A445&gt;=DATE(2024,10,1))*(RAW_INPUT!A5:A445&lt;DATE(2025,1,1))*RAW_INPUT!G5:G445)</f>
        <v>9807.32</v>
      </c>
      <c r="C147" s="50" cm="1">
        <f t="array" ref="C147">SUMPRODUCT((RAW_INPUT!B5:B445=A147)*(RAW_INPUT!A5:A445&gt;=DATE(2025,1,1))*(RAW_INPUT!A5:A445&lt;DATE(2025,4,1))*RAW_INPUT!G5:G445)</f>
        <v>3844.93</v>
      </c>
      <c r="D147" s="50" cm="1">
        <f t="array" ref="D147">SUMPRODUCT((RAW_INPUT!B5:B445=A147)*(RAW_INPUT!A5:A445&gt;=DATE(2025,4,1))*(RAW_INPUT!A5:A445&lt;DATE(2025,7,1))*RAW_INPUT!G5:G445)</f>
        <v>8954</v>
      </c>
      <c r="E147" s="50" cm="1">
        <f t="array" ref="E147">SUMPRODUCT((RAW_INPUT!B5:B445=A147)*(RAW_INPUT!A5:A445&gt;=DATE(2025,7,1))*(RAW_INPUT!A5:A445&lt;DATE(2025,10,1))*RAW_INPUT!G5:G445)</f>
        <v>9399.94</v>
      </c>
      <c r="F147" s="50" cm="1">
        <f t="array" ref="F147">SUMPRODUCT((RAW_INPUT!B5:B445=A147)*(RAW_INPUT!A5:A445&gt;=DATE(2025,10,1))*(RAW_INPUT!A5:A445&lt;DATE(2026,1,1))*RAW_INPUT!G5:G445)</f>
        <v>3824.7</v>
      </c>
      <c r="G147" s="50" cm="1">
        <f t="array" ref="G147">SUMPRODUCT((RAW_INPUT!B5:B445=A147)*(RAW_INPUT!A5:A445&gt;=DATE(2026,1,1))*(RAW_INPUT!A5:A445&lt;DATE(2026,4,1))*RAW_INPUT!G5:G445)</f>
        <v>12707.13</v>
      </c>
      <c r="H147" s="50" cm="1">
        <f t="array" ref="H147">SUMPRODUCT((RAW_INPUT!B5:B445=A147)*(RAW_INPUT!A5:A445&gt;=DATE(2026,4,1))*(RAW_INPUT!A5:A445&lt;DATE(2026,7,1))*RAW_INPUT!G5:G445)</f>
        <v>2000.7</v>
      </c>
      <c r="I147" s="50" cm="1">
        <f t="array" ref="I147">SUMPRODUCT((RAW_INPUT!B5:B445=A147)*(RAW_INPUT!A5:A445&gt;=DATE(2026,7,1))*(RAW_INPUT!A5:A445&lt;DATE(2026,10,1))*RAW_INPUT!G5:G445)</f>
        <v>0</v>
      </c>
    </row>
    <row r="149" spans="1:9" x14ac:dyDescent="0.25">
      <c r="A149" s="47" t="s">
        <v>571</v>
      </c>
      <c r="B149" s="46"/>
      <c r="C149" s="46"/>
      <c r="D149" s="46"/>
      <c r="E149" s="46"/>
      <c r="F149" s="46"/>
    </row>
    <row r="150" spans="1:9" x14ac:dyDescent="0.25">
      <c r="A150" s="48" t="s">
        <v>3</v>
      </c>
      <c r="B150" s="48" t="s">
        <v>572</v>
      </c>
      <c r="C150" s="48" t="s">
        <v>573</v>
      </c>
      <c r="D150" s="48" t="s">
        <v>574</v>
      </c>
      <c r="E150" s="48" t="s">
        <v>575</v>
      </c>
      <c r="F150" s="48" t="s">
        <v>576</v>
      </c>
    </row>
    <row r="151" spans="1:9" x14ac:dyDescent="0.25">
      <c r="A151" t="s">
        <v>16</v>
      </c>
      <c r="B151" s="50" cm="1">
        <f t="array" ref="B151">IFERROR(INDEX(B133:I133,MATCH(TRUE,B133:I133&gt;0,0)),0)</f>
        <v>3528.7</v>
      </c>
      <c r="C151" s="50" cm="1">
        <f t="array" ref="C151">IFERROR(LOOKUP(2,1/(B133:I133&gt;0),B133:I133),0)</f>
        <v>4339.7</v>
      </c>
      <c r="D151" s="50">
        <f>C151-B151</f>
        <v>811</v>
      </c>
      <c r="E151" s="53">
        <f>IFERROR(D151/B151,0)</f>
        <v>0.22982968231926773</v>
      </c>
      <c r="F151" s="19" t="str">
        <f>IF(D151&gt;0,"▲ Growing",IF(D151&lt;0,"▼ Declining","► Flat"))</f>
        <v>▲ Growing</v>
      </c>
    </row>
    <row r="152" spans="1:9" x14ac:dyDescent="0.25">
      <c r="A152" s="60" t="s">
        <v>22</v>
      </c>
      <c r="B152" s="61" cm="1">
        <f t="array" ref="B152">IFERROR(INDEX(B134:I134,MATCH(TRUE,B134:I134&gt;0,0)),0)</f>
        <v>6720</v>
      </c>
      <c r="C152" s="61" cm="1">
        <f t="array" ref="C152">IFERROR(LOOKUP(2,1/(B134:I134&gt;0),B134:I134),0)</f>
        <v>6959.94</v>
      </c>
      <c r="D152" s="61">
        <f>C152-B152</f>
        <v>239.9399999999996</v>
      </c>
      <c r="E152" s="62">
        <f>IFERROR(D152/B152,0)</f>
        <v>3.570535714285708E-2</v>
      </c>
      <c r="F152" s="70" t="str">
        <f>IF(D152&gt;0,"▲ Growing",IF(D152&lt;0,"▼ Declining","► Flat"))</f>
        <v>▲ Growing</v>
      </c>
    </row>
    <row r="153" spans="1:9" x14ac:dyDescent="0.25">
      <c r="A153" t="s">
        <v>35</v>
      </c>
      <c r="B153" s="50" cm="1">
        <f t="array" ref="B153">IFERROR(INDEX(B135:I135,MATCH(TRUE,B135:I135&gt;0,0)),0)</f>
        <v>3400.45</v>
      </c>
      <c r="C153" s="50" cm="1">
        <f t="array" ref="C153">IFERROR(LOOKUP(2,1/(B135:I135&gt;0),B135:I135),0)</f>
        <v>7676.2599999999993</v>
      </c>
      <c r="D153" s="50">
        <f>C153-B153</f>
        <v>4275.8099999999995</v>
      </c>
      <c r="E153" s="53">
        <f>IFERROR(D153/B153,0)</f>
        <v>1.2574247526062725</v>
      </c>
      <c r="F153" s="19" t="str">
        <f>IF(D153&gt;0,"▲ Growing",IF(D153&lt;0,"▼ Declining","► Flat"))</f>
        <v>▲ Growing</v>
      </c>
    </row>
    <row r="154" spans="1:9" x14ac:dyDescent="0.25">
      <c r="A154" s="60" t="s">
        <v>79</v>
      </c>
      <c r="B154" s="61" cm="1">
        <f t="array" ref="B154">IFERROR(INDEX(B136:I136,MATCH(TRUE,B136:I136&gt;0,0)),0)</f>
        <v>9175.7200000000012</v>
      </c>
      <c r="C154" s="61" cm="1">
        <f t="array" ref="C154">IFERROR(LOOKUP(2,1/(B136:I136&gt;0),B136:I136),0)</f>
        <v>9508.27</v>
      </c>
      <c r="D154" s="61">
        <f>C154-B154</f>
        <v>332.54999999999927</v>
      </c>
      <c r="E154" s="62">
        <f>IFERROR(D154/B154,0)</f>
        <v>3.6242387518363596E-2</v>
      </c>
      <c r="F154" s="70" t="str">
        <f>IF(D154&gt;0,"▲ Growing",IF(D154&lt;0,"▼ Declining","► Flat"))</f>
        <v>▲ Growing</v>
      </c>
    </row>
    <row r="155" spans="1:9" x14ac:dyDescent="0.25">
      <c r="A155" t="s">
        <v>19</v>
      </c>
      <c r="B155" s="50" cm="1">
        <f t="array" ref="B155">IFERROR(INDEX(B137:I137,MATCH(TRUE,B137:I137&gt;0,0)),0)</f>
        <v>7933.86</v>
      </c>
      <c r="C155" s="50" cm="1">
        <f t="array" ref="C155">IFERROR(LOOKUP(2,1/(B137:I137&gt;0),B137:I137),0)</f>
        <v>4423.8</v>
      </c>
      <c r="D155" s="50">
        <f>C155-B155</f>
        <v>-3510.0599999999995</v>
      </c>
      <c r="E155" s="53">
        <f>IFERROR(D155/B155,0)</f>
        <v>-0.44241516739645009</v>
      </c>
      <c r="F155" s="19" t="str">
        <f>IF(D155&gt;0,"▲ Growing",IF(D155&lt;0,"▼ Declining","► Flat"))</f>
        <v>▼ Declining</v>
      </c>
    </row>
    <row r="156" spans="1:9" x14ac:dyDescent="0.25">
      <c r="A156" s="60" t="s">
        <v>55</v>
      </c>
      <c r="B156" s="61" cm="1">
        <f t="array" ref="B156">IFERROR(INDEX(B138:I138,MATCH(TRUE,B138:I138&gt;0,0)),0)</f>
        <v>1914.68</v>
      </c>
      <c r="C156" s="61" cm="1">
        <f t="array" ref="C156">IFERROR(LOOKUP(2,1/(B138:I138&gt;0),B138:I138),0)</f>
        <v>4995.58</v>
      </c>
      <c r="D156" s="61">
        <f>C156-B156</f>
        <v>3080.8999999999996</v>
      </c>
      <c r="E156" s="62">
        <f>IFERROR(D156/B156,0)</f>
        <v>1.6090939478137336</v>
      </c>
      <c r="F156" s="70" t="str">
        <f>IF(D156&gt;0,"▲ Growing",IF(D156&lt;0,"▼ Declining","► Flat"))</f>
        <v>▲ Growing</v>
      </c>
    </row>
    <row r="157" spans="1:9" x14ac:dyDescent="0.25">
      <c r="A157" t="s">
        <v>75</v>
      </c>
      <c r="B157" s="50" cm="1">
        <f t="array" ref="B157">IFERROR(INDEX(B139:I139,MATCH(TRUE,B139:I139&gt;0,0)),0)</f>
        <v>1104.48</v>
      </c>
      <c r="C157" s="50" cm="1">
        <f t="array" ref="C157">IFERROR(LOOKUP(2,1/(B139:I139&gt;0),B139:I139),0)</f>
        <v>11396.94</v>
      </c>
      <c r="D157" s="50">
        <f>C157-B157</f>
        <v>10292.460000000001</v>
      </c>
      <c r="E157" s="53">
        <f>IFERROR(D157/B157,0)</f>
        <v>9.318828770099957</v>
      </c>
      <c r="F157" s="19" t="str">
        <f>IF(D157&gt;0,"▲ Growing",IF(D157&lt;0,"▼ Declining","► Flat"))</f>
        <v>▲ Growing</v>
      </c>
    </row>
    <row r="158" spans="1:9" x14ac:dyDescent="0.25">
      <c r="A158" s="60" t="s">
        <v>37</v>
      </c>
      <c r="B158" s="61" cm="1">
        <f t="array" ref="B158">IFERROR(INDEX(B140:I140,MATCH(TRUE,B140:I140&gt;0,0)),0)</f>
        <v>1250</v>
      </c>
      <c r="C158" s="61" cm="1">
        <f t="array" ref="C158">IFERROR(LOOKUP(2,1/(B140:I140&gt;0),B140:I140),0)</f>
        <v>2252.25</v>
      </c>
      <c r="D158" s="61">
        <f>C158-B158</f>
        <v>1002.25</v>
      </c>
      <c r="E158" s="62">
        <f>IFERROR(D158/B158,0)</f>
        <v>0.80179999999999996</v>
      </c>
      <c r="F158" s="70" t="str">
        <f>IF(D158&gt;0,"▲ Growing",IF(D158&lt;0,"▼ Declining","► Flat"))</f>
        <v>▲ Growing</v>
      </c>
    </row>
    <row r="159" spans="1:9" x14ac:dyDescent="0.25">
      <c r="A159" t="s">
        <v>33</v>
      </c>
      <c r="B159" s="50" cm="1">
        <f t="array" ref="B159">IFERROR(INDEX(B141:I141,MATCH(TRUE,B141:I141&gt;0,0)),0)</f>
        <v>3370.24</v>
      </c>
      <c r="C159" s="50" cm="1">
        <f t="array" ref="C159">IFERROR(LOOKUP(2,1/(B141:I141&gt;0),B141:I141),0)</f>
        <v>2303.46</v>
      </c>
      <c r="D159" s="50">
        <f>C159-B159</f>
        <v>-1066.7799999999997</v>
      </c>
      <c r="E159" s="53">
        <f>IFERROR(D159/B159,0)</f>
        <v>-0.3165293866312191</v>
      </c>
      <c r="F159" s="19" t="str">
        <f>IF(D159&gt;0,"▲ Growing",IF(D159&lt;0,"▼ Declining","► Flat"))</f>
        <v>▼ Declining</v>
      </c>
    </row>
    <row r="160" spans="1:9" x14ac:dyDescent="0.25">
      <c r="A160" s="60" t="s">
        <v>42</v>
      </c>
      <c r="B160" s="61" cm="1">
        <f t="array" ref="B160">IFERROR(INDEX(B142:I142,MATCH(TRUE,B142:I142&gt;0,0)),0)</f>
        <v>3681.92</v>
      </c>
      <c r="C160" s="61" cm="1">
        <f t="array" ref="C160">IFERROR(LOOKUP(2,1/(B142:I142&gt;0),B142:I142),0)</f>
        <v>2346.96</v>
      </c>
      <c r="D160" s="61">
        <f>C160-B160</f>
        <v>-1334.96</v>
      </c>
      <c r="E160" s="62">
        <f>IFERROR(D160/B160,0)</f>
        <v>-0.3625717017208413</v>
      </c>
      <c r="F160" s="70" t="str">
        <f>IF(D160&gt;0,"▲ Growing",IF(D160&lt;0,"▼ Declining","► Flat"))</f>
        <v>▼ Declining</v>
      </c>
    </row>
    <row r="161" spans="1:12" x14ac:dyDescent="0.25">
      <c r="A161" t="s">
        <v>45</v>
      </c>
      <c r="B161" s="50" cm="1">
        <f t="array" ref="B161">IFERROR(INDEX(B143:I143,MATCH(TRUE,B143:I143&gt;0,0)),0)</f>
        <v>5249.16</v>
      </c>
      <c r="C161" s="50" cm="1">
        <f t="array" ref="C161">IFERROR(LOOKUP(2,1/(B143:I143&gt;0),B143:I143),0)</f>
        <v>2744.54</v>
      </c>
      <c r="D161" s="50">
        <f>C161-B161</f>
        <v>-2504.62</v>
      </c>
      <c r="E161" s="53">
        <f>IFERROR(D161/B161,0)</f>
        <v>-0.47714681968162526</v>
      </c>
      <c r="F161" s="19" t="str">
        <f>IF(D161&gt;0,"▲ Growing",IF(D161&lt;0,"▼ Declining","► Flat"))</f>
        <v>▼ Declining</v>
      </c>
    </row>
    <row r="162" spans="1:12" x14ac:dyDescent="0.25">
      <c r="A162" s="60" t="s">
        <v>47</v>
      </c>
      <c r="B162" s="61" cm="1">
        <f t="array" ref="B162">IFERROR(INDEX(B144:I144,MATCH(TRUE,B144:I144&gt;0,0)),0)</f>
        <v>4946.0599999999995</v>
      </c>
      <c r="C162" s="61" cm="1">
        <f t="array" ref="C162">IFERROR(LOOKUP(2,1/(B144:I144&gt;0),B144:I144),0)</f>
        <v>10056.029999999999</v>
      </c>
      <c r="D162" s="61">
        <f>C162-B162</f>
        <v>5109.9699999999993</v>
      </c>
      <c r="E162" s="62">
        <f>IFERROR(D162/B162,0)</f>
        <v>1.0331395090233437</v>
      </c>
      <c r="F162" s="70" t="str">
        <f>IF(D162&gt;0,"▲ Growing",IF(D162&lt;0,"▼ Declining","► Flat"))</f>
        <v>▲ Growing</v>
      </c>
    </row>
    <row r="163" spans="1:12" x14ac:dyDescent="0.25">
      <c r="A163" t="s">
        <v>28</v>
      </c>
      <c r="B163" s="50" cm="1">
        <f t="array" ref="B163">IFERROR(INDEX(B145:I145,MATCH(TRUE,B145:I145&gt;0,0)),0)</f>
        <v>2744.2</v>
      </c>
      <c r="C163" s="50" cm="1">
        <f t="array" ref="C163">IFERROR(LOOKUP(2,1/(B145:I145&gt;0),B145:I145),0)</f>
        <v>6251.53</v>
      </c>
      <c r="D163" s="50">
        <f>C163-B163</f>
        <v>3507.33</v>
      </c>
      <c r="E163" s="53">
        <f>IFERROR(D163/B163,0)</f>
        <v>1.2780883317542453</v>
      </c>
      <c r="F163" s="19" t="str">
        <f>IF(D163&gt;0,"▲ Growing",IF(D163&lt;0,"▼ Declining","► Flat"))</f>
        <v>▲ Growing</v>
      </c>
    </row>
    <row r="164" spans="1:12" x14ac:dyDescent="0.25">
      <c r="A164" s="60" t="s">
        <v>24</v>
      </c>
      <c r="B164" s="61" cm="1">
        <f t="array" ref="B164">IFERROR(INDEX(B146:I146,MATCH(TRUE,B146:I146&gt;0,0)),0)</f>
        <v>3667.92</v>
      </c>
      <c r="C164" s="61" cm="1">
        <f t="array" ref="C164">IFERROR(LOOKUP(2,1/(B146:I146&gt;0),B146:I146),0)</f>
        <v>837.52</v>
      </c>
      <c r="D164" s="61">
        <f>C164-B164</f>
        <v>-2830.4</v>
      </c>
      <c r="E164" s="62">
        <f>IFERROR(D164/B164,0)</f>
        <v>-0.77166350411132201</v>
      </c>
      <c r="F164" s="70" t="str">
        <f>IF(D164&gt;0,"▲ Growing",IF(D164&lt;0,"▼ Declining","► Flat"))</f>
        <v>▼ Declining</v>
      </c>
    </row>
    <row r="165" spans="1:12" x14ac:dyDescent="0.25">
      <c r="A165" t="s">
        <v>31</v>
      </c>
      <c r="B165" s="50" cm="1">
        <f t="array" ref="B165">IFERROR(INDEX(B147:I147,MATCH(TRUE,B147:I147&gt;0,0)),0)</f>
        <v>9807.32</v>
      </c>
      <c r="C165" s="50" cm="1">
        <f t="array" ref="C165">IFERROR(LOOKUP(2,1/(B147:I147&gt;0),B147:I147),0)</f>
        <v>2000.7</v>
      </c>
      <c r="D165" s="50">
        <f>C165-B165</f>
        <v>-7806.62</v>
      </c>
      <c r="E165" s="53">
        <f>IFERROR(D165/B165,0)</f>
        <v>-0.79599931479751862</v>
      </c>
      <c r="F165" s="19" t="str">
        <f>IF(D165&gt;0,"▲ Growing",IF(D165&lt;0,"▼ Declining","► Flat"))</f>
        <v>▼ Declining</v>
      </c>
    </row>
    <row r="167" spans="1:12" x14ac:dyDescent="0.25">
      <c r="A167" s="54" t="s">
        <v>577</v>
      </c>
      <c r="B167" s="55">
        <f>COUNTIF(E151:E165,"&gt;"&amp;0)</f>
        <v>9</v>
      </c>
      <c r="C167" s="55"/>
      <c r="D167" s="55"/>
      <c r="E167" s="55"/>
      <c r="F167" s="55"/>
    </row>
    <row r="168" spans="1:12" x14ac:dyDescent="0.25">
      <c r="A168" s="54" t="s">
        <v>578</v>
      </c>
      <c r="B168" s="55">
        <f>COUNTIF(E151:E165,"&lt;"&amp;0)</f>
        <v>6</v>
      </c>
      <c r="C168" s="55"/>
      <c r="D168" s="55"/>
      <c r="E168" s="55"/>
      <c r="F168" s="55"/>
    </row>
    <row r="169" spans="1:12" x14ac:dyDescent="0.25">
      <c r="A169" s="54" t="s">
        <v>579</v>
      </c>
      <c r="B169" s="56">
        <f>AVERAGE(E151:E165)</f>
        <v>0.82892178959593787</v>
      </c>
      <c r="C169" s="55"/>
      <c r="D169" s="55"/>
      <c r="E169" s="55"/>
      <c r="F169" s="55"/>
    </row>
    <row r="172" spans="1:12" ht="24.95" customHeight="1" x14ac:dyDescent="0.25">
      <c r="A172" s="36" t="s">
        <v>580</v>
      </c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</row>
    <row r="173" spans="1:12" x14ac:dyDescent="0.25">
      <c r="A173" s="47" t="s">
        <v>581</v>
      </c>
      <c r="B173" s="46"/>
      <c r="C173" s="46"/>
      <c r="D173" s="46"/>
      <c r="E173" s="46"/>
      <c r="F173" s="46"/>
      <c r="G173" s="46"/>
    </row>
    <row r="174" spans="1:12" x14ac:dyDescent="0.25">
      <c r="A174" s="71" t="s">
        <v>582</v>
      </c>
      <c r="B174" s="72">
        <f>AVERAGE(B27:B32)</f>
        <v>39836.943333333336</v>
      </c>
      <c r="C174" s="73"/>
    </row>
    <row r="175" spans="1:12" x14ac:dyDescent="0.25">
      <c r="A175" s="71" t="s">
        <v>583</v>
      </c>
      <c r="B175" s="74">
        <f>AVERAGE((B28-B27)/B27,(B29-B28)/B28,(B30-B29)/B29,(B31-B30)/B30,(B32-B31)/B31)</f>
        <v>3.3853608932447224E-2</v>
      </c>
      <c r="C175" s="73"/>
    </row>
    <row r="176" spans="1:12" x14ac:dyDescent="0.25">
      <c r="A176" s="71" t="s">
        <v>584</v>
      </c>
      <c r="B176" s="75">
        <f>AVERAGE(G96-G95,G97-G96,G98-G97,G99-G98,G100-G99)</f>
        <v>4.0248656685151207E-2</v>
      </c>
      <c r="C176" s="73"/>
    </row>
    <row r="177" spans="1:12" x14ac:dyDescent="0.25">
      <c r="A177" s="71" t="s">
        <v>585</v>
      </c>
      <c r="B177" s="74">
        <f>B175</f>
        <v>3.3853608932447224E-2</v>
      </c>
      <c r="C177" s="73"/>
    </row>
    <row r="178" spans="1:12" x14ac:dyDescent="0.25">
      <c r="A178" s="71" t="s">
        <v>586</v>
      </c>
      <c r="B178" s="76">
        <v>6</v>
      </c>
      <c r="C178" s="73" t="s">
        <v>587</v>
      </c>
    </row>
    <row r="180" spans="1:12" x14ac:dyDescent="0.25">
      <c r="A180" s="48" t="s">
        <v>588</v>
      </c>
      <c r="B180" s="48" t="s">
        <v>589</v>
      </c>
      <c r="C180" s="48" t="s">
        <v>590</v>
      </c>
      <c r="D180" s="48" t="s">
        <v>591</v>
      </c>
      <c r="E180" s="48" t="s">
        <v>592</v>
      </c>
      <c r="F180" s="48" t="s">
        <v>593</v>
      </c>
    </row>
    <row r="181" spans="1:12" x14ac:dyDescent="0.25">
      <c r="A181" s="77">
        <f>EDATE(A32,1)</f>
        <v>46235</v>
      </c>
      <c r="B181" s="78">
        <f>B174*(1+B175)^1</f>
        <v>41185.567634004066</v>
      </c>
      <c r="C181" s="79">
        <f>D32*(1+B175)^1</f>
        <v>7400.3241327384576</v>
      </c>
      <c r="D181" s="80">
        <f>G32+B176*1</f>
        <v>4.0248656685151207E-2</v>
      </c>
      <c r="E181" s="78">
        <f>B181</f>
        <v>41185.567634004066</v>
      </c>
      <c r="F181" s="81" t="s">
        <v>594</v>
      </c>
    </row>
    <row r="182" spans="1:12" x14ac:dyDescent="0.25">
      <c r="A182" s="77">
        <f>EDATE(A32,2)</f>
        <v>46266</v>
      </c>
      <c r="B182" s="78">
        <f>B174*(1+B175)^2</f>
        <v>42579.847734346491</v>
      </c>
      <c r="C182" s="79">
        <f>D32*(1+B175)^2</f>
        <v>7650.8518119015362</v>
      </c>
      <c r="D182" s="80">
        <f>G32+B176*2</f>
        <v>8.0497313370302415E-2</v>
      </c>
      <c r="E182" s="78">
        <f>E181+B182</f>
        <v>83765.415368350557</v>
      </c>
      <c r="F182" s="81" t="s">
        <v>595</v>
      </c>
    </row>
    <row r="183" spans="1:12" x14ac:dyDescent="0.25">
      <c r="A183" s="77">
        <f>EDATE(A32,3)</f>
        <v>46296</v>
      </c>
      <c r="B183" s="78">
        <f>B174*(1+B175)^3</f>
        <v>44021.329247948212</v>
      </c>
      <c r="C183" s="79">
        <f>D32*(1+B175)^3</f>
        <v>7909.8607571417579</v>
      </c>
      <c r="D183" s="80">
        <f>G32+B176*3</f>
        <v>0.12074597005545362</v>
      </c>
      <c r="E183" s="78">
        <f>E182+B183</f>
        <v>127786.74461629876</v>
      </c>
      <c r="F183" s="81" t="s">
        <v>596</v>
      </c>
    </row>
    <row r="184" spans="1:12" x14ac:dyDescent="0.25">
      <c r="A184" s="77">
        <f>EDATE(A32,4)</f>
        <v>46327</v>
      </c>
      <c r="B184" s="78">
        <f>B174*(1+B175)^4</f>
        <v>45511.610112994749</v>
      </c>
      <c r="C184" s="79">
        <f>D32*(1+B175)^4</f>
        <v>8177.638089924144</v>
      </c>
      <c r="D184" s="80">
        <f>G32+B176*4</f>
        <v>0.16099462674060483</v>
      </c>
      <c r="E184" s="78">
        <f>E183+B184</f>
        <v>173298.3547292935</v>
      </c>
      <c r="F184" s="81" t="s">
        <v>597</v>
      </c>
    </row>
    <row r="185" spans="1:12" x14ac:dyDescent="0.25">
      <c r="A185" s="77">
        <f>EDATE(A32,5)</f>
        <v>46357</v>
      </c>
      <c r="B185" s="78">
        <f>B174*(1+B175)^5</f>
        <v>47052.342363646087</v>
      </c>
      <c r="C185" s="79">
        <f>D32*(1+B175)^5</f>
        <v>8454.480651811522</v>
      </c>
      <c r="D185" s="80">
        <f>G32+B176*5</f>
        <v>0.20124328342575604</v>
      </c>
      <c r="E185" s="78">
        <f>E184+B185</f>
        <v>220350.69709293958</v>
      </c>
      <c r="F185" s="81" t="s">
        <v>598</v>
      </c>
    </row>
    <row r="186" spans="1:12" x14ac:dyDescent="0.25">
      <c r="A186" s="77">
        <f>EDATE(A32,6)</f>
        <v>46388</v>
      </c>
      <c r="B186" s="78">
        <f>B174*(1+B175)^6</f>
        <v>48645.233961380574</v>
      </c>
      <c r="C186" s="79">
        <f>D32*(1+B175)^6</f>
        <v>8740.6953335248891</v>
      </c>
      <c r="D186" s="80">
        <f>G32+B176*6</f>
        <v>0.24149194011090724</v>
      </c>
      <c r="E186" s="78">
        <f>E185+B186</f>
        <v>268995.93105432013</v>
      </c>
      <c r="F186" s="81" t="s">
        <v>599</v>
      </c>
    </row>
    <row r="187" spans="1:12" x14ac:dyDescent="0.25">
      <c r="A187" s="82" t="s">
        <v>600</v>
      </c>
      <c r="B187" s="83">
        <f>SUM(B181:B186)</f>
        <v>268995.93105432013</v>
      </c>
      <c r="C187" s="84"/>
      <c r="D187" s="84"/>
      <c r="E187" s="84"/>
      <c r="F187" s="84"/>
    </row>
    <row r="188" spans="1:12" x14ac:dyDescent="0.25">
      <c r="A188" s="82" t="s">
        <v>601</v>
      </c>
      <c r="B188" s="83">
        <f>B187/6*12</f>
        <v>537991.86210864026</v>
      </c>
      <c r="C188" s="84"/>
      <c r="D188" s="84"/>
      <c r="E188" s="84"/>
      <c r="F188" s="84"/>
    </row>
    <row r="192" spans="1:12" ht="24.95" customHeight="1" x14ac:dyDescent="0.25">
      <c r="A192" s="36" t="s">
        <v>602</v>
      </c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</row>
    <row r="193" spans="1:12" x14ac:dyDescent="0.25">
      <c r="A193" s="85" t="s">
        <v>603</v>
      </c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</row>
    <row r="194" spans="1:12" x14ac:dyDescent="0.25">
      <c r="A194" s="48" t="s">
        <v>3</v>
      </c>
      <c r="B194" s="48" t="s">
        <v>604</v>
      </c>
      <c r="C194" s="48" t="s">
        <v>605</v>
      </c>
      <c r="D194" s="48" t="s">
        <v>606</v>
      </c>
      <c r="E194" s="48" t="s">
        <v>607</v>
      </c>
      <c r="F194" s="48" t="s">
        <v>608</v>
      </c>
      <c r="G194" s="48" t="s">
        <v>609</v>
      </c>
      <c r="H194" s="48" t="s">
        <v>610</v>
      </c>
      <c r="I194" s="48" t="s">
        <v>611</v>
      </c>
    </row>
    <row r="195" spans="1:12" x14ac:dyDescent="0.25">
      <c r="A195" t="s">
        <v>16</v>
      </c>
      <c r="B195" s="86">
        <f>_xlfn.MAXIFS(RAW_INPUT!A5:A445,RAW_INPUT!B5:B445,A195)</f>
        <v>46223</v>
      </c>
      <c r="C195" s="51">
        <f>H7-B195</f>
        <v>1</v>
      </c>
      <c r="D195" s="50" cm="1">
        <f t="array" ref="D195">SUMPRODUCT((RAW_INPUT!B5:B445=A195)*(RAW_INPUT!A5:A445&gt;=DATE(2026,4,1))*(RAW_INPUT!A5:A445&lt;DATE(2026,7,1))*RAW_INPUT!G5:G445)</f>
        <v>9329.369999999999</v>
      </c>
      <c r="E195" s="50" cm="1">
        <f t="array" ref="E195">SUMPRODUCT((RAW_INPUT!B5:B445=A195)*(RAW_INPUT!A5:A445&gt;=DATE(2026,1,1))*(RAW_INPUT!A5:A445&lt;DATE(2026,4,1))*RAW_INPUT!G5:G445)</f>
        <v>5424.45</v>
      </c>
      <c r="F195" s="53">
        <f>IFERROR((D195-E195)/E195,IF(D195&gt;0,1,-1))</f>
        <v>0.71987390426679188</v>
      </c>
      <c r="G195" s="87">
        <f>IFERROR((_xlfn.MAXIFS(RAW_INPUT!A5:A445,RAW_INPUT!B5:B445,A195)-_xlfn.MINIFS(RAW_INPUT!A5:A445,RAW_INPUT!B5:B445,A195))/(COUNTIF(RAW_INPUT!B5:B445,A195)-1),0)</f>
        <v>27.086956521739129</v>
      </c>
      <c r="H195" s="19">
        <f>MIN(10,IF(C195&gt;90,4,IF(C195&gt;60,3,IF(C195&gt;30,2,IF(C195&gt;14,1,0))))+IF(F195&gt;0,0,IF(F195&gt;-0.25,2,3))+IF(G195&lt;10,0,IF(G195&lt;15,1,IF(G195&lt;20,2,3))))</f>
        <v>3</v>
      </c>
      <c r="I195" s="19" t="str">
        <f>IF(H195&gt;=7,"🔴 HIGH",IF(H195&gt;=4,"🟡 MEDIUM","🟢 LOW"))</f>
        <v>🟢 LOW</v>
      </c>
    </row>
    <row r="196" spans="1:12" x14ac:dyDescent="0.25">
      <c r="A196" s="60" t="s">
        <v>22</v>
      </c>
      <c r="B196" s="88">
        <f>_xlfn.MAXIFS(RAW_INPUT!A5:A445,RAW_INPUT!B5:B445,A196)</f>
        <v>46181</v>
      </c>
      <c r="C196" s="63">
        <f>H7-B196</f>
        <v>43</v>
      </c>
      <c r="D196" s="61" cm="1">
        <f t="array" ref="D196">SUMPRODUCT((RAW_INPUT!B5:B445=A196)*(RAW_INPUT!A5:A445&gt;=DATE(2026,4,1))*(RAW_INPUT!A5:A445&lt;DATE(2026,7,1))*RAW_INPUT!G5:G445)</f>
        <v>6959.94</v>
      </c>
      <c r="E196" s="61" cm="1">
        <f t="array" ref="E196">SUMPRODUCT((RAW_INPUT!B5:B445=A196)*(RAW_INPUT!A5:A445&gt;=DATE(2026,1,1))*(RAW_INPUT!A5:A445&lt;DATE(2026,4,1))*RAW_INPUT!G5:G445)</f>
        <v>6573.5</v>
      </c>
      <c r="F196" s="62">
        <f>IFERROR((D196-E196)/E196,IF(D196&gt;0,1,-1))</f>
        <v>5.8787556096447799E-2</v>
      </c>
      <c r="G196" s="89">
        <f>IFERROR((_xlfn.MAXIFS(RAW_INPUT!A5:A445,RAW_INPUT!B5:B445,A196)-_xlfn.MINIFS(RAW_INPUT!A5:A445,RAW_INPUT!B5:B445,A196))/(COUNTIF(RAW_INPUT!B5:B445,A196)-1),0)</f>
        <v>19.3</v>
      </c>
      <c r="H196" s="70">
        <f>MIN(10,IF(C196&gt;90,4,IF(C196&gt;60,3,IF(C196&gt;30,2,IF(C196&gt;14,1,0))))+IF(F196&gt;0,0,IF(F196&gt;-0.25,2,3))+IF(G196&lt;10,0,IF(G196&lt;15,1,IF(G196&lt;20,2,3))))</f>
        <v>4</v>
      </c>
      <c r="I196" s="70" t="str">
        <f>IF(H196&gt;=7,"🔴 HIGH",IF(H196&gt;=4,"🟡 MEDIUM","🟢 LOW"))</f>
        <v>🟡 MEDIUM</v>
      </c>
    </row>
    <row r="197" spans="1:12" x14ac:dyDescent="0.25">
      <c r="A197" t="s">
        <v>35</v>
      </c>
      <c r="B197" s="86">
        <f>_xlfn.MAXIFS(RAW_INPUT!A5:A445,RAW_INPUT!B5:B445,A197)</f>
        <v>46163</v>
      </c>
      <c r="C197" s="51">
        <f>H7-B197</f>
        <v>61</v>
      </c>
      <c r="D197" s="50" cm="1">
        <f t="array" ref="D197">SUMPRODUCT((RAW_INPUT!B5:B445=A197)*(RAW_INPUT!A5:A445&gt;=DATE(2026,4,1))*(RAW_INPUT!A5:A445&lt;DATE(2026,7,1))*RAW_INPUT!G5:G445)</f>
        <v>7676.2599999999993</v>
      </c>
      <c r="E197" s="50" cm="1">
        <f t="array" ref="E197">SUMPRODUCT((RAW_INPUT!B5:B445=A197)*(RAW_INPUT!A5:A445&gt;=DATE(2026,1,1))*(RAW_INPUT!A5:A445&lt;DATE(2026,4,1))*RAW_INPUT!G5:G445)</f>
        <v>1683.24</v>
      </c>
      <c r="F197" s="53">
        <f>IFERROR((D197-E197)/E197,IF(D197&gt;0,1,-1))</f>
        <v>3.5604073097122213</v>
      </c>
      <c r="G197" s="87">
        <f>IFERROR((_xlfn.MAXIFS(RAW_INPUT!A5:A445,RAW_INPUT!B5:B445,A197)-_xlfn.MINIFS(RAW_INPUT!A5:A445,RAW_INPUT!B5:B445,A197))/(COUNTIF(RAW_INPUT!B5:B445,A197)-1),0)</f>
        <v>19.03448275862069</v>
      </c>
      <c r="H197" s="19">
        <f>MIN(10,IF(C197&gt;90,4,IF(C197&gt;60,3,IF(C197&gt;30,2,IF(C197&gt;14,1,0))))+IF(F197&gt;0,0,IF(F197&gt;-0.25,2,3))+IF(G197&lt;10,0,IF(G197&lt;15,1,IF(G197&lt;20,2,3))))</f>
        <v>5</v>
      </c>
      <c r="I197" s="19" t="str">
        <f>IF(H197&gt;=7,"🔴 HIGH",IF(H197&gt;=4,"🟡 MEDIUM","🟢 LOW"))</f>
        <v>🟡 MEDIUM</v>
      </c>
    </row>
    <row r="198" spans="1:12" x14ac:dyDescent="0.25">
      <c r="A198" s="60" t="s">
        <v>79</v>
      </c>
      <c r="B198" s="88">
        <f>_xlfn.MAXIFS(RAW_INPUT!A5:A445,RAW_INPUT!B5:B445,A198)</f>
        <v>46224</v>
      </c>
      <c r="C198" s="63">
        <f>H7-B198</f>
        <v>0</v>
      </c>
      <c r="D198" s="61" cm="1">
        <f t="array" ref="D198">SUMPRODUCT((RAW_INPUT!B5:B445=A198)*(RAW_INPUT!A5:A445&gt;=DATE(2026,4,1))*(RAW_INPUT!A5:A445&lt;DATE(2026,7,1))*RAW_INPUT!G5:G445)</f>
        <v>10969.23</v>
      </c>
      <c r="E198" s="61" cm="1">
        <f t="array" ref="E198">SUMPRODUCT((RAW_INPUT!B5:B445=A198)*(RAW_INPUT!A5:A445&gt;=DATE(2026,1,1))*(RAW_INPUT!A5:A445&lt;DATE(2026,4,1))*RAW_INPUT!G5:G445)</f>
        <v>10323.39</v>
      </c>
      <c r="F198" s="62">
        <f>IFERROR((D198-E198)/E198,IF(D198&gt;0,1,-1))</f>
        <v>6.2560844838759372E-2</v>
      </c>
      <c r="G198" s="89">
        <f>IFERROR((_xlfn.MAXIFS(RAW_INPUT!A5:A445,RAW_INPUT!B5:B445,A198)-_xlfn.MINIFS(RAW_INPUT!A5:A445,RAW_INPUT!B5:B445,A198))/(COUNTIF(RAW_INPUT!B5:B445,A198)-1),0)</f>
        <v>15.583333333333334</v>
      </c>
      <c r="H198" s="70">
        <f>MIN(10,IF(C198&gt;90,4,IF(C198&gt;60,3,IF(C198&gt;30,2,IF(C198&gt;14,1,0))))+IF(F198&gt;0,0,IF(F198&gt;-0.25,2,3))+IF(G198&lt;10,0,IF(G198&lt;15,1,IF(G198&lt;20,2,3))))</f>
        <v>2</v>
      </c>
      <c r="I198" s="70" t="str">
        <f>IF(H198&gt;=7,"🔴 HIGH",IF(H198&gt;=4,"🟡 MEDIUM","🟢 LOW"))</f>
        <v>🟢 LOW</v>
      </c>
    </row>
    <row r="199" spans="1:12" x14ac:dyDescent="0.25">
      <c r="A199" t="s">
        <v>19</v>
      </c>
      <c r="B199" s="86">
        <f>_xlfn.MAXIFS(RAW_INPUT!A5:A445,RAW_INPUT!B5:B445,A199)</f>
        <v>46205</v>
      </c>
      <c r="C199" s="51">
        <f>H7-B199</f>
        <v>19</v>
      </c>
      <c r="D199" s="50" cm="1">
        <f t="array" ref="D199">SUMPRODUCT((RAW_INPUT!B5:B445=A199)*(RAW_INPUT!A5:A445&gt;=DATE(2026,4,1))*(RAW_INPUT!A5:A445&lt;DATE(2026,7,1))*RAW_INPUT!G5:G445)</f>
        <v>8702.14</v>
      </c>
      <c r="E199" s="50" cm="1">
        <f t="array" ref="E199">SUMPRODUCT((RAW_INPUT!B5:B445=A199)*(RAW_INPUT!A5:A445&gt;=DATE(2026,1,1))*(RAW_INPUT!A5:A445&lt;DATE(2026,4,1))*RAW_INPUT!G5:G445)</f>
        <v>4206.3900000000003</v>
      </c>
      <c r="F199" s="53">
        <f>IFERROR((D199-E199)/E199,IF(D199&gt;0,1,-1))</f>
        <v>1.0687905781442042</v>
      </c>
      <c r="G199" s="87">
        <f>IFERROR((_xlfn.MAXIFS(RAW_INPUT!A5:A445,RAW_INPUT!B5:B445,A199)-_xlfn.MINIFS(RAW_INPUT!A5:A445,RAW_INPUT!B5:B445,A199))/(COUNTIF(RAW_INPUT!B5:B445,A199)-1),0)</f>
        <v>18.303030303030305</v>
      </c>
      <c r="H199" s="19">
        <f>MIN(10,IF(C199&gt;90,4,IF(C199&gt;60,3,IF(C199&gt;30,2,IF(C199&gt;14,1,0))))+IF(F199&gt;0,0,IF(F199&gt;-0.25,2,3))+IF(G199&lt;10,0,IF(G199&lt;15,1,IF(G199&lt;20,2,3))))</f>
        <v>3</v>
      </c>
      <c r="I199" s="19" t="str">
        <f>IF(H199&gt;=7,"🔴 HIGH",IF(H199&gt;=4,"🟡 MEDIUM","🟢 LOW"))</f>
        <v>🟢 LOW</v>
      </c>
    </row>
    <row r="200" spans="1:12" x14ac:dyDescent="0.25">
      <c r="A200" s="60" t="s">
        <v>55</v>
      </c>
      <c r="B200" s="88">
        <f>_xlfn.MAXIFS(RAW_INPUT!A5:A445,RAW_INPUT!B5:B445,A200)</f>
        <v>46212</v>
      </c>
      <c r="C200" s="63">
        <f>H7-B200</f>
        <v>12</v>
      </c>
      <c r="D200" s="61" cm="1">
        <f t="array" ref="D200">SUMPRODUCT((RAW_INPUT!B5:B445=A200)*(RAW_INPUT!A5:A445&gt;=DATE(2026,4,1))*(RAW_INPUT!A5:A445&lt;DATE(2026,7,1))*RAW_INPUT!G5:G445)</f>
        <v>4145.12</v>
      </c>
      <c r="E200" s="61" cm="1">
        <f t="array" ref="E200">SUMPRODUCT((RAW_INPUT!B5:B445=A200)*(RAW_INPUT!A5:A445&gt;=DATE(2026,1,1))*(RAW_INPUT!A5:A445&lt;DATE(2026,4,1))*RAW_INPUT!G5:G445)</f>
        <v>1576.1200000000001</v>
      </c>
      <c r="F200" s="62">
        <f>IFERROR((D200-E200)/E200,IF(D200&gt;0,1,-1))</f>
        <v>1.6299520341090779</v>
      </c>
      <c r="G200" s="89">
        <f>IFERROR((_xlfn.MAXIFS(RAW_INPUT!A5:A445,RAW_INPUT!B5:B445,A200)-_xlfn.MINIFS(RAW_INPUT!A5:A445,RAW_INPUT!B5:B445,A200))/(COUNTIF(RAW_INPUT!B5:B445,A200)-1),0)</f>
        <v>26.363636363636363</v>
      </c>
      <c r="H200" s="70">
        <f>MIN(10,IF(C200&gt;90,4,IF(C200&gt;60,3,IF(C200&gt;30,2,IF(C200&gt;14,1,0))))+IF(F200&gt;0,0,IF(F200&gt;-0.25,2,3))+IF(G200&lt;10,0,IF(G200&lt;15,1,IF(G200&lt;20,2,3))))</f>
        <v>3</v>
      </c>
      <c r="I200" s="70" t="str">
        <f>IF(H200&gt;=7,"🔴 HIGH",IF(H200&gt;=4,"🟡 MEDIUM","🟢 LOW"))</f>
        <v>🟢 LOW</v>
      </c>
    </row>
    <row r="201" spans="1:12" x14ac:dyDescent="0.25">
      <c r="A201" t="s">
        <v>75</v>
      </c>
      <c r="B201" s="86">
        <f>_xlfn.MAXIFS(RAW_INPUT!A5:A445,RAW_INPUT!B5:B445,A201)</f>
        <v>46195</v>
      </c>
      <c r="C201" s="51">
        <f>H7-B201</f>
        <v>29</v>
      </c>
      <c r="D201" s="50" cm="1">
        <f t="array" ref="D201">SUMPRODUCT((RAW_INPUT!B5:B445=A201)*(RAW_INPUT!A5:A445&gt;=DATE(2026,4,1))*(RAW_INPUT!A5:A445&lt;DATE(2026,7,1))*RAW_INPUT!G5:G445)</f>
        <v>11396.94</v>
      </c>
      <c r="E201" s="50" cm="1">
        <f t="array" ref="E201">SUMPRODUCT((RAW_INPUT!B5:B445=A201)*(RAW_INPUT!A5:A445&gt;=DATE(2026,1,1))*(RAW_INPUT!A5:A445&lt;DATE(2026,4,1))*RAW_INPUT!G5:G445)</f>
        <v>32841.410000000003</v>
      </c>
      <c r="F201" s="53">
        <f>IFERROR((D201-E201)/E201,IF(D201&gt;0,1,-1))</f>
        <v>-0.65297044189028419</v>
      </c>
      <c r="G201" s="87">
        <f>IFERROR((_xlfn.MAXIFS(RAW_INPUT!A5:A445,RAW_INPUT!B5:B445,A201)-_xlfn.MINIFS(RAW_INPUT!A5:A445,RAW_INPUT!B5:B445,A201))/(COUNTIF(RAW_INPUT!B5:B445,A201)-1),0)</f>
        <v>17.35483870967742</v>
      </c>
      <c r="H201" s="19">
        <f>MIN(10,IF(C201&gt;90,4,IF(C201&gt;60,3,IF(C201&gt;30,2,IF(C201&gt;14,1,0))))+IF(F201&gt;0,0,IF(F201&gt;-0.25,2,3))+IF(G201&lt;10,0,IF(G201&lt;15,1,IF(G201&lt;20,2,3))))</f>
        <v>6</v>
      </c>
      <c r="I201" s="19" t="str">
        <f>IF(H201&gt;=7,"🔴 HIGH",IF(H201&gt;=4,"🟡 MEDIUM","🟢 LOW"))</f>
        <v>🟡 MEDIUM</v>
      </c>
    </row>
    <row r="202" spans="1:12" x14ac:dyDescent="0.25">
      <c r="A202" s="60" t="s">
        <v>37</v>
      </c>
      <c r="B202" s="88">
        <f>_xlfn.MAXIFS(RAW_INPUT!A5:A445,RAW_INPUT!B5:B445,A202)</f>
        <v>46206</v>
      </c>
      <c r="C202" s="63">
        <f>H7-B202</f>
        <v>18</v>
      </c>
      <c r="D202" s="61" cm="1">
        <f t="array" ref="D202">SUMPRODUCT((RAW_INPUT!B5:B445=A202)*(RAW_INPUT!A5:A445&gt;=DATE(2026,4,1))*(RAW_INPUT!A5:A445&lt;DATE(2026,7,1))*RAW_INPUT!G5:G445)</f>
        <v>5875.77</v>
      </c>
      <c r="E202" s="61" cm="1">
        <f t="array" ref="E202">SUMPRODUCT((RAW_INPUT!B5:B445=A202)*(RAW_INPUT!A5:A445&gt;=DATE(2026,1,1))*(RAW_INPUT!A5:A445&lt;DATE(2026,4,1))*RAW_INPUT!G5:G445)</f>
        <v>9381.5500000000011</v>
      </c>
      <c r="F202" s="62">
        <f>IFERROR((D202-E202)/E202,IF(D202&gt;0,1,-1))</f>
        <v>-0.37368878277043777</v>
      </c>
      <c r="G202" s="89">
        <f>IFERROR((_xlfn.MAXIFS(RAW_INPUT!A5:A445,RAW_INPUT!B5:B445,A202)-_xlfn.MINIFS(RAW_INPUT!A5:A445,RAW_INPUT!B5:B445,A202))/(COUNTIF(RAW_INPUT!B5:B445,A202)-1),0)</f>
        <v>23.68</v>
      </c>
      <c r="H202" s="70">
        <f>MIN(10,IF(C202&gt;90,4,IF(C202&gt;60,3,IF(C202&gt;30,2,IF(C202&gt;14,1,0))))+IF(F202&gt;0,0,IF(F202&gt;-0.25,2,3))+IF(G202&lt;10,0,IF(G202&lt;15,1,IF(G202&lt;20,2,3))))</f>
        <v>7</v>
      </c>
      <c r="I202" s="70" t="str">
        <f>IF(H202&gt;=7,"🔴 HIGH",IF(H202&gt;=4,"🟡 MEDIUM","🟢 LOW"))</f>
        <v>🔴 HIGH</v>
      </c>
    </row>
    <row r="203" spans="1:12" x14ac:dyDescent="0.25">
      <c r="A203" t="s">
        <v>33</v>
      </c>
      <c r="B203" s="86">
        <f>_xlfn.MAXIFS(RAW_INPUT!A5:A445,RAW_INPUT!B5:B445,A203)</f>
        <v>46216</v>
      </c>
      <c r="C203" s="51">
        <f>H7-B203</f>
        <v>8</v>
      </c>
      <c r="D203" s="50" cm="1">
        <f t="array" ref="D203">SUMPRODUCT((RAW_INPUT!B5:B445=A203)*(RAW_INPUT!A5:A445&gt;=DATE(2026,4,1))*(RAW_INPUT!A5:A445&lt;DATE(2026,7,1))*RAW_INPUT!G5:G445)</f>
        <v>6532.06</v>
      </c>
      <c r="E203" s="50" cm="1">
        <f t="array" ref="E203">SUMPRODUCT((RAW_INPUT!B5:B445=A203)*(RAW_INPUT!A5:A445&gt;=DATE(2026,1,1))*(RAW_INPUT!A5:A445&lt;DATE(2026,4,1))*RAW_INPUT!G5:G445)</f>
        <v>3862.68</v>
      </c>
      <c r="F203" s="53">
        <f>IFERROR((D203-E203)/E203,IF(D203&gt;0,1,-1))</f>
        <v>0.69106941294645186</v>
      </c>
      <c r="G203" s="87">
        <f>IFERROR((_xlfn.MAXIFS(RAW_INPUT!A5:A445,RAW_INPUT!B5:B445,A203)-_xlfn.MINIFS(RAW_INPUT!A5:A445,RAW_INPUT!B5:B445,A203))/(COUNTIF(RAW_INPUT!B5:B445,A203)-1),0)</f>
        <v>20.2</v>
      </c>
      <c r="H203" s="19">
        <f>MIN(10,IF(C203&gt;90,4,IF(C203&gt;60,3,IF(C203&gt;30,2,IF(C203&gt;14,1,0))))+IF(F203&gt;0,0,IF(F203&gt;-0.25,2,3))+IF(G203&lt;10,0,IF(G203&lt;15,1,IF(G203&lt;20,2,3))))</f>
        <v>3</v>
      </c>
      <c r="I203" s="19" t="str">
        <f>IF(H203&gt;=7,"🔴 HIGH",IF(H203&gt;=4,"🟡 MEDIUM","🟢 LOW"))</f>
        <v>🟢 LOW</v>
      </c>
    </row>
    <row r="204" spans="1:12" x14ac:dyDescent="0.25">
      <c r="A204" s="60" t="s">
        <v>42</v>
      </c>
      <c r="B204" s="88">
        <f>_xlfn.MAXIFS(RAW_INPUT!A5:A445,RAW_INPUT!B5:B445,A204)</f>
        <v>46213</v>
      </c>
      <c r="C204" s="63">
        <f>H7-B204</f>
        <v>11</v>
      </c>
      <c r="D204" s="61" cm="1">
        <f t="array" ref="D204">SUMPRODUCT((RAW_INPUT!B5:B445=A204)*(RAW_INPUT!A5:A445&gt;=DATE(2026,4,1))*(RAW_INPUT!A5:A445&lt;DATE(2026,7,1))*RAW_INPUT!G5:G445)</f>
        <v>4126.1099999999997</v>
      </c>
      <c r="E204" s="61" cm="1">
        <f t="array" ref="E204">SUMPRODUCT((RAW_INPUT!B5:B445=A204)*(RAW_INPUT!A5:A445&gt;=DATE(2026,1,1))*(RAW_INPUT!A5:A445&lt;DATE(2026,4,1))*RAW_INPUT!G5:G445)</f>
        <v>6458.6100000000006</v>
      </c>
      <c r="F204" s="62">
        <f>IFERROR((D204-E204)/E204,IF(D204&gt;0,1,-1))</f>
        <v>-0.3611458193016765</v>
      </c>
      <c r="G204" s="89">
        <f>IFERROR((_xlfn.MAXIFS(RAW_INPUT!A5:A445,RAW_INPUT!B5:B445,A204)-_xlfn.MINIFS(RAW_INPUT!A5:A445,RAW_INPUT!B5:B445,A204))/(COUNTIF(RAW_INPUT!B5:B445,A204)-1),0)</f>
        <v>22.074074074074073</v>
      </c>
      <c r="H204" s="70">
        <f>MIN(10,IF(C204&gt;90,4,IF(C204&gt;60,3,IF(C204&gt;30,2,IF(C204&gt;14,1,0))))+IF(F204&gt;0,0,IF(F204&gt;-0.25,2,3))+IF(G204&lt;10,0,IF(G204&lt;15,1,IF(G204&lt;20,2,3))))</f>
        <v>6</v>
      </c>
      <c r="I204" s="70" t="str">
        <f>IF(H204&gt;=7,"🔴 HIGH",IF(H204&gt;=4,"🟡 MEDIUM","🟢 LOW"))</f>
        <v>🟡 MEDIUM</v>
      </c>
    </row>
    <row r="205" spans="1:12" x14ac:dyDescent="0.25">
      <c r="A205" t="s">
        <v>45</v>
      </c>
      <c r="B205" s="86">
        <f>_xlfn.MAXIFS(RAW_INPUT!A5:A445,RAW_INPUT!B5:B445,A205)</f>
        <v>46156</v>
      </c>
      <c r="C205" s="51">
        <f>H7-B205</f>
        <v>68</v>
      </c>
      <c r="D205" s="50" cm="1">
        <f t="array" ref="D205">SUMPRODUCT((RAW_INPUT!B5:B445=A205)*(RAW_INPUT!A5:A445&gt;=DATE(2026,4,1))*(RAW_INPUT!A5:A445&lt;DATE(2026,7,1))*RAW_INPUT!G5:G445)</f>
        <v>2744.54</v>
      </c>
      <c r="E205" s="50" cm="1">
        <f t="array" ref="E205">SUMPRODUCT((RAW_INPUT!B5:B445=A205)*(RAW_INPUT!A5:A445&gt;=DATE(2026,1,1))*(RAW_INPUT!A5:A445&lt;DATE(2026,4,1))*RAW_INPUT!G5:G445)</f>
        <v>9024.52</v>
      </c>
      <c r="F205" s="53">
        <f>IFERROR((D205-E205)/E205,IF(D205&gt;0,1,-1))</f>
        <v>-0.69587967005447382</v>
      </c>
      <c r="G205" s="87">
        <f>IFERROR((_xlfn.MAXIFS(RAW_INPUT!A5:A445,RAW_INPUT!B5:B445,A205)-_xlfn.MINIFS(RAW_INPUT!A5:A445,RAW_INPUT!B5:B445,A205))/(COUNTIF(RAW_INPUT!B5:B445,A205)-1),0)</f>
        <v>20.692307692307693</v>
      </c>
      <c r="H205" s="19">
        <f>MIN(10,IF(C205&gt;90,4,IF(C205&gt;60,3,IF(C205&gt;30,2,IF(C205&gt;14,1,0))))+IF(F205&gt;0,0,IF(F205&gt;-0.25,2,3))+IF(G205&lt;10,0,IF(G205&lt;15,1,IF(G205&lt;20,2,3))))</f>
        <v>9</v>
      </c>
      <c r="I205" s="19" t="str">
        <f>IF(H205&gt;=7,"🔴 HIGH",IF(H205&gt;=4,"🟡 MEDIUM","🟢 LOW"))</f>
        <v>🔴 HIGH</v>
      </c>
    </row>
    <row r="206" spans="1:12" x14ac:dyDescent="0.25">
      <c r="A206" s="60" t="s">
        <v>47</v>
      </c>
      <c r="B206" s="88">
        <f>_xlfn.MAXIFS(RAW_INPUT!A5:A445,RAW_INPUT!B5:B445,A206)</f>
        <v>46189</v>
      </c>
      <c r="C206" s="63">
        <f>H7-B206</f>
        <v>35</v>
      </c>
      <c r="D206" s="61" cm="1">
        <f t="array" ref="D206">SUMPRODUCT((RAW_INPUT!B5:B445=A206)*(RAW_INPUT!A5:A445&gt;=DATE(2026,4,1))*(RAW_INPUT!A5:A445&lt;DATE(2026,7,1))*RAW_INPUT!G5:G445)</f>
        <v>10056.029999999999</v>
      </c>
      <c r="E206" s="61" cm="1">
        <f t="array" ref="E206">SUMPRODUCT((RAW_INPUT!B5:B445=A206)*(RAW_INPUT!A5:A445&gt;=DATE(2026,1,1))*(RAW_INPUT!A5:A445&lt;DATE(2026,4,1))*RAW_INPUT!G5:G445)</f>
        <v>3490.93</v>
      </c>
      <c r="F206" s="62">
        <f>IFERROR((D206-E206)/E206,IF(D206&gt;0,1,-1))</f>
        <v>1.8806163400583795</v>
      </c>
      <c r="G206" s="89">
        <f>IFERROR((_xlfn.MAXIFS(RAW_INPUT!A5:A445,RAW_INPUT!B5:B445,A206)-_xlfn.MINIFS(RAW_INPUT!A5:A445,RAW_INPUT!B5:B445,A206))/(COUNTIF(RAW_INPUT!B5:B445,A206)-1),0)</f>
        <v>19.586206896551722</v>
      </c>
      <c r="H206" s="70">
        <f>MIN(10,IF(C206&gt;90,4,IF(C206&gt;60,3,IF(C206&gt;30,2,IF(C206&gt;14,1,0))))+IF(F206&gt;0,0,IF(F206&gt;-0.25,2,3))+IF(G206&lt;10,0,IF(G206&lt;15,1,IF(G206&lt;20,2,3))))</f>
        <v>4</v>
      </c>
      <c r="I206" s="70" t="str">
        <f>IF(H206&gt;=7,"🔴 HIGH",IF(H206&gt;=4,"🟡 MEDIUM","🟢 LOW"))</f>
        <v>🟡 MEDIUM</v>
      </c>
    </row>
    <row r="207" spans="1:12" x14ac:dyDescent="0.25">
      <c r="A207" t="s">
        <v>28</v>
      </c>
      <c r="B207" s="86">
        <f>_xlfn.MAXIFS(RAW_INPUT!A5:A445,RAW_INPUT!B5:B445,A207)</f>
        <v>46220</v>
      </c>
      <c r="C207" s="51">
        <f>H7-B207</f>
        <v>4</v>
      </c>
      <c r="D207" s="50" cm="1">
        <f t="array" ref="D207">SUMPRODUCT((RAW_INPUT!B5:B445=A207)*(RAW_INPUT!A5:A445&gt;=DATE(2026,4,1))*(RAW_INPUT!A5:A445&lt;DATE(2026,7,1))*RAW_INPUT!G5:G445)</f>
        <v>5046.66</v>
      </c>
      <c r="E207" s="50" cm="1">
        <f t="array" ref="E207">SUMPRODUCT((RAW_INPUT!B5:B445=A207)*(RAW_INPUT!A5:A445&gt;=DATE(2026,1,1))*(RAW_INPUT!A5:A445&lt;DATE(2026,4,1))*RAW_INPUT!G5:G445)</f>
        <v>5107.49</v>
      </c>
      <c r="F207" s="53">
        <f>IFERROR((D207-E207)/E207,IF(D207&gt;0,1,-1))</f>
        <v>-1.190995968665625E-2</v>
      </c>
      <c r="G207" s="87">
        <f>IFERROR((_xlfn.MAXIFS(RAW_INPUT!A5:A445,RAW_INPUT!B5:B445,A207)-_xlfn.MINIFS(RAW_INPUT!A5:A445,RAW_INPUT!B5:B445,A207))/(COUNTIF(RAW_INPUT!B5:B445,A207)-1),0)</f>
        <v>29.19047619047619</v>
      </c>
      <c r="H207" s="19">
        <f>MIN(10,IF(C207&gt;90,4,IF(C207&gt;60,3,IF(C207&gt;30,2,IF(C207&gt;14,1,0))))+IF(F207&gt;0,0,IF(F207&gt;-0.25,2,3))+IF(G207&lt;10,0,IF(G207&lt;15,1,IF(G207&lt;20,2,3))))</f>
        <v>5</v>
      </c>
      <c r="I207" s="19" t="str">
        <f>IF(H207&gt;=7,"🔴 HIGH",IF(H207&gt;=4,"🟡 MEDIUM","🟢 LOW"))</f>
        <v>🟡 MEDIUM</v>
      </c>
    </row>
    <row r="208" spans="1:12" x14ac:dyDescent="0.25">
      <c r="A208" s="60" t="s">
        <v>24</v>
      </c>
      <c r="B208" s="88">
        <f>_xlfn.MAXIFS(RAW_INPUT!A5:A445,RAW_INPUT!B5:B445,A208)</f>
        <v>46211</v>
      </c>
      <c r="C208" s="63">
        <f>H7-B208</f>
        <v>13</v>
      </c>
      <c r="D208" s="61" cm="1">
        <f t="array" ref="D208">SUMPRODUCT((RAW_INPUT!B5:B445=A208)*(RAW_INPUT!A5:A445&gt;=DATE(2026,4,1))*(RAW_INPUT!A5:A445&lt;DATE(2026,7,1))*RAW_INPUT!G5:G445)</f>
        <v>13971.01</v>
      </c>
      <c r="E208" s="61" cm="1">
        <f t="array" ref="E208">SUMPRODUCT((RAW_INPUT!B5:B445=A208)*(RAW_INPUT!A5:A445&gt;=DATE(2026,1,1))*(RAW_INPUT!A5:A445&lt;DATE(2026,4,1))*RAW_INPUT!G5:G445)</f>
        <v>11165.300000000001</v>
      </c>
      <c r="F208" s="62">
        <f>IFERROR((D208-E208)/E208,IF(D208&gt;0,1,-1))</f>
        <v>0.25128836663591653</v>
      </c>
      <c r="G208" s="89">
        <f>IFERROR((_xlfn.MAXIFS(RAW_INPUT!A5:A445,RAW_INPUT!B5:B445,A208)-_xlfn.MINIFS(RAW_INPUT!A5:A445,RAW_INPUT!B5:B445,A208))/(COUNTIF(RAW_INPUT!B5:B445,A208)-1),0)</f>
        <v>16.432432432432432</v>
      </c>
      <c r="H208" s="70">
        <f>MIN(10,IF(C208&gt;90,4,IF(C208&gt;60,3,IF(C208&gt;30,2,IF(C208&gt;14,1,0))))+IF(F208&gt;0,0,IF(F208&gt;-0.25,2,3))+IF(G208&lt;10,0,IF(G208&lt;15,1,IF(G208&lt;20,2,3))))</f>
        <v>2</v>
      </c>
      <c r="I208" s="70" t="str">
        <f>IF(H208&gt;=7,"🔴 HIGH",IF(H208&gt;=4,"🟡 MEDIUM","🟢 LOW"))</f>
        <v>🟢 LOW</v>
      </c>
    </row>
    <row r="209" spans="1:12" x14ac:dyDescent="0.25">
      <c r="A209" t="s">
        <v>31</v>
      </c>
      <c r="B209" s="86">
        <f>_xlfn.MAXIFS(RAW_INPUT!A5:A445,RAW_INPUT!B5:B445,A209)</f>
        <v>46188</v>
      </c>
      <c r="C209" s="51">
        <f>H7-B209</f>
        <v>36</v>
      </c>
      <c r="D209" s="50" cm="1">
        <f t="array" ref="D209">SUMPRODUCT((RAW_INPUT!B5:B445=A209)*(RAW_INPUT!A5:A445&gt;=DATE(2026,4,1))*(RAW_INPUT!A5:A445&lt;DATE(2026,7,1))*RAW_INPUT!G5:G445)</f>
        <v>2000.7</v>
      </c>
      <c r="E209" s="50" cm="1">
        <f t="array" ref="E209">SUMPRODUCT((RAW_INPUT!B5:B445=A209)*(RAW_INPUT!A5:A445&gt;=DATE(2026,1,1))*(RAW_INPUT!A5:A445&lt;DATE(2026,4,1))*RAW_INPUT!G5:G445)</f>
        <v>12707.13</v>
      </c>
      <c r="F209" s="53">
        <f>IFERROR((D209-E209)/E209,IF(D209&gt;0,1,-1))</f>
        <v>-0.8425529604245805</v>
      </c>
      <c r="G209" s="87">
        <f>IFERROR((_xlfn.MAXIFS(RAW_INPUT!A5:A445,RAW_INPUT!B5:B445,A209)-_xlfn.MINIFS(RAW_INPUT!A5:A445,RAW_INPUT!B5:B445,A209))/(COUNTIF(RAW_INPUT!B5:B445,A209)-1),0)</f>
        <v>21.444444444444443</v>
      </c>
      <c r="H209" s="19">
        <f>MIN(10,IF(C209&gt;90,4,IF(C209&gt;60,3,IF(C209&gt;30,2,IF(C209&gt;14,1,0))))+IF(F209&gt;0,0,IF(F209&gt;-0.25,2,3))+IF(G209&lt;10,0,IF(G209&lt;15,1,IF(G209&lt;20,2,3))))</f>
        <v>8</v>
      </c>
      <c r="I209" s="19" t="str">
        <f>IF(H209&gt;=7,"🔴 HIGH",IF(H209&gt;=4,"🟡 MEDIUM","🟢 LOW"))</f>
        <v>🔴 HIGH</v>
      </c>
    </row>
    <row r="211" spans="1:12" x14ac:dyDescent="0.25">
      <c r="A211" s="54" t="s">
        <v>612</v>
      </c>
      <c r="B211" s="55">
        <f>COUNTIF(H195:H209,"&gt;="&amp;7)</f>
        <v>3</v>
      </c>
      <c r="C211" s="55"/>
      <c r="D211" s="54" t="s">
        <v>615</v>
      </c>
      <c r="E211" s="57" cm="1">
        <f t="array" ref="E211">SUMPRODUCT((H195:H209&gt;=7)*D195:D209)</f>
        <v>10621.010000000002</v>
      </c>
      <c r="F211" s="55"/>
      <c r="G211" s="55"/>
      <c r="H211" s="55"/>
      <c r="I211" s="55"/>
    </row>
    <row r="212" spans="1:12" x14ac:dyDescent="0.25">
      <c r="A212" s="54" t="s">
        <v>613</v>
      </c>
      <c r="B212" s="55">
        <f>COUNTIFS(H195:H209,"&gt;="&amp;4,H195:H209,"&lt;"&amp;7)</f>
        <v>6</v>
      </c>
      <c r="C212" s="55"/>
      <c r="D212" s="54" t="s">
        <v>616</v>
      </c>
      <c r="E212" s="57" cm="1">
        <f t="array" ref="E212">SUMPRODUCT((H195:H209&gt;=4)*(H195:H209&lt;7)*D195:D209)</f>
        <v>45261.94</v>
      </c>
      <c r="F212" s="55"/>
      <c r="G212" s="55"/>
      <c r="H212" s="55"/>
      <c r="I212" s="55"/>
    </row>
    <row r="213" spans="1:12" x14ac:dyDescent="0.25">
      <c r="A213" s="54" t="s">
        <v>614</v>
      </c>
      <c r="B213" s="55">
        <f>COUNTIF(H195:H209,"&lt;"&amp;4)</f>
        <v>6</v>
      </c>
      <c r="C213" s="55"/>
      <c r="D213" s="55"/>
      <c r="E213" s="55"/>
      <c r="F213" s="55"/>
      <c r="G213" s="55"/>
      <c r="H213" s="55"/>
      <c r="I213" s="55"/>
    </row>
    <row r="216" spans="1:12" ht="30" customHeight="1" x14ac:dyDescent="0.3">
      <c r="A216" s="37" t="s">
        <v>617</v>
      </c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</row>
    <row r="217" spans="1:12" x14ac:dyDescent="0.25">
      <c r="A217" s="39" t="s">
        <v>618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</row>
    <row r="219" spans="1:12" x14ac:dyDescent="0.25">
      <c r="A219" s="90" t="s">
        <v>619</v>
      </c>
      <c r="B219" s="40"/>
      <c r="C219" s="90" t="s">
        <v>620</v>
      </c>
      <c r="D219" s="40"/>
      <c r="E219" s="90" t="s">
        <v>621</v>
      </c>
      <c r="F219" s="40"/>
      <c r="G219" s="90" t="s">
        <v>622</v>
      </c>
      <c r="H219" s="40"/>
      <c r="I219" s="90" t="s">
        <v>623</v>
      </c>
      <c r="J219" s="40"/>
      <c r="K219" s="90" t="s">
        <v>624</v>
      </c>
      <c r="L219" s="40"/>
    </row>
    <row r="220" spans="1:12" ht="23.25" x14ac:dyDescent="0.35">
      <c r="A220" s="91">
        <f>B6</f>
        <v>790660.08000000007</v>
      </c>
      <c r="B220" s="40"/>
      <c r="C220" s="92">
        <f>B7</f>
        <v>441</v>
      </c>
      <c r="D220" s="40"/>
      <c r="E220" s="92">
        <f>B8</f>
        <v>181158</v>
      </c>
      <c r="F220" s="40"/>
      <c r="G220" s="93">
        <f>E7</f>
        <v>3.6986725399927107</v>
      </c>
      <c r="H220" s="40"/>
      <c r="I220" s="92">
        <f>H8</f>
        <v>15.000000000000009</v>
      </c>
      <c r="J220" s="40"/>
      <c r="K220" s="91">
        <f>B188</f>
        <v>537991.86210864026</v>
      </c>
      <c r="L220" s="40"/>
    </row>
    <row r="222" spans="1:12" x14ac:dyDescent="0.25">
      <c r="A222" s="90" t="s">
        <v>625</v>
      </c>
      <c r="B222" s="40"/>
      <c r="C222" s="90" t="s">
        <v>626</v>
      </c>
      <c r="D222" s="40"/>
      <c r="E222" s="90" t="s">
        <v>627</v>
      </c>
      <c r="F222" s="40"/>
      <c r="G222" s="90" t="s">
        <v>628</v>
      </c>
      <c r="H222" s="40"/>
      <c r="I222" s="90" t="s">
        <v>629</v>
      </c>
      <c r="J222" s="40"/>
      <c r="K222" s="90" t="s">
        <v>630</v>
      </c>
      <c r="L222" s="40"/>
    </row>
    <row r="223" spans="1:12" ht="23.25" x14ac:dyDescent="0.35">
      <c r="A223" s="94">
        <f>B53</f>
        <v>0.42347270144206595</v>
      </c>
      <c r="B223" s="40"/>
      <c r="C223" s="95">
        <f>C73</f>
        <v>0.84744903271200878</v>
      </c>
      <c r="D223" s="40"/>
      <c r="E223" s="91">
        <f>B74</f>
        <v>87690.960000000021</v>
      </c>
      <c r="F223" s="40"/>
      <c r="G223" s="96">
        <f>B211</f>
        <v>3</v>
      </c>
      <c r="H223" s="40"/>
      <c r="I223" s="97">
        <f>E211+E212</f>
        <v>55882.950000000004</v>
      </c>
      <c r="J223" s="40"/>
      <c r="K223" s="98">
        <f>B167</f>
        <v>9</v>
      </c>
      <c r="L223" s="99" t="str">
        <f>"of "&amp;H8</f>
        <v>of 15</v>
      </c>
    </row>
    <row r="225" spans="1:12" x14ac:dyDescent="0.25">
      <c r="A225" s="47" t="s">
        <v>631</v>
      </c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</row>
    <row r="226" spans="1:12" x14ac:dyDescent="0.25">
      <c r="A226" s="100" t="s">
        <v>632</v>
      </c>
      <c r="B226" s="101" t="str">
        <f>INDEX(A37:A51,MATCH(MAX(B37:B51),B37:B51,0))&amp;" — "&amp;TEXT(MAX(B37:B51),"$#,##0")&amp;" ("&amp;TEXT(INDEX(C37:C51,MATCH(MAX(B37:B51),B37:B51,0)),"0.0%")&amp;" of total)"</f>
        <v>Summit Logistics — $74,360 (9.4% of total)</v>
      </c>
      <c r="C226" s="101"/>
      <c r="D226" s="101"/>
      <c r="E226" s="101"/>
      <c r="F226" s="101"/>
      <c r="G226" s="60"/>
      <c r="H226" s="60"/>
      <c r="I226" s="60"/>
      <c r="J226" s="60"/>
      <c r="K226" s="60"/>
      <c r="L226" s="60"/>
    </row>
    <row r="227" spans="1:12" x14ac:dyDescent="0.25">
      <c r="A227" s="100" t="s">
        <v>633</v>
      </c>
      <c r="B227" s="101" t="str">
        <f>INDEX(A119:A126,MATCH(MAX(B119:B126),B119:B126,0))&amp;" — "&amp;TEXT(MAX(B119:B126),"$#,##0")</f>
        <v>Q4 2025 — $127,706</v>
      </c>
      <c r="C227" s="101"/>
      <c r="D227" s="101"/>
      <c r="E227" s="101"/>
      <c r="F227" s="101"/>
      <c r="G227" s="60"/>
      <c r="H227" s="60"/>
      <c r="I227" s="60"/>
      <c r="J227" s="60"/>
      <c r="K227" s="60"/>
      <c r="L227" s="60"/>
    </row>
    <row r="228" spans="1:12" x14ac:dyDescent="0.25">
      <c r="A228" s="100" t="s">
        <v>634</v>
      </c>
      <c r="B228" s="101" t="str">
        <f>INDEX(A111:A115,MATCH(MAX(B111:B115),B111:B115,0))&amp;" — "&amp;TEXT(MAX(B111:B115),"$#,##0")&amp;" ("&amp;TEXT(INDEX(E111:E115,MATCH(MAX(B111:B115),B111:B115,0)),"0.0%")&amp;" of weekly)"</f>
        <v>Tuesday — $171,036 (21.6% of weekly)</v>
      </c>
      <c r="C228" s="101"/>
      <c r="D228" s="101"/>
      <c r="E228" s="101"/>
      <c r="F228" s="101"/>
      <c r="G228" s="60"/>
      <c r="H228" s="60"/>
      <c r="I228" s="60"/>
      <c r="J228" s="60"/>
      <c r="K228" s="60"/>
      <c r="L228" s="60"/>
    </row>
    <row r="229" spans="1:12" x14ac:dyDescent="0.25">
      <c r="A229" s="100" t="s">
        <v>635</v>
      </c>
      <c r="B229" s="101" t="str">
        <f>TEXT(B187,"$#,##0")&amp;" projected (annualized: "&amp;TEXT(B188,"$#,##0")&amp;")"</f>
        <v>$268,996 projected (annualized: $537,992)</v>
      </c>
      <c r="C229" s="101"/>
      <c r="D229" s="101"/>
      <c r="E229" s="101"/>
      <c r="F229" s="101"/>
      <c r="G229" s="60"/>
      <c r="H229" s="60"/>
      <c r="I229" s="60"/>
      <c r="J229" s="60"/>
      <c r="K229" s="60"/>
      <c r="L229" s="60"/>
    </row>
  </sheetData>
  <mergeCells count="18">
    <mergeCell ref="A216:L216"/>
    <mergeCell ref="A217:L217"/>
    <mergeCell ref="B226:F226"/>
    <mergeCell ref="B227:F227"/>
    <mergeCell ref="B228:F228"/>
    <mergeCell ref="B229:F229"/>
    <mergeCell ref="A78:L78"/>
    <mergeCell ref="A108:L108"/>
    <mergeCell ref="A130:L130"/>
    <mergeCell ref="A172:L172"/>
    <mergeCell ref="A192:L192"/>
    <mergeCell ref="A193:L193"/>
    <mergeCell ref="A1:L1"/>
    <mergeCell ref="A2:L2"/>
    <mergeCell ref="A4:L4"/>
    <mergeCell ref="A10:L10"/>
    <mergeCell ref="A35:L35"/>
    <mergeCell ref="A57:L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RAW_INPUT</vt:lpstr>
      <vt:lpstr>PIPELINE_READY</vt:lpstr>
      <vt:lpstr>QB_COLUMN_MAP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truenorth</cp:lastModifiedBy>
  <dcterms:created xsi:type="dcterms:W3CDTF">2026-03-28T13:43:57Z</dcterms:created>
  <dcterms:modified xsi:type="dcterms:W3CDTF">2026-03-30T07:29:45Z</dcterms:modified>
</cp:coreProperties>
</file>