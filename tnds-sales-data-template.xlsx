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270" windowWidth="29040" windowHeight="15720" tabRatio="600" firstSheet="0" activeTab="0" autoFilterDateGrouping="1"/>
  </bookViews>
  <sheets>
    <sheet xmlns:r="http://schemas.openxmlformats.org/officeDocument/2006/relationships" name="RAW_INPUT" sheetId="1" state="visible" r:id="rId1"/>
    <sheet xmlns:r="http://schemas.openxmlformats.org/officeDocument/2006/relationships" name="PIPELINE_READY" sheetId="2" state="visible" r:id="rId2"/>
    <sheet xmlns:r="http://schemas.openxmlformats.org/officeDocument/2006/relationships" name="QB_COLUMN_MAP" sheetId="3" state="visible" r:id="rId3"/>
    <sheet xmlns:r="http://schemas.openxmlformats.org/officeDocument/2006/relationships" name="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mm/dd/yyyy"/>
    <numFmt numFmtId="165" formatCode="\$#,##0.00"/>
    <numFmt numFmtId="166" formatCode="&quot;$&quot;#,##0"/>
    <numFmt numFmtId="167" formatCode="&quot;$&quot;#,##0.00"/>
    <numFmt numFmtId="168" formatCode="mmm\ yyyy"/>
    <numFmt numFmtId="169" formatCode="0.0%"/>
    <numFmt numFmtId="170" formatCode="&quot;$&quot;#,##0.000"/>
    <numFmt numFmtId="171" formatCode="0.0"/>
    <numFmt numFmtId="172" formatCode="#,##0\ &quot;of &quot;\ "/>
    <numFmt numFmtId="173" formatCode="$#,##0.00"/>
  </numFmts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i val="1"/>
      <color rgb="FF1A3A5C"/>
      <sz val="9"/>
    </font>
    <font>
      <name val="Arial"/>
      <b val="1"/>
      <color rgb="FFFFFFFF"/>
      <sz val="10"/>
    </font>
    <font>
      <name val="Arial"/>
      <i val="1"/>
      <color rgb="FF666666"/>
      <sz val="8"/>
    </font>
    <font>
      <name val="Arial"/>
      <sz val="10"/>
    </font>
    <font>
      <name val="Arial"/>
      <color rgb="FF000000"/>
      <sz val="10"/>
    </font>
    <font>
      <name val="Arial"/>
      <b val="1"/>
      <color rgb="FF1A3A5C"/>
      <sz val="10"/>
    </font>
    <font>
      <name val="Arial"/>
      <color rgb="FFCC0000"/>
      <sz val="10"/>
    </font>
    <font>
      <name val="Calibri"/>
      <family val="2"/>
      <color rgb="FFFFFFFF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i val="1"/>
      <color rgb="FF666666"/>
      <sz val="10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FF"/>
      <sz val="11"/>
      <scheme val="minor"/>
    </font>
    <font>
      <name val="Calibri"/>
      <family val="2"/>
      <i val="1"/>
      <color rgb="FF666666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1F4E79"/>
      <sz val="18"/>
      <scheme val="minor"/>
    </font>
    <font>
      <name val="Calibri"/>
      <family val="2"/>
      <b val="1"/>
      <color rgb="FF27AE60"/>
      <sz val="18"/>
      <scheme val="minor"/>
    </font>
    <font>
      <name val="Calibri"/>
      <family val="2"/>
      <b val="1"/>
      <color rgb="FFE74C3C"/>
      <sz val="18"/>
      <scheme val="minor"/>
    </font>
    <font>
      <name val="Calibri"/>
      <family val="2"/>
      <color rgb="FF27AE60"/>
      <sz val="14"/>
      <scheme val="minor"/>
    </font>
  </fonts>
  <fills count="17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D6E8F5"/>
      </patternFill>
    </fill>
    <fill>
      <patternFill patternType="solid">
        <fgColor rgb="FF3D8EB9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9F9F9"/>
      </patternFill>
    </fill>
    <fill>
      <patternFill patternType="solid">
        <fgColor rgb="FF1F4E79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F9E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D5E8D4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3" fillId="2" borderId="2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3" fontId="5" fillId="6" borderId="3" applyAlignment="1" pivotButton="0" quotePrefix="0" xfId="0">
      <alignment horizontal="center" vertical="center"/>
    </xf>
    <xf numFmtId="165" fontId="5" fillId="6" borderId="3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3" fontId="5" fillId="7" borderId="3" applyAlignment="1" pivotButton="0" quotePrefix="0" xfId="0">
      <alignment horizontal="center" vertical="center"/>
    </xf>
    <xf numFmtId="165" fontId="5" fillId="7" borderId="3" applyAlignment="1" pivotButton="0" quotePrefix="0" xfId="0">
      <alignment horizontal="center" vertical="center"/>
    </xf>
    <xf numFmtId="164" fontId="0" fillId="0" borderId="3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9" borderId="0" pivotButton="0" quotePrefix="0" xfId="0"/>
    <xf numFmtId="0" fontId="13" fillId="9" borderId="0" pivotButton="0" quotePrefix="0" xfId="0"/>
    <xf numFmtId="166" fontId="0" fillId="9" borderId="0" pivotButton="0" quotePrefix="0" xfId="0"/>
    <xf numFmtId="164" fontId="0" fillId="9" borderId="0" pivotButton="0" quotePrefix="0" xfId="0"/>
    <xf numFmtId="3" fontId="0" fillId="9" borderId="0" pivotButton="0" quotePrefix="0" xfId="0"/>
    <xf numFmtId="167" fontId="0" fillId="9" borderId="0" pivotButton="0" quotePrefix="0" xfId="0"/>
    <xf numFmtId="0" fontId="0" fillId="10" borderId="0" pivotButton="0" quotePrefix="0" xfId="0"/>
    <xf numFmtId="0" fontId="13" fillId="10" borderId="0" pivotButton="0" quotePrefix="0" xfId="0"/>
    <xf numFmtId="0" fontId="13" fillId="10" borderId="0" applyAlignment="1" pivotButton="0" quotePrefix="0" xfId="0">
      <alignment horizontal="center"/>
    </xf>
    <xf numFmtId="168" fontId="0" fillId="0" borderId="0" pivotButton="0" quotePrefix="0" xfId="0"/>
    <xf numFmtId="166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  <xf numFmtId="0" fontId="13" fillId="11" borderId="0" pivotButton="0" quotePrefix="0" xfId="0"/>
    <xf numFmtId="0" fontId="0" fillId="11" borderId="0" pivotButton="0" quotePrefix="0" xfId="0"/>
    <xf numFmtId="169" fontId="0" fillId="11" borderId="0" pivotButton="0" quotePrefix="0" xfId="0"/>
    <xf numFmtId="166" fontId="0" fillId="11" borderId="0" pivotButton="0" quotePrefix="0" xfId="0"/>
    <xf numFmtId="166" fontId="0" fillId="11" borderId="0" applyAlignment="1" pivotButton="0" quotePrefix="0" xfId="0">
      <alignment horizontal="center"/>
    </xf>
    <xf numFmtId="169" fontId="0" fillId="11" borderId="0" applyAlignment="1" pivotButton="0" quotePrefix="0" xfId="0">
      <alignment horizontal="center"/>
    </xf>
    <xf numFmtId="0" fontId="0" fillId="12" borderId="0" pivotButton="0" quotePrefix="0" xfId="0"/>
    <xf numFmtId="166" fontId="0" fillId="12" borderId="0" applyAlignment="1" pivotButton="0" quotePrefix="0" xfId="0">
      <alignment horizontal="center"/>
    </xf>
    <xf numFmtId="169" fontId="0" fillId="12" borderId="0" applyAlignment="1" pivotButton="0" quotePrefix="0" xfId="0">
      <alignment horizontal="center"/>
    </xf>
    <xf numFmtId="3" fontId="0" fillId="12" borderId="0" applyAlignment="1" pivotButton="0" quotePrefix="0" xfId="0">
      <alignment horizontal="center"/>
    </xf>
    <xf numFmtId="167" fontId="0" fillId="12" borderId="0" applyAlignment="1" pivotButton="0" quotePrefix="0" xfId="0">
      <alignment horizontal="center"/>
    </xf>
    <xf numFmtId="0" fontId="9" fillId="0" borderId="0" pivotButton="0" quotePrefix="0" xfId="0"/>
    <xf numFmtId="166" fontId="9" fillId="0" borderId="0" pivotButton="0" quotePrefix="0" xfId="0"/>
    <xf numFmtId="168" fontId="0" fillId="12" borderId="0" pivotButton="0" quotePrefix="0" xfId="0"/>
    <xf numFmtId="167" fontId="0" fillId="11" borderId="0" pivotButton="0" quotePrefix="0" xfId="0"/>
    <xf numFmtId="0" fontId="0" fillId="12" borderId="0" applyAlignment="1" pivotButton="0" quotePrefix="0" xfId="0">
      <alignment horizontal="center"/>
    </xf>
    <xf numFmtId="0" fontId="13" fillId="13" borderId="0" pivotButton="0" quotePrefix="0" xfId="0"/>
    <xf numFmtId="166" fontId="14" fillId="13" borderId="0" pivotButton="0" quotePrefix="0" xfId="0"/>
    <xf numFmtId="0" fontId="0" fillId="13" borderId="0" pivotButton="0" quotePrefix="0" xfId="0"/>
    <xf numFmtId="169" fontId="14" fillId="13" borderId="0" pivotButton="0" quotePrefix="0" xfId="0"/>
    <xf numFmtId="170" fontId="14" fillId="13" borderId="0" pivotButton="0" quotePrefix="0" xfId="0"/>
    <xf numFmtId="0" fontId="14" fillId="13" borderId="0" pivotButton="0" quotePrefix="0" xfId="0"/>
    <xf numFmtId="168" fontId="0" fillId="14" borderId="0" pivotButton="0" quotePrefix="0" xfId="0"/>
    <xf numFmtId="166" fontId="0" fillId="14" borderId="0" applyAlignment="1" pivotButton="0" quotePrefix="0" xfId="0">
      <alignment horizontal="center"/>
    </xf>
    <xf numFmtId="3" fontId="0" fillId="14" borderId="0" applyAlignment="1" pivotButton="0" quotePrefix="0" xfId="0">
      <alignment horizontal="center"/>
    </xf>
    <xf numFmtId="167" fontId="0" fillId="14" borderId="0" applyAlignment="1" pivotButton="0" quotePrefix="0" xfId="0">
      <alignment horizontal="center"/>
    </xf>
    <xf numFmtId="0" fontId="0" fillId="14" borderId="0" applyAlignment="1" pivotButton="0" quotePrefix="0" xfId="0">
      <alignment horizontal="center"/>
    </xf>
    <xf numFmtId="0" fontId="13" fillId="15" borderId="0" pivotButton="0" quotePrefix="0" xfId="0"/>
    <xf numFmtId="166" fontId="13" fillId="15" borderId="0" pivotButton="0" quotePrefix="0" xfId="0"/>
    <xf numFmtId="0" fontId="0" fillId="15" borderId="0" pivotButton="0" quotePrefix="0" xfId="0"/>
    <xf numFmtId="164" fontId="0" fillId="0" borderId="0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64" fontId="0" fillId="12" borderId="0" applyAlignment="1" pivotButton="0" quotePrefix="0" xfId="0">
      <alignment horizontal="center"/>
    </xf>
    <xf numFmtId="171" fontId="0" fillId="12" borderId="0" applyAlignment="1" pivotButton="0" quotePrefix="0" xfId="0">
      <alignment horizontal="center"/>
    </xf>
    <xf numFmtId="0" fontId="16" fillId="9" borderId="0" pivotButton="0" quotePrefix="0" xfId="0"/>
    <xf numFmtId="166" fontId="17" fillId="9" borderId="0" pivotButton="0" quotePrefix="0" xfId="0"/>
    <xf numFmtId="3" fontId="17" fillId="9" borderId="0" pivotButton="0" quotePrefix="0" xfId="0"/>
    <xf numFmtId="167" fontId="17" fillId="9" borderId="0" pivotButton="0" quotePrefix="0" xfId="0"/>
    <xf numFmtId="169" fontId="18" fillId="9" borderId="0" pivotButton="0" quotePrefix="0" xfId="0"/>
    <xf numFmtId="169" fontId="17" fillId="9" borderId="0" pivotButton="0" quotePrefix="0" xfId="0"/>
    <xf numFmtId="3" fontId="19" fillId="9" borderId="0" pivotButton="0" quotePrefix="0" xfId="0"/>
    <xf numFmtId="166" fontId="19" fillId="9" borderId="0" pivotButton="0" quotePrefix="0" xfId="0"/>
    <xf numFmtId="172" fontId="18" fillId="9" borderId="0" pivotButton="0" quotePrefix="0" xfId="0"/>
    <xf numFmtId="0" fontId="20" fillId="9" borderId="0" pivotButton="0" quotePrefix="0" xfId="0"/>
    <xf numFmtId="0" fontId="13" fillId="12" borderId="0" pivotButton="0" quotePrefix="0" xfId="0"/>
    <xf numFmtId="0" fontId="11" fillId="8" borderId="0" pivotButton="0" quotePrefix="0" xfId="0"/>
    <xf numFmtId="0" fontId="12" fillId="0" borderId="0" applyAlignment="1" pivotButton="0" quotePrefix="0" xfId="0">
      <alignment horizontal="center"/>
    </xf>
    <xf numFmtId="0" fontId="0" fillId="12" borderId="0" pivotButton="0" quotePrefix="0" xfId="0"/>
    <xf numFmtId="0" fontId="10" fillId="8" borderId="0" pivotButton="0" quotePrefix="0" xfId="0"/>
    <xf numFmtId="0" fontId="15" fillId="0" borderId="0" pivotButton="0" quotePrefix="0" xfId="0"/>
    <xf numFmtId="0" fontId="11" fillId="8" borderId="0" applyAlignment="1" pivotButton="0" quotePrefix="0" xfId="0">
      <alignment horizontal="center"/>
    </xf>
    <xf numFmtId="166" fontId="10" fillId="8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4" fillId="5" borderId="2" applyAlignment="1" pivotButton="0" quotePrefix="0" xfId="0">
      <alignment horizontal="center" vertical="center" wrapText="1"/>
    </xf>
    <xf numFmtId="14" fontId="5" fillId="16" borderId="3" applyAlignment="1" pivotButton="0" quotePrefix="0" xfId="0">
      <alignment horizontal="center" vertical="center"/>
    </xf>
    <xf numFmtId="0" fontId="5" fillId="16" borderId="3" applyAlignment="1" pivotButton="0" quotePrefix="0" xfId="0">
      <alignment horizontal="center" vertical="center"/>
    </xf>
    <xf numFmtId="4" fontId="5" fillId="16" borderId="3" applyAlignment="1" pivotButton="0" quotePrefix="0" xfId="0">
      <alignment horizontal="center" vertical="center"/>
    </xf>
    <xf numFmtId="165" fontId="5" fillId="16" borderId="3" applyAlignment="1" pivotButton="0" quotePrefix="0" xfId="0">
      <alignment horizontal="center" vertical="center"/>
    </xf>
    <xf numFmtId="165" fontId="6" fillId="16" borderId="3" applyAlignment="1" pivotButton="0" quotePrefix="0" xfId="0">
      <alignment horizontal="center"/>
    </xf>
    <xf numFmtId="14" fontId="0" fillId="16" borderId="3" applyAlignment="1" pivotButton="0" quotePrefix="0" xfId="0">
      <alignment horizontal="center"/>
    </xf>
    <xf numFmtId="0" fontId="0" fillId="16" borderId="3" applyAlignment="1" pivotButton="0" quotePrefix="0" xfId="0">
      <alignment horizontal="center"/>
    </xf>
    <xf numFmtId="164" fontId="5" fillId="16" borderId="3" applyAlignment="1" pivotButton="0" quotePrefix="0" xfId="0">
      <alignment horizontal="center" vertical="center"/>
    </xf>
    <xf numFmtId="2" fontId="5" fillId="16" borderId="3" applyAlignment="1" pivotButton="0" quotePrefix="0" xfId="0">
      <alignment horizontal="center" vertical="center"/>
    </xf>
    <xf numFmtId="173" fontId="5" fillId="16" borderId="3" applyAlignment="1" pivotButton="0" quotePrefix="0" xfId="0">
      <alignment horizontal="center" vertical="center"/>
    </xf>
    <xf numFmtId="164" fontId="0" fillId="16" borderId="3" applyAlignment="1" pivotButton="0" quotePrefix="0" xfId="0">
      <alignment horizontal="center"/>
    </xf>
    <xf numFmtId="2" fontId="0" fillId="16" borderId="3" applyAlignment="1" pivotButton="0" quotePrefix="0" xfId="0">
      <alignment horizontal="center"/>
    </xf>
    <xf numFmtId="173" fontId="0" fillId="16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Revenue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Analysis!$B$11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Analysis!$A$12:$A$32</f>
              <numCache>
                <formatCode>mmm\ yyyy</formatCode>
                <ptCount val="21"/>
                <pt idx="0">
                  <v>45597</v>
                </pt>
                <pt idx="1">
                  <v>45627</v>
                </pt>
                <pt idx="2">
                  <v>45658</v>
                </pt>
                <pt idx="3">
                  <v>45689</v>
                </pt>
                <pt idx="4">
                  <v>45717</v>
                </pt>
                <pt idx="5">
                  <v>45748</v>
                </pt>
                <pt idx="6">
                  <v>45778</v>
                </pt>
                <pt idx="7">
                  <v>45809</v>
                </pt>
                <pt idx="8">
                  <v>45839</v>
                </pt>
                <pt idx="9">
                  <v>45870</v>
                </pt>
                <pt idx="10">
                  <v>45901</v>
                </pt>
                <pt idx="11">
                  <v>45931</v>
                </pt>
                <pt idx="12">
                  <v>45962</v>
                </pt>
                <pt idx="13">
                  <v>45992</v>
                </pt>
                <pt idx="14">
                  <v>46023</v>
                </pt>
                <pt idx="15">
                  <v>46054</v>
                </pt>
                <pt idx="16">
                  <v>46082</v>
                </pt>
                <pt idx="17">
                  <v>46113</v>
                </pt>
                <pt idx="18">
                  <v>46143</v>
                </pt>
                <pt idx="19">
                  <v>46174</v>
                </pt>
                <pt idx="20">
                  <v>46204</v>
                </pt>
              </numCache>
            </numRef>
          </cat>
          <val>
            <numRef>
              <f>Analysis!$B$12:$B$32</f>
              <numCache>
                <formatCode>"$"#,##0</formatCode>
                <ptCount val="21"/>
                <pt idx="0">
                  <v>30502.09</v>
                </pt>
                <pt idx="1">
                  <v>28816.90000000001</v>
                </pt>
                <pt idx="2">
                  <v>33836.2</v>
                </pt>
                <pt idx="3">
                  <v>37066.84</v>
                </pt>
                <pt idx="4">
                  <v>38946.24000000001</v>
                </pt>
                <pt idx="5">
                  <v>34623.6</v>
                </pt>
                <pt idx="6">
                  <v>31493.26000000001</v>
                </pt>
                <pt idx="7">
                  <v>40666.24</v>
                </pt>
                <pt idx="8">
                  <v>51448.45</v>
                </pt>
                <pt idx="9">
                  <v>34339.14</v>
                </pt>
                <pt idx="10">
                  <v>30597.68</v>
                </pt>
                <pt idx="11">
                  <v>42499.18</v>
                </pt>
                <pt idx="12">
                  <v>45169.67999999999</v>
                </pt>
                <pt idx="13">
                  <v>40036.92</v>
                </pt>
                <pt idx="14">
                  <v>31595.99999999999</v>
                </pt>
                <pt idx="15">
                  <v>38335.35000000001</v>
                </pt>
                <pt idx="16">
                  <v>53895.35999999999</v>
                </pt>
                <pt idx="17">
                  <v>39209.54</v>
                </pt>
                <pt idx="18">
                  <v>29912.14</v>
                </pt>
                <pt idx="19">
                  <v>40410.19999999999</v>
                </pt>
                <pt idx="20">
                  <v>37259.07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737738944"/>
        <axId val="737738464"/>
      </barChart>
      <dateAx>
        <axId val="737738944"/>
        <scaling>
          <orientation val="minMax"/>
        </scaling>
        <delete val="0"/>
        <axPos val="b"/>
        <numFmt formatCode="mmm\ 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37738464"/>
        <crosses val="autoZero"/>
        <lblOffset val="100"/>
        <baseTimeUnit val="months"/>
      </dateAx>
      <valAx>
        <axId val="73773846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$&quot;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3773894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Customer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tx>
            <strRef>
              <f>Analysis!$B$36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Analysis!$A$37:$A$51</f>
              <strCache>
                <ptCount val="15"/>
                <pt idx="0">
                  <v>Acme Petroleum</v>
                </pt>
                <pt idx="1">
                  <v>Arkansas Valley Oil</v>
                </pt>
                <pt idx="2">
                  <v>Centennial Hauling</v>
                </pt>
                <pt idx="3">
                  <v>Colorado Fuel Corp</v>
                </pt>
                <pt idx="4">
                  <v>Front Range Inc</v>
                </pt>
                <pt idx="5">
                  <v>High Plains Co</v>
                </pt>
                <pt idx="6">
                  <v>Mesa Verde Logistics</v>
                </pt>
                <pt idx="7">
                  <v>Mountain View Fleet</v>
                </pt>
                <pt idx="8">
                  <v>Pikes Peak Energy</v>
                </pt>
                <pt idx="9">
                  <v>Pueblo Supply Chain</v>
                </pt>
                <pt idx="10">
                  <v>Royal Gorge Freight</v>
                </pt>
                <pt idx="11">
                  <v>San Luis Transport</v>
                </pt>
                <pt idx="12">
                  <v>Springs Delivery Co</v>
                </pt>
                <pt idx="13">
                  <v>Summit Logistics</v>
                </pt>
                <pt idx="14">
                  <v>Western Slope Transport</v>
                </pt>
              </strCache>
            </strRef>
          </cat>
          <val>
            <numRef>
              <f>Analysis!$B$37:$B$51</f>
              <numCache>
                <formatCode>"$"#,##0</formatCode>
                <ptCount val="15"/>
                <pt idx="0">
                  <v>41501.67</v>
                </pt>
                <pt idx="1">
                  <v>61909.02</v>
                </pt>
                <pt idx="2">
                  <v>47913.33999999999</v>
                </pt>
                <pt idx="3">
                  <v>70383.25999999999</v>
                </pt>
                <pt idx="4">
                  <v>62231.91999999999</v>
                </pt>
                <pt idx="5">
                  <v>40276.77</v>
                </pt>
                <pt idx="6">
                  <v>65938.37</v>
                </pt>
                <pt idx="7">
                  <v>44276.28999999999</v>
                </pt>
                <pt idx="8">
                  <v>54238.65</v>
                </pt>
                <pt idx="9">
                  <v>47618.62000000001</v>
                </pt>
                <pt idx="10">
                  <v>45844.20999999998</v>
                </pt>
                <pt idx="11">
                  <v>45275.31</v>
                </pt>
                <pt idx="12">
                  <v>38353.54</v>
                </pt>
                <pt idx="13">
                  <v>74360.39000000001</v>
                </pt>
                <pt idx="14">
                  <v>50538.71999999999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1191743968"/>
        <axId val="739382464"/>
      </barChart>
      <catAx>
        <axId val="119174396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39382464"/>
        <crosses val="autoZero"/>
        <auto val="1"/>
        <lblAlgn val="ctr"/>
        <lblOffset val="100"/>
        <noMultiLvlLbl val="0"/>
      </catAx>
      <valAx>
        <axId val="739382464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$&quot;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74396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Category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Analysis!$I$57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Analysis!$H$58:$H$59</f>
              <strCache>
                <ptCount val="2"/>
                <pt idx="0">
                  <v>Services</v>
                </pt>
                <pt idx="1">
                  <v>Specialty Products</v>
                </pt>
              </strCache>
            </strRef>
          </cat>
          <val>
            <numRef>
              <f>Analysis!$I$58:$I$59</f>
              <numCache>
                <formatCode>"$"#,##0</formatCode>
                <ptCount val="2"/>
                <pt idx="0">
                  <v>87690.96000000002</v>
                </pt>
                <pt idx="1">
                  <v>32925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Fuel Price by Type ($/Gal)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Analysis!$B$79</f>
              <strCache>
                <ptCount val="1"/>
                <pt idx="0">
                  <v>Avg Diesel $/Gal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Analysis!$A$80:$A$100</f>
              <numCache>
                <formatCode>mmm\ yyyy</formatCode>
                <ptCount val="21"/>
                <pt idx="0">
                  <v>45597</v>
                </pt>
                <pt idx="1">
                  <v>45627</v>
                </pt>
                <pt idx="2">
                  <v>45658</v>
                </pt>
                <pt idx="3">
                  <v>45689</v>
                </pt>
                <pt idx="4">
                  <v>45717</v>
                </pt>
                <pt idx="5">
                  <v>45748</v>
                </pt>
                <pt idx="6">
                  <v>45778</v>
                </pt>
                <pt idx="7">
                  <v>45809</v>
                </pt>
                <pt idx="8">
                  <v>45839</v>
                </pt>
                <pt idx="9">
                  <v>45870</v>
                </pt>
                <pt idx="10">
                  <v>45901</v>
                </pt>
                <pt idx="11">
                  <v>45931</v>
                </pt>
                <pt idx="12">
                  <v>45962</v>
                </pt>
                <pt idx="13">
                  <v>45992</v>
                </pt>
                <pt idx="14">
                  <v>46023</v>
                </pt>
                <pt idx="15">
                  <v>46054</v>
                </pt>
                <pt idx="16">
                  <v>46082</v>
                </pt>
                <pt idx="17">
                  <v>46113</v>
                </pt>
                <pt idx="18">
                  <v>46143</v>
                </pt>
                <pt idx="19">
                  <v>46174</v>
                </pt>
                <pt idx="20">
                  <v>46204</v>
                </pt>
              </numCache>
            </numRef>
          </cat>
          <val>
            <numRef>
              <f>Analysis!$B$80:$B$100</f>
              <numCache>
                <formatCode>"$"#,##0.00</formatCode>
                <ptCount val="21"/>
                <pt idx="0">
                  <v>3.822857142857143</v>
                </pt>
                <pt idx="1">
                  <v>3.658</v>
                </pt>
                <pt idx="2">
                  <v>0</v>
                </pt>
                <pt idx="3">
                  <v>3.824</v>
                </pt>
                <pt idx="4">
                  <v>3.851428571428572</v>
                </pt>
                <pt idx="5">
                  <v>3.686666666666666</v>
                </pt>
                <pt idx="6">
                  <v>3.58</v>
                </pt>
                <pt idx="7">
                  <v>3.6</v>
                </pt>
                <pt idx="8">
                  <v>3.85</v>
                </pt>
                <pt idx="9">
                  <v>0</v>
                </pt>
                <pt idx="10">
                  <v>3.5325</v>
                </pt>
                <pt idx="11">
                  <v>3.65</v>
                </pt>
                <pt idx="12">
                  <v>3.815</v>
                </pt>
                <pt idx="13">
                  <v>3.775</v>
                </pt>
                <pt idx="14">
                  <v>3.54</v>
                </pt>
                <pt idx="15">
                  <v>3.386666666666667</v>
                </pt>
                <pt idx="16">
                  <v>0</v>
                </pt>
                <pt idx="17">
                  <v>3.813333333333333</v>
                </pt>
                <pt idx="18">
                  <v>3.63</v>
                </pt>
                <pt idx="19">
                  <v>3.42</v>
                </pt>
                <pt idx="20">
                  <v>3.8</v>
                </pt>
              </numCache>
            </numRef>
          </val>
          <smooth val="0"/>
        </ser>
        <ser>
          <idx val="1"/>
          <order val="1"/>
          <tx>
            <strRef>
              <f>Analysis!$C$79</f>
              <strCache>
                <ptCount val="1"/>
                <pt idx="0">
                  <v>Avg Unleaded $/Gal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Analysis!$A$80:$A$100</f>
              <numCache>
                <formatCode>mmm\ yyyy</formatCode>
                <ptCount val="21"/>
                <pt idx="0">
                  <v>45597</v>
                </pt>
                <pt idx="1">
                  <v>45627</v>
                </pt>
                <pt idx="2">
                  <v>45658</v>
                </pt>
                <pt idx="3">
                  <v>45689</v>
                </pt>
                <pt idx="4">
                  <v>45717</v>
                </pt>
                <pt idx="5">
                  <v>45748</v>
                </pt>
                <pt idx="6">
                  <v>45778</v>
                </pt>
                <pt idx="7">
                  <v>45809</v>
                </pt>
                <pt idx="8">
                  <v>45839</v>
                </pt>
                <pt idx="9">
                  <v>45870</v>
                </pt>
                <pt idx="10">
                  <v>45901</v>
                </pt>
                <pt idx="11">
                  <v>45931</v>
                </pt>
                <pt idx="12">
                  <v>45962</v>
                </pt>
                <pt idx="13">
                  <v>45992</v>
                </pt>
                <pt idx="14">
                  <v>46023</v>
                </pt>
                <pt idx="15">
                  <v>46054</v>
                </pt>
                <pt idx="16">
                  <v>46082</v>
                </pt>
                <pt idx="17">
                  <v>46113</v>
                </pt>
                <pt idx="18">
                  <v>46143</v>
                </pt>
                <pt idx="19">
                  <v>46174</v>
                </pt>
                <pt idx="20">
                  <v>46204</v>
                </pt>
              </numCache>
            </numRef>
          </cat>
          <val>
            <numRef>
              <f>Analysis!$C$80:$C$100</f>
              <numCache>
                <formatCode>"$"#,##0.00</formatCode>
                <ptCount val="21"/>
                <pt idx="0">
                  <v>3.85</v>
                </pt>
                <pt idx="1">
                  <v>3.613333333333333</v>
                </pt>
                <pt idx="2">
                  <v>3.466666666666666</v>
                </pt>
                <pt idx="3">
                  <v>3.82</v>
                </pt>
                <pt idx="4">
                  <v>3.853333333333333</v>
                </pt>
                <pt idx="5">
                  <v>3.718</v>
                </pt>
                <pt idx="6">
                  <v>3.485714285714285</v>
                </pt>
                <pt idx="7">
                  <v>3.615</v>
                </pt>
                <pt idx="8">
                  <v>3.84</v>
                </pt>
                <pt idx="9">
                  <v>3.785</v>
                </pt>
                <pt idx="10">
                  <v>3.49</v>
                </pt>
                <pt idx="11">
                  <v>3.7075</v>
                </pt>
                <pt idx="12">
                  <v>3.86</v>
                </pt>
                <pt idx="13">
                  <v>3.7275</v>
                </pt>
                <pt idx="14">
                  <v>3.54</v>
                </pt>
                <pt idx="15">
                  <v>3.713333333333333</v>
                </pt>
                <pt idx="16">
                  <v>3.8025</v>
                </pt>
                <pt idx="17">
                  <v>3.813333333333333</v>
                </pt>
                <pt idx="18">
                  <v>3.6125</v>
                </pt>
                <pt idx="19">
                  <v>3.5125</v>
                </pt>
                <pt idx="20">
                  <v>3.8125</v>
                </pt>
              </numCache>
            </numRef>
          </val>
          <smooth val="0"/>
        </ser>
        <ser>
          <idx val="2"/>
          <order val="2"/>
          <tx>
            <strRef>
              <f>Analysis!$D$79</f>
              <strCache>
                <ptCount val="1"/>
                <pt idx="0">
                  <v>Avg Premium $/Gal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Analysis!$A$80:$A$100</f>
              <numCache>
                <formatCode>mmm\ yyyy</formatCode>
                <ptCount val="21"/>
                <pt idx="0">
                  <v>45597</v>
                </pt>
                <pt idx="1">
                  <v>45627</v>
                </pt>
                <pt idx="2">
                  <v>45658</v>
                </pt>
                <pt idx="3">
                  <v>45689</v>
                </pt>
                <pt idx="4">
                  <v>45717</v>
                </pt>
                <pt idx="5">
                  <v>45748</v>
                </pt>
                <pt idx="6">
                  <v>45778</v>
                </pt>
                <pt idx="7">
                  <v>45809</v>
                </pt>
                <pt idx="8">
                  <v>45839</v>
                </pt>
                <pt idx="9">
                  <v>45870</v>
                </pt>
                <pt idx="10">
                  <v>45901</v>
                </pt>
                <pt idx="11">
                  <v>45931</v>
                </pt>
                <pt idx="12">
                  <v>45962</v>
                </pt>
                <pt idx="13">
                  <v>45992</v>
                </pt>
                <pt idx="14">
                  <v>46023</v>
                </pt>
                <pt idx="15">
                  <v>46054</v>
                </pt>
                <pt idx="16">
                  <v>46082</v>
                </pt>
                <pt idx="17">
                  <v>46113</v>
                </pt>
                <pt idx="18">
                  <v>46143</v>
                </pt>
                <pt idx="19">
                  <v>46174</v>
                </pt>
                <pt idx="20">
                  <v>46204</v>
                </pt>
              </numCache>
            </numRef>
          </cat>
          <val>
            <numRef>
              <f>Analysis!$D$80:$D$100</f>
              <numCache>
                <formatCode>"$"#,##0.00</formatCode>
                <ptCount val="21"/>
                <pt idx="0">
                  <v>3.77</v>
                </pt>
                <pt idx="1">
                  <v>3.64</v>
                </pt>
                <pt idx="2">
                  <v>3.46</v>
                </pt>
                <pt idx="3">
                  <v>3.77</v>
                </pt>
                <pt idx="4">
                  <v>3.85</v>
                </pt>
                <pt idx="5">
                  <v>3.711666666666666</v>
                </pt>
                <pt idx="6">
                  <v>3.56</v>
                </pt>
                <pt idx="7">
                  <v>3.643333333333333</v>
                </pt>
                <pt idx="8">
                  <v>3.88</v>
                </pt>
                <pt idx="9">
                  <v>3.754999999999999</v>
                </pt>
                <pt idx="10">
                  <v>3.53</v>
                </pt>
                <pt idx="11">
                  <v>3.638888888888889</v>
                </pt>
                <pt idx="12">
                  <v>3.78</v>
                </pt>
                <pt idx="13">
                  <v>3.723333333333333</v>
                </pt>
                <pt idx="14">
                  <v>3.608</v>
                </pt>
                <pt idx="15">
                  <v>3.83</v>
                </pt>
                <pt idx="16">
                  <v>3.765</v>
                </pt>
                <pt idx="17">
                  <v>3.82125</v>
                </pt>
                <pt idx="18">
                  <v>3.576666666666667</v>
                </pt>
                <pt idx="19">
                  <v>3.533333333333333</v>
                </pt>
                <pt idx="20">
                  <v>3.79</v>
                </pt>
              </numCache>
            </numRef>
          </val>
          <smooth val="0"/>
        </ser>
        <ser>
          <idx val="3"/>
          <order val="3"/>
          <tx>
            <strRef>
              <f>Analysis!$E$79</f>
              <strCache>
                <ptCount val="1"/>
                <pt idx="0">
                  <v>Avg Bulk $/Gal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numRef>
              <f>Analysis!$A$80:$A$100</f>
              <numCache>
                <formatCode>mmm\ yyyy</formatCode>
                <ptCount val="21"/>
                <pt idx="0">
                  <v>45597</v>
                </pt>
                <pt idx="1">
                  <v>45627</v>
                </pt>
                <pt idx="2">
                  <v>45658</v>
                </pt>
                <pt idx="3">
                  <v>45689</v>
                </pt>
                <pt idx="4">
                  <v>45717</v>
                </pt>
                <pt idx="5">
                  <v>45748</v>
                </pt>
                <pt idx="6">
                  <v>45778</v>
                </pt>
                <pt idx="7">
                  <v>45809</v>
                </pt>
                <pt idx="8">
                  <v>45839</v>
                </pt>
                <pt idx="9">
                  <v>45870</v>
                </pt>
                <pt idx="10">
                  <v>45901</v>
                </pt>
                <pt idx="11">
                  <v>45931</v>
                </pt>
                <pt idx="12">
                  <v>45962</v>
                </pt>
                <pt idx="13">
                  <v>45992</v>
                </pt>
                <pt idx="14">
                  <v>46023</v>
                </pt>
                <pt idx="15">
                  <v>46054</v>
                </pt>
                <pt idx="16">
                  <v>46082</v>
                </pt>
                <pt idx="17">
                  <v>46113</v>
                </pt>
                <pt idx="18">
                  <v>46143</v>
                </pt>
                <pt idx="19">
                  <v>46174</v>
                </pt>
                <pt idx="20">
                  <v>46204</v>
                </pt>
              </numCache>
            </numRef>
          </cat>
          <val>
            <numRef>
              <f>Analysis!$E$80:$E$100</f>
              <numCache>
                <formatCode>"$"#,##0.00</formatCode>
                <ptCount val="21"/>
                <pt idx="0">
                  <v>0</v>
                </pt>
                <pt idx="1">
                  <v>3.623333333333333</v>
                </pt>
                <pt idx="2">
                  <v>3.4</v>
                </pt>
                <pt idx="3">
                  <v>3.813333333333333</v>
                </pt>
                <pt idx="4">
                  <v>3.8</v>
                </pt>
                <pt idx="5">
                  <v>3.76</v>
                </pt>
                <pt idx="6">
                  <v>3.500000000000001</v>
                </pt>
                <pt idx="7">
                  <v>3.7275</v>
                </pt>
                <pt idx="8">
                  <v>3.883333333333333</v>
                </pt>
                <pt idx="9">
                  <v>3.715714285714285</v>
                </pt>
                <pt idx="10">
                  <v>3.57</v>
                </pt>
                <pt idx="11">
                  <v>3.59</v>
                </pt>
                <pt idx="12">
                  <v>3.86</v>
                </pt>
                <pt idx="13">
                  <v>3.786</v>
                </pt>
                <pt idx="14">
                  <v>3.524285714285714</v>
                </pt>
                <pt idx="15">
                  <v>3.686</v>
                </pt>
                <pt idx="16">
                  <v>3.815714285714286</v>
                </pt>
                <pt idx="17">
                  <v>3.8</v>
                </pt>
                <pt idx="18">
                  <v>3.5675</v>
                </pt>
                <pt idx="19">
                  <v>3.586666666666666</v>
                </pt>
                <pt idx="20">
                  <v>3.75</v>
                </pt>
              </numCache>
            </numRef>
          </val>
          <smooth val="0"/>
        </ser>
        <ser>
          <idx val="4"/>
          <order val="4"/>
          <tx>
            <strRef>
              <f>Analysis!$F$79</f>
              <strCache>
                <ptCount val="1"/>
                <pt idx="0">
                  <v>Avg Fleet $/Gal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numRef>
              <f>Analysis!$A$80:$A$100</f>
              <numCache>
                <formatCode>mmm\ yyyy</formatCode>
                <ptCount val="21"/>
                <pt idx="0">
                  <v>45597</v>
                </pt>
                <pt idx="1">
                  <v>45627</v>
                </pt>
                <pt idx="2">
                  <v>45658</v>
                </pt>
                <pt idx="3">
                  <v>45689</v>
                </pt>
                <pt idx="4">
                  <v>45717</v>
                </pt>
                <pt idx="5">
                  <v>45748</v>
                </pt>
                <pt idx="6">
                  <v>45778</v>
                </pt>
                <pt idx="7">
                  <v>45809</v>
                </pt>
                <pt idx="8">
                  <v>45839</v>
                </pt>
                <pt idx="9">
                  <v>45870</v>
                </pt>
                <pt idx="10">
                  <v>45901</v>
                </pt>
                <pt idx="11">
                  <v>45931</v>
                </pt>
                <pt idx="12">
                  <v>45962</v>
                </pt>
                <pt idx="13">
                  <v>45992</v>
                </pt>
                <pt idx="14">
                  <v>46023</v>
                </pt>
                <pt idx="15">
                  <v>46054</v>
                </pt>
                <pt idx="16">
                  <v>46082</v>
                </pt>
                <pt idx="17">
                  <v>46113</v>
                </pt>
                <pt idx="18">
                  <v>46143</v>
                </pt>
                <pt idx="19">
                  <v>46174</v>
                </pt>
                <pt idx="20">
                  <v>46204</v>
                </pt>
              </numCache>
            </numRef>
          </cat>
          <val>
            <numRef>
              <f>Analysis!$F$80:$F$100</f>
              <numCache>
                <formatCode>"$"#,##0.00</formatCode>
                <ptCount val="21"/>
                <pt idx="0">
                  <v>3.803333333333333</v>
                </pt>
                <pt idx="1">
                  <v>3.66</v>
                </pt>
                <pt idx="2">
                  <v>3.455</v>
                </pt>
                <pt idx="3">
                  <v>3.826666666666667</v>
                </pt>
                <pt idx="4">
                  <v>3.828</v>
                </pt>
                <pt idx="5">
                  <v>3.74</v>
                </pt>
                <pt idx="6">
                  <v>3.476666666666667</v>
                </pt>
                <pt idx="7">
                  <v>3.761666666666667</v>
                </pt>
                <pt idx="8">
                  <v>3.826666666666667</v>
                </pt>
                <pt idx="9">
                  <v>3.726</v>
                </pt>
                <pt idx="10">
                  <v>3.52</v>
                </pt>
                <pt idx="11">
                  <v>3.85</v>
                </pt>
                <pt idx="12">
                  <v>3.815</v>
                </pt>
                <pt idx="13">
                  <v>3.793333333333333</v>
                </pt>
                <pt idx="14">
                  <v>3.545</v>
                </pt>
                <pt idx="15">
                  <v>3.5175</v>
                </pt>
                <pt idx="16">
                  <v>3.826666666666667</v>
                </pt>
                <pt idx="17">
                  <v>3.756666666666666</v>
                </pt>
                <pt idx="18">
                  <v>3.62</v>
                </pt>
                <pt idx="19">
                  <v>3.64</v>
                </pt>
                <pt idx="20">
                  <v>3.845</v>
                </pt>
              </numCache>
            </numRef>
          </val>
          <smooth val="0"/>
        </ser>
        <ser>
          <idx val="5"/>
          <order val="5"/>
          <tx>
            <strRef>
              <f>Analysis!$G$79</f>
              <strCache>
                <ptCount val="1"/>
                <pt idx="0">
                  <v>Overall Avg $/Gal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cat>
            <numRef>
              <f>Analysis!$A$80:$A$100</f>
              <numCache>
                <formatCode>mmm\ yyyy</formatCode>
                <ptCount val="21"/>
                <pt idx="0">
                  <v>45597</v>
                </pt>
                <pt idx="1">
                  <v>45627</v>
                </pt>
                <pt idx="2">
                  <v>45658</v>
                </pt>
                <pt idx="3">
                  <v>45689</v>
                </pt>
                <pt idx="4">
                  <v>45717</v>
                </pt>
                <pt idx="5">
                  <v>45748</v>
                </pt>
                <pt idx="6">
                  <v>45778</v>
                </pt>
                <pt idx="7">
                  <v>45809</v>
                </pt>
                <pt idx="8">
                  <v>45839</v>
                </pt>
                <pt idx="9">
                  <v>45870</v>
                </pt>
                <pt idx="10">
                  <v>45901</v>
                </pt>
                <pt idx="11">
                  <v>45931</v>
                </pt>
                <pt idx="12">
                  <v>45962</v>
                </pt>
                <pt idx="13">
                  <v>45992</v>
                </pt>
                <pt idx="14">
                  <v>46023</v>
                </pt>
                <pt idx="15">
                  <v>46054</v>
                </pt>
                <pt idx="16">
                  <v>46082</v>
                </pt>
                <pt idx="17">
                  <v>46113</v>
                </pt>
                <pt idx="18">
                  <v>46143</v>
                </pt>
                <pt idx="19">
                  <v>46174</v>
                </pt>
                <pt idx="20">
                  <v>46204</v>
                </pt>
              </numCache>
            </numRef>
          </cat>
          <val>
            <numRef>
              <f>Analysis!$G$80:$G$100</f>
              <numCache>
                <formatCode>"$"#,##0.00</formatCode>
                <ptCount val="21"/>
                <pt idx="0">
                  <v>3.818810704960836</v>
                </pt>
                <pt idx="1">
                  <v>3.652936133733391</v>
                </pt>
                <pt idx="2">
                  <v>3.45241065003598</v>
                </pt>
                <pt idx="3">
                  <v>3.813699157641396</v>
                </pt>
                <pt idx="4">
                  <v>3.839215338579187</v>
                </pt>
                <pt idx="5">
                  <v>3.718384624891855</v>
                </pt>
                <pt idx="6">
                  <v>3.492635194205072</v>
                </pt>
                <pt idx="7">
                  <v>3.704893372360444</v>
                </pt>
                <pt idx="8">
                  <v>3.840862</v>
                </pt>
                <pt idx="9">
                  <v>3.735442488545937</v>
                </pt>
                <pt idx="10">
                  <v>3.522084782888803</v>
                </pt>
                <pt idx="11">
                  <v>3.671155870445344</v>
                </pt>
                <pt idx="12">
                  <v>3.828424641429579</v>
                </pt>
                <pt idx="13">
                  <v>3.763413909253023</v>
                </pt>
                <pt idx="14">
                  <v>3.546048397819439</v>
                </pt>
                <pt idx="15">
                  <v>3.612226959658905</v>
                </pt>
                <pt idx="16">
                  <v>3.806417454688731</v>
                </pt>
                <pt idx="17">
                  <v>3.807810541456899</v>
                </pt>
                <pt idx="18">
                  <v>3.597322102425875</v>
                </pt>
                <pt idx="19">
                  <v>3.544018740787534</v>
                </pt>
                <pt idx="20">
                  <v>3.813470243084661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51046080"/>
        <axId val="751047040"/>
      </lineChart>
      <dateAx>
        <axId val="751046080"/>
        <scaling>
          <orientation val="minMax"/>
        </scaling>
        <delete val="0"/>
        <axPos val="b"/>
        <numFmt formatCode="mmm\ 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51047040"/>
        <crosses val="autoZero"/>
        <lblOffset val="100"/>
        <baseTimeUnit val="months"/>
      </dateAx>
      <valAx>
        <axId val="751047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$&quot;#,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510460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Day of Week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Analysis!$B$110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Analysis!$A$111:$A$115</f>
              <strCache>
                <ptCount val="5"/>
                <pt idx="0">
                  <v>Monday</v>
                </pt>
                <pt idx="1">
                  <v>Tuesday</v>
                </pt>
                <pt idx="2">
                  <v>Wednesday</v>
                </pt>
                <pt idx="3">
                  <v>Thursday</v>
                </pt>
                <pt idx="4">
                  <v>Friday</v>
                </pt>
              </strCache>
            </strRef>
          </cat>
          <val>
            <numRef>
              <f>Analysis!$B$111:$B$115</f>
              <numCache>
                <formatCode>"$"#,##0</formatCode>
                <ptCount val="5"/>
                <pt idx="0">
                  <v>163108.25</v>
                </pt>
                <pt idx="1">
                  <v>171035.56</v>
                </pt>
                <pt idx="2">
                  <v>146387.14</v>
                </pt>
                <pt idx="3">
                  <v>153388.1399999999</v>
                </pt>
                <pt idx="4">
                  <v>156740.99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738662208"/>
        <axId val="738659328"/>
      </barChart>
      <catAx>
        <axId val="738662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38659328"/>
        <crosses val="autoZero"/>
        <auto val="1"/>
        <lblAlgn val="ctr"/>
        <lblOffset val="100"/>
        <noMultiLvlLbl val="0"/>
      </catAx>
      <valAx>
        <axId val="73865932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$&quot;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3866220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Quarterly Revenue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Analysis!$B$118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Analysis!$A$119:$A$126</f>
              <strCache>
                <ptCount val="8"/>
                <pt idx="0">
                  <v>Q4 2024</v>
                </pt>
                <pt idx="1">
                  <v>Q1 2025</v>
                </pt>
                <pt idx="2">
                  <v>Q2 2025</v>
                </pt>
                <pt idx="3">
                  <v>Q3 2025</v>
                </pt>
                <pt idx="4">
                  <v>Q4 2025</v>
                </pt>
                <pt idx="5">
                  <v>Q1 2026</v>
                </pt>
                <pt idx="6">
                  <v>Q2 2026</v>
                </pt>
                <pt idx="7">
                  <v>Q3 2026</v>
                </pt>
              </strCache>
            </strRef>
          </cat>
          <val>
            <numRef>
              <f>Analysis!$B$119:$B$126</f>
              <numCache>
                <formatCode>"$"#,##0</formatCode>
                <ptCount val="8"/>
                <pt idx="0">
                  <v>59318.99000000001</v>
                </pt>
                <pt idx="1">
                  <v>109849.28</v>
                </pt>
                <pt idx="2">
                  <v>106783.1</v>
                </pt>
                <pt idx="3">
                  <v>116385.27</v>
                </pt>
                <pt idx="4">
                  <v>127705.78</v>
                </pt>
                <pt idx="5">
                  <v>123826.71</v>
                </pt>
                <pt idx="6">
                  <v>109531.88</v>
                </pt>
                <pt idx="7">
                  <v>37259.07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738659808"/>
        <axId val="841162144"/>
      </barChart>
      <catAx>
        <axId val="7386598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1162144"/>
        <crosses val="autoZero"/>
        <auto val="1"/>
        <lblAlgn val="ctr"/>
        <lblOffset val="100"/>
        <noMultiLvlLbl val="0"/>
      </catAx>
      <valAx>
        <axId val="8411621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$&quot;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3865980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Quarterly Revenue by Customer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Analysis!$B$132</f>
              <strCache>
                <ptCount val="1"/>
                <pt idx="0">
                  <v>Q4 2024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Analysis!$A$133:$A$147</f>
              <strCache>
                <ptCount val="15"/>
                <pt idx="0">
                  <v>Acme Petroleum</v>
                </pt>
                <pt idx="1">
                  <v>Arkansas Valley Oil</v>
                </pt>
                <pt idx="2">
                  <v>Centennial Hauling</v>
                </pt>
                <pt idx="3">
                  <v>Colorado Fuel Corp</v>
                </pt>
                <pt idx="4">
                  <v>Front Range Inc</v>
                </pt>
                <pt idx="5">
                  <v>High Plains Co</v>
                </pt>
                <pt idx="6">
                  <v>Mesa Verde Logistics</v>
                </pt>
                <pt idx="7">
                  <v>Mountain View Fleet</v>
                </pt>
                <pt idx="8">
                  <v>Pikes Peak Energy</v>
                </pt>
                <pt idx="9">
                  <v>Pueblo Supply Chain</v>
                </pt>
                <pt idx="10">
                  <v>Royal Gorge Freight</v>
                </pt>
                <pt idx="11">
                  <v>San Luis Transport</v>
                </pt>
                <pt idx="12">
                  <v>Springs Delivery Co</v>
                </pt>
                <pt idx="13">
                  <v>Summit Logistics</v>
                </pt>
                <pt idx="14">
                  <v>Western Slope Transport</v>
                </pt>
              </strCache>
            </strRef>
          </cat>
          <val>
            <numRef>
              <f>Analysis!$B$133:$B$147</f>
              <numCache>
                <formatCode>"$"#,##0</formatCode>
                <ptCount val="15"/>
                <pt idx="0">
                  <v>3528.7</v>
                </pt>
                <pt idx="1">
                  <v>6720</v>
                </pt>
                <pt idx="2">
                  <v>3400.45</v>
                </pt>
                <pt idx="3">
                  <v>0</v>
                </pt>
                <pt idx="4">
                  <v>7933.86</v>
                </pt>
                <pt idx="5">
                  <v>1914.68</v>
                </pt>
                <pt idx="6">
                  <v>1104.48</v>
                </pt>
                <pt idx="7">
                  <v>1250</v>
                </pt>
                <pt idx="8">
                  <v>3370.24</v>
                </pt>
                <pt idx="9">
                  <v>3681.92</v>
                </pt>
                <pt idx="10">
                  <v>5249.16</v>
                </pt>
                <pt idx="11">
                  <v>4946.059999999999</v>
                </pt>
                <pt idx="12">
                  <v>2744.2</v>
                </pt>
                <pt idx="13">
                  <v>3667.92</v>
                </pt>
                <pt idx="14">
                  <v>9807.32</v>
                </pt>
              </numCache>
            </numRef>
          </val>
        </ser>
        <ser>
          <idx val="1"/>
          <order val="1"/>
          <tx>
            <strRef>
              <f>Analysis!$C$132</f>
              <strCache>
                <ptCount val="1"/>
                <pt idx="0">
                  <v>Q1 2025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Analysis!$A$133:$A$147</f>
              <strCache>
                <ptCount val="15"/>
                <pt idx="0">
                  <v>Acme Petroleum</v>
                </pt>
                <pt idx="1">
                  <v>Arkansas Valley Oil</v>
                </pt>
                <pt idx="2">
                  <v>Centennial Hauling</v>
                </pt>
                <pt idx="3">
                  <v>Colorado Fuel Corp</v>
                </pt>
                <pt idx="4">
                  <v>Front Range Inc</v>
                </pt>
                <pt idx="5">
                  <v>High Plains Co</v>
                </pt>
                <pt idx="6">
                  <v>Mesa Verde Logistics</v>
                </pt>
                <pt idx="7">
                  <v>Mountain View Fleet</v>
                </pt>
                <pt idx="8">
                  <v>Pikes Peak Energy</v>
                </pt>
                <pt idx="9">
                  <v>Pueblo Supply Chain</v>
                </pt>
                <pt idx="10">
                  <v>Royal Gorge Freight</v>
                </pt>
                <pt idx="11">
                  <v>San Luis Transport</v>
                </pt>
                <pt idx="12">
                  <v>Springs Delivery Co</v>
                </pt>
                <pt idx="13">
                  <v>Summit Logistics</v>
                </pt>
                <pt idx="14">
                  <v>Western Slope Transport</v>
                </pt>
              </strCache>
            </strRef>
          </cat>
          <val>
            <numRef>
              <f>Analysis!$C$133:$C$147</f>
              <numCache>
                <formatCode>"$"#,##0</formatCode>
                <ptCount val="15"/>
                <pt idx="0">
                  <v>3000</v>
                </pt>
                <pt idx="1">
                  <v>5663.84</v>
                </pt>
                <pt idx="2">
                  <v>9575.32</v>
                </pt>
                <pt idx="3">
                  <v>9175.720000000001</v>
                </pt>
                <pt idx="4">
                  <v>16814.09</v>
                </pt>
                <pt idx="5">
                  <v>9259.279999999999</v>
                </pt>
                <pt idx="6">
                  <v>9414.200000000001</v>
                </pt>
                <pt idx="7">
                  <v>1999.48</v>
                </pt>
                <pt idx="8">
                  <v>3109.4</v>
                </pt>
                <pt idx="9">
                  <v>11110.94</v>
                </pt>
                <pt idx="10">
                  <v>4132.2</v>
                </pt>
                <pt idx="11">
                  <v>6670.92</v>
                </pt>
                <pt idx="12">
                  <v>3371.96</v>
                </pt>
                <pt idx="13">
                  <v>12707</v>
                </pt>
                <pt idx="14">
                  <v>3844.93</v>
                </pt>
              </numCache>
            </numRef>
          </val>
        </ser>
        <ser>
          <idx val="2"/>
          <order val="2"/>
          <tx>
            <strRef>
              <f>Analysis!$D$132</f>
              <strCache>
                <ptCount val="1"/>
                <pt idx="0">
                  <v>Q2 2025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Analysis!$A$133:$A$147</f>
              <strCache>
                <ptCount val="15"/>
                <pt idx="0">
                  <v>Acme Petroleum</v>
                </pt>
                <pt idx="1">
                  <v>Arkansas Valley Oil</v>
                </pt>
                <pt idx="2">
                  <v>Centennial Hauling</v>
                </pt>
                <pt idx="3">
                  <v>Colorado Fuel Corp</v>
                </pt>
                <pt idx="4">
                  <v>Front Range Inc</v>
                </pt>
                <pt idx="5">
                  <v>High Plains Co</v>
                </pt>
                <pt idx="6">
                  <v>Mesa Verde Logistics</v>
                </pt>
                <pt idx="7">
                  <v>Mountain View Fleet</v>
                </pt>
                <pt idx="8">
                  <v>Pikes Peak Energy</v>
                </pt>
                <pt idx="9">
                  <v>Pueblo Supply Chain</v>
                </pt>
                <pt idx="10">
                  <v>Royal Gorge Freight</v>
                </pt>
                <pt idx="11">
                  <v>San Luis Transport</v>
                </pt>
                <pt idx="12">
                  <v>Springs Delivery Co</v>
                </pt>
                <pt idx="13">
                  <v>Summit Logistics</v>
                </pt>
                <pt idx="14">
                  <v>Western Slope Transport</v>
                </pt>
              </strCache>
            </strRef>
          </cat>
          <val>
            <numRef>
              <f>Analysis!$D$133:$D$147</f>
              <numCache>
                <formatCode>"$"#,##0</formatCode>
                <ptCount val="15"/>
                <pt idx="0">
                  <v>9296.93</v>
                </pt>
                <pt idx="1">
                  <v>8697.34</v>
                </pt>
                <pt idx="2">
                  <v>2729.55</v>
                </pt>
                <pt idx="3">
                  <v>0</v>
                </pt>
                <pt idx="4">
                  <v>7159.36</v>
                </pt>
                <pt idx="5">
                  <v>3077.62</v>
                </pt>
                <pt idx="6">
                  <v>2737.11</v>
                </pt>
                <pt idx="7">
                  <v>11252.04</v>
                </pt>
                <pt idx="8">
                  <v>10792.34</v>
                </pt>
                <pt idx="9">
                  <v>9161.370000000001</v>
                </pt>
                <pt idx="10">
                  <v>8953.700000000001</v>
                </pt>
                <pt idx="11">
                  <v>11507.54</v>
                </pt>
                <pt idx="12">
                  <v>7431.539999999999</v>
                </pt>
                <pt idx="13">
                  <v>5032.66</v>
                </pt>
                <pt idx="14">
                  <v>8954</v>
                </pt>
              </numCache>
            </numRef>
          </val>
        </ser>
        <ser>
          <idx val="3"/>
          <order val="3"/>
          <tx>
            <strRef>
              <f>Analysis!$E$132</f>
              <strCache>
                <ptCount val="1"/>
                <pt idx="0">
                  <v>Q3 2025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Analysis!$A$133:$A$147</f>
              <strCache>
                <ptCount val="15"/>
                <pt idx="0">
                  <v>Acme Petroleum</v>
                </pt>
                <pt idx="1">
                  <v>Arkansas Valley Oil</v>
                </pt>
                <pt idx="2">
                  <v>Centennial Hauling</v>
                </pt>
                <pt idx="3">
                  <v>Colorado Fuel Corp</v>
                </pt>
                <pt idx="4">
                  <v>Front Range Inc</v>
                </pt>
                <pt idx="5">
                  <v>High Plains Co</v>
                </pt>
                <pt idx="6">
                  <v>Mesa Verde Logistics</v>
                </pt>
                <pt idx="7">
                  <v>Mountain View Fleet</v>
                </pt>
                <pt idx="8">
                  <v>Pikes Peak Energy</v>
                </pt>
                <pt idx="9">
                  <v>Pueblo Supply Chain</v>
                </pt>
                <pt idx="10">
                  <v>Royal Gorge Freight</v>
                </pt>
                <pt idx="11">
                  <v>San Luis Transport</v>
                </pt>
                <pt idx="12">
                  <v>Springs Delivery Co</v>
                </pt>
                <pt idx="13">
                  <v>Summit Logistics</v>
                </pt>
                <pt idx="14">
                  <v>Western Slope Transport</v>
                </pt>
              </strCache>
            </strRef>
          </cat>
          <val>
            <numRef>
              <f>Analysis!$E$133:$E$147</f>
              <numCache>
                <formatCode>"$"#,##0</formatCode>
                <ptCount val="15"/>
                <pt idx="0">
                  <v>1762.38</v>
                </pt>
                <pt idx="1">
                  <v>20015.3</v>
                </pt>
                <pt idx="2">
                  <v>11628.95</v>
                </pt>
                <pt idx="3">
                  <v>21051.68</v>
                </pt>
                <pt idx="4">
                  <v>7100.16</v>
                </pt>
                <pt idx="5">
                  <v>9691.92</v>
                </pt>
                <pt idx="6">
                  <v>3713.1</v>
                </pt>
                <pt idx="7">
                  <v>913.3200000000001</v>
                </pt>
                <pt idx="8">
                  <v>2534.32</v>
                </pt>
                <pt idx="9">
                  <v>3521.01</v>
                </pt>
                <pt idx="10">
                  <v>4959.51</v>
                </pt>
                <pt idx="11">
                  <v>6553.440000000001</v>
                </pt>
                <pt idx="12">
                  <v>6281.8</v>
                </pt>
                <pt idx="13">
                  <v>7258.440000000001</v>
                </pt>
                <pt idx="14">
                  <v>9399.940000000001</v>
                </pt>
              </numCache>
            </numRef>
          </val>
        </ser>
        <ser>
          <idx val="4"/>
          <order val="4"/>
          <tx>
            <strRef>
              <f>Analysis!$F$132</f>
              <strCache>
                <ptCount val="1"/>
                <pt idx="0">
                  <v>Q4 2025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Analysis!$A$133:$A$147</f>
              <strCache>
                <ptCount val="15"/>
                <pt idx="0">
                  <v>Acme Petroleum</v>
                </pt>
                <pt idx="1">
                  <v>Arkansas Valley Oil</v>
                </pt>
                <pt idx="2">
                  <v>Centennial Hauling</v>
                </pt>
                <pt idx="3">
                  <v>Colorado Fuel Corp</v>
                </pt>
                <pt idx="4">
                  <v>Front Range Inc</v>
                </pt>
                <pt idx="5">
                  <v>High Plains Co</v>
                </pt>
                <pt idx="6">
                  <v>Mesa Verde Logistics</v>
                </pt>
                <pt idx="7">
                  <v>Mountain View Fleet</v>
                </pt>
                <pt idx="8">
                  <v>Pikes Peak Energy</v>
                </pt>
                <pt idx="9">
                  <v>Pueblo Supply Chain</v>
                </pt>
                <pt idx="10">
                  <v>Royal Gorge Freight</v>
                </pt>
                <pt idx="11">
                  <v>San Luis Transport</v>
                </pt>
                <pt idx="12">
                  <v>Springs Delivery Co</v>
                </pt>
                <pt idx="13">
                  <v>Summit Logistics</v>
                </pt>
                <pt idx="14">
                  <v>Western Slope Transport</v>
                </pt>
              </strCache>
            </strRef>
          </cat>
          <val>
            <numRef>
              <f>Analysis!$F$133:$F$147</f>
              <numCache>
                <formatCode>"$"#,##0</formatCode>
                <ptCount val="15"/>
                <pt idx="0">
                  <v>4820.14</v>
                </pt>
                <pt idx="1">
                  <v>7279.1</v>
                </pt>
                <pt idx="2">
                  <v>11219.57</v>
                </pt>
                <pt idx="3">
                  <v>9354.969999999999</v>
                </pt>
                <pt idx="4">
                  <v>5892.120000000001</v>
                </pt>
                <pt idx="5">
                  <v>5616.45</v>
                </pt>
                <pt idx="6">
                  <v>4731.13</v>
                </pt>
                <pt idx="7">
                  <v>11351.88</v>
                </pt>
                <pt idx="8">
                  <v>21734.15</v>
                </pt>
                <pt idx="9">
                  <v>7211.7</v>
                </pt>
                <pt idx="10">
                  <v>10780.58</v>
                </pt>
                <pt idx="11">
                  <v>2050.39</v>
                </pt>
                <pt idx="12">
                  <v>2118.36</v>
                </pt>
                <pt idx="13">
                  <v>19720.54</v>
                </pt>
                <pt idx="14">
                  <v>3824.7</v>
                </pt>
              </numCache>
            </numRef>
          </val>
        </ser>
        <ser>
          <idx val="5"/>
          <order val="5"/>
          <tx>
            <strRef>
              <f>Analysis!$G$132</f>
              <strCache>
                <ptCount val="1"/>
                <pt idx="0">
                  <v>Q1 2026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Analysis!$A$133:$A$147</f>
              <strCache>
                <ptCount val="15"/>
                <pt idx="0">
                  <v>Acme Petroleum</v>
                </pt>
                <pt idx="1">
                  <v>Arkansas Valley Oil</v>
                </pt>
                <pt idx="2">
                  <v>Centennial Hauling</v>
                </pt>
                <pt idx="3">
                  <v>Colorado Fuel Corp</v>
                </pt>
                <pt idx="4">
                  <v>Front Range Inc</v>
                </pt>
                <pt idx="5">
                  <v>High Plains Co</v>
                </pt>
                <pt idx="6">
                  <v>Mesa Verde Logistics</v>
                </pt>
                <pt idx="7">
                  <v>Mountain View Fleet</v>
                </pt>
                <pt idx="8">
                  <v>Pikes Peak Energy</v>
                </pt>
                <pt idx="9">
                  <v>Pueblo Supply Chain</v>
                </pt>
                <pt idx="10">
                  <v>Royal Gorge Freight</v>
                </pt>
                <pt idx="11">
                  <v>San Luis Transport</v>
                </pt>
                <pt idx="12">
                  <v>Springs Delivery Co</v>
                </pt>
                <pt idx="13">
                  <v>Summit Logistics</v>
                </pt>
                <pt idx="14">
                  <v>Western Slope Transport</v>
                </pt>
              </strCache>
            </strRef>
          </cat>
          <val>
            <numRef>
              <f>Analysis!$G$133:$G$147</f>
              <numCache>
                <formatCode>"$"#,##0</formatCode>
                <ptCount val="15"/>
                <pt idx="0">
                  <v>5424.45</v>
                </pt>
                <pt idx="1">
                  <v>6573.5</v>
                </pt>
                <pt idx="2">
                  <v>1683.24</v>
                </pt>
                <pt idx="3">
                  <v>10323.39</v>
                </pt>
                <pt idx="4">
                  <v>4206.39</v>
                </pt>
                <pt idx="5">
                  <v>1576.12</v>
                </pt>
                <pt idx="6">
                  <v>32841.41</v>
                </pt>
                <pt idx="7">
                  <v>9381.550000000001</v>
                </pt>
                <pt idx="8">
                  <v>3862.68</v>
                </pt>
                <pt idx="9">
                  <v>6458.610000000001</v>
                </pt>
                <pt idx="10">
                  <v>9024.52</v>
                </pt>
                <pt idx="11">
                  <v>3490.93</v>
                </pt>
                <pt idx="12">
                  <v>5107.49</v>
                </pt>
                <pt idx="13">
                  <v>11165.3</v>
                </pt>
                <pt idx="14">
                  <v>12707.13</v>
                </pt>
              </numCache>
            </numRef>
          </val>
        </ser>
        <ser>
          <idx val="6"/>
          <order val="6"/>
          <tx>
            <strRef>
              <f>Analysis!$H$132</f>
              <strCache>
                <ptCount val="1"/>
                <pt idx="0">
                  <v>Q2 2026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Analysis!$A$133:$A$147</f>
              <strCache>
                <ptCount val="15"/>
                <pt idx="0">
                  <v>Acme Petroleum</v>
                </pt>
                <pt idx="1">
                  <v>Arkansas Valley Oil</v>
                </pt>
                <pt idx="2">
                  <v>Centennial Hauling</v>
                </pt>
                <pt idx="3">
                  <v>Colorado Fuel Corp</v>
                </pt>
                <pt idx="4">
                  <v>Front Range Inc</v>
                </pt>
                <pt idx="5">
                  <v>High Plains Co</v>
                </pt>
                <pt idx="6">
                  <v>Mesa Verde Logistics</v>
                </pt>
                <pt idx="7">
                  <v>Mountain View Fleet</v>
                </pt>
                <pt idx="8">
                  <v>Pikes Peak Energy</v>
                </pt>
                <pt idx="9">
                  <v>Pueblo Supply Chain</v>
                </pt>
                <pt idx="10">
                  <v>Royal Gorge Freight</v>
                </pt>
                <pt idx="11">
                  <v>San Luis Transport</v>
                </pt>
                <pt idx="12">
                  <v>Springs Delivery Co</v>
                </pt>
                <pt idx="13">
                  <v>Summit Logistics</v>
                </pt>
                <pt idx="14">
                  <v>Western Slope Transport</v>
                </pt>
              </strCache>
            </strRef>
          </cat>
          <val>
            <numRef>
              <f>Analysis!$H$133:$H$147</f>
              <numCache>
                <formatCode>"$"#,##0</formatCode>
                <ptCount val="15"/>
                <pt idx="0">
                  <v>9329.369999999999</v>
                </pt>
                <pt idx="1">
                  <v>6959.94</v>
                </pt>
                <pt idx="2">
                  <v>7676.259999999999</v>
                </pt>
                <pt idx="3">
                  <v>10969.23</v>
                </pt>
                <pt idx="4">
                  <v>8702.139999999999</v>
                </pt>
                <pt idx="5">
                  <v>4145.12</v>
                </pt>
                <pt idx="6">
                  <v>11396.94</v>
                </pt>
                <pt idx="7">
                  <v>5875.77</v>
                </pt>
                <pt idx="8">
                  <v>6532.06</v>
                </pt>
                <pt idx="9">
                  <v>4126.11</v>
                </pt>
                <pt idx="10">
                  <v>2744.54</v>
                </pt>
                <pt idx="11">
                  <v>10056.03</v>
                </pt>
                <pt idx="12">
                  <v>5046.66</v>
                </pt>
                <pt idx="13">
                  <v>13971.01</v>
                </pt>
                <pt idx="14">
                  <v>2000.7</v>
                </pt>
              </numCache>
            </numRef>
          </val>
        </ser>
        <ser>
          <idx val="7"/>
          <order val="7"/>
          <tx>
            <strRef>
              <f>Analysis!$I$132</f>
              <strCache>
                <ptCount val="1"/>
                <pt idx="0">
                  <v>Q3 2026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Analysis!$A$133:$A$147</f>
              <strCache>
                <ptCount val="15"/>
                <pt idx="0">
                  <v>Acme Petroleum</v>
                </pt>
                <pt idx="1">
                  <v>Arkansas Valley Oil</v>
                </pt>
                <pt idx="2">
                  <v>Centennial Hauling</v>
                </pt>
                <pt idx="3">
                  <v>Colorado Fuel Corp</v>
                </pt>
                <pt idx="4">
                  <v>Front Range Inc</v>
                </pt>
                <pt idx="5">
                  <v>High Plains Co</v>
                </pt>
                <pt idx="6">
                  <v>Mesa Verde Logistics</v>
                </pt>
                <pt idx="7">
                  <v>Mountain View Fleet</v>
                </pt>
                <pt idx="8">
                  <v>Pikes Peak Energy</v>
                </pt>
                <pt idx="9">
                  <v>Pueblo Supply Chain</v>
                </pt>
                <pt idx="10">
                  <v>Royal Gorge Freight</v>
                </pt>
                <pt idx="11">
                  <v>San Luis Transport</v>
                </pt>
                <pt idx="12">
                  <v>Springs Delivery Co</v>
                </pt>
                <pt idx="13">
                  <v>Summit Logistics</v>
                </pt>
                <pt idx="14">
                  <v>Western Slope Transport</v>
                </pt>
              </strCache>
            </strRef>
          </cat>
          <val>
            <numRef>
              <f>Analysis!$I$133:$I$147</f>
              <numCache>
                <formatCode>"$"#,##0</formatCode>
                <ptCount val="15"/>
                <pt idx="0">
                  <v>4339.7</v>
                </pt>
                <pt idx="1">
                  <v>0</v>
                </pt>
                <pt idx="2">
                  <v>0</v>
                </pt>
                <pt idx="3">
                  <v>9508.27</v>
                </pt>
                <pt idx="4">
                  <v>4423.8</v>
                </pt>
                <pt idx="5">
                  <v>4995.58</v>
                </pt>
                <pt idx="6">
                  <v>0</v>
                </pt>
                <pt idx="7">
                  <v>2252.25</v>
                </pt>
                <pt idx="8">
                  <v>2303.46</v>
                </pt>
                <pt idx="9">
                  <v>2346.96</v>
                </pt>
                <pt idx="10">
                  <v>0</v>
                </pt>
                <pt idx="11">
                  <v>0</v>
                </pt>
                <pt idx="12">
                  <v>6251.53</v>
                </pt>
                <pt idx="13">
                  <v>837.52</v>
                </pt>
                <pt idx="1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409252448"/>
        <axId val="1409252928"/>
      </barChart>
      <catAx>
        <axId val="140925244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09252928"/>
        <crosses val="autoZero"/>
        <auto val="1"/>
        <lblAlgn val="ctr"/>
        <lblOffset val="100"/>
        <noMultiLvlLbl val="0"/>
      </catAx>
      <valAx>
        <axId val="1409252928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$&quot;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0925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6-Month Revenue Forecast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Analysis!$B$180</f>
              <strCache>
                <ptCount val="1"/>
                <pt idx="0">
                  <v>Projected Revenue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Analysis!$A$181:$A$186</f>
              <numCache>
                <formatCode>mmm\ yyyy</formatCode>
                <ptCount val="6"/>
                <pt idx="0">
                  <v>46235</v>
                </pt>
                <pt idx="1">
                  <v>46266</v>
                </pt>
                <pt idx="2">
                  <v>46296</v>
                </pt>
                <pt idx="3">
                  <v>46327</v>
                </pt>
                <pt idx="4">
                  <v>46357</v>
                </pt>
                <pt idx="5">
                  <v>46388</v>
                </pt>
              </numCache>
            </numRef>
          </cat>
          <val>
            <numRef>
              <f>Analysis!$B$181:$B$186</f>
              <numCache>
                <formatCode>"$"#,##0</formatCode>
                <ptCount val="6"/>
                <pt idx="0">
                  <v>41185.56763400407</v>
                </pt>
                <pt idx="1">
                  <v>42579.84773434649</v>
                </pt>
                <pt idx="2">
                  <v>44021.32924794821</v>
                </pt>
                <pt idx="3">
                  <v>45511.61011299475</v>
                </pt>
                <pt idx="4">
                  <v>47052.34236364609</v>
                </pt>
                <pt idx="5">
                  <v>48645.23396138057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748139872"/>
        <axId val="641953504"/>
      </barChart>
      <dateAx>
        <axId val="748139872"/>
        <scaling>
          <orientation val="minMax"/>
        </scaling>
        <delete val="0"/>
        <axPos val="b"/>
        <numFmt formatCode="mmm\ 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41953504"/>
        <crosses val="autoZero"/>
        <lblOffset val="100"/>
        <baseTimeUnit val="months"/>
      </dateAx>
      <valAx>
        <axId val="6419535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$&quot;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48139872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0</colOff>
      <row>19</row>
      <rowOff>0</rowOff>
    </from>
    <to>
      <col>15</col>
      <colOff>0</colOff>
      <row>35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7</col>
      <colOff>0</colOff>
      <row>36</row>
      <rowOff>0</rowOff>
    </from>
    <to>
      <col>15</col>
      <colOff>0</colOff>
      <row>51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77</row>
      <rowOff>0</rowOff>
    </from>
    <to>
      <col>16</col>
      <colOff>0</colOff>
      <row>104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6</col>
      <colOff>0</colOff>
      <row>107</row>
      <rowOff>1</rowOff>
    </from>
    <to>
      <col>14</col>
      <colOff>0</colOff>
      <row>116</row>
      <rowOff>1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6</col>
      <colOff>0</colOff>
      <row>116</row>
      <rowOff>0</rowOff>
    </from>
    <to>
      <col>14</col>
      <colOff>0</colOff>
      <row>128</row>
      <rowOff>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10</col>
      <colOff>0</colOff>
      <row>129</row>
      <rowOff>0</rowOff>
    </from>
    <to>
      <col>18</col>
      <colOff>0</colOff>
      <row>149</row>
      <rowOff>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7</col>
      <colOff>0</colOff>
      <row>171</row>
      <rowOff>0</rowOff>
    </from>
    <to>
      <col>15</col>
      <colOff>0</colOff>
      <row>188</row>
      <rowOff>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5"/>
  <sheetViews>
    <sheetView tabSelected="1" zoomScaleNormal="100" workbookViewId="0">
      <pane ySplit="4" topLeftCell="A5" activePane="bottomLeft" state="frozen"/>
      <selection pane="bottomLeft" activeCell="J428" sqref="J428"/>
    </sheetView>
  </sheetViews>
  <sheetFormatPr baseColWidth="8" defaultColWidth="23" defaultRowHeight="15"/>
  <cols>
    <col width="23" customWidth="1" style="19" min="1" max="1"/>
    <col width="23" customWidth="1" style="87" min="2" max="16384"/>
  </cols>
  <sheetData>
    <row r="1" ht="27.95" customHeight="1" s="89">
      <c r="A1" s="86" t="inlineStr">
        <is>
          <t>TNDS Sales Data Template — RAW INPUT (QuickBooks Export)</t>
        </is>
      </c>
    </row>
    <row r="2" ht="18" customHeight="1" s="89">
      <c r="A2" s="88" t="inlineStr">
        <is>
          <t>Drop QuickBooks export here. Required: Date, Qty, Sales Price OR Total Sales. Extra columns are ignored by the pipeline.</t>
        </is>
      </c>
    </row>
    <row r="3" ht="21.95" customHeight="1" s="89">
      <c r="A3" s="1" t="inlineStr">
        <is>
          <t>Date</t>
        </is>
      </c>
      <c r="B3" s="2" t="inlineStr">
        <is>
          <t>Customer</t>
        </is>
      </c>
      <c r="C3" s="2" t="inlineStr">
        <is>
          <t>Invoice #</t>
        </is>
      </c>
      <c r="D3" s="2" t="inlineStr">
        <is>
          <t>Item / Description</t>
        </is>
      </c>
      <c r="E3" s="1" t="inlineStr">
        <is>
          <t>Qty</t>
        </is>
      </c>
      <c r="F3" s="1" t="inlineStr">
        <is>
          <t>Sales Price</t>
        </is>
      </c>
      <c r="G3" s="1" t="inlineStr">
        <is>
          <t>Total Sales</t>
        </is>
      </c>
      <c r="H3" s="2" t="inlineStr">
        <is>
          <t>Tax</t>
        </is>
      </c>
      <c r="I3" s="2" t="inlineStr">
        <is>
          <t>Notes</t>
        </is>
      </c>
    </row>
    <row r="4" ht="32.1" customHeight="1" s="89">
      <c r="A4" s="91" t="inlineStr">
        <is>
          <t>REQUIRED — MM/DD/YYYY</t>
        </is>
      </c>
      <c r="B4" s="91" t="inlineStr">
        <is>
          <t>Optional — for reference</t>
        </is>
      </c>
      <c r="C4" s="91" t="inlineStr">
        <is>
          <t>Optional — for reference</t>
        </is>
      </c>
      <c r="D4" s="91" t="inlineStr">
        <is>
          <t>Optional</t>
        </is>
      </c>
      <c r="E4" s="91" t="inlineStr">
        <is>
          <t>REQUIRED if no Total Sales</t>
        </is>
      </c>
      <c r="F4" s="91" t="inlineStr">
        <is>
          <t>REQUIRED if no Total Sales</t>
        </is>
      </c>
      <c r="G4" s="91" t="inlineStr">
        <is>
          <t>Pipeline uses this (or computes Qty×Price)</t>
        </is>
      </c>
      <c r="H4" s="91" t="inlineStr">
        <is>
          <t>Optional</t>
        </is>
      </c>
      <c r="I4" s="91" t="inlineStr">
        <is>
          <t>Optional</t>
        </is>
      </c>
    </row>
    <row r="5">
      <c r="A5" s="99" t="n">
        <v>45600</v>
      </c>
      <c r="B5" s="93" t="inlineStr">
        <is>
          <t>Acme Petroleum</t>
        </is>
      </c>
      <c r="C5" s="93" t="inlineStr">
        <is>
          <t>INV-1001</t>
        </is>
      </c>
      <c r="D5" s="93" t="inlineStr">
        <is>
          <t>Diesel Delivery</t>
        </is>
      </c>
      <c r="E5" s="100" t="n">
        <v>420</v>
      </c>
      <c r="F5" s="101" t="n">
        <v>3.91</v>
      </c>
      <c r="G5" s="96">
        <f>IF(OR(E5="",F5=""),"",E5*F5)</f>
        <v/>
      </c>
      <c r="H5" s="101" t="n">
        <v>47.62</v>
      </c>
      <c r="I5" s="93" t="n"/>
    </row>
    <row r="6">
      <c r="A6" s="99" t="n">
        <v>45601</v>
      </c>
      <c r="B6" s="93" t="inlineStr">
        <is>
          <t>Front Range Inc</t>
        </is>
      </c>
      <c r="C6" s="93" t="inlineStr">
        <is>
          <t>INV-1002</t>
        </is>
      </c>
      <c r="D6" s="93" t="inlineStr">
        <is>
          <t>Unleaded Delivery</t>
        </is>
      </c>
      <c r="E6" s="100" t="n">
        <v>380</v>
      </c>
      <c r="F6" s="101" t="n">
        <v>3.91</v>
      </c>
      <c r="G6" s="96">
        <f>IF(OR(E6="",F6=""),"",E6*F6)</f>
        <v/>
      </c>
      <c r="H6" s="101" t="n">
        <v>0</v>
      </c>
      <c r="I6" s="93" t="n"/>
    </row>
    <row r="7">
      <c r="A7" s="99" t="n">
        <v>45602</v>
      </c>
      <c r="B7" s="93" t="inlineStr">
        <is>
          <t>Arkansas Valley Oil</t>
        </is>
      </c>
      <c r="C7" s="93" t="inlineStr">
        <is>
          <t>INV-1003</t>
        </is>
      </c>
      <c r="D7" s="93" t="inlineStr">
        <is>
          <t>Diesel Delivery</t>
        </is>
      </c>
      <c r="E7" s="100" t="n">
        <v>510</v>
      </c>
      <c r="F7" s="101" t="n">
        <v>3.88</v>
      </c>
      <c r="G7" s="95">
        <f>IF(OR(E7="",F7=""),"",E7*F7)</f>
        <v/>
      </c>
      <c r="H7" s="101" t="n">
        <v>57.39</v>
      </c>
      <c r="I7" s="93" t="n"/>
    </row>
    <row r="8">
      <c r="A8" s="99" t="n">
        <v>45603</v>
      </c>
      <c r="B8" s="93" t="inlineStr">
        <is>
          <t>Summit Logistics</t>
        </is>
      </c>
      <c r="C8" s="93" t="inlineStr">
        <is>
          <t>INV-1004</t>
        </is>
      </c>
      <c r="D8" s="93" t="inlineStr">
        <is>
          <t>Fleet Fuel Drop</t>
        </is>
      </c>
      <c r="E8" s="100" t="n">
        <v>465</v>
      </c>
      <c r="F8" s="101" t="n">
        <v>3.88</v>
      </c>
      <c r="G8" s="96">
        <f>IF(OR(E8="",F8=""),"",E8*F8)</f>
        <v/>
      </c>
      <c r="H8" s="101" t="n">
        <v>52.32</v>
      </c>
      <c r="I8" s="93" t="n"/>
    </row>
    <row r="9">
      <c r="A9" s="99" t="n">
        <v>45604</v>
      </c>
      <c r="B9" s="93" t="inlineStr">
        <is>
          <t>Acme Petroleum</t>
        </is>
      </c>
      <c r="C9" s="93" t="inlineStr">
        <is>
          <t>INV-1005</t>
        </is>
      </c>
      <c r="D9" s="93" t="inlineStr">
        <is>
          <t>Diesel Delivery</t>
        </is>
      </c>
      <c r="E9" s="100" t="n">
        <v>490</v>
      </c>
      <c r="F9" s="101" t="n">
        <v>3.85</v>
      </c>
      <c r="G9" s="96">
        <f>IF(OR(E9="",F9=""),"",E9*F9)</f>
        <v/>
      </c>
      <c r="H9" s="101" t="n">
        <v>0</v>
      </c>
      <c r="I9" s="93" t="n"/>
    </row>
    <row r="10">
      <c r="A10" s="99" t="n">
        <v>45607</v>
      </c>
      <c r="B10" s="93" t="inlineStr">
        <is>
          <t>Springs Delivery Co</t>
        </is>
      </c>
      <c r="C10" s="93" t="inlineStr">
        <is>
          <t>INV-1006</t>
        </is>
      </c>
      <c r="D10" s="93" t="inlineStr">
        <is>
          <t>Unleaded Delivery</t>
        </is>
      </c>
      <c r="E10" s="100" t="n">
        <v>440</v>
      </c>
      <c r="F10" s="101" t="n">
        <v>3.85</v>
      </c>
      <c r="G10" s="96">
        <f>IF(OR(E10="",F10=""),"",E10*F10)</f>
        <v/>
      </c>
      <c r="H10" s="101" t="n">
        <v>49.13</v>
      </c>
      <c r="I10" s="93" t="n"/>
    </row>
    <row r="11">
      <c r="A11" s="102" t="n">
        <v>45608</v>
      </c>
      <c r="B11" s="98" t="inlineStr">
        <is>
          <t>Front Range Inc</t>
        </is>
      </c>
      <c r="C11" s="98" t="inlineStr">
        <is>
          <t>INV-1007</t>
        </is>
      </c>
      <c r="D11" s="98" t="inlineStr">
        <is>
          <t>Fleet Fuel Drop</t>
        </is>
      </c>
      <c r="E11" s="103" t="n">
        <v>520</v>
      </c>
      <c r="F11" s="104" t="n">
        <v>3.82</v>
      </c>
      <c r="G11" s="98">
        <f>IF(OR(E11="",F11=""),"",E11*F11)</f>
        <v/>
      </c>
      <c r="H11" s="104" t="n">
        <v>57.61</v>
      </c>
      <c r="I11" s="98" t="n"/>
    </row>
    <row r="12">
      <c r="A12" s="102" t="n">
        <v>45609</v>
      </c>
      <c r="B12" s="98" t="inlineStr">
        <is>
          <t>Western Slope Transport</t>
        </is>
      </c>
      <c r="C12" s="98" t="inlineStr">
        <is>
          <t>INV-1008</t>
        </is>
      </c>
      <c r="D12" s="98" t="inlineStr">
        <is>
          <t>Fleet Fuel Drop</t>
        </is>
      </c>
      <c r="E12" s="103" t="n">
        <v>478</v>
      </c>
      <c r="F12" s="104" t="n">
        <v>3.82</v>
      </c>
      <c r="G12" s="98">
        <f>IF(OR(E12="",F12=""),"",E12*F12)</f>
        <v/>
      </c>
      <c r="H12" s="104" t="n">
        <v>0</v>
      </c>
      <c r="I12" s="98" t="n"/>
    </row>
    <row r="13">
      <c r="A13" s="102" t="n">
        <v>45610</v>
      </c>
      <c r="B13" s="98" t="inlineStr">
        <is>
          <t>Pikes Peak Energy</t>
        </is>
      </c>
      <c r="C13" s="98" t="inlineStr">
        <is>
          <t>INV-1009</t>
        </is>
      </c>
      <c r="D13" s="98" t="inlineStr">
        <is>
          <t>Fleet Fuel Drop</t>
        </is>
      </c>
      <c r="E13" s="103" t="n">
        <v>502</v>
      </c>
      <c r="F13" s="104" t="n">
        <v>3.8</v>
      </c>
      <c r="G13" s="98">
        <f>IF(OR(E13="",F13=""),"",E13*F13)</f>
        <v/>
      </c>
      <c r="H13" s="104" t="n">
        <v>55.32</v>
      </c>
      <c r="I13" s="98" t="n"/>
    </row>
    <row r="14">
      <c r="A14" s="102" t="n">
        <v>45611</v>
      </c>
      <c r="B14" s="98" t="inlineStr">
        <is>
          <t>Centennial Hauling</t>
        </is>
      </c>
      <c r="C14" s="98" t="inlineStr">
        <is>
          <t>INV-1010</t>
        </is>
      </c>
      <c r="D14" s="98" t="inlineStr">
        <is>
          <t>Diesel Delivery</t>
        </is>
      </c>
      <c r="E14" s="103" t="n">
        <v>461</v>
      </c>
      <c r="F14" s="104" t="n">
        <v>3.8</v>
      </c>
      <c r="G14" s="98">
        <f>IF(OR(E14="",F14=""),"",E14*F14)</f>
        <v/>
      </c>
      <c r="H14" s="104" t="n">
        <v>50.8</v>
      </c>
      <c r="I14" s="98" t="n"/>
    </row>
    <row r="15">
      <c r="A15" s="102" t="n">
        <v>45614</v>
      </c>
      <c r="B15" s="98" t="inlineStr">
        <is>
          <t>Mountain View Fleet</t>
        </is>
      </c>
      <c r="C15" s="98" t="inlineStr">
        <is>
          <t>INV-1011</t>
        </is>
      </c>
      <c r="D15" s="98" t="inlineStr">
        <is>
          <t>Line Flush Service</t>
        </is>
      </c>
      <c r="E15" s="103" t="n">
        <v>1</v>
      </c>
      <c r="F15" s="104" t="n">
        <v>1250</v>
      </c>
      <c r="G15" s="98">
        <f>IF(OR(E15="",F15=""),"",E15*F15)</f>
        <v/>
      </c>
      <c r="H15" s="104" t="n">
        <v>0</v>
      </c>
      <c r="I15" s="98" t="n"/>
    </row>
    <row r="16">
      <c r="A16" s="102" t="n">
        <v>45615</v>
      </c>
      <c r="B16" s="98" t="inlineStr">
        <is>
          <t>Centennial Hauling</t>
        </is>
      </c>
      <c r="C16" s="98" t="inlineStr">
        <is>
          <t>INV-1012</t>
        </is>
      </c>
      <c r="D16" s="98" t="inlineStr">
        <is>
          <t>Unleaded Delivery</t>
        </is>
      </c>
      <c r="E16" s="103" t="n">
        <v>435</v>
      </c>
      <c r="F16" s="104" t="n">
        <v>3.79</v>
      </c>
      <c r="G16" s="98">
        <f>IF(OR(E16="",F16=""),"",E16*F16)</f>
        <v/>
      </c>
      <c r="H16" s="104" t="n">
        <v>47.81</v>
      </c>
      <c r="I16" s="98" t="n"/>
    </row>
    <row r="17">
      <c r="A17" s="102" t="n">
        <v>45616</v>
      </c>
      <c r="B17" s="98" t="inlineStr">
        <is>
          <t>Western Slope Transport</t>
        </is>
      </c>
      <c r="C17" s="98" t="inlineStr">
        <is>
          <t>INV-1013</t>
        </is>
      </c>
      <c r="D17" s="98" t="inlineStr">
        <is>
          <t>Diesel Delivery</t>
        </is>
      </c>
      <c r="E17" s="103" t="n">
        <v>498</v>
      </c>
      <c r="F17" s="104" t="n">
        <v>3.79</v>
      </c>
      <c r="G17" s="98">
        <f>IF(OR(E17="",F17=""),"",E17*F17)</f>
        <v/>
      </c>
      <c r="H17" s="104" t="n">
        <v>0</v>
      </c>
      <c r="I17" s="98" t="n"/>
    </row>
    <row r="18">
      <c r="A18" s="102" t="n">
        <v>45617</v>
      </c>
      <c r="B18" s="98" t="inlineStr">
        <is>
          <t>Pueblo Supply Chain</t>
        </is>
      </c>
      <c r="C18" s="98" t="inlineStr">
        <is>
          <t>INV-1014</t>
        </is>
      </c>
      <c r="D18" s="98" t="inlineStr">
        <is>
          <t>Premium Fuel Delivery</t>
        </is>
      </c>
      <c r="E18" s="103" t="n">
        <v>512</v>
      </c>
      <c r="F18" s="104" t="n">
        <v>3.77</v>
      </c>
      <c r="G18" s="98">
        <f>IF(OR(E18="",F18=""),"",E18*F18)</f>
        <v/>
      </c>
      <c r="H18" s="104" t="n">
        <v>0</v>
      </c>
      <c r="I18" s="98" t="n"/>
    </row>
    <row r="19">
      <c r="A19" s="102" t="n">
        <v>45618</v>
      </c>
      <c r="B19" s="98" t="inlineStr">
        <is>
          <t>Royal Gorge Freight</t>
        </is>
      </c>
      <c r="C19" s="98" t="inlineStr">
        <is>
          <t>INV-1015</t>
        </is>
      </c>
      <c r="D19" s="98" t="inlineStr">
        <is>
          <t>Diesel Delivery</t>
        </is>
      </c>
      <c r="E19" s="103" t="n">
        <v>448</v>
      </c>
      <c r="F19" s="104" t="n">
        <v>3.77</v>
      </c>
      <c r="G19" s="98">
        <f>IF(OR(E19="",F19=""),"",E19*F19)</f>
        <v/>
      </c>
      <c r="H19" s="104" t="n">
        <v>48.98</v>
      </c>
      <c r="I19" s="98" t="n"/>
    </row>
    <row r="20">
      <c r="A20" s="102" t="n">
        <v>45621</v>
      </c>
      <c r="B20" s="98" t="inlineStr">
        <is>
          <t>San Luis Transport</t>
        </is>
      </c>
      <c r="C20" s="98" t="inlineStr">
        <is>
          <t>INV-1016</t>
        </is>
      </c>
      <c r="D20" s="98" t="inlineStr">
        <is>
          <t>Diesel Delivery</t>
        </is>
      </c>
      <c r="E20" s="103" t="n">
        <v>402</v>
      </c>
      <c r="F20" s="104" t="n">
        <v>3.76</v>
      </c>
      <c r="G20" s="98">
        <f>IF(OR(E20="",F20=""),"",E20*F20)</f>
        <v/>
      </c>
      <c r="H20" s="104" t="n">
        <v>43.83</v>
      </c>
      <c r="I20" s="98" t="n"/>
    </row>
    <row r="21">
      <c r="A21" s="102" t="n">
        <v>45622</v>
      </c>
      <c r="B21" s="98" t="inlineStr">
        <is>
          <t>Pikes Peak Energy</t>
        </is>
      </c>
      <c r="C21" s="98" t="inlineStr">
        <is>
          <t>INV-1017</t>
        </is>
      </c>
      <c r="D21" s="98" t="inlineStr">
        <is>
          <t>Fleet Fuel Drop</t>
        </is>
      </c>
      <c r="E21" s="103" t="n">
        <v>389</v>
      </c>
      <c r="F21" s="104" t="n">
        <v>3.76</v>
      </c>
      <c r="G21" s="98">
        <f>IF(OR(E21="",F21=""),"",E21*F21)</f>
        <v/>
      </c>
      <c r="H21" s="104" t="n">
        <v>42.42</v>
      </c>
      <c r="I21" s="98" t="n"/>
    </row>
    <row r="22">
      <c r="A22" s="102" t="n">
        <v>45623</v>
      </c>
      <c r="B22" s="98" t="inlineStr">
        <is>
          <t>San Luis Transport</t>
        </is>
      </c>
      <c r="C22" s="98" t="inlineStr">
        <is>
          <t>INV-1018</t>
        </is>
      </c>
      <c r="D22" s="98" t="inlineStr">
        <is>
          <t>Fleet Fuel Drop</t>
        </is>
      </c>
      <c r="E22" s="103" t="n">
        <v>310</v>
      </c>
      <c r="F22" s="104" t="n">
        <v>3.74</v>
      </c>
      <c r="G22" s="98">
        <f>IF(OR(E22="",F22=""),"",E22*F22)</f>
        <v/>
      </c>
      <c r="H22" s="104" t="n">
        <v>33.62</v>
      </c>
      <c r="I22" s="98" t="n"/>
    </row>
    <row r="23">
      <c r="A23" s="102" t="n">
        <v>45628</v>
      </c>
      <c r="B23" s="98" t="inlineStr">
        <is>
          <t>Front Range Inc</t>
        </is>
      </c>
      <c r="C23" s="98" t="inlineStr">
        <is>
          <t>INV-1019</t>
        </is>
      </c>
      <c r="D23" s="98" t="inlineStr">
        <is>
          <t>Fleet Fuel Drop</t>
        </is>
      </c>
      <c r="E23" s="103" t="n">
        <v>428</v>
      </c>
      <c r="F23" s="104" t="n">
        <v>3.74</v>
      </c>
      <c r="G23" s="98">
        <f>IF(OR(E23="",F23=""),"",E23*F23)</f>
        <v/>
      </c>
      <c r="H23" s="104" t="n">
        <v>46.42</v>
      </c>
      <c r="I23" s="98" t="n"/>
    </row>
    <row r="24">
      <c r="A24" s="102" t="n">
        <v>45629</v>
      </c>
      <c r="B24" s="98" t="inlineStr">
        <is>
          <t>Arkansas Valley Oil</t>
        </is>
      </c>
      <c r="C24" s="98" t="inlineStr">
        <is>
          <t>INV-1020</t>
        </is>
      </c>
      <c r="D24" s="98" t="inlineStr">
        <is>
          <t>Diesel Delivery</t>
        </is>
      </c>
      <c r="E24" s="103" t="n">
        <v>465</v>
      </c>
      <c r="F24" s="104" t="n">
        <v>3.72</v>
      </c>
      <c r="G24" s="98">
        <f>IF(OR(E24="",F24=""),"",E24*F24)</f>
        <v/>
      </c>
      <c r="H24" s="104" t="n">
        <v>0</v>
      </c>
      <c r="I24" s="98" t="n"/>
    </row>
    <row r="25">
      <c r="A25" s="102" t="n">
        <v>45630</v>
      </c>
      <c r="B25" s="98" t="inlineStr">
        <is>
          <t>Summit Logistics</t>
        </is>
      </c>
      <c r="C25" s="98" t="inlineStr">
        <is>
          <t>INV-1021</t>
        </is>
      </c>
      <c r="D25" s="98" t="inlineStr">
        <is>
          <t>Premium Fuel Delivery</t>
        </is>
      </c>
      <c r="E25" s="103" t="n">
        <v>501</v>
      </c>
      <c r="F25" s="104" t="n">
        <v>3.72</v>
      </c>
      <c r="G25" s="98">
        <f>IF(OR(E25="",F25=""),"",E25*F25)</f>
        <v/>
      </c>
      <c r="H25" s="104" t="n">
        <v>54.05</v>
      </c>
      <c r="I25" s="98" t="n"/>
    </row>
    <row r="26">
      <c r="A26" s="102" t="n">
        <v>45631</v>
      </c>
      <c r="B26" s="98" t="inlineStr">
        <is>
          <t>Western Slope Transport</t>
        </is>
      </c>
      <c r="C26" s="98" t="inlineStr">
        <is>
          <t>INV-1022</t>
        </is>
      </c>
      <c r="D26" s="98" t="inlineStr">
        <is>
          <t>Diesel Delivery</t>
        </is>
      </c>
      <c r="E26" s="103" t="n">
        <v>488</v>
      </c>
      <c r="F26" s="104" t="n">
        <v>3.7</v>
      </c>
      <c r="G26" s="98">
        <f>IF(OR(E26="",F26=""),"",E26*F26)</f>
        <v/>
      </c>
      <c r="H26" s="104" t="n">
        <v>0</v>
      </c>
      <c r="I26" s="98" t="n"/>
    </row>
    <row r="27">
      <c r="A27" s="102" t="n">
        <v>45632</v>
      </c>
      <c r="B27" s="98" t="inlineStr">
        <is>
          <t>High Plains Co</t>
        </is>
      </c>
      <c r="C27" s="98" t="inlineStr">
        <is>
          <t>INV-1023</t>
        </is>
      </c>
      <c r="D27" s="98" t="inlineStr">
        <is>
          <t>Pump Maintenance</t>
        </is>
      </c>
      <c r="E27" s="103" t="n">
        <v>1</v>
      </c>
      <c r="F27" s="104" t="n">
        <v>875</v>
      </c>
      <c r="G27" s="98">
        <f>IF(OR(E27="",F27=""),"",E27*F27)</f>
        <v/>
      </c>
      <c r="H27" s="104" t="n">
        <v>25.38</v>
      </c>
      <c r="I27" s="98" t="n"/>
    </row>
    <row r="28">
      <c r="A28" s="102" t="n">
        <v>45635</v>
      </c>
      <c r="B28" s="98" t="inlineStr">
        <is>
          <t>Arkansas Valley Oil</t>
        </is>
      </c>
      <c r="C28" s="98" t="inlineStr">
        <is>
          <t>INV-1024</t>
        </is>
      </c>
      <c r="D28" s="98" t="inlineStr">
        <is>
          <t>Unleaded Delivery</t>
        </is>
      </c>
      <c r="E28" s="103" t="n">
        <v>422</v>
      </c>
      <c r="F28" s="104" t="n">
        <v>3.7</v>
      </c>
      <c r="G28" s="98">
        <f>IF(OR(E28="",F28=""),"",E28*F28)</f>
        <v/>
      </c>
      <c r="H28" s="104" t="n">
        <v>0</v>
      </c>
      <c r="I28" s="98" t="n"/>
    </row>
    <row r="29">
      <c r="A29" s="102" t="n">
        <v>45636</v>
      </c>
      <c r="B29" s="98" t="inlineStr">
        <is>
          <t>Pueblo Supply Chain</t>
        </is>
      </c>
      <c r="C29" s="98" t="inlineStr">
        <is>
          <t>INV-1025</t>
        </is>
      </c>
      <c r="D29" s="98" t="inlineStr">
        <is>
          <t>Diesel Delivery</t>
        </is>
      </c>
      <c r="E29" s="103" t="n">
        <v>476</v>
      </c>
      <c r="F29" s="104" t="n">
        <v>3.68</v>
      </c>
      <c r="G29" s="98">
        <f>IF(OR(E29="",F29=""),"",E29*F29)</f>
        <v/>
      </c>
      <c r="H29" s="104" t="n">
        <v>50.8</v>
      </c>
      <c r="I29" s="98" t="n"/>
    </row>
    <row r="30">
      <c r="A30" s="102" t="n">
        <v>45637</v>
      </c>
      <c r="B30" s="98" t="inlineStr">
        <is>
          <t>Royal Gorge Freight</t>
        </is>
      </c>
      <c r="C30" s="98" t="inlineStr">
        <is>
          <t>INV-1026</t>
        </is>
      </c>
      <c r="D30" s="98" t="inlineStr">
        <is>
          <t>Fleet Fuel Drop</t>
        </is>
      </c>
      <c r="E30" s="103" t="n">
        <v>518</v>
      </c>
      <c r="F30" s="104" t="n">
        <v>3.68</v>
      </c>
      <c r="G30" s="98">
        <f>IF(OR(E30="",F30=""),"",E30*F30)</f>
        <v/>
      </c>
      <c r="H30" s="104" t="n">
        <v>0</v>
      </c>
      <c r="I30" s="98" t="n"/>
    </row>
    <row r="31">
      <c r="A31" s="102" t="n">
        <v>45638</v>
      </c>
      <c r="B31" s="98" t="inlineStr">
        <is>
          <t>Western Slope Transport</t>
        </is>
      </c>
      <c r="C31" s="98" t="inlineStr">
        <is>
          <t>INV-1027</t>
        </is>
      </c>
      <c r="D31" s="98" t="inlineStr">
        <is>
          <t>Bulk Diesel</t>
        </is>
      </c>
      <c r="E31" s="103" t="n">
        <v>494</v>
      </c>
      <c r="F31" s="104" t="n">
        <v>3.65</v>
      </c>
      <c r="G31" s="98">
        <f>IF(OR(E31="",F31=""),"",E31*F31)</f>
        <v/>
      </c>
      <c r="H31" s="104" t="n">
        <v>0</v>
      </c>
      <c r="I31" s="98" t="n"/>
    </row>
    <row r="32">
      <c r="A32" s="102" t="n">
        <v>45639</v>
      </c>
      <c r="B32" s="98" t="inlineStr">
        <is>
          <t>Arkansas Valley Oil</t>
        </is>
      </c>
      <c r="C32" s="98" t="inlineStr">
        <is>
          <t>INV-1028</t>
        </is>
      </c>
      <c r="D32" s="98" t="inlineStr">
        <is>
          <t>Filter Service</t>
        </is>
      </c>
      <c r="E32" s="103" t="n">
        <v>1</v>
      </c>
      <c r="F32" s="104" t="n">
        <v>1450</v>
      </c>
      <c r="G32" s="98">
        <f>IF(OR(E32="",F32=""),"",E32*F32)</f>
        <v/>
      </c>
      <c r="H32" s="104" t="n">
        <v>42.05</v>
      </c>
      <c r="I32" s="98" t="n"/>
    </row>
    <row r="33">
      <c r="A33" s="102" t="n">
        <v>45642</v>
      </c>
      <c r="B33" s="98" t="inlineStr">
        <is>
          <t>Front Range Inc</t>
        </is>
      </c>
      <c r="C33" s="98" t="inlineStr">
        <is>
          <t>INV-1029</t>
        </is>
      </c>
      <c r="D33" s="98" t="inlineStr">
        <is>
          <t>Diesel Delivery</t>
        </is>
      </c>
      <c r="E33" s="103" t="n">
        <v>388</v>
      </c>
      <c r="F33" s="104" t="n">
        <v>3.65</v>
      </c>
      <c r="G33" s="98">
        <f>IF(OR(E33="",F33=""),"",E33*F33)</f>
        <v/>
      </c>
      <c r="H33" s="104" t="n">
        <v>41.07</v>
      </c>
      <c r="I33" s="98" t="n"/>
    </row>
    <row r="34">
      <c r="A34" s="102" t="n">
        <v>45643</v>
      </c>
      <c r="B34" s="98" t="inlineStr">
        <is>
          <t>Western Slope Transport</t>
        </is>
      </c>
      <c r="C34" s="98" t="inlineStr">
        <is>
          <t>INV-1030</t>
        </is>
      </c>
      <c r="D34" s="98" t="inlineStr">
        <is>
          <t>Premium Fuel Delivery</t>
        </is>
      </c>
      <c r="E34" s="103" t="n">
        <v>412</v>
      </c>
      <c r="F34" s="104" t="n">
        <v>3.63</v>
      </c>
      <c r="G34" s="98">
        <f>IF(OR(E34="",F34=""),"",E34*F34)</f>
        <v/>
      </c>
      <c r="H34" s="104" t="n">
        <v>0</v>
      </c>
      <c r="I34" s="98" t="n"/>
    </row>
    <row r="35">
      <c r="A35" s="102" t="n">
        <v>45644</v>
      </c>
      <c r="B35" s="98" t="inlineStr">
        <is>
          <t>San Luis Transport</t>
        </is>
      </c>
      <c r="C35" s="98" t="inlineStr">
        <is>
          <t>INV-1031</t>
        </is>
      </c>
      <c r="D35" s="98" t="inlineStr">
        <is>
          <t>Filter Service</t>
        </is>
      </c>
      <c r="E35" s="103" t="n">
        <v>1</v>
      </c>
      <c r="F35" s="104" t="n">
        <v>925</v>
      </c>
      <c r="G35" s="98">
        <f>IF(OR(E35="",F35=""),"",E35*F35)</f>
        <v/>
      </c>
      <c r="H35" s="104" t="n">
        <v>26.83</v>
      </c>
      <c r="I35" s="98" t="n"/>
    </row>
    <row r="36">
      <c r="A36" s="102" t="n">
        <v>45645</v>
      </c>
      <c r="B36" s="98" t="inlineStr">
        <is>
          <t>Front Range Inc</t>
        </is>
      </c>
      <c r="C36" s="98" t="inlineStr">
        <is>
          <t>INV-1032</t>
        </is>
      </c>
      <c r="D36" s="98" t="inlineStr">
        <is>
          <t>Premium Fuel Delivery</t>
        </is>
      </c>
      <c r="E36" s="103" t="n">
        <v>398</v>
      </c>
      <c r="F36" s="104" t="n">
        <v>3.63</v>
      </c>
      <c r="G36" s="98">
        <f>IF(OR(E36="",F36=""),"",E36*F36)</f>
        <v/>
      </c>
      <c r="H36" s="104" t="n">
        <v>41.9</v>
      </c>
      <c r="I36" s="98" t="n"/>
    </row>
    <row r="37">
      <c r="A37" s="102" t="n">
        <v>45646</v>
      </c>
      <c r="B37" s="98" t="inlineStr">
        <is>
          <t>San Luis Transport</t>
        </is>
      </c>
      <c r="C37" s="98" t="inlineStr">
        <is>
          <t>INV-1033</t>
        </is>
      </c>
      <c r="D37" s="98" t="inlineStr">
        <is>
          <t>Bulk Diesel</t>
        </is>
      </c>
      <c r="E37" s="103" t="n">
        <v>374</v>
      </c>
      <c r="F37" s="104" t="n">
        <v>3.61</v>
      </c>
      <c r="G37" s="98">
        <f>IF(OR(E37="",F37=""),"",E37*F37)</f>
        <v/>
      </c>
      <c r="H37" s="104" t="n">
        <v>39.15</v>
      </c>
      <c r="I37" s="98" t="n"/>
    </row>
    <row r="38">
      <c r="A38" s="102" t="n">
        <v>45649</v>
      </c>
      <c r="B38" s="98" t="inlineStr">
        <is>
          <t>High Plains Co</t>
        </is>
      </c>
      <c r="C38" s="98" t="inlineStr">
        <is>
          <t>INV-1034</t>
        </is>
      </c>
      <c r="D38" s="98" t="inlineStr">
        <is>
          <t>Bulk Diesel</t>
        </is>
      </c>
      <c r="E38" s="103" t="n">
        <v>288</v>
      </c>
      <c r="F38" s="104" t="n">
        <v>3.61</v>
      </c>
      <c r="G38" s="98">
        <f>IF(OR(E38="",F38=""),"",E38*F38)</f>
        <v/>
      </c>
      <c r="H38" s="104" t="n">
        <v>0</v>
      </c>
      <c r="I38" s="98" t="n"/>
    </row>
    <row r="39">
      <c r="A39" s="102" t="n">
        <v>45650</v>
      </c>
      <c r="B39" s="98" t="inlineStr">
        <is>
          <t>Royal Gorge Freight</t>
        </is>
      </c>
      <c r="C39" s="98" t="inlineStr">
        <is>
          <t>INV-1035</t>
        </is>
      </c>
      <c r="D39" s="98" t="inlineStr">
        <is>
          <t>Unleaded Delivery</t>
        </is>
      </c>
      <c r="E39" s="103" t="n">
        <v>210</v>
      </c>
      <c r="F39" s="104" t="n">
        <v>3.58</v>
      </c>
      <c r="G39" s="98">
        <f>IF(OR(E39="",F39=""),"",E39*F39)</f>
        <v/>
      </c>
      <c r="H39" s="104" t="n">
        <v>21.8</v>
      </c>
      <c r="I39" s="98" t="n"/>
    </row>
    <row r="40">
      <c r="A40" s="102" t="n">
        <v>45652</v>
      </c>
      <c r="B40" s="98" t="inlineStr">
        <is>
          <t>Royal Gorge Freight</t>
        </is>
      </c>
      <c r="C40" s="98" t="inlineStr">
        <is>
          <t>INV-1036</t>
        </is>
      </c>
      <c r="D40" s="98" t="inlineStr">
        <is>
          <t>Premium Fuel Delivery</t>
        </is>
      </c>
      <c r="E40" s="103" t="n">
        <v>252</v>
      </c>
      <c r="F40" s="104" t="n">
        <v>3.58</v>
      </c>
      <c r="G40" s="98">
        <f>IF(OR(E40="",F40=""),"",E40*F40)</f>
        <v/>
      </c>
      <c r="H40" s="104" t="n">
        <v>26.16</v>
      </c>
      <c r="I40" s="98" t="n"/>
    </row>
    <row r="41">
      <c r="A41" s="102" t="n">
        <v>45653</v>
      </c>
      <c r="B41" s="98" t="inlineStr">
        <is>
          <t>Western Slope Transport</t>
        </is>
      </c>
      <c r="C41" s="98" t="inlineStr">
        <is>
          <t>INV-1037</t>
        </is>
      </c>
      <c r="D41" s="98" t="inlineStr">
        <is>
          <t>Fleet Fuel Drop</t>
        </is>
      </c>
      <c r="E41" s="103" t="n">
        <v>278</v>
      </c>
      <c r="F41" s="104" t="n">
        <v>3.56</v>
      </c>
      <c r="G41" s="98">
        <f>IF(OR(E41="",F41=""),"",E41*F41)</f>
        <v/>
      </c>
      <c r="H41" s="104" t="n">
        <v>28.7</v>
      </c>
      <c r="I41" s="98" t="n"/>
    </row>
    <row r="42">
      <c r="A42" s="102" t="n">
        <v>45656</v>
      </c>
      <c r="B42" s="98" t="inlineStr">
        <is>
          <t>Springs Delivery Co</t>
        </is>
      </c>
      <c r="C42" s="98" t="inlineStr">
        <is>
          <t>INV-1038</t>
        </is>
      </c>
      <c r="D42" s="98" t="inlineStr">
        <is>
          <t>Unleaded Delivery</t>
        </is>
      </c>
      <c r="E42" s="103" t="n">
        <v>295</v>
      </c>
      <c r="F42" s="104" t="n">
        <v>3.56</v>
      </c>
      <c r="G42" s="98">
        <f>IF(OR(E42="",F42=""),"",E42*F42)</f>
        <v/>
      </c>
      <c r="H42" s="104" t="n">
        <v>30.46</v>
      </c>
      <c r="I42" s="98" t="n"/>
    </row>
    <row r="43">
      <c r="A43" s="102" t="n">
        <v>45657</v>
      </c>
      <c r="B43" s="98" t="inlineStr">
        <is>
          <t>Mesa Verde Logistics</t>
        </is>
      </c>
      <c r="C43" s="98" t="inlineStr">
        <is>
          <t>INV-1039</t>
        </is>
      </c>
      <c r="D43" s="98" t="inlineStr">
        <is>
          <t>Diesel Delivery</t>
        </is>
      </c>
      <c r="E43" s="103" t="n">
        <v>312</v>
      </c>
      <c r="F43" s="104" t="n">
        <v>3.54</v>
      </c>
      <c r="G43" s="98">
        <f>IF(OR(E43="",F43=""),"",E43*F43)</f>
        <v/>
      </c>
      <c r="H43" s="104" t="n">
        <v>0</v>
      </c>
      <c r="I43" s="98" t="n"/>
    </row>
    <row r="44">
      <c r="A44" s="102" t="n">
        <v>45659</v>
      </c>
      <c r="B44" s="98" t="inlineStr">
        <is>
          <t>Centennial Hauling</t>
        </is>
      </c>
      <c r="C44" s="98" t="inlineStr">
        <is>
          <t>INV-1040</t>
        </is>
      </c>
      <c r="D44" s="98" t="inlineStr">
        <is>
          <t>Unleaded Delivery</t>
        </is>
      </c>
      <c r="E44" s="103" t="n">
        <v>368</v>
      </c>
      <c r="F44" s="104" t="n">
        <v>3.54</v>
      </c>
      <c r="G44" s="98">
        <f>IF(OR(E44="",F44=""),"",E44*F44)</f>
        <v/>
      </c>
      <c r="H44" s="104" t="n">
        <v>37.78</v>
      </c>
      <c r="I44" s="98" t="n"/>
    </row>
    <row r="45">
      <c r="A45" s="102" t="n">
        <v>45660</v>
      </c>
      <c r="B45" s="98" t="inlineStr">
        <is>
          <t>Summit Logistics</t>
        </is>
      </c>
      <c r="C45" s="98" t="inlineStr">
        <is>
          <t>INV-1041</t>
        </is>
      </c>
      <c r="D45" s="98" t="inlineStr">
        <is>
          <t>Fleet Fuel Drop</t>
        </is>
      </c>
      <c r="E45" s="103" t="n">
        <v>422</v>
      </c>
      <c r="F45" s="104" t="n">
        <v>3.52</v>
      </c>
      <c r="G45" s="98">
        <f>IF(OR(E45="",F45=""),"",E45*F45)</f>
        <v/>
      </c>
      <c r="H45" s="104" t="n">
        <v>43.08</v>
      </c>
      <c r="I45" s="98" t="n"/>
    </row>
    <row r="46">
      <c r="A46" s="102" t="n">
        <v>45663</v>
      </c>
      <c r="B46" s="98" t="inlineStr">
        <is>
          <t>Colorado Fuel Corp</t>
        </is>
      </c>
      <c r="C46" s="98" t="inlineStr">
        <is>
          <t>INV-1042</t>
        </is>
      </c>
      <c r="D46" s="98" t="inlineStr">
        <is>
          <t>Fleet Fuel Drop</t>
        </is>
      </c>
      <c r="E46" s="103" t="n">
        <v>468</v>
      </c>
      <c r="F46" s="104" t="n">
        <v>3.52</v>
      </c>
      <c r="G46" s="98">
        <f>IF(OR(E46="",F46=""),"",E46*F46)</f>
        <v/>
      </c>
      <c r="H46" s="104" t="n">
        <v>47.77</v>
      </c>
      <c r="I46" s="98" t="n"/>
    </row>
    <row r="47">
      <c r="A47" s="102" t="n">
        <v>45664</v>
      </c>
      <c r="B47" s="98" t="inlineStr">
        <is>
          <t>Arkansas Valley Oil</t>
        </is>
      </c>
      <c r="C47" s="98" t="inlineStr">
        <is>
          <t>INV-1043</t>
        </is>
      </c>
      <c r="D47" s="98" t="inlineStr">
        <is>
          <t>Tank Inspection</t>
        </is>
      </c>
      <c r="E47" s="103" t="n">
        <v>1</v>
      </c>
      <c r="F47" s="104" t="n">
        <v>1100</v>
      </c>
      <c r="G47" s="98">
        <f>IF(OR(E47="",F47=""),"",E47*F47)</f>
        <v/>
      </c>
      <c r="H47" s="104" t="n">
        <v>31.9</v>
      </c>
      <c r="I47" s="98" t="n"/>
    </row>
    <row r="48">
      <c r="A48" s="102" t="n">
        <v>45665</v>
      </c>
      <c r="B48" s="98" t="inlineStr">
        <is>
          <t>Centennial Hauling</t>
        </is>
      </c>
      <c r="C48" s="98" t="inlineStr">
        <is>
          <t>INV-1044</t>
        </is>
      </c>
      <c r="D48" s="98" t="inlineStr">
        <is>
          <t>Fleet Fuel Drop</t>
        </is>
      </c>
      <c r="E48" s="103" t="n">
        <v>492</v>
      </c>
      <c r="F48" s="104" t="n">
        <v>3.5</v>
      </c>
      <c r="G48" s="98">
        <f>IF(OR(E48="",F48=""),"",E48*F48)</f>
        <v/>
      </c>
      <c r="H48" s="104" t="n">
        <v>0</v>
      </c>
      <c r="I48" s="98" t="n"/>
    </row>
    <row r="49">
      <c r="A49" s="102" t="n">
        <v>45666</v>
      </c>
      <c r="B49" s="98" t="inlineStr">
        <is>
          <t>Summit Logistics</t>
        </is>
      </c>
      <c r="C49" s="98" t="inlineStr">
        <is>
          <t>INV-1045</t>
        </is>
      </c>
      <c r="D49" s="98" t="inlineStr">
        <is>
          <t>Premium Fuel Delivery</t>
        </is>
      </c>
      <c r="E49" s="103" t="n">
        <v>514</v>
      </c>
      <c r="F49" s="104" t="n">
        <v>3.5</v>
      </c>
      <c r="G49" s="98">
        <f>IF(OR(E49="",F49=""),"",E49*F49)</f>
        <v/>
      </c>
      <c r="H49" s="104" t="n">
        <v>0</v>
      </c>
      <c r="I49" s="98" t="n"/>
    </row>
    <row r="50">
      <c r="A50" s="102" t="n">
        <v>45667</v>
      </c>
      <c r="B50" s="98" t="inlineStr">
        <is>
          <t>Colorado Fuel Corp</t>
        </is>
      </c>
      <c r="C50" s="98" t="inlineStr">
        <is>
          <t>INV-1046</t>
        </is>
      </c>
      <c r="D50" s="98" t="inlineStr">
        <is>
          <t>Unleaded Delivery</t>
        </is>
      </c>
      <c r="E50" s="103" t="n">
        <v>478</v>
      </c>
      <c r="F50" s="104" t="n">
        <v>3.48</v>
      </c>
      <c r="G50" s="98">
        <f>IF(OR(E50="",F50=""),"",E50*F50)</f>
        <v/>
      </c>
      <c r="H50" s="104" t="n">
        <v>0</v>
      </c>
      <c r="I50" s="98" t="n"/>
    </row>
    <row r="51">
      <c r="A51" s="102" t="n">
        <v>45670</v>
      </c>
      <c r="B51" s="98" t="inlineStr">
        <is>
          <t>Springs Delivery Co</t>
        </is>
      </c>
      <c r="C51" s="98" t="inlineStr">
        <is>
          <t>INV-1047</t>
        </is>
      </c>
      <c r="D51" s="98" t="inlineStr">
        <is>
          <t>Premium Fuel Delivery</t>
        </is>
      </c>
      <c r="E51" s="103" t="n">
        <v>502</v>
      </c>
      <c r="F51" s="104" t="n">
        <v>3.48</v>
      </c>
      <c r="G51" s="98">
        <f>IF(OR(E51="",F51=""),"",E51*F51)</f>
        <v/>
      </c>
      <c r="H51" s="104" t="n">
        <v>50.66</v>
      </c>
      <c r="I51" s="98" t="n"/>
    </row>
    <row r="52">
      <c r="A52" s="102" t="n">
        <v>45671</v>
      </c>
      <c r="B52" s="98" t="inlineStr">
        <is>
          <t>Mesa Verde Logistics</t>
        </is>
      </c>
      <c r="C52" s="98" t="inlineStr">
        <is>
          <t>INV-1048</t>
        </is>
      </c>
      <c r="D52" s="98" t="inlineStr">
        <is>
          <t>Tank Inspection</t>
        </is>
      </c>
      <c r="E52" s="103" t="n">
        <v>1</v>
      </c>
      <c r="F52" s="104" t="n">
        <v>1350</v>
      </c>
      <c r="G52" s="98">
        <f>IF(OR(E52="",F52=""),"",E52*F52)</f>
        <v/>
      </c>
      <c r="H52" s="104" t="n">
        <v>39.15</v>
      </c>
      <c r="I52" s="98" t="n"/>
    </row>
    <row r="53">
      <c r="A53" s="102" t="n">
        <v>45672</v>
      </c>
      <c r="B53" s="98" t="inlineStr">
        <is>
          <t>Pueblo Supply Chain</t>
        </is>
      </c>
      <c r="C53" s="98" t="inlineStr">
        <is>
          <t>INV-1049</t>
        </is>
      </c>
      <c r="D53" s="98" t="inlineStr">
        <is>
          <t>Fleet Fuel Drop</t>
        </is>
      </c>
      <c r="E53" s="103" t="n">
        <v>524</v>
      </c>
      <c r="F53" s="104" t="n">
        <v>3.46</v>
      </c>
      <c r="G53" s="98">
        <f>IF(OR(E53="",F53=""),"",E53*F53)</f>
        <v/>
      </c>
      <c r="H53" s="104" t="n">
        <v>0</v>
      </c>
      <c r="I53" s="98" t="n"/>
    </row>
    <row r="54">
      <c r="A54" s="102" t="n">
        <v>45673</v>
      </c>
      <c r="B54" s="98" t="inlineStr">
        <is>
          <t>Centennial Hauling</t>
        </is>
      </c>
      <c r="C54" s="98" t="inlineStr">
        <is>
          <t>INV-1050</t>
        </is>
      </c>
      <c r="D54" s="98" t="inlineStr">
        <is>
          <t>Premium Fuel Delivery</t>
        </is>
      </c>
      <c r="E54" s="103" t="n">
        <v>488</v>
      </c>
      <c r="F54" s="104" t="n">
        <v>3.46</v>
      </c>
      <c r="G54" s="98">
        <f>IF(OR(E54="",F54=""),"",E54*F54)</f>
        <v/>
      </c>
      <c r="H54" s="104" t="n">
        <v>0</v>
      </c>
      <c r="I54" s="98" t="n"/>
    </row>
    <row r="55">
      <c r="A55" s="102" t="n">
        <v>45674</v>
      </c>
      <c r="B55" s="98" t="inlineStr">
        <is>
          <t>San Luis Transport</t>
        </is>
      </c>
      <c r="C55" s="98" t="inlineStr">
        <is>
          <t>INV-1051</t>
        </is>
      </c>
      <c r="D55" s="98" t="inlineStr">
        <is>
          <t>Fleet Fuel Drop</t>
        </is>
      </c>
      <c r="E55" s="103" t="n">
        <v>512</v>
      </c>
      <c r="F55" s="104" t="n">
        <v>3.44</v>
      </c>
      <c r="G55" s="98">
        <f>IF(OR(E55="",F55=""),"",E55*F55)</f>
        <v/>
      </c>
      <c r="H55" s="104" t="n">
        <v>0</v>
      </c>
      <c r="I55" s="98" t="n"/>
    </row>
    <row r="56">
      <c r="A56" s="102" t="n">
        <v>45678</v>
      </c>
      <c r="B56" s="98" t="inlineStr">
        <is>
          <t>Colorado Fuel Corp</t>
        </is>
      </c>
      <c r="C56" s="98" t="inlineStr">
        <is>
          <t>INV-1052</t>
        </is>
      </c>
      <c r="D56" s="98" t="inlineStr">
        <is>
          <t>Premium Fuel Delivery</t>
        </is>
      </c>
      <c r="E56" s="103" t="n">
        <v>468</v>
      </c>
      <c r="F56" s="104" t="n">
        <v>3.44</v>
      </c>
      <c r="G56" s="98">
        <f>IF(OR(E56="",F56=""),"",E56*F56)</f>
        <v/>
      </c>
      <c r="H56" s="104" t="n">
        <v>0</v>
      </c>
      <c r="I56" s="98" t="n"/>
    </row>
    <row r="57">
      <c r="A57" s="102" t="n">
        <v>45679</v>
      </c>
      <c r="B57" s="98" t="inlineStr">
        <is>
          <t>San Luis Transport</t>
        </is>
      </c>
      <c r="C57" s="98" t="inlineStr">
        <is>
          <t>INV-1053</t>
        </is>
      </c>
      <c r="D57" s="98" t="inlineStr">
        <is>
          <t>Pump Maintenance</t>
        </is>
      </c>
      <c r="E57" s="103" t="n">
        <v>1</v>
      </c>
      <c r="F57" s="104" t="n">
        <v>975</v>
      </c>
      <c r="G57" s="98">
        <f>IF(OR(E57="",F57=""),"",E57*F57)</f>
        <v/>
      </c>
      <c r="H57" s="104" t="n">
        <v>28.28</v>
      </c>
      <c r="I57" s="98" t="n"/>
    </row>
    <row r="58">
      <c r="A58" s="102" t="n">
        <v>45680</v>
      </c>
      <c r="B58" s="98" t="inlineStr">
        <is>
          <t>Front Range Inc</t>
        </is>
      </c>
      <c r="C58" s="98" t="inlineStr">
        <is>
          <t>INV-1054</t>
        </is>
      </c>
      <c r="D58" s="98" t="inlineStr">
        <is>
          <t>Premium Fuel Delivery</t>
        </is>
      </c>
      <c r="E58" s="103" t="n">
        <v>504</v>
      </c>
      <c r="F58" s="104" t="n">
        <v>3.42</v>
      </c>
      <c r="G58" s="98">
        <f>IF(OR(E58="",F58=""),"",E58*F58)</f>
        <v/>
      </c>
      <c r="H58" s="104" t="n">
        <v>0</v>
      </c>
      <c r="I58" s="98" t="n"/>
    </row>
    <row r="59">
      <c r="A59" s="102" t="n">
        <v>45681</v>
      </c>
      <c r="B59" s="98" t="inlineStr">
        <is>
          <t>Summit Logistics</t>
        </is>
      </c>
      <c r="C59" s="98" t="inlineStr">
        <is>
          <t>INV-1055</t>
        </is>
      </c>
      <c r="D59" s="98" t="inlineStr">
        <is>
          <t>Fleet Fuel Drop</t>
        </is>
      </c>
      <c r="E59" s="103" t="n">
        <v>536</v>
      </c>
      <c r="F59" s="104" t="n">
        <v>3.42</v>
      </c>
      <c r="G59" s="98">
        <f>IF(OR(E59="",F59=""),"",E59*F59)</f>
        <v/>
      </c>
      <c r="H59" s="104" t="n">
        <v>0</v>
      </c>
      <c r="I59" s="98" t="n"/>
    </row>
    <row r="60">
      <c r="A60" s="102" t="n">
        <v>45684</v>
      </c>
      <c r="B60" s="98" t="inlineStr">
        <is>
          <t>Mesa Verde Logistics</t>
        </is>
      </c>
      <c r="C60" s="98" t="inlineStr">
        <is>
          <t>INV-1056</t>
        </is>
      </c>
      <c r="D60" s="98" t="inlineStr">
        <is>
          <t>Bulk Diesel</t>
        </is>
      </c>
      <c r="E60" s="103" t="n">
        <v>492</v>
      </c>
      <c r="F60" s="104" t="n">
        <v>3.4</v>
      </c>
      <c r="G60" s="98">
        <f>IF(OR(E60="",F60=""),"",E60*F60)</f>
        <v/>
      </c>
      <c r="H60" s="104" t="n">
        <v>0</v>
      </c>
      <c r="I60" s="98" t="n"/>
    </row>
    <row r="61">
      <c r="A61" s="102" t="n">
        <v>45685</v>
      </c>
      <c r="B61" s="98" t="inlineStr">
        <is>
          <t>Centennial Hauling</t>
        </is>
      </c>
      <c r="C61" s="98" t="inlineStr">
        <is>
          <t>INV-1057</t>
        </is>
      </c>
      <c r="D61" s="98" t="inlineStr">
        <is>
          <t>Fleet Fuel Drop</t>
        </is>
      </c>
      <c r="E61" s="103" t="n">
        <v>518</v>
      </c>
      <c r="F61" s="104" t="n">
        <v>3.4</v>
      </c>
      <c r="G61" s="98">
        <f>IF(OR(E61="",F61=""),"",E61*F61)</f>
        <v/>
      </c>
      <c r="H61" s="104" t="n">
        <v>0</v>
      </c>
      <c r="I61" s="98" t="n"/>
    </row>
    <row r="62">
      <c r="A62" s="102" t="n">
        <v>45686</v>
      </c>
      <c r="B62" s="98" t="inlineStr">
        <is>
          <t>Springs Delivery Co</t>
        </is>
      </c>
      <c r="C62" s="98" t="inlineStr">
        <is>
          <t>INV-1058</t>
        </is>
      </c>
      <c r="D62" s="98" t="inlineStr">
        <is>
          <t>Line Flush Service</t>
        </is>
      </c>
      <c r="E62" s="103" t="n">
        <v>1</v>
      </c>
      <c r="F62" s="104" t="n">
        <v>1625</v>
      </c>
      <c r="G62" s="98">
        <f>IF(OR(E62="",F62=""),"",E62*F62)</f>
        <v/>
      </c>
      <c r="H62" s="104" t="n">
        <v>0</v>
      </c>
      <c r="I62" s="98" t="n"/>
    </row>
    <row r="63">
      <c r="A63" s="102" t="n">
        <v>45687</v>
      </c>
      <c r="B63" s="98" t="inlineStr">
        <is>
          <t>Mesa Verde Logistics</t>
        </is>
      </c>
      <c r="C63" s="98" t="inlineStr">
        <is>
          <t>INV-1059</t>
        </is>
      </c>
      <c r="D63" s="98" t="inlineStr">
        <is>
          <t>Fleet Fuel Drop</t>
        </is>
      </c>
      <c r="E63" s="103" t="n">
        <v>544</v>
      </c>
      <c r="F63" s="104" t="n">
        <v>3.38</v>
      </c>
      <c r="G63" s="98">
        <f>IF(OR(E63="",F63=""),"",E63*F63)</f>
        <v/>
      </c>
      <c r="H63" s="104" t="n">
        <v>53.32</v>
      </c>
      <c r="I63" s="98" t="n"/>
    </row>
    <row r="64">
      <c r="A64" s="102" t="n">
        <v>45688</v>
      </c>
      <c r="B64" s="98" t="inlineStr">
        <is>
          <t>San Luis Transport</t>
        </is>
      </c>
      <c r="C64" s="98" t="inlineStr">
        <is>
          <t>INV-1060</t>
        </is>
      </c>
      <c r="D64" s="98" t="inlineStr">
        <is>
          <t>Unleaded Delivery</t>
        </is>
      </c>
      <c r="E64" s="103" t="n">
        <v>508</v>
      </c>
      <c r="F64" s="104" t="n">
        <v>3.38</v>
      </c>
      <c r="G64" s="98">
        <f>IF(OR(E64="",F64=""),"",E64*F64)</f>
        <v/>
      </c>
      <c r="H64" s="104" t="n">
        <v>49.79</v>
      </c>
      <c r="I64" s="98" t="n"/>
    </row>
    <row r="65">
      <c r="A65" s="102" t="n">
        <v>45691</v>
      </c>
      <c r="B65" s="98" t="inlineStr">
        <is>
          <t>Royal Gorge Freight</t>
        </is>
      </c>
      <c r="C65" s="98" t="inlineStr">
        <is>
          <t>INV-1061</t>
        </is>
      </c>
      <c r="D65" s="98" t="inlineStr">
        <is>
          <t>Unleaded Delivery</t>
        </is>
      </c>
      <c r="E65" s="103" t="n">
        <v>528</v>
      </c>
      <c r="F65" s="104" t="n">
        <v>3.88</v>
      </c>
      <c r="G65" s="98">
        <f>IF(OR(E65="",F65=""),"",E65*F65)</f>
        <v/>
      </c>
      <c r="H65" s="104" t="n">
        <v>59.41</v>
      </c>
      <c r="I65" s="98" t="n"/>
    </row>
    <row r="66">
      <c r="A66" s="102" t="n">
        <v>45692</v>
      </c>
      <c r="B66" s="98" t="inlineStr">
        <is>
          <t>Colorado Fuel Corp</t>
        </is>
      </c>
      <c r="C66" s="98" t="inlineStr">
        <is>
          <t>INV-1062</t>
        </is>
      </c>
      <c r="D66" s="98" t="inlineStr">
        <is>
          <t>Pump Maintenance</t>
        </is>
      </c>
      <c r="E66" s="103" t="n">
        <v>1</v>
      </c>
      <c r="F66" s="104" t="n">
        <v>1250</v>
      </c>
      <c r="G66" s="98">
        <f>IF(OR(E66="",F66=""),"",E66*F66)</f>
        <v/>
      </c>
      <c r="H66" s="104" t="n">
        <v>36.25</v>
      </c>
      <c r="I66" s="98" t="n"/>
    </row>
    <row r="67">
      <c r="A67" s="102" t="n">
        <v>45693</v>
      </c>
      <c r="B67" s="98" t="inlineStr">
        <is>
          <t>Summit Logistics</t>
        </is>
      </c>
      <c r="C67" s="98" t="inlineStr">
        <is>
          <t>INV-1063</t>
        </is>
      </c>
      <c r="D67" s="98" t="inlineStr">
        <is>
          <t>Bulk Diesel</t>
        </is>
      </c>
      <c r="E67" s="103" t="n">
        <v>562</v>
      </c>
      <c r="F67" s="104" t="n">
        <v>3.88</v>
      </c>
      <c r="G67" s="98">
        <f>IF(OR(E67="",F67=""),"",E67*F67)</f>
        <v/>
      </c>
      <c r="H67" s="104" t="n">
        <v>0</v>
      </c>
      <c r="I67" s="98" t="n"/>
    </row>
    <row r="68">
      <c r="A68" s="102" t="n">
        <v>45694</v>
      </c>
      <c r="B68" s="98" t="inlineStr">
        <is>
          <t>Mountain View Fleet</t>
        </is>
      </c>
      <c r="C68" s="98" t="inlineStr">
        <is>
          <t>INV-1064</t>
        </is>
      </c>
      <c r="D68" s="98" t="inlineStr">
        <is>
          <t>Diesel Delivery</t>
        </is>
      </c>
      <c r="E68" s="103" t="n">
        <v>518</v>
      </c>
      <c r="F68" s="104" t="n">
        <v>3.86</v>
      </c>
      <c r="G68" s="98">
        <f>IF(OR(E68="",F68=""),"",E68*F68)</f>
        <v/>
      </c>
      <c r="H68" s="104" t="n">
        <v>0</v>
      </c>
      <c r="I68" s="98" t="n"/>
    </row>
    <row r="69">
      <c r="A69" s="102" t="n">
        <v>45695</v>
      </c>
      <c r="B69" s="98" t="inlineStr">
        <is>
          <t>Front Range Inc</t>
        </is>
      </c>
      <c r="C69" s="98" t="inlineStr">
        <is>
          <t>INV-1065</t>
        </is>
      </c>
      <c r="D69" s="98" t="inlineStr">
        <is>
          <t>Fleet Fuel Drop</t>
        </is>
      </c>
      <c r="E69" s="103" t="n">
        <v>544</v>
      </c>
      <c r="F69" s="104" t="n">
        <v>3.86</v>
      </c>
      <c r="G69" s="98">
        <f>IF(OR(E69="",F69=""),"",E69*F69)</f>
        <v/>
      </c>
      <c r="H69" s="104" t="n">
        <v>60.9</v>
      </c>
      <c r="I69" s="98" t="n"/>
    </row>
    <row r="70">
      <c r="A70" s="102" t="n">
        <v>45698</v>
      </c>
      <c r="B70" s="98" t="inlineStr">
        <is>
          <t>Summit Logistics</t>
        </is>
      </c>
      <c r="C70" s="98" t="inlineStr">
        <is>
          <t>INV-1066</t>
        </is>
      </c>
      <c r="D70" s="98" t="inlineStr">
        <is>
          <t>Tank Inspection</t>
        </is>
      </c>
      <c r="E70" s="103" t="n">
        <v>1</v>
      </c>
      <c r="F70" s="104" t="n">
        <v>1500</v>
      </c>
      <c r="G70" s="98">
        <f>IF(OR(E70="",F70=""),"",E70*F70)</f>
        <v/>
      </c>
      <c r="H70" s="104" t="n">
        <v>43.5</v>
      </c>
      <c r="I70" s="98" t="n"/>
    </row>
    <row r="71">
      <c r="A71" s="102" t="n">
        <v>45699</v>
      </c>
      <c r="B71" s="98" t="inlineStr">
        <is>
          <t>Front Range Inc</t>
        </is>
      </c>
      <c r="C71" s="98" t="inlineStr">
        <is>
          <t>INV-1067</t>
        </is>
      </c>
      <c r="D71" s="98" t="inlineStr">
        <is>
          <t>Diesel Delivery</t>
        </is>
      </c>
      <c r="E71" s="103" t="n">
        <v>536</v>
      </c>
      <c r="F71" s="104" t="n">
        <v>3.84</v>
      </c>
      <c r="G71" s="98">
        <f>IF(OR(E71="",F71=""),"",E71*F71)</f>
        <v/>
      </c>
      <c r="H71" s="104" t="n">
        <v>0</v>
      </c>
      <c r="I71" s="98" t="n"/>
    </row>
    <row r="72">
      <c r="A72" s="102" t="n">
        <v>45700</v>
      </c>
      <c r="B72" s="98" t="inlineStr">
        <is>
          <t>Mesa Verde Logistics</t>
        </is>
      </c>
      <c r="C72" s="98" t="inlineStr">
        <is>
          <t>INV-1068</t>
        </is>
      </c>
      <c r="D72" s="98" t="inlineStr">
        <is>
          <t>Diesel Delivery</t>
        </is>
      </c>
      <c r="E72" s="103" t="n">
        <v>572</v>
      </c>
      <c r="F72" s="104" t="n">
        <v>3.84</v>
      </c>
      <c r="G72" s="98">
        <f>IF(OR(E72="",F72=""),"",E72*F72)</f>
        <v/>
      </c>
      <c r="H72" s="104" t="n">
        <v>63.7</v>
      </c>
      <c r="I72" s="98" t="n"/>
    </row>
    <row r="73">
      <c r="A73" s="102" t="n">
        <v>45701</v>
      </c>
      <c r="B73" s="98" t="inlineStr">
        <is>
          <t>Front Range Inc</t>
        </is>
      </c>
      <c r="C73" s="98" t="inlineStr">
        <is>
          <t>INV-1069</t>
        </is>
      </c>
      <c r="D73" s="98" t="inlineStr">
        <is>
          <t>Fleet Fuel Drop</t>
        </is>
      </c>
      <c r="E73" s="103" t="n">
        <v>548</v>
      </c>
      <c r="F73" s="104" t="n">
        <v>3.82</v>
      </c>
      <c r="G73" s="98">
        <f>IF(OR(E73="",F73=""),"",E73*F73)</f>
        <v/>
      </c>
      <c r="H73" s="104" t="n">
        <v>0</v>
      </c>
      <c r="I73" s="98" t="n"/>
    </row>
    <row r="74">
      <c r="A74" s="102" t="n">
        <v>45702</v>
      </c>
      <c r="B74" s="98" t="inlineStr">
        <is>
          <t>Front Range Inc</t>
        </is>
      </c>
      <c r="C74" s="98" t="inlineStr">
        <is>
          <t>INV-1070</t>
        </is>
      </c>
      <c r="D74" s="98" t="inlineStr">
        <is>
          <t>Bulk Diesel</t>
        </is>
      </c>
      <c r="E74" s="103" t="n">
        <v>524</v>
      </c>
      <c r="F74" s="104" t="n">
        <v>3.82</v>
      </c>
      <c r="G74" s="98">
        <f>IF(OR(E74="",F74=""),"",E74*F74)</f>
        <v/>
      </c>
      <c r="H74" s="104" t="n">
        <v>58.05</v>
      </c>
      <c r="I74" s="98" t="n"/>
    </row>
    <row r="75">
      <c r="A75" s="102" t="n">
        <v>45706</v>
      </c>
      <c r="B75" s="98" t="inlineStr">
        <is>
          <t>Pueblo Supply Chain</t>
        </is>
      </c>
      <c r="C75" s="98" t="inlineStr">
        <is>
          <t>INV-1071</t>
        </is>
      </c>
      <c r="D75" s="98" t="inlineStr">
        <is>
          <t>Fleet Fuel Drop</t>
        </is>
      </c>
      <c r="E75" s="103" t="n">
        <v>558</v>
      </c>
      <c r="F75" s="104" t="n">
        <v>3.8</v>
      </c>
      <c r="G75" s="98">
        <f>IF(OR(E75="",F75=""),"",E75*F75)</f>
        <v/>
      </c>
      <c r="H75" s="104" t="n">
        <v>61.49</v>
      </c>
      <c r="I75" s="98" t="n"/>
    </row>
    <row r="76">
      <c r="A76" s="102" t="n">
        <v>45707</v>
      </c>
      <c r="B76" s="98" t="inlineStr">
        <is>
          <t>Centennial Hauling</t>
        </is>
      </c>
      <c r="C76" s="98" t="inlineStr">
        <is>
          <t>INV-1072</t>
        </is>
      </c>
      <c r="D76" s="98" t="inlineStr">
        <is>
          <t>Line Flush Service</t>
        </is>
      </c>
      <c r="E76" s="103" t="n">
        <v>1</v>
      </c>
      <c r="F76" s="104" t="n">
        <v>875</v>
      </c>
      <c r="G76" s="98">
        <f>IF(OR(E76="",F76=""),"",E76*F76)</f>
        <v/>
      </c>
      <c r="H76" s="104" t="n">
        <v>25.38</v>
      </c>
      <c r="I76" s="98" t="n"/>
    </row>
    <row r="77">
      <c r="A77" s="102" t="n">
        <v>45708</v>
      </c>
      <c r="B77" s="98" t="inlineStr">
        <is>
          <t>Summit Logistics</t>
        </is>
      </c>
      <c r="C77" s="98" t="inlineStr">
        <is>
          <t>INV-1073</t>
        </is>
      </c>
      <c r="D77" s="98" t="inlineStr">
        <is>
          <t>Diesel Delivery</t>
        </is>
      </c>
      <c r="E77" s="103" t="n">
        <v>582</v>
      </c>
      <c r="F77" s="104" t="n">
        <v>3.8</v>
      </c>
      <c r="G77" s="98">
        <f>IF(OR(E77="",F77=""),"",E77*F77)</f>
        <v/>
      </c>
      <c r="H77" s="104" t="n">
        <v>64.14</v>
      </c>
      <c r="I77" s="98" t="n"/>
    </row>
    <row r="78">
      <c r="A78" s="102" t="n">
        <v>45709</v>
      </c>
      <c r="B78" s="98" t="inlineStr">
        <is>
          <t>Western Slope Transport</t>
        </is>
      </c>
      <c r="C78" s="98" t="inlineStr">
        <is>
          <t>INV-1074</t>
        </is>
      </c>
      <c r="D78" s="98" t="inlineStr">
        <is>
          <t>Premium Fuel Delivery</t>
        </is>
      </c>
      <c r="E78" s="103" t="n">
        <v>544</v>
      </c>
      <c r="F78" s="104" t="n">
        <v>3.78</v>
      </c>
      <c r="G78" s="98">
        <f>IF(OR(E78="",F78=""),"",E78*F78)</f>
        <v/>
      </c>
      <c r="H78" s="104" t="n">
        <v>59.63</v>
      </c>
      <c r="I78" s="98" t="n"/>
    </row>
    <row r="79">
      <c r="A79" s="102" t="n">
        <v>45712</v>
      </c>
      <c r="B79" s="98" t="inlineStr">
        <is>
          <t>Arkansas Valley Oil</t>
        </is>
      </c>
      <c r="C79" s="98" t="inlineStr">
        <is>
          <t>INV-1075</t>
        </is>
      </c>
      <c r="D79" s="98" t="inlineStr">
        <is>
          <t>Diesel Delivery</t>
        </is>
      </c>
      <c r="E79" s="103" t="n">
        <v>568</v>
      </c>
      <c r="F79" s="104" t="n">
        <v>3.78</v>
      </c>
      <c r="G79" s="98">
        <f>IF(OR(E79="",F79=""),"",E79*F79)</f>
        <v/>
      </c>
      <c r="H79" s="104" t="n">
        <v>62.26</v>
      </c>
      <c r="I79" s="98" t="n"/>
    </row>
    <row r="80">
      <c r="A80" s="102" t="n">
        <v>45713</v>
      </c>
      <c r="B80" s="98" t="inlineStr">
        <is>
          <t>Acme Petroleum</t>
        </is>
      </c>
      <c r="C80" s="98" t="inlineStr">
        <is>
          <t>INV-1076</t>
        </is>
      </c>
      <c r="D80" s="98" t="inlineStr">
        <is>
          <t>Tank Inspection</t>
        </is>
      </c>
      <c r="E80" s="103" t="n">
        <v>1</v>
      </c>
      <c r="F80" s="104" t="n">
        <v>1750</v>
      </c>
      <c r="G80" s="98">
        <f>IF(OR(E80="",F80=""),"",E80*F80)</f>
        <v/>
      </c>
      <c r="H80" s="104" t="n">
        <v>50.75</v>
      </c>
      <c r="I80" s="98" t="n"/>
    </row>
    <row r="81">
      <c r="A81" s="102" t="n">
        <v>45714</v>
      </c>
      <c r="B81" s="98" t="inlineStr">
        <is>
          <t>Centennial Hauling</t>
        </is>
      </c>
      <c r="C81" s="98" t="inlineStr">
        <is>
          <t>INV-1077</t>
        </is>
      </c>
      <c r="D81" s="98" t="inlineStr">
        <is>
          <t>Premium Fuel Delivery</t>
        </is>
      </c>
      <c r="E81" s="103" t="n">
        <v>592</v>
      </c>
      <c r="F81" s="104" t="n">
        <v>3.76</v>
      </c>
      <c r="G81" s="98">
        <f>IF(OR(E81="",F81=""),"",E81*F81)</f>
        <v/>
      </c>
      <c r="H81" s="104" t="n">
        <v>64.55</v>
      </c>
      <c r="I81" s="98" t="n"/>
    </row>
    <row r="82">
      <c r="A82" s="102" t="n">
        <v>45715</v>
      </c>
      <c r="B82" s="98" t="inlineStr">
        <is>
          <t>Front Range Inc</t>
        </is>
      </c>
      <c r="C82" s="98" t="inlineStr">
        <is>
          <t>INV-1078</t>
        </is>
      </c>
      <c r="D82" s="98" t="inlineStr">
        <is>
          <t>Unleaded Delivery</t>
        </is>
      </c>
      <c r="E82" s="103" t="n">
        <v>556</v>
      </c>
      <c r="F82" s="104" t="n">
        <v>3.76</v>
      </c>
      <c r="G82" s="98">
        <f>IF(OR(E82="",F82=""),"",E82*F82)</f>
        <v/>
      </c>
      <c r="H82" s="104" t="n">
        <v>0</v>
      </c>
      <c r="I82" s="98" t="n"/>
    </row>
    <row r="83">
      <c r="A83" s="102" t="n">
        <v>45716</v>
      </c>
      <c r="B83" s="98" t="inlineStr">
        <is>
          <t>High Plains Co</t>
        </is>
      </c>
      <c r="C83" s="98" t="inlineStr">
        <is>
          <t>INV-1079</t>
        </is>
      </c>
      <c r="D83" s="98" t="inlineStr">
        <is>
          <t>Bulk Diesel</t>
        </is>
      </c>
      <c r="E83" s="103" t="n">
        <v>578</v>
      </c>
      <c r="F83" s="104" t="n">
        <v>3.74</v>
      </c>
      <c r="G83" s="98">
        <f>IF(OR(E83="",F83=""),"",E83*F83)</f>
        <v/>
      </c>
      <c r="H83" s="104" t="n">
        <v>62.69</v>
      </c>
      <c r="I83" s="98" t="n"/>
    </row>
    <row r="84">
      <c r="A84" s="102" t="n">
        <v>45719</v>
      </c>
      <c r="B84" s="98" t="inlineStr">
        <is>
          <t>Colorado Fuel Corp</t>
        </is>
      </c>
      <c r="C84" s="98" t="inlineStr">
        <is>
          <t>INV-1080</t>
        </is>
      </c>
      <c r="D84" s="98" t="inlineStr">
        <is>
          <t>Premium Fuel Delivery</t>
        </is>
      </c>
      <c r="E84" s="103" t="n">
        <v>500</v>
      </c>
      <c r="F84" s="104" t="n">
        <v>3.85</v>
      </c>
      <c r="G84" s="98">
        <f>IF(OR(E84="",F84=""),"",E84*F84)</f>
        <v/>
      </c>
      <c r="H84" s="104" t="n">
        <v>0</v>
      </c>
      <c r="I84" s="98" t="n"/>
    </row>
    <row r="85">
      <c r="A85" s="102" t="n">
        <v>45720</v>
      </c>
      <c r="B85" s="98" t="inlineStr">
        <is>
          <t>Colorado Fuel Corp</t>
        </is>
      </c>
      <c r="C85" s="98" t="inlineStr">
        <is>
          <t>INV-1081</t>
        </is>
      </c>
      <c r="D85" s="98" t="inlineStr">
        <is>
          <t>Lubricant Package</t>
        </is>
      </c>
      <c r="E85" s="103" t="n">
        <v>24</v>
      </c>
      <c r="F85" s="104" t="n">
        <v>45</v>
      </c>
      <c r="G85" s="98">
        <f>IF(OR(E85="",F85=""),"",E85*F85)</f>
        <v/>
      </c>
      <c r="H85" s="104" t="n">
        <v>31.32</v>
      </c>
      <c r="I85" s="98" t="n"/>
    </row>
    <row r="86">
      <c r="A86" s="102" t="n">
        <v>45721</v>
      </c>
      <c r="B86" s="98" t="inlineStr">
        <is>
          <t>Acme Petroleum</t>
        </is>
      </c>
      <c r="C86" s="98" t="inlineStr">
        <is>
          <t>INV-1082</t>
        </is>
      </c>
      <c r="D86" s="98" t="inlineStr">
        <is>
          <t>Tank Inspection</t>
        </is>
      </c>
      <c r="E86" s="103" t="n">
        <v>1</v>
      </c>
      <c r="F86" s="104" t="n">
        <v>1250</v>
      </c>
      <c r="G86" s="98">
        <f>IF(OR(E86="",F86=""),"",E86*F86)</f>
        <v/>
      </c>
      <c r="H86" s="104" t="n">
        <v>36.25</v>
      </c>
      <c r="I86" s="98" t="n"/>
    </row>
    <row r="87">
      <c r="A87" s="102" t="n">
        <v>45722</v>
      </c>
      <c r="B87" s="98" t="inlineStr">
        <is>
          <t>Mesa Verde Logistics</t>
        </is>
      </c>
      <c r="C87" s="98" t="inlineStr">
        <is>
          <t>INV-1083</t>
        </is>
      </c>
      <c r="D87" s="98" t="inlineStr">
        <is>
          <t>Fleet Fuel Drop</t>
        </is>
      </c>
      <c r="E87" s="103" t="n">
        <v>612</v>
      </c>
      <c r="F87" s="104" t="n">
        <v>3.85</v>
      </c>
      <c r="G87" s="98">
        <f>IF(OR(E87="",F87=""),"",E87*F87)</f>
        <v/>
      </c>
      <c r="H87" s="104" t="n">
        <v>0</v>
      </c>
      <c r="I87" s="98" t="n"/>
    </row>
    <row r="88">
      <c r="A88" s="102" t="n">
        <v>45723</v>
      </c>
      <c r="B88" s="98" t="inlineStr">
        <is>
          <t>San Luis Transport</t>
        </is>
      </c>
      <c r="C88" s="98" t="inlineStr">
        <is>
          <t>INV-1084</t>
        </is>
      </c>
      <c r="D88" s="98" t="inlineStr">
        <is>
          <t>Diesel Delivery</t>
        </is>
      </c>
      <c r="E88" s="103" t="n">
        <v>576</v>
      </c>
      <c r="F88" s="104" t="n">
        <v>3.85</v>
      </c>
      <c r="G88" s="98">
        <f>IF(OR(E88="",F88=""),"",E88*F88)</f>
        <v/>
      </c>
      <c r="H88" s="104" t="n">
        <v>64.31</v>
      </c>
      <c r="I88" s="98" t="n"/>
    </row>
    <row r="89">
      <c r="A89" s="102" t="n">
        <v>45726</v>
      </c>
      <c r="B89" s="98" t="inlineStr">
        <is>
          <t>High Plains Co</t>
        </is>
      </c>
      <c r="C89" s="98" t="inlineStr">
        <is>
          <t>INV-1085</t>
        </is>
      </c>
      <c r="D89" s="98" t="inlineStr">
        <is>
          <t>Unleaded Delivery</t>
        </is>
      </c>
      <c r="E89" s="103" t="n">
        <v>750</v>
      </c>
      <c r="F89" s="104" t="n">
        <v>3.82</v>
      </c>
      <c r="G89" s="98">
        <f>IF(OR(E89="",F89=""),"",E89*F89)</f>
        <v/>
      </c>
      <c r="H89" s="104" t="n">
        <v>83.09</v>
      </c>
      <c r="I89" s="98" t="n"/>
    </row>
    <row r="90">
      <c r="A90" s="102" t="n">
        <v>45727</v>
      </c>
      <c r="B90" s="98" t="inlineStr">
        <is>
          <t>Front Range Inc</t>
        </is>
      </c>
      <c r="C90" s="98" t="inlineStr">
        <is>
          <t>INV-1086</t>
        </is>
      </c>
      <c r="D90" s="98" t="inlineStr">
        <is>
          <t>Line Flush Service</t>
        </is>
      </c>
      <c r="E90" s="103" t="n">
        <v>1</v>
      </c>
      <c r="F90" s="104" t="n">
        <v>1100</v>
      </c>
      <c r="G90" s="98">
        <f>IF(OR(E90="",F90=""),"",E90*F90)</f>
        <v/>
      </c>
      <c r="H90" s="104" t="n">
        <v>31.9</v>
      </c>
      <c r="I90" s="98" t="n"/>
    </row>
    <row r="91">
      <c r="A91" s="102" t="n">
        <v>45728</v>
      </c>
      <c r="B91" s="98" t="inlineStr">
        <is>
          <t>High Plains Co</t>
        </is>
      </c>
      <c r="C91" s="98" t="inlineStr">
        <is>
          <t>INV-1087</t>
        </is>
      </c>
      <c r="D91" s="98" t="inlineStr">
        <is>
          <t>Diesel Delivery</t>
        </is>
      </c>
      <c r="E91" s="103" t="n">
        <v>624</v>
      </c>
      <c r="F91" s="104" t="n">
        <v>3.82</v>
      </c>
      <c r="G91" s="98">
        <f>IF(OR(E91="",F91=""),"",E91*F91)</f>
        <v/>
      </c>
      <c r="H91" s="104" t="n">
        <v>69.13</v>
      </c>
      <c r="I91" s="98" t="n"/>
    </row>
    <row r="92">
      <c r="A92" s="102" t="n">
        <v>45729</v>
      </c>
      <c r="B92" s="98" t="inlineStr">
        <is>
          <t>Pikes Peak Energy</t>
        </is>
      </c>
      <c r="C92" s="98" t="inlineStr">
        <is>
          <t>INV-1088</t>
        </is>
      </c>
      <c r="D92" s="98" t="inlineStr">
        <is>
          <t>Bulk Diesel</t>
        </is>
      </c>
      <c r="E92" s="103" t="n">
        <v>588</v>
      </c>
      <c r="F92" s="104" t="n">
        <v>3.8</v>
      </c>
      <c r="G92" s="98">
        <f>IF(OR(E92="",F92=""),"",E92*F92)</f>
        <v/>
      </c>
      <c r="H92" s="104" t="n">
        <v>64.8</v>
      </c>
      <c r="I92" s="98" t="n"/>
    </row>
    <row r="93">
      <c r="A93" s="102" t="n">
        <v>45730</v>
      </c>
      <c r="B93" s="98" t="inlineStr">
        <is>
          <t>Pikes Peak Energy</t>
        </is>
      </c>
      <c r="C93" s="98" t="inlineStr">
        <is>
          <t>INV-1089</t>
        </is>
      </c>
      <c r="D93" s="98" t="inlineStr">
        <is>
          <t>Line Flush Service</t>
        </is>
      </c>
      <c r="E93" s="103" t="n">
        <v>1</v>
      </c>
      <c r="F93" s="104" t="n">
        <v>875</v>
      </c>
      <c r="G93" s="98">
        <f>IF(OR(E93="",F93=""),"",E93*F93)</f>
        <v/>
      </c>
      <c r="H93" s="104" t="n">
        <v>25.38</v>
      </c>
      <c r="I93" s="98" t="n"/>
    </row>
    <row r="94">
      <c r="A94" s="102" t="n">
        <v>45733</v>
      </c>
      <c r="B94" s="98" t="inlineStr">
        <is>
          <t>Arkansas Valley Oil</t>
        </is>
      </c>
      <c r="C94" s="98" t="inlineStr">
        <is>
          <t>INV-1090</t>
        </is>
      </c>
      <c r="D94" s="98" t="inlineStr">
        <is>
          <t>Fleet Fuel Drop</t>
        </is>
      </c>
      <c r="E94" s="103" t="n">
        <v>636</v>
      </c>
      <c r="F94" s="104" t="n">
        <v>3.8</v>
      </c>
      <c r="G94" s="98">
        <f>IF(OR(E94="",F94=""),"",E94*F94)</f>
        <v/>
      </c>
      <c r="H94" s="104" t="n">
        <v>70.09</v>
      </c>
      <c r="I94" s="98" t="n"/>
    </row>
    <row r="95">
      <c r="A95" s="102" t="n">
        <v>45734</v>
      </c>
      <c r="B95" s="98" t="inlineStr">
        <is>
          <t>Front Range Inc</t>
        </is>
      </c>
      <c r="C95" s="98" t="inlineStr">
        <is>
          <t>INV-1091</t>
        </is>
      </c>
      <c r="D95" s="98" t="inlineStr">
        <is>
          <t>Unleaded Delivery</t>
        </is>
      </c>
      <c r="E95" s="103" t="n">
        <v>438</v>
      </c>
      <c r="F95" s="104" t="n">
        <v>3.91</v>
      </c>
      <c r="G95" s="98">
        <f>IF(OR(E95="",F95=""),"",E95*F95)</f>
        <v/>
      </c>
      <c r="H95" s="104" t="n">
        <v>0</v>
      </c>
      <c r="I95" s="98" t="n"/>
    </row>
    <row r="96">
      <c r="A96" s="102" t="n">
        <v>45735</v>
      </c>
      <c r="B96" s="98" t="inlineStr">
        <is>
          <t>Pueblo Supply Chain</t>
        </is>
      </c>
      <c r="C96" s="98" t="inlineStr">
        <is>
          <t>INV-1092</t>
        </is>
      </c>
      <c r="D96" s="98" t="inlineStr">
        <is>
          <t>Diesel Delivery</t>
        </is>
      </c>
      <c r="E96" s="103" t="n">
        <v>401</v>
      </c>
      <c r="F96" s="104" t="n">
        <v>3.91</v>
      </c>
      <c r="G96" s="98">
        <f>IF(OR(E96="",F96=""),"",E96*F96)</f>
        <v/>
      </c>
      <c r="H96" s="104" t="n">
        <v>45.47</v>
      </c>
      <c r="I96" s="98" t="n"/>
    </row>
    <row r="97">
      <c r="A97" s="102" t="n">
        <v>45736</v>
      </c>
      <c r="B97" s="98" t="inlineStr">
        <is>
          <t>Royal Gorge Freight</t>
        </is>
      </c>
      <c r="C97" s="98" t="inlineStr">
        <is>
          <t>INV-1093</t>
        </is>
      </c>
      <c r="D97" s="98" t="inlineStr">
        <is>
          <t>Diesel Delivery</t>
        </is>
      </c>
      <c r="E97" s="103" t="n">
        <v>537</v>
      </c>
      <c r="F97" s="104" t="n">
        <v>3.88</v>
      </c>
      <c r="G97" s="98">
        <f>IF(OR(E97="",F97=""),"",E97*F97)</f>
        <v/>
      </c>
      <c r="H97" s="104" t="n">
        <v>60.42</v>
      </c>
      <c r="I97" s="98" t="n"/>
    </row>
    <row r="98">
      <c r="A98" s="102" t="n">
        <v>45737</v>
      </c>
      <c r="B98" s="98" t="inlineStr">
        <is>
          <t>Pueblo Supply Chain</t>
        </is>
      </c>
      <c r="C98" s="98" t="inlineStr">
        <is>
          <t>INV-1094</t>
        </is>
      </c>
      <c r="D98" s="98" t="inlineStr">
        <is>
          <t>Diesel Delivery</t>
        </is>
      </c>
      <c r="E98" s="103" t="n">
        <v>483</v>
      </c>
      <c r="F98" s="104" t="n">
        <v>3.87</v>
      </c>
      <c r="G98" s="98">
        <f>IF(OR(E98="",F98=""),"",E98*F98)</f>
        <v/>
      </c>
      <c r="H98" s="104" t="n">
        <v>54.21</v>
      </c>
      <c r="I98" s="98" t="n"/>
    </row>
    <row r="99">
      <c r="A99" s="102" t="n">
        <v>45740</v>
      </c>
      <c r="B99" s="98" t="inlineStr">
        <is>
          <t>High Plains Co</t>
        </is>
      </c>
      <c r="C99" s="98" t="inlineStr">
        <is>
          <t>INV-1095</t>
        </is>
      </c>
      <c r="D99" s="98" t="inlineStr">
        <is>
          <t>Fleet Fuel Drop</t>
        </is>
      </c>
      <c r="E99" s="103" t="n">
        <v>484</v>
      </c>
      <c r="F99" s="104" t="n">
        <v>3.82</v>
      </c>
      <c r="G99" s="98">
        <f>IF(OR(E99="",F99=""),"",E99*F99)</f>
        <v/>
      </c>
      <c r="H99" s="104" t="n">
        <v>0</v>
      </c>
      <c r="I99" s="98" t="n"/>
    </row>
    <row r="100">
      <c r="A100" s="102" t="n">
        <v>45741</v>
      </c>
      <c r="B100" s="98" t="inlineStr">
        <is>
          <t>Summit Logistics</t>
        </is>
      </c>
      <c r="C100" s="98" t="inlineStr">
        <is>
          <t>INV-1096</t>
        </is>
      </c>
      <c r="D100" s="98" t="inlineStr">
        <is>
          <t>Fleet Fuel Drop</t>
        </is>
      </c>
      <c r="E100" s="103" t="n">
        <v>442</v>
      </c>
      <c r="F100" s="104" t="n">
        <v>3.84</v>
      </c>
      <c r="G100" s="98">
        <f>IF(OR(E100="",F100=""),"",E100*F100)</f>
        <v/>
      </c>
      <c r="H100" s="104" t="n">
        <v>49.22</v>
      </c>
      <c r="I100" s="98" t="n"/>
    </row>
    <row r="101">
      <c r="A101" s="102" t="n">
        <v>45742</v>
      </c>
      <c r="B101" s="98" t="inlineStr">
        <is>
          <t>Pueblo Supply Chain</t>
        </is>
      </c>
      <c r="C101" s="98" t="inlineStr">
        <is>
          <t>INV-1097</t>
        </is>
      </c>
      <c r="D101" s="98" t="inlineStr">
        <is>
          <t>Diesel Delivery</t>
        </is>
      </c>
      <c r="E101" s="103" t="n">
        <v>514</v>
      </c>
      <c r="F101" s="104" t="n">
        <v>3.85</v>
      </c>
      <c r="G101" s="98">
        <f>IF(OR(E101="",F101=""),"",E101*F101)</f>
        <v/>
      </c>
      <c r="H101" s="104" t="n">
        <v>0</v>
      </c>
      <c r="I101" s="98" t="n"/>
    </row>
    <row r="102">
      <c r="A102" s="102" t="n">
        <v>45743</v>
      </c>
      <c r="B102" s="98" t="inlineStr">
        <is>
          <t>Western Slope Transport</t>
        </is>
      </c>
      <c r="C102" s="98" t="inlineStr">
        <is>
          <t>INV-1098</t>
        </is>
      </c>
      <c r="D102" s="98" t="inlineStr">
        <is>
          <t>Unleaded Delivery</t>
        </is>
      </c>
      <c r="E102" s="103" t="n">
        <v>467</v>
      </c>
      <c r="F102" s="104" t="n">
        <v>3.83</v>
      </c>
      <c r="G102" s="98">
        <f>IF(OR(E102="",F102=""),"",E102*F102)</f>
        <v/>
      </c>
      <c r="H102" s="104" t="n">
        <v>0</v>
      </c>
      <c r="I102" s="98" t="n"/>
    </row>
    <row r="103">
      <c r="A103" s="102" t="n">
        <v>45744</v>
      </c>
      <c r="B103" s="98" t="inlineStr">
        <is>
          <t>Front Range Inc</t>
        </is>
      </c>
      <c r="C103" s="98" t="inlineStr">
        <is>
          <t>INV-1099</t>
        </is>
      </c>
      <c r="D103" s="98" t="inlineStr">
        <is>
          <t>Fleet Fuel Drop</t>
        </is>
      </c>
      <c r="E103" s="103" t="n">
        <v>505</v>
      </c>
      <c r="F103" s="104" t="n">
        <v>3.83</v>
      </c>
      <c r="G103" s="98">
        <f>IF(OR(E103="",F103=""),"",E103*F103)</f>
        <v/>
      </c>
      <c r="H103" s="104" t="n">
        <v>56.09</v>
      </c>
      <c r="I103" s="98" t="n"/>
    </row>
    <row r="104">
      <c r="A104" s="102" t="n">
        <v>45747</v>
      </c>
      <c r="B104" s="98" t="inlineStr">
        <is>
          <t>Pueblo Supply Chain</t>
        </is>
      </c>
      <c r="C104" s="98" t="inlineStr">
        <is>
          <t>INV-1100</t>
        </is>
      </c>
      <c r="D104" s="98" t="inlineStr">
        <is>
          <t>Diesel Delivery</t>
        </is>
      </c>
      <c r="E104" s="103" t="n">
        <v>466</v>
      </c>
      <c r="F104" s="104" t="n">
        <v>3.78</v>
      </c>
      <c r="G104" s="98">
        <f>IF(OR(E104="",F104=""),"",E104*F104)</f>
        <v/>
      </c>
      <c r="H104" s="104" t="n">
        <v>0</v>
      </c>
      <c r="I104" s="98" t="n"/>
    </row>
    <row r="105">
      <c r="A105" s="102" t="n">
        <v>45748</v>
      </c>
      <c r="B105" s="98" t="inlineStr">
        <is>
          <t>San Luis Transport</t>
        </is>
      </c>
      <c r="C105" s="98" t="inlineStr">
        <is>
          <t>INV-1101</t>
        </is>
      </c>
      <c r="D105" s="98" t="inlineStr">
        <is>
          <t>Pump Maintenance</t>
        </is>
      </c>
      <c r="E105" s="103" t="n">
        <v>1</v>
      </c>
      <c r="F105" s="104" t="n">
        <v>1161.37</v>
      </c>
      <c r="G105" s="98">
        <f>IF(OR(E105="",F105=""),"",E105*F105)</f>
        <v/>
      </c>
      <c r="H105" s="104" t="n">
        <v>0</v>
      </c>
      <c r="I105" s="98" t="n"/>
    </row>
    <row r="106">
      <c r="A106" s="102" t="n">
        <v>45749</v>
      </c>
      <c r="B106" s="98" t="inlineStr">
        <is>
          <t>Front Range Inc</t>
        </is>
      </c>
      <c r="C106" s="98" t="inlineStr">
        <is>
          <t>INV-1102</t>
        </is>
      </c>
      <c r="D106" s="98" t="inlineStr">
        <is>
          <t>Premium Fuel Delivery</t>
        </is>
      </c>
      <c r="E106" s="103" t="n">
        <v>454</v>
      </c>
      <c r="F106" s="104" t="n">
        <v>3.82</v>
      </c>
      <c r="G106" s="98">
        <f>IF(OR(E106="",F106=""),"",E106*F106)</f>
        <v/>
      </c>
      <c r="H106" s="104" t="n">
        <v>0</v>
      </c>
      <c r="I106" s="98" t="n"/>
    </row>
    <row r="107">
      <c r="A107" s="102" t="n">
        <v>45750</v>
      </c>
      <c r="B107" s="98" t="inlineStr">
        <is>
          <t>Arkansas Valley Oil</t>
        </is>
      </c>
      <c r="C107" s="98" t="inlineStr">
        <is>
          <t>INV-1103</t>
        </is>
      </c>
      <c r="D107" s="98" t="inlineStr">
        <is>
          <t>Unleaded Delivery</t>
        </is>
      </c>
      <c r="E107" s="103" t="n">
        <v>533</v>
      </c>
      <c r="F107" s="104" t="n">
        <v>3.78</v>
      </c>
      <c r="G107" s="98">
        <f>IF(OR(E107="",F107=""),"",E107*F107)</f>
        <v/>
      </c>
      <c r="H107" s="104" t="n">
        <v>58.43</v>
      </c>
      <c r="I107" s="98" t="n"/>
    </row>
    <row r="108">
      <c r="A108" s="102" t="n">
        <v>45751</v>
      </c>
      <c r="B108" s="98" t="inlineStr">
        <is>
          <t>Mountain View Fleet</t>
        </is>
      </c>
      <c r="C108" s="98" t="inlineStr">
        <is>
          <t>INV-1104</t>
        </is>
      </c>
      <c r="D108" s="98" t="inlineStr">
        <is>
          <t>Bulk Diesel</t>
        </is>
      </c>
      <c r="E108" s="103" t="n">
        <v>537</v>
      </c>
      <c r="F108" s="104" t="n">
        <v>3.78</v>
      </c>
      <c r="G108" s="98">
        <f>IF(OR(E108="",F108=""),"",E108*F108)</f>
        <v/>
      </c>
      <c r="H108" s="104" t="n">
        <v>58.87</v>
      </c>
      <c r="I108" s="98" t="n"/>
    </row>
    <row r="109">
      <c r="A109" s="102" t="n">
        <v>45754</v>
      </c>
      <c r="B109" s="98" t="inlineStr">
        <is>
          <t>Acme Petroleum</t>
        </is>
      </c>
      <c r="C109" s="98" t="inlineStr">
        <is>
          <t>INV-1105</t>
        </is>
      </c>
      <c r="D109" s="98" t="inlineStr">
        <is>
          <t>Diesel Delivery</t>
        </is>
      </c>
      <c r="E109" s="103" t="n">
        <v>442</v>
      </c>
      <c r="F109" s="104" t="n">
        <v>3.77</v>
      </c>
      <c r="G109" s="98">
        <f>IF(OR(E109="",F109=""),"",E109*F109)</f>
        <v/>
      </c>
      <c r="H109" s="104" t="n">
        <v>48.32</v>
      </c>
      <c r="I109" s="98" t="n"/>
    </row>
    <row r="110">
      <c r="A110" s="102" t="n">
        <v>45755</v>
      </c>
      <c r="B110" s="98" t="inlineStr">
        <is>
          <t>Summit Logistics</t>
        </is>
      </c>
      <c r="C110" s="98" t="inlineStr">
        <is>
          <t>INV-1106</t>
        </is>
      </c>
      <c r="D110" s="98" t="inlineStr">
        <is>
          <t>Fleet Fuel Drop</t>
        </is>
      </c>
      <c r="E110" s="103" t="n">
        <v>391</v>
      </c>
      <c r="F110" s="104" t="n">
        <v>3.75</v>
      </c>
      <c r="G110" s="98">
        <f>IF(OR(E110="",F110=""),"",E110*F110)</f>
        <v/>
      </c>
      <c r="H110" s="104" t="n">
        <v>0</v>
      </c>
      <c r="I110" s="98" t="n"/>
    </row>
    <row r="111">
      <c r="A111" s="102" t="n">
        <v>45756</v>
      </c>
      <c r="B111" s="98" t="inlineStr">
        <is>
          <t>Springs Delivery Co</t>
        </is>
      </c>
      <c r="C111" s="98" t="inlineStr">
        <is>
          <t>INV-1107</t>
        </is>
      </c>
      <c r="D111" s="98" t="inlineStr">
        <is>
          <t>Unleaded Delivery</t>
        </is>
      </c>
      <c r="E111" s="103" t="n">
        <v>380</v>
      </c>
      <c r="F111" s="104" t="n">
        <v>3.75</v>
      </c>
      <c r="G111" s="98">
        <f>IF(OR(E111="",F111=""),"",E111*F111)</f>
        <v/>
      </c>
      <c r="H111" s="104" t="n">
        <v>0</v>
      </c>
      <c r="I111" s="98" t="n"/>
    </row>
    <row r="112">
      <c r="A112" s="102" t="n">
        <v>45757</v>
      </c>
      <c r="B112" s="98" t="inlineStr">
        <is>
          <t>San Luis Transport</t>
        </is>
      </c>
      <c r="C112" s="98" t="inlineStr">
        <is>
          <t>INV-1108</t>
        </is>
      </c>
      <c r="D112" s="98" t="inlineStr">
        <is>
          <t>Premium Fuel Delivery</t>
        </is>
      </c>
      <c r="E112" s="103" t="n">
        <v>309</v>
      </c>
      <c r="F112" s="104" t="n">
        <v>3.77</v>
      </c>
      <c r="G112" s="98">
        <f>IF(OR(E112="",F112=""),"",E112*F112)</f>
        <v/>
      </c>
      <c r="H112" s="104" t="n">
        <v>0</v>
      </c>
      <c r="I112" s="98" t="n"/>
    </row>
    <row r="113">
      <c r="A113" s="102" t="n">
        <v>45758</v>
      </c>
      <c r="B113" s="98" t="inlineStr">
        <is>
          <t>Mountain View Fleet</t>
        </is>
      </c>
      <c r="C113" s="98" t="inlineStr">
        <is>
          <t>INV-1109</t>
        </is>
      </c>
      <c r="D113" s="98" t="inlineStr">
        <is>
          <t>Unleaded Delivery</t>
        </is>
      </c>
      <c r="E113" s="103" t="n">
        <v>421</v>
      </c>
      <c r="F113" s="104" t="n">
        <v>3.73</v>
      </c>
      <c r="G113" s="98">
        <f>IF(OR(E113="",F113=""),"",E113*F113)</f>
        <v/>
      </c>
      <c r="H113" s="104" t="n">
        <v>0</v>
      </c>
      <c r="I113" s="98" t="n"/>
    </row>
    <row r="114">
      <c r="A114" s="102" t="n">
        <v>45761</v>
      </c>
      <c r="B114" s="98" t="inlineStr">
        <is>
          <t>Mesa Verde Logistics</t>
        </is>
      </c>
      <c r="C114" s="98" t="inlineStr">
        <is>
          <t>INV-1110</t>
        </is>
      </c>
      <c r="D114" s="98" t="inlineStr">
        <is>
          <t>Bulk Diesel</t>
        </is>
      </c>
      <c r="E114" s="103" t="n">
        <v>459</v>
      </c>
      <c r="F114" s="104" t="n">
        <v>3.74</v>
      </c>
      <c r="G114" s="98">
        <f>IF(OR(E114="",F114=""),"",E114*F114)</f>
        <v/>
      </c>
      <c r="H114" s="104" t="n">
        <v>49.78</v>
      </c>
      <c r="I114" s="98" t="n"/>
    </row>
    <row r="115">
      <c r="A115" s="102" t="n">
        <v>45762</v>
      </c>
      <c r="B115" s="98" t="inlineStr">
        <is>
          <t>Pueblo Supply Chain</t>
        </is>
      </c>
      <c r="C115" s="98" t="inlineStr">
        <is>
          <t>INV-1111</t>
        </is>
      </c>
      <c r="D115" s="98" t="inlineStr">
        <is>
          <t>Premium Fuel Delivery</t>
        </is>
      </c>
      <c r="E115" s="103" t="n">
        <v>513</v>
      </c>
      <c r="F115" s="104" t="n">
        <v>3.72</v>
      </c>
      <c r="G115" s="98">
        <f>IF(OR(E115="",F115=""),"",E115*F115)</f>
        <v/>
      </c>
      <c r="H115" s="104" t="n">
        <v>55.34</v>
      </c>
      <c r="I115" s="98" t="n"/>
    </row>
    <row r="116">
      <c r="A116" s="102" t="n">
        <v>45763</v>
      </c>
      <c r="B116" s="98" t="inlineStr">
        <is>
          <t>Acme Petroleum</t>
        </is>
      </c>
      <c r="C116" s="98" t="inlineStr">
        <is>
          <t>INV-1112</t>
        </is>
      </c>
      <c r="D116" s="98" t="inlineStr">
        <is>
          <t>Fleet Fuel Drop</t>
        </is>
      </c>
      <c r="E116" s="103" t="n">
        <v>520</v>
      </c>
      <c r="F116" s="104" t="n">
        <v>3.73</v>
      </c>
      <c r="G116" s="98">
        <f>IF(OR(E116="",F116=""),"",E116*F116)</f>
        <v/>
      </c>
      <c r="H116" s="104" t="n">
        <v>56.25</v>
      </c>
      <c r="I116" s="98" t="n"/>
    </row>
    <row r="117">
      <c r="A117" s="102" t="n">
        <v>45764</v>
      </c>
      <c r="B117" s="98" t="inlineStr">
        <is>
          <t>San Luis Transport</t>
        </is>
      </c>
      <c r="C117" s="98" t="inlineStr">
        <is>
          <t>INV-1113</t>
        </is>
      </c>
      <c r="D117" s="98" t="inlineStr">
        <is>
          <t>Pump Maintenance</t>
        </is>
      </c>
      <c r="E117" s="103" t="n">
        <v>1</v>
      </c>
      <c r="F117" s="104" t="n">
        <v>935.86</v>
      </c>
      <c r="G117" s="98">
        <f>IF(OR(E117="",F117=""),"",E117*F117)</f>
        <v/>
      </c>
      <c r="H117" s="104" t="n">
        <v>27.14</v>
      </c>
      <c r="I117" s="98" t="n"/>
    </row>
    <row r="118">
      <c r="A118" s="102" t="n">
        <v>45765</v>
      </c>
      <c r="B118" s="98" t="inlineStr">
        <is>
          <t>Pikes Peak Energy</t>
        </is>
      </c>
      <c r="C118" s="98" t="inlineStr">
        <is>
          <t>INV-1114</t>
        </is>
      </c>
      <c r="D118" s="98" t="inlineStr">
        <is>
          <t>Unleaded Delivery</t>
        </is>
      </c>
      <c r="E118" s="103" t="n">
        <v>445</v>
      </c>
      <c r="F118" s="104" t="n">
        <v>3.69</v>
      </c>
      <c r="G118" s="98">
        <f>IF(OR(E118="",F118=""),"",E118*F118)</f>
        <v/>
      </c>
      <c r="H118" s="104" t="n">
        <v>0</v>
      </c>
      <c r="I118" s="98" t="n"/>
    </row>
    <row r="119">
      <c r="A119" s="102" t="n">
        <v>45768</v>
      </c>
      <c r="B119" s="98" t="inlineStr">
        <is>
          <t>Royal Gorge Freight</t>
        </is>
      </c>
      <c r="C119" s="98" t="inlineStr">
        <is>
          <t>INV-1115</t>
        </is>
      </c>
      <c r="D119" s="98" t="inlineStr">
        <is>
          <t>Diesel Delivery</t>
        </is>
      </c>
      <c r="E119" s="103" t="n">
        <v>471</v>
      </c>
      <c r="F119" s="104" t="n">
        <v>3.66</v>
      </c>
      <c r="G119" s="98">
        <f>IF(OR(E119="",F119=""),"",E119*F119)</f>
        <v/>
      </c>
      <c r="H119" s="104" t="n">
        <v>49.99</v>
      </c>
      <c r="I119" s="98" t="n"/>
    </row>
    <row r="120">
      <c r="A120" s="102" t="n">
        <v>45769</v>
      </c>
      <c r="B120" s="98" t="inlineStr">
        <is>
          <t>Pikes Peak Energy</t>
        </is>
      </c>
      <c r="C120" s="98" t="inlineStr">
        <is>
          <t>INV-1116</t>
        </is>
      </c>
      <c r="D120" s="98" t="inlineStr">
        <is>
          <t>Premium Fuel Delivery</t>
        </is>
      </c>
      <c r="E120" s="103" t="n">
        <v>501</v>
      </c>
      <c r="F120" s="104" t="n">
        <v>3.69</v>
      </c>
      <c r="G120" s="98">
        <f>IF(OR(E120="",F120=""),"",E120*F120)</f>
        <v/>
      </c>
      <c r="H120" s="104" t="n">
        <v>53.61</v>
      </c>
      <c r="I120" s="98" t="n"/>
    </row>
    <row r="121">
      <c r="A121" s="102" t="n">
        <v>45770</v>
      </c>
      <c r="B121" s="98" t="inlineStr">
        <is>
          <t>Front Range Inc</t>
        </is>
      </c>
      <c r="C121" s="98" t="inlineStr">
        <is>
          <t>INV-1117</t>
        </is>
      </c>
      <c r="D121" s="98" t="inlineStr">
        <is>
          <t>Premium Fuel Delivery</t>
        </is>
      </c>
      <c r="E121" s="103" t="n">
        <v>476</v>
      </c>
      <c r="F121" s="104" t="n">
        <v>3.64</v>
      </c>
      <c r="G121" s="98">
        <f>IF(OR(E121="",F121=""),"",E121*F121)</f>
        <v/>
      </c>
      <c r="H121" s="104" t="n">
        <v>50.25</v>
      </c>
      <c r="I121" s="98" t="n"/>
    </row>
    <row r="122">
      <c r="A122" s="102" t="n">
        <v>45771</v>
      </c>
      <c r="B122" s="98" t="inlineStr">
        <is>
          <t>Springs Delivery Co</t>
        </is>
      </c>
      <c r="C122" s="98" t="inlineStr">
        <is>
          <t>INV-1118</t>
        </is>
      </c>
      <c r="D122" s="98" t="inlineStr">
        <is>
          <t>Pump Maintenance</t>
        </is>
      </c>
      <c r="E122" s="103" t="n">
        <v>1</v>
      </c>
      <c r="F122" s="104" t="n">
        <v>1463.53</v>
      </c>
      <c r="G122" s="98">
        <f>IF(OR(E122="",F122=""),"",E122*F122)</f>
        <v/>
      </c>
      <c r="H122" s="104" t="n">
        <v>42.44</v>
      </c>
      <c r="I122" s="98" t="n"/>
    </row>
    <row r="123">
      <c r="A123" s="102" t="n">
        <v>45772</v>
      </c>
      <c r="B123" s="98" t="inlineStr">
        <is>
          <t>Summit Logistics</t>
        </is>
      </c>
      <c r="C123" s="98" t="inlineStr">
        <is>
          <t>INV-1119</t>
        </is>
      </c>
      <c r="D123" s="98" t="inlineStr">
        <is>
          <t>Diesel Delivery</t>
        </is>
      </c>
      <c r="E123" s="103" t="n">
        <v>387</v>
      </c>
      <c r="F123" s="104" t="n">
        <v>3.63</v>
      </c>
      <c r="G123" s="98">
        <f>IF(OR(E123="",F123=""),"",E123*F123)</f>
        <v/>
      </c>
      <c r="H123" s="104" t="n">
        <v>40.74</v>
      </c>
      <c r="I123" s="98" t="n"/>
    </row>
    <row r="124">
      <c r="A124" s="102" t="n">
        <v>45775</v>
      </c>
      <c r="B124" s="98" t="inlineStr">
        <is>
          <t>Acme Petroleum</t>
        </is>
      </c>
      <c r="C124" s="98" t="inlineStr">
        <is>
          <t>INV-1120</t>
        </is>
      </c>
      <c r="D124" s="98" t="inlineStr">
        <is>
          <t>Premium Fuel Delivery</t>
        </is>
      </c>
      <c r="E124" s="103" t="n">
        <v>423</v>
      </c>
      <c r="F124" s="104" t="n">
        <v>3.63</v>
      </c>
      <c r="G124" s="98">
        <f>IF(OR(E124="",F124=""),"",E124*F124)</f>
        <v/>
      </c>
      <c r="H124" s="104" t="n">
        <v>0</v>
      </c>
      <c r="I124" s="98" t="n"/>
    </row>
    <row r="125">
      <c r="A125" s="102" t="n">
        <v>45776</v>
      </c>
      <c r="B125" s="98" t="inlineStr">
        <is>
          <t>Arkansas Valley Oil</t>
        </is>
      </c>
      <c r="C125" s="98" t="inlineStr">
        <is>
          <t>INV-1121</t>
        </is>
      </c>
      <c r="D125" s="98" t="inlineStr">
        <is>
          <t>Filter Service</t>
        </is>
      </c>
      <c r="E125" s="103" t="n">
        <v>1</v>
      </c>
      <c r="F125" s="104" t="n">
        <v>977.39</v>
      </c>
      <c r="G125" s="98">
        <f>IF(OR(E125="",F125=""),"",E125*F125)</f>
        <v/>
      </c>
      <c r="H125" s="104" t="n">
        <v>28.34</v>
      </c>
      <c r="I125" s="98" t="n"/>
    </row>
    <row r="126">
      <c r="A126" s="102" t="n">
        <v>45777</v>
      </c>
      <c r="B126" s="98" t="inlineStr">
        <is>
          <t>Royal Gorge Freight</t>
        </is>
      </c>
      <c r="C126" s="98" t="inlineStr">
        <is>
          <t>INV-1122</t>
        </is>
      </c>
      <c r="D126" s="98" t="inlineStr">
        <is>
          <t>Unleaded Delivery</t>
        </is>
      </c>
      <c r="E126" s="103" t="n">
        <v>429</v>
      </c>
      <c r="F126" s="104" t="n">
        <v>3.64</v>
      </c>
      <c r="G126" s="98">
        <f>IF(OR(E126="",F126=""),"",E126*F126)</f>
        <v/>
      </c>
      <c r="H126" s="104" t="n">
        <v>45.29</v>
      </c>
      <c r="I126" s="98" t="n"/>
    </row>
    <row r="127">
      <c r="A127" s="102" t="n">
        <v>45778</v>
      </c>
      <c r="B127" s="98" t="inlineStr">
        <is>
          <t>Springs Delivery Co</t>
        </is>
      </c>
      <c r="C127" s="98" t="inlineStr">
        <is>
          <t>INV-1123</t>
        </is>
      </c>
      <c r="D127" s="98" t="inlineStr">
        <is>
          <t>Bulk Diesel</t>
        </is>
      </c>
      <c r="E127" s="103" t="n">
        <v>401</v>
      </c>
      <c r="F127" s="104" t="n">
        <v>3.61</v>
      </c>
      <c r="G127" s="98">
        <f>IF(OR(E127="",F127=""),"",E127*F127)</f>
        <v/>
      </c>
      <c r="H127" s="104" t="n">
        <v>0</v>
      </c>
      <c r="I127" s="98" t="n"/>
    </row>
    <row r="128">
      <c r="A128" s="102" t="n">
        <v>45779</v>
      </c>
      <c r="B128" s="98" t="inlineStr">
        <is>
          <t>San Luis Transport</t>
        </is>
      </c>
      <c r="C128" s="98" t="inlineStr">
        <is>
          <t>INV-1124</t>
        </is>
      </c>
      <c r="D128" s="98" t="inlineStr">
        <is>
          <t>Diesel Delivery</t>
        </is>
      </c>
      <c r="E128" s="103" t="n">
        <v>298</v>
      </c>
      <c r="F128" s="104" t="n">
        <v>3.6</v>
      </c>
      <c r="G128" s="98">
        <f>IF(OR(E128="",F128=""),"",E128*F128)</f>
        <v/>
      </c>
      <c r="H128" s="104" t="n">
        <v>31.11</v>
      </c>
      <c r="I128" s="98" t="n"/>
    </row>
    <row r="129">
      <c r="A129" s="102" t="n">
        <v>45782</v>
      </c>
      <c r="B129" s="98" t="inlineStr">
        <is>
          <t>Springs Delivery Co</t>
        </is>
      </c>
      <c r="C129" s="98" t="inlineStr">
        <is>
          <t>INV-1125</t>
        </is>
      </c>
      <c r="D129" s="98" t="inlineStr">
        <is>
          <t>Unleaded Delivery</t>
        </is>
      </c>
      <c r="E129" s="103" t="n">
        <v>210</v>
      </c>
      <c r="F129" s="104" t="n">
        <v>3.58</v>
      </c>
      <c r="G129" s="98">
        <f>IF(OR(E129="",F129=""),"",E129*F129)</f>
        <v/>
      </c>
      <c r="H129" s="104" t="n">
        <v>0</v>
      </c>
      <c r="I129" s="98" t="n"/>
    </row>
    <row r="130">
      <c r="A130" s="102" t="n">
        <v>45783</v>
      </c>
      <c r="B130" s="98" t="inlineStr">
        <is>
          <t>Pueblo Supply Chain</t>
        </is>
      </c>
      <c r="C130" s="98" t="inlineStr">
        <is>
          <t>INV-1126</t>
        </is>
      </c>
      <c r="D130" s="98" t="inlineStr">
        <is>
          <t>Premium Fuel Delivery</t>
        </is>
      </c>
      <c r="E130" s="103" t="n">
        <v>251</v>
      </c>
      <c r="F130" s="104" t="n">
        <v>3.59</v>
      </c>
      <c r="G130" s="98">
        <f>IF(OR(E130="",F130=""),"",E130*F130)</f>
        <v/>
      </c>
      <c r="H130" s="104" t="n">
        <v>26.13</v>
      </c>
      <c r="I130" s="98" t="n"/>
    </row>
    <row r="131">
      <c r="A131" s="102" t="n">
        <v>45784</v>
      </c>
      <c r="B131" s="98" t="inlineStr">
        <is>
          <t>High Plains Co</t>
        </is>
      </c>
      <c r="C131" s="98" t="inlineStr">
        <is>
          <t>INV-1127</t>
        </is>
      </c>
      <c r="D131" s="98" t="inlineStr">
        <is>
          <t>Bulk Diesel</t>
        </is>
      </c>
      <c r="E131" s="103" t="n">
        <v>270</v>
      </c>
      <c r="F131" s="104" t="n">
        <v>3.54</v>
      </c>
      <c r="G131" s="98">
        <f>IF(OR(E131="",F131=""),"",E131*F131)</f>
        <v/>
      </c>
      <c r="H131" s="104" t="n">
        <v>0</v>
      </c>
      <c r="I131" s="98" t="n"/>
    </row>
    <row r="132">
      <c r="A132" s="102" t="n">
        <v>45785</v>
      </c>
      <c r="B132" s="98" t="inlineStr">
        <is>
          <t>San Luis Transport</t>
        </is>
      </c>
      <c r="C132" s="98" t="inlineStr">
        <is>
          <t>INV-1128</t>
        </is>
      </c>
      <c r="D132" s="98" t="inlineStr">
        <is>
          <t>Premium Fuel Delivery</t>
        </is>
      </c>
      <c r="E132" s="103" t="n">
        <v>295</v>
      </c>
      <c r="F132" s="104" t="n">
        <v>3.53</v>
      </c>
      <c r="G132" s="98">
        <f>IF(OR(E132="",F132=""),"",E132*F132)</f>
        <v/>
      </c>
      <c r="H132" s="104" t="n">
        <v>30.2</v>
      </c>
      <c r="I132" s="98" t="n"/>
    </row>
    <row r="133">
      <c r="A133" s="102" t="n">
        <v>45786</v>
      </c>
      <c r="B133" s="98" t="inlineStr">
        <is>
          <t>San Luis Transport</t>
        </is>
      </c>
      <c r="C133" s="98" t="inlineStr">
        <is>
          <t>INV-1129</t>
        </is>
      </c>
      <c r="D133" s="98" t="inlineStr">
        <is>
          <t>Diesel Delivery</t>
        </is>
      </c>
      <c r="E133" s="103" t="n">
        <v>316</v>
      </c>
      <c r="F133" s="104" t="n">
        <v>3.56</v>
      </c>
      <c r="G133" s="98">
        <f>IF(OR(E133="",F133=""),"",E133*F133)</f>
        <v/>
      </c>
      <c r="H133" s="104" t="n">
        <v>32.62</v>
      </c>
      <c r="I133" s="98" t="n"/>
    </row>
    <row r="134">
      <c r="A134" s="102" t="n">
        <v>45789</v>
      </c>
      <c r="B134" s="98" t="inlineStr">
        <is>
          <t>Arkansas Valley Oil</t>
        </is>
      </c>
      <c r="C134" s="98" t="inlineStr">
        <is>
          <t>INV-1130</t>
        </is>
      </c>
      <c r="D134" s="98" t="inlineStr">
        <is>
          <t>Unleaded Delivery</t>
        </is>
      </c>
      <c r="E134" s="103" t="n">
        <v>386</v>
      </c>
      <c r="F134" s="104" t="n">
        <v>3.53</v>
      </c>
      <c r="G134" s="98">
        <f>IF(OR(E134="",F134=""),"",E134*F134)</f>
        <v/>
      </c>
      <c r="H134" s="104" t="n">
        <v>0</v>
      </c>
      <c r="I134" s="98" t="n"/>
    </row>
    <row r="135">
      <c r="A135" s="102" t="n">
        <v>45790</v>
      </c>
      <c r="B135" s="98" t="inlineStr">
        <is>
          <t>San Luis Transport</t>
        </is>
      </c>
      <c r="C135" s="98" t="inlineStr">
        <is>
          <t>INV-1131</t>
        </is>
      </c>
      <c r="D135" s="98" t="inlineStr">
        <is>
          <t>Fleet Fuel Drop</t>
        </is>
      </c>
      <c r="E135" s="103" t="n">
        <v>444</v>
      </c>
      <c r="F135" s="104" t="n">
        <v>3.51</v>
      </c>
      <c r="G135" s="98">
        <f>IF(OR(E135="",F135=""),"",E135*F135)</f>
        <v/>
      </c>
      <c r="H135" s="104" t="n">
        <v>45.19</v>
      </c>
      <c r="I135" s="98" t="n"/>
    </row>
    <row r="136">
      <c r="A136" s="102" t="n">
        <v>45791</v>
      </c>
      <c r="B136" s="98" t="inlineStr">
        <is>
          <t>Royal Gorge Freight</t>
        </is>
      </c>
      <c r="C136" s="98" t="inlineStr">
        <is>
          <t>INV-1132</t>
        </is>
      </c>
      <c r="D136" s="98" t="inlineStr">
        <is>
          <t>Fleet Fuel Drop</t>
        </is>
      </c>
      <c r="E136" s="103" t="n">
        <v>510</v>
      </c>
      <c r="F136" s="104" t="n">
        <v>3.5</v>
      </c>
      <c r="G136" s="98">
        <f>IF(OR(E136="",F136=""),"",E136*F136)</f>
        <v/>
      </c>
      <c r="H136" s="104" t="n">
        <v>0</v>
      </c>
      <c r="I136" s="98" t="n"/>
    </row>
    <row r="137">
      <c r="A137" s="102" t="n">
        <v>45792</v>
      </c>
      <c r="B137" s="98" t="inlineStr">
        <is>
          <t>Mesa Verde Logistics</t>
        </is>
      </c>
      <c r="C137" s="98" t="inlineStr">
        <is>
          <t>INV-1133</t>
        </is>
      </c>
      <c r="D137" s="98" t="inlineStr">
        <is>
          <t>Filter Service</t>
        </is>
      </c>
      <c r="E137" s="103" t="n">
        <v>1</v>
      </c>
      <c r="F137" s="104" t="n">
        <v>1020.45</v>
      </c>
      <c r="G137" s="98">
        <f>IF(OR(E137="",F137=""),"",E137*F137)</f>
        <v/>
      </c>
      <c r="H137" s="104" t="n">
        <v>0</v>
      </c>
      <c r="I137" s="98" t="n"/>
    </row>
    <row r="138">
      <c r="A138" s="102" t="n">
        <v>45793</v>
      </c>
      <c r="B138" s="98" t="inlineStr">
        <is>
          <t>San Luis Transport</t>
        </is>
      </c>
      <c r="C138" s="98" t="inlineStr">
        <is>
          <t>INV-1134</t>
        </is>
      </c>
      <c r="D138" s="98" t="inlineStr">
        <is>
          <t>Unleaded Delivery</t>
        </is>
      </c>
      <c r="E138" s="103" t="n">
        <v>511</v>
      </c>
      <c r="F138" s="104" t="n">
        <v>3.47</v>
      </c>
      <c r="G138" s="98">
        <f>IF(OR(E138="",F138=""),"",E138*F138)</f>
        <v/>
      </c>
      <c r="H138" s="104" t="n">
        <v>51.42</v>
      </c>
      <c r="I138" s="98" t="n"/>
    </row>
    <row r="139">
      <c r="A139" s="102" t="n">
        <v>45796</v>
      </c>
      <c r="B139" s="98" t="inlineStr">
        <is>
          <t>Royal Gorge Freight</t>
        </is>
      </c>
      <c r="C139" s="98" t="inlineStr">
        <is>
          <t>INV-1135</t>
        </is>
      </c>
      <c r="D139" s="98" t="inlineStr">
        <is>
          <t>Unleaded Delivery</t>
        </is>
      </c>
      <c r="E139" s="103" t="n">
        <v>533</v>
      </c>
      <c r="F139" s="104" t="n">
        <v>3.49</v>
      </c>
      <c r="G139" s="98">
        <f>IF(OR(E139="",F139=""),"",E139*F139)</f>
        <v/>
      </c>
      <c r="H139" s="104" t="n">
        <v>53.94</v>
      </c>
      <c r="I139" s="98" t="n"/>
    </row>
    <row r="140">
      <c r="A140" s="102" t="n">
        <v>45797</v>
      </c>
      <c r="B140" s="98" t="inlineStr">
        <is>
          <t>Centennial Hauling</t>
        </is>
      </c>
      <c r="C140" s="98" t="inlineStr">
        <is>
          <t>INV-1136</t>
        </is>
      </c>
      <c r="D140" s="98" t="inlineStr">
        <is>
          <t>Bulk Diesel</t>
        </is>
      </c>
      <c r="E140" s="103" t="n">
        <v>493</v>
      </c>
      <c r="F140" s="104" t="n">
        <v>3.45</v>
      </c>
      <c r="G140" s="98">
        <f>IF(OR(E140="",F140=""),"",E140*F140)</f>
        <v/>
      </c>
      <c r="H140" s="104" t="n">
        <v>49.32</v>
      </c>
      <c r="I140" s="98" t="n"/>
    </row>
    <row r="141">
      <c r="A141" s="102" t="n">
        <v>45798</v>
      </c>
      <c r="B141" s="98" t="inlineStr">
        <is>
          <t>Pikes Peak Energy</t>
        </is>
      </c>
      <c r="C141" s="98" t="inlineStr">
        <is>
          <t>INV-1137</t>
        </is>
      </c>
      <c r="D141" s="98" t="inlineStr">
        <is>
          <t>Unleaded Delivery</t>
        </is>
      </c>
      <c r="E141" s="103" t="n">
        <v>489</v>
      </c>
      <c r="F141" s="104" t="n">
        <v>3.47</v>
      </c>
      <c r="G141" s="98">
        <f>IF(OR(E141="",F141=""),"",E141*F141)</f>
        <v/>
      </c>
      <c r="H141" s="104" t="n">
        <v>0</v>
      </c>
      <c r="I141" s="98" t="n"/>
    </row>
    <row r="142">
      <c r="A142" s="102" t="n">
        <v>45799</v>
      </c>
      <c r="B142" s="98" t="inlineStr">
        <is>
          <t>Western Slope Transport</t>
        </is>
      </c>
      <c r="C142" s="98" t="inlineStr">
        <is>
          <t>INV-1138</t>
        </is>
      </c>
      <c r="D142" s="98" t="inlineStr">
        <is>
          <t>Tank Inspection</t>
        </is>
      </c>
      <c r="E142" s="103" t="n">
        <v>1</v>
      </c>
      <c r="F142" s="104" t="n">
        <v>1478.58</v>
      </c>
      <c r="G142" s="98">
        <f>IF(OR(E142="",F142=""),"",E142*F142)</f>
        <v/>
      </c>
      <c r="H142" s="104" t="n">
        <v>42.88</v>
      </c>
      <c r="I142" s="98" t="n"/>
    </row>
    <row r="143">
      <c r="A143" s="102" t="n">
        <v>45800</v>
      </c>
      <c r="B143" s="98" t="inlineStr">
        <is>
          <t>Front Range Inc</t>
        </is>
      </c>
      <c r="C143" s="98" t="inlineStr">
        <is>
          <t>INV-1139</t>
        </is>
      </c>
      <c r="D143" s="98" t="inlineStr">
        <is>
          <t>Bulk Diesel</t>
        </is>
      </c>
      <c r="E143" s="103" t="n">
        <v>516</v>
      </c>
      <c r="F143" s="104" t="n">
        <v>3.46</v>
      </c>
      <c r="G143" s="98">
        <f>IF(OR(E143="",F143=""),"",E143*F143)</f>
        <v/>
      </c>
      <c r="H143" s="104" t="n">
        <v>0</v>
      </c>
      <c r="I143" s="98" t="n"/>
    </row>
    <row r="144">
      <c r="A144" s="102" t="n">
        <v>45803</v>
      </c>
      <c r="B144" s="98" t="inlineStr">
        <is>
          <t>Mountain View Fleet</t>
        </is>
      </c>
      <c r="C144" s="98" t="inlineStr">
        <is>
          <t>INV-1140</t>
        </is>
      </c>
      <c r="D144" s="98" t="inlineStr">
        <is>
          <t>Bulk Diesel</t>
        </is>
      </c>
      <c r="E144" s="103" t="n">
        <v>495</v>
      </c>
      <c r="F144" s="104" t="n">
        <v>3.44</v>
      </c>
      <c r="G144" s="98">
        <f>IF(OR(E144="",F144=""),"",E144*F144)</f>
        <v/>
      </c>
      <c r="H144" s="104" t="n">
        <v>49.38</v>
      </c>
      <c r="I144" s="98" t="n"/>
    </row>
    <row r="145">
      <c r="A145" s="102" t="n">
        <v>45804</v>
      </c>
      <c r="B145" s="98" t="inlineStr">
        <is>
          <t>Front Range Inc</t>
        </is>
      </c>
      <c r="C145" s="98" t="inlineStr">
        <is>
          <t>INV-1141</t>
        </is>
      </c>
      <c r="D145" s="98" t="inlineStr">
        <is>
          <t>Unleaded Delivery</t>
        </is>
      </c>
      <c r="E145" s="103" t="n">
        <v>556</v>
      </c>
      <c r="F145" s="104" t="n">
        <v>3.43</v>
      </c>
      <c r="G145" s="98">
        <f>IF(OR(E145="",F145=""),"",E145*F145)</f>
        <v/>
      </c>
      <c r="H145" s="104" t="n">
        <v>0</v>
      </c>
      <c r="I145" s="98" t="n"/>
    </row>
    <row r="146">
      <c r="A146" s="102" t="n">
        <v>45805</v>
      </c>
      <c r="B146" s="98" t="inlineStr">
        <is>
          <t>Western Slope Transport</t>
        </is>
      </c>
      <c r="C146" s="98" t="inlineStr">
        <is>
          <t>INV-1142</t>
        </is>
      </c>
      <c r="D146" s="98" t="inlineStr">
        <is>
          <t>Unleaded Delivery</t>
        </is>
      </c>
      <c r="E146" s="103" t="n">
        <v>498</v>
      </c>
      <c r="F146" s="104" t="n">
        <v>3.43</v>
      </c>
      <c r="G146" s="98">
        <f>IF(OR(E146="",F146=""),"",E146*F146)</f>
        <v/>
      </c>
      <c r="H146" s="104" t="n">
        <v>49.54</v>
      </c>
      <c r="I146" s="98" t="n"/>
    </row>
    <row r="147">
      <c r="A147" s="102" t="n">
        <v>45806</v>
      </c>
      <c r="B147" s="98" t="inlineStr">
        <is>
          <t>Centennial Hauling</t>
        </is>
      </c>
      <c r="C147" s="98" t="inlineStr">
        <is>
          <t>INV-1143</t>
        </is>
      </c>
      <c r="D147" s="98" t="inlineStr">
        <is>
          <t>Tank Inspection</t>
        </is>
      </c>
      <c r="E147" s="103" t="n">
        <v>1</v>
      </c>
      <c r="F147" s="104" t="n">
        <v>1028.7</v>
      </c>
      <c r="G147" s="98">
        <f>IF(OR(E147="",F147=""),"",E147*F147)</f>
        <v/>
      </c>
      <c r="H147" s="104" t="n">
        <v>0</v>
      </c>
      <c r="I147" s="98" t="n"/>
    </row>
    <row r="148">
      <c r="A148" s="102" t="n">
        <v>45807</v>
      </c>
      <c r="B148" s="98" t="inlineStr">
        <is>
          <t>Western Slope Transport</t>
        </is>
      </c>
      <c r="C148" s="98" t="inlineStr">
        <is>
          <t>INV-1144</t>
        </is>
      </c>
      <c r="D148" s="98" t="inlineStr">
        <is>
          <t>Fleet Fuel Drop</t>
        </is>
      </c>
      <c r="E148" s="103" t="n">
        <v>535</v>
      </c>
      <c r="F148" s="104" t="n">
        <v>3.42</v>
      </c>
      <c r="G148" s="98">
        <f>IF(OR(E148="",F148=""),"",E148*F148)</f>
        <v/>
      </c>
      <c r="H148" s="104" t="n">
        <v>53.06</v>
      </c>
      <c r="I148" s="98" t="n"/>
    </row>
    <row r="149">
      <c r="A149" s="102" t="n">
        <v>45810</v>
      </c>
      <c r="B149" s="98" t="inlineStr">
        <is>
          <t>Mountain View Fleet</t>
        </is>
      </c>
      <c r="C149" s="98" t="inlineStr">
        <is>
          <t>INV-1145</t>
        </is>
      </c>
      <c r="D149" s="98" t="inlineStr">
        <is>
          <t>Fleet Fuel Drop</t>
        </is>
      </c>
      <c r="E149" s="103" t="n">
        <v>560</v>
      </c>
      <c r="F149" s="104" t="n">
        <v>3.43</v>
      </c>
      <c r="G149" s="98">
        <f>IF(OR(E149="",F149=""),"",E149*F149)</f>
        <v/>
      </c>
      <c r="H149" s="104" t="n">
        <v>55.7</v>
      </c>
      <c r="I149" s="98" t="n"/>
    </row>
    <row r="150">
      <c r="A150" s="102" t="n">
        <v>45811</v>
      </c>
      <c r="B150" s="98" t="inlineStr">
        <is>
          <t>San Luis Transport</t>
        </is>
      </c>
      <c r="C150" s="98" t="inlineStr">
        <is>
          <t>INV-1146</t>
        </is>
      </c>
      <c r="D150" s="98" t="inlineStr">
        <is>
          <t>Diesel Delivery</t>
        </is>
      </c>
      <c r="E150" s="103" t="n">
        <v>494</v>
      </c>
      <c r="F150" s="104" t="n">
        <v>3.39</v>
      </c>
      <c r="G150" s="98">
        <f>IF(OR(E150="",F150=""),"",E150*F150)</f>
        <v/>
      </c>
      <c r="H150" s="104" t="n">
        <v>48.57</v>
      </c>
      <c r="I150" s="98" t="n"/>
    </row>
    <row r="151">
      <c r="A151" s="102" t="n">
        <v>45812</v>
      </c>
      <c r="B151" s="98" t="inlineStr">
        <is>
          <t>Pueblo Supply Chain</t>
        </is>
      </c>
      <c r="C151" s="98" t="inlineStr">
        <is>
          <t>INV-1147</t>
        </is>
      </c>
      <c r="D151" s="98" t="inlineStr">
        <is>
          <t>Unleaded Delivery</t>
        </is>
      </c>
      <c r="E151" s="103" t="n">
        <v>503</v>
      </c>
      <c r="F151" s="104" t="n">
        <v>3.38</v>
      </c>
      <c r="G151" s="98">
        <f>IF(OR(E151="",F151=""),"",E151*F151)</f>
        <v/>
      </c>
      <c r="H151" s="104" t="n">
        <v>49.3</v>
      </c>
      <c r="I151" s="98" t="n"/>
    </row>
    <row r="152">
      <c r="A152" s="102" t="n">
        <v>45813</v>
      </c>
      <c r="B152" s="98" t="inlineStr">
        <is>
          <t>Acme Petroleum</t>
        </is>
      </c>
      <c r="C152" s="98" t="inlineStr">
        <is>
          <t>INV-1148</t>
        </is>
      </c>
      <c r="D152" s="98" t="inlineStr">
        <is>
          <t>Pump Maintenance</t>
        </is>
      </c>
      <c r="E152" s="103" t="n">
        <v>1</v>
      </c>
      <c r="F152" s="104" t="n">
        <v>1725.8</v>
      </c>
      <c r="G152" s="98">
        <f>IF(OR(E152="",F152=""),"",E152*F152)</f>
        <v/>
      </c>
      <c r="H152" s="104" t="n">
        <v>0</v>
      </c>
      <c r="I152" s="98" t="n"/>
    </row>
    <row r="153">
      <c r="A153" s="102" t="n">
        <v>45814</v>
      </c>
      <c r="B153" s="98" t="inlineStr">
        <is>
          <t>Mountain View Fleet</t>
        </is>
      </c>
      <c r="C153" s="98" t="inlineStr">
        <is>
          <t>INV-1149</t>
        </is>
      </c>
      <c r="D153" s="98" t="inlineStr">
        <is>
          <t>Bulk Diesel</t>
        </is>
      </c>
      <c r="E153" s="103" t="n">
        <v>545</v>
      </c>
      <c r="F153" s="104" t="n">
        <v>3.4</v>
      </c>
      <c r="G153" s="98">
        <f>IF(OR(E153="",F153=""),"",E153*F153)</f>
        <v/>
      </c>
      <c r="H153" s="104" t="n">
        <v>53.74</v>
      </c>
      <c r="I153" s="98" t="n"/>
    </row>
    <row r="154">
      <c r="A154" s="102" t="n">
        <v>45817</v>
      </c>
      <c r="B154" s="98" t="inlineStr">
        <is>
          <t>Western Slope Transport</t>
        </is>
      </c>
      <c r="C154" s="98" t="inlineStr">
        <is>
          <t>INV-1150</t>
        </is>
      </c>
      <c r="D154" s="98" t="inlineStr">
        <is>
          <t>Premium Fuel Delivery</t>
        </is>
      </c>
      <c r="E154" s="103" t="n">
        <v>525</v>
      </c>
      <c r="F154" s="104" t="n">
        <v>3.36</v>
      </c>
      <c r="G154" s="98">
        <f>IF(OR(E154="",F154=""),"",E154*F154)</f>
        <v/>
      </c>
      <c r="H154" s="104" t="n">
        <v>51.16</v>
      </c>
      <c r="I154" s="98" t="n"/>
    </row>
    <row r="155">
      <c r="A155" s="102" t="n">
        <v>45818</v>
      </c>
      <c r="B155" s="98" t="inlineStr">
        <is>
          <t>Summit Logistics</t>
        </is>
      </c>
      <c r="C155" s="98" t="inlineStr">
        <is>
          <t>INV-1151</t>
        </is>
      </c>
      <c r="D155" s="98" t="inlineStr">
        <is>
          <t>Fleet Fuel Drop</t>
        </is>
      </c>
      <c r="E155" s="103" t="n">
        <v>560</v>
      </c>
      <c r="F155" s="104" t="n">
        <v>3.86</v>
      </c>
      <c r="G155" s="98">
        <f>IF(OR(E155="",F155=""),"",E155*F155)</f>
        <v/>
      </c>
      <c r="H155" s="104" t="n">
        <v>62.69</v>
      </c>
      <c r="I155" s="98" t="n"/>
    </row>
    <row r="156">
      <c r="A156" s="102" t="n">
        <v>45819</v>
      </c>
      <c r="B156" s="98" t="inlineStr">
        <is>
          <t>Pikes Peak Energy</t>
        </is>
      </c>
      <c r="C156" s="98" t="inlineStr">
        <is>
          <t>INV-1152</t>
        </is>
      </c>
      <c r="D156" s="98" t="inlineStr">
        <is>
          <t>Filter Service</t>
        </is>
      </c>
      <c r="E156" s="103" t="n">
        <v>1</v>
      </c>
      <c r="F156" s="104" t="n">
        <v>1158.66</v>
      </c>
      <c r="G156" s="98">
        <f>IF(OR(E156="",F156=""),"",E156*F156)</f>
        <v/>
      </c>
      <c r="H156" s="104" t="n">
        <v>0</v>
      </c>
      <c r="I156" s="98" t="n"/>
    </row>
    <row r="157">
      <c r="A157" s="102" t="n">
        <v>45820</v>
      </c>
      <c r="B157" s="98" t="inlineStr">
        <is>
          <t>Acme Petroleum</t>
        </is>
      </c>
      <c r="C157" s="98" t="inlineStr">
        <is>
          <t>INV-1153</t>
        </is>
      </c>
      <c r="D157" s="98" t="inlineStr">
        <is>
          <t>Bulk Diesel</t>
        </is>
      </c>
      <c r="E157" s="103" t="n">
        <v>623</v>
      </c>
      <c r="F157" s="104" t="n">
        <v>3.9</v>
      </c>
      <c r="G157" s="98">
        <f>IF(OR(E157="",F157=""),"",E157*F157)</f>
        <v/>
      </c>
      <c r="H157" s="104" t="n">
        <v>70.45999999999999</v>
      </c>
      <c r="I157" s="98" t="n"/>
    </row>
    <row r="158">
      <c r="A158" s="102" t="n">
        <v>45821</v>
      </c>
      <c r="B158" s="98" t="inlineStr">
        <is>
          <t>Arkansas Valley Oil</t>
        </is>
      </c>
      <c r="C158" s="98" t="inlineStr">
        <is>
          <t>INV-1154</t>
        </is>
      </c>
      <c r="D158" s="98" t="inlineStr">
        <is>
          <t>Fleet Fuel Drop</t>
        </is>
      </c>
      <c r="E158" s="103" t="n">
        <v>545</v>
      </c>
      <c r="F158" s="104" t="n">
        <v>3.85</v>
      </c>
      <c r="G158" s="98">
        <f>IF(OR(E158="",F158=""),"",E158*F158)</f>
        <v/>
      </c>
      <c r="H158" s="104" t="n">
        <v>60.85</v>
      </c>
      <c r="I158" s="98" t="n"/>
    </row>
    <row r="159">
      <c r="A159" s="102" t="n">
        <v>45824</v>
      </c>
      <c r="B159" s="98" t="inlineStr">
        <is>
          <t>Mountain View Fleet</t>
        </is>
      </c>
      <c r="C159" s="98" t="inlineStr">
        <is>
          <t>INV-1155</t>
        </is>
      </c>
      <c r="D159" s="98" t="inlineStr">
        <is>
          <t>Unleaded Delivery</t>
        </is>
      </c>
      <c r="E159" s="103" t="n">
        <v>565</v>
      </c>
      <c r="F159" s="104" t="n">
        <v>3.85</v>
      </c>
      <c r="G159" s="98">
        <f>IF(OR(E159="",F159=""),"",E159*F159)</f>
        <v/>
      </c>
      <c r="H159" s="104" t="n">
        <v>63.08</v>
      </c>
      <c r="I159" s="98" t="n"/>
    </row>
    <row r="160">
      <c r="A160" s="102" t="n">
        <v>45825</v>
      </c>
      <c r="B160" s="98" t="inlineStr">
        <is>
          <t>Pueblo Supply Chain</t>
        </is>
      </c>
      <c r="C160" s="98" t="inlineStr">
        <is>
          <t>INV-1156</t>
        </is>
      </c>
      <c r="D160" s="98" t="inlineStr">
        <is>
          <t>Pump Maintenance</t>
        </is>
      </c>
      <c r="E160" s="103" t="n">
        <v>1</v>
      </c>
      <c r="F160" s="104" t="n">
        <v>1440.35</v>
      </c>
      <c r="G160" s="98">
        <f>IF(OR(E160="",F160=""),"",E160*F160)</f>
        <v/>
      </c>
      <c r="H160" s="104" t="n">
        <v>41.77</v>
      </c>
      <c r="I160" s="98" t="n"/>
    </row>
    <row r="161">
      <c r="A161" s="102" t="n">
        <v>45826</v>
      </c>
      <c r="B161" s="98" t="inlineStr">
        <is>
          <t>Royal Gorge Freight</t>
        </is>
      </c>
      <c r="C161" s="98" t="inlineStr">
        <is>
          <t>INV-1157</t>
        </is>
      </c>
      <c r="D161" s="98" t="inlineStr">
        <is>
          <t>Diesel Delivery</t>
        </is>
      </c>
      <c r="E161" s="103" t="n">
        <v>531</v>
      </c>
      <c r="F161" s="104" t="n">
        <v>3.81</v>
      </c>
      <c r="G161" s="98">
        <f>IF(OR(E161="",F161=""),"",E161*F161)</f>
        <v/>
      </c>
      <c r="H161" s="104" t="n">
        <v>58.67</v>
      </c>
      <c r="I161" s="98" t="n"/>
    </row>
    <row r="162">
      <c r="A162" s="102" t="n">
        <v>45827</v>
      </c>
      <c r="B162" s="98" t="inlineStr">
        <is>
          <t>Pikes Peak Energy</t>
        </is>
      </c>
      <c r="C162" s="98" t="inlineStr">
        <is>
          <t>INV-1158</t>
        </is>
      </c>
      <c r="D162" s="98" t="inlineStr">
        <is>
          <t>Fleet Fuel Drop</t>
        </is>
      </c>
      <c r="E162" s="103" t="n">
        <v>592</v>
      </c>
      <c r="F162" s="104" t="n">
        <v>3.83</v>
      </c>
      <c r="G162" s="98">
        <f>IF(OR(E162="",F162=""),"",E162*F162)</f>
        <v/>
      </c>
      <c r="H162" s="104" t="n">
        <v>65.75</v>
      </c>
      <c r="I162" s="98" t="n"/>
    </row>
    <row r="163">
      <c r="A163" s="102" t="n">
        <v>45828</v>
      </c>
      <c r="B163" s="98" t="inlineStr">
        <is>
          <t>Western Slope Transport</t>
        </is>
      </c>
      <c r="C163" s="98" t="inlineStr">
        <is>
          <t>INV-1159</t>
        </is>
      </c>
      <c r="D163" s="98" t="inlineStr">
        <is>
          <t>Premium Fuel Delivery</t>
        </is>
      </c>
      <c r="E163" s="103" t="n">
        <v>569</v>
      </c>
      <c r="F163" s="104" t="n">
        <v>3.82</v>
      </c>
      <c r="G163" s="98">
        <f>IF(OR(E163="",F163=""),"",E163*F163)</f>
        <v/>
      </c>
      <c r="H163" s="104" t="n">
        <v>63.03</v>
      </c>
      <c r="I163" s="98" t="n"/>
    </row>
    <row r="164">
      <c r="A164" s="102" t="n">
        <v>45831</v>
      </c>
      <c r="B164" s="98" t="inlineStr">
        <is>
          <t>High Plains Co</t>
        </is>
      </c>
      <c r="C164" s="98" t="inlineStr">
        <is>
          <t>INV-1160</t>
        </is>
      </c>
      <c r="D164" s="98" t="inlineStr">
        <is>
          <t>Fleet Fuel Drop</t>
        </is>
      </c>
      <c r="E164" s="103" t="n">
        <v>554</v>
      </c>
      <c r="F164" s="104" t="n">
        <v>3.83</v>
      </c>
      <c r="G164" s="98">
        <f>IF(OR(E164="",F164=""),"",E164*F164)</f>
        <v/>
      </c>
      <c r="H164" s="104" t="n">
        <v>0</v>
      </c>
      <c r="I164" s="98" t="n"/>
    </row>
    <row r="165">
      <c r="A165" s="102" t="n">
        <v>45832</v>
      </c>
      <c r="B165" s="98" t="inlineStr">
        <is>
          <t>Arkansas Valley Oil</t>
        </is>
      </c>
      <c r="C165" s="98" t="inlineStr">
        <is>
          <t>INV-1161</t>
        </is>
      </c>
      <c r="D165" s="98" t="inlineStr">
        <is>
          <t>Bulk Diesel</t>
        </is>
      </c>
      <c r="E165" s="103" t="n">
        <v>586</v>
      </c>
      <c r="F165" s="104" t="n">
        <v>3.83</v>
      </c>
      <c r="G165" s="98">
        <f>IF(OR(E165="",F165=""),"",E165*F165)</f>
        <v/>
      </c>
      <c r="H165" s="104" t="n">
        <v>65.09</v>
      </c>
      <c r="I165" s="98" t="n"/>
    </row>
    <row r="166">
      <c r="A166" s="102" t="n">
        <v>45833</v>
      </c>
      <c r="B166" s="98" t="inlineStr">
        <is>
          <t>Pueblo Supply Chain</t>
        </is>
      </c>
      <c r="C166" s="98" t="inlineStr">
        <is>
          <t>INV-1162</t>
        </is>
      </c>
      <c r="D166" s="98" t="inlineStr">
        <is>
          <t>Filter Service</t>
        </is>
      </c>
      <c r="E166" s="103" t="n">
        <v>1</v>
      </c>
      <c r="F166" s="104" t="n">
        <v>900.42</v>
      </c>
      <c r="G166" s="98">
        <f>IF(OR(E166="",F166=""),"",E166*F166)</f>
        <v/>
      </c>
      <c r="H166" s="104" t="n">
        <v>26.11</v>
      </c>
      <c r="I166" s="98" t="n"/>
    </row>
    <row r="167">
      <c r="A167" s="102" t="n">
        <v>45834</v>
      </c>
      <c r="B167" s="98" t="inlineStr">
        <is>
          <t>Springs Delivery Co</t>
        </is>
      </c>
      <c r="C167" s="98" t="inlineStr">
        <is>
          <t>INV-1163</t>
        </is>
      </c>
      <c r="D167" s="98" t="inlineStr">
        <is>
          <t>Bulk Diesel</t>
        </is>
      </c>
      <c r="E167" s="103" t="n">
        <v>620</v>
      </c>
      <c r="F167" s="104" t="n">
        <v>3.78</v>
      </c>
      <c r="G167" s="98">
        <f>IF(OR(E167="",F167=""),"",E167*F167)</f>
        <v/>
      </c>
      <c r="H167" s="104" t="n">
        <v>67.95999999999999</v>
      </c>
      <c r="I167" s="98" t="n"/>
    </row>
    <row r="168">
      <c r="A168" s="102" t="n">
        <v>45835</v>
      </c>
      <c r="B168" s="98" t="inlineStr">
        <is>
          <t>Pikes Peak Energy</t>
        </is>
      </c>
      <c r="C168" s="98" t="inlineStr">
        <is>
          <t>INV-1164</t>
        </is>
      </c>
      <c r="D168" s="98" t="inlineStr">
        <is>
          <t>Premium Fuel Delivery</t>
        </is>
      </c>
      <c r="E168" s="103" t="n">
        <v>581</v>
      </c>
      <c r="F168" s="104" t="n">
        <v>3.75</v>
      </c>
      <c r="G168" s="98">
        <f>IF(OR(E168="",F168=""),"",E168*F168)</f>
        <v/>
      </c>
      <c r="H168" s="104" t="n">
        <v>0</v>
      </c>
      <c r="I168" s="98" t="n"/>
    </row>
    <row r="169">
      <c r="A169" s="102" t="n">
        <v>45838</v>
      </c>
      <c r="B169" s="98" t="inlineStr">
        <is>
          <t>Pueblo Supply Chain</t>
        </is>
      </c>
      <c r="C169" s="98" t="inlineStr">
        <is>
          <t>INV-1165</t>
        </is>
      </c>
      <c r="D169" s="98" t="inlineStr">
        <is>
          <t>Fleet Fuel Drop</t>
        </is>
      </c>
      <c r="E169" s="103" t="n">
        <v>613</v>
      </c>
      <c r="F169" s="104" t="n">
        <v>3.77</v>
      </c>
      <c r="G169" s="98">
        <f>IF(OR(E169="",F169=""),"",E169*F169)</f>
        <v/>
      </c>
      <c r="H169" s="104" t="n">
        <v>67.02</v>
      </c>
      <c r="I169" s="98" t="n"/>
    </row>
    <row r="170">
      <c r="A170" s="102" t="n">
        <v>45839</v>
      </c>
      <c r="B170" s="98" t="inlineStr">
        <is>
          <t>Colorado Fuel Corp</t>
        </is>
      </c>
      <c r="C170" s="98" t="inlineStr">
        <is>
          <t>INV-1166</t>
        </is>
      </c>
      <c r="D170" s="98" t="inlineStr">
        <is>
          <t>Line Flush Service</t>
        </is>
      </c>
      <c r="E170" s="103" t="n">
        <v>1</v>
      </c>
      <c r="F170" s="104" t="n">
        <v>1761.65</v>
      </c>
      <c r="G170" s="98">
        <f>IF(OR(E170="",F170=""),"",E170*F170)</f>
        <v/>
      </c>
      <c r="H170" s="104" t="n">
        <v>51.09</v>
      </c>
      <c r="I170" s="98" t="n"/>
    </row>
    <row r="171">
      <c r="A171" s="102" t="n">
        <v>45840</v>
      </c>
      <c r="B171" s="98" t="inlineStr">
        <is>
          <t>Springs Delivery Co</t>
        </is>
      </c>
      <c r="C171" s="98" t="inlineStr">
        <is>
          <t>INV-1167</t>
        </is>
      </c>
      <c r="D171" s="98" t="inlineStr">
        <is>
          <t>Unleaded Delivery</t>
        </is>
      </c>
      <c r="E171" s="103" t="n">
        <v>590</v>
      </c>
      <c r="F171" s="104" t="n">
        <v>3.75</v>
      </c>
      <c r="G171" s="98">
        <f>IF(OR(E171="",F171=""),"",E171*F171)</f>
        <v/>
      </c>
      <c r="H171" s="104" t="n">
        <v>64.16</v>
      </c>
      <c r="I171" s="98" t="n"/>
    </row>
    <row r="172">
      <c r="A172" s="102" t="n">
        <v>45841</v>
      </c>
      <c r="B172" s="98" t="inlineStr">
        <is>
          <t>Arkansas Valley Oil</t>
        </is>
      </c>
      <c r="C172" s="98" t="inlineStr">
        <is>
          <t>INV-1168</t>
        </is>
      </c>
      <c r="D172" s="98" t="inlineStr">
        <is>
          <t>Unleaded Delivery</t>
        </is>
      </c>
      <c r="E172" s="103" t="n">
        <v>573</v>
      </c>
      <c r="F172" s="104" t="n">
        <v>3.77</v>
      </c>
      <c r="G172" s="98">
        <f>IF(OR(E172="",F172=""),"",E172*F172)</f>
        <v/>
      </c>
      <c r="H172" s="104" t="n">
        <v>0</v>
      </c>
      <c r="I172" s="98" t="n"/>
    </row>
    <row r="173">
      <c r="A173" s="102" t="n">
        <v>45842</v>
      </c>
      <c r="B173" s="98" t="inlineStr">
        <is>
          <t>Arkansas Valley Oil</t>
        </is>
      </c>
      <c r="C173" s="98" t="inlineStr">
        <is>
          <t>INV-1169</t>
        </is>
      </c>
      <c r="D173" s="98" t="inlineStr">
        <is>
          <t>Fleet Fuel Drop</t>
        </is>
      </c>
      <c r="E173" s="103" t="n">
        <v>606</v>
      </c>
      <c r="F173" s="104" t="n">
        <v>3.76</v>
      </c>
      <c r="G173" s="98">
        <f>IF(OR(E173="",F173=""),"",E173*F173)</f>
        <v/>
      </c>
      <c r="H173" s="104" t="n">
        <v>66.08</v>
      </c>
      <c r="I173" s="98" t="n"/>
    </row>
    <row r="174">
      <c r="A174" s="102" t="n">
        <v>45845</v>
      </c>
      <c r="B174" s="98" t="inlineStr">
        <is>
          <t>Summit Logistics</t>
        </is>
      </c>
      <c r="C174" s="98" t="inlineStr">
        <is>
          <t>INV-1170</t>
        </is>
      </c>
      <c r="D174" s="98" t="inlineStr">
        <is>
          <t>Premium Fuel Delivery</t>
        </is>
      </c>
      <c r="E174" s="103" t="n">
        <v>522</v>
      </c>
      <c r="F174" s="104" t="n">
        <v>3.88</v>
      </c>
      <c r="G174" s="98">
        <f>IF(OR(E174="",F174=""),"",E174*F174)</f>
        <v/>
      </c>
      <c r="H174" s="104" t="n">
        <v>58.74</v>
      </c>
      <c r="I174" s="98" t="n"/>
    </row>
    <row r="175">
      <c r="A175" s="102" t="n">
        <v>45846</v>
      </c>
      <c r="B175" s="98" t="inlineStr">
        <is>
          <t>Arkansas Valley Oil</t>
        </is>
      </c>
      <c r="C175" s="98" t="inlineStr">
        <is>
          <t>INV-1171</t>
        </is>
      </c>
      <c r="D175" s="98" t="inlineStr">
        <is>
          <t>Motor Oil Case</t>
        </is>
      </c>
      <c r="E175" s="103" t="n">
        <v>180</v>
      </c>
      <c r="F175" s="104" t="n">
        <v>45.01</v>
      </c>
      <c r="G175" s="98">
        <f>IF(OR(E175="",F175=""),"",E175*F175)</f>
        <v/>
      </c>
      <c r="H175" s="104" t="n">
        <v>234.95</v>
      </c>
      <c r="I175" s="98" t="n"/>
    </row>
    <row r="176">
      <c r="A176" s="102" t="n">
        <v>45847</v>
      </c>
      <c r="B176" s="98" t="inlineStr">
        <is>
          <t>High Plains Co</t>
        </is>
      </c>
      <c r="C176" s="98" t="inlineStr">
        <is>
          <t>INV-1172</t>
        </is>
      </c>
      <c r="D176" s="98" t="inlineStr">
        <is>
          <t>Filter Service</t>
        </is>
      </c>
      <c r="E176" s="103" t="n">
        <v>1</v>
      </c>
      <c r="F176" s="104" t="n">
        <v>1218.26</v>
      </c>
      <c r="G176" s="98">
        <f>IF(OR(E176="",F176=""),"",E176*F176)</f>
        <v/>
      </c>
      <c r="H176" s="104" t="n">
        <v>0</v>
      </c>
      <c r="I176" s="98" t="n"/>
    </row>
    <row r="177">
      <c r="A177" s="102" t="n">
        <v>45848</v>
      </c>
      <c r="B177" s="98" t="inlineStr">
        <is>
          <t>Colorado Fuel Corp</t>
        </is>
      </c>
      <c r="C177" s="98" t="inlineStr">
        <is>
          <t>INV-1173</t>
        </is>
      </c>
      <c r="D177" s="98" t="inlineStr">
        <is>
          <t>Unleaded Delivery</t>
        </is>
      </c>
      <c r="E177" s="103" t="n">
        <v>660</v>
      </c>
      <c r="F177" s="104" t="n">
        <v>3.88</v>
      </c>
      <c r="G177" s="98">
        <f>IF(OR(E177="",F177=""),"",E177*F177)</f>
        <v/>
      </c>
      <c r="H177" s="104" t="n">
        <v>74.26000000000001</v>
      </c>
      <c r="I177" s="98" t="n"/>
    </row>
    <row r="178">
      <c r="A178" s="102" t="n">
        <v>45849</v>
      </c>
      <c r="B178" s="98" t="inlineStr">
        <is>
          <t>Colorado Fuel Corp</t>
        </is>
      </c>
      <c r="C178" s="98" t="inlineStr">
        <is>
          <t>INV-1174</t>
        </is>
      </c>
      <c r="D178" s="98" t="inlineStr">
        <is>
          <t>Diesel Delivery</t>
        </is>
      </c>
      <c r="E178" s="103" t="n">
        <v>606</v>
      </c>
      <c r="F178" s="104" t="n">
        <v>3.88</v>
      </c>
      <c r="G178" s="98">
        <f>IF(OR(E178="",F178=""),"",E178*F178)</f>
        <v/>
      </c>
      <c r="H178" s="104" t="n">
        <v>68.19</v>
      </c>
      <c r="I178" s="98" t="n"/>
    </row>
    <row r="179">
      <c r="A179" s="102" t="n">
        <v>45852</v>
      </c>
      <c r="B179" s="98" t="inlineStr">
        <is>
          <t>Front Range Inc</t>
        </is>
      </c>
      <c r="C179" s="98" t="inlineStr">
        <is>
          <t>INV-1175</t>
        </is>
      </c>
      <c r="D179" s="98" t="inlineStr">
        <is>
          <t>Fleet Fuel Drop</t>
        </is>
      </c>
      <c r="E179" s="103" t="n">
        <v>784</v>
      </c>
      <c r="F179" s="104" t="n">
        <v>3.81</v>
      </c>
      <c r="G179" s="98">
        <f>IF(OR(E179="",F179=""),"",E179*F179)</f>
        <v/>
      </c>
      <c r="H179" s="104" t="n">
        <v>86.62</v>
      </c>
      <c r="I179" s="98" t="n"/>
    </row>
    <row r="180">
      <c r="A180" s="102" t="n">
        <v>45853</v>
      </c>
      <c r="B180" s="98" t="inlineStr">
        <is>
          <t>Colorado Fuel Corp</t>
        </is>
      </c>
      <c r="C180" s="98" t="inlineStr">
        <is>
          <t>INV-1176</t>
        </is>
      </c>
      <c r="D180" s="98" t="inlineStr">
        <is>
          <t>Line Flush Service</t>
        </is>
      </c>
      <c r="E180" s="103" t="n">
        <v>1</v>
      </c>
      <c r="F180" s="104" t="n">
        <v>1069.76</v>
      </c>
      <c r="G180" s="98">
        <f>IF(OR(E180="",F180=""),"",E180*F180)</f>
        <v/>
      </c>
      <c r="H180" s="104" t="n">
        <v>31.02</v>
      </c>
      <c r="I180" s="98" t="n"/>
    </row>
    <row r="181">
      <c r="A181" s="102" t="n">
        <v>45854</v>
      </c>
      <c r="B181" s="98" t="inlineStr">
        <is>
          <t>Arkansas Valley Oil</t>
        </is>
      </c>
      <c r="C181" s="98" t="inlineStr">
        <is>
          <t>INV-1177</t>
        </is>
      </c>
      <c r="D181" s="98" t="inlineStr">
        <is>
          <t>Unleaded Delivery</t>
        </is>
      </c>
      <c r="E181" s="103" t="n">
        <v>637</v>
      </c>
      <c r="F181" s="104" t="n">
        <v>3.83</v>
      </c>
      <c r="G181" s="98">
        <f>IF(OR(E181="",F181=""),"",E181*F181)</f>
        <v/>
      </c>
      <c r="H181" s="104" t="n">
        <v>70.75</v>
      </c>
      <c r="I181" s="98" t="n"/>
    </row>
    <row r="182">
      <c r="A182" s="102" t="n">
        <v>45855</v>
      </c>
      <c r="B182" s="98" t="inlineStr">
        <is>
          <t>Centennial Hauling</t>
        </is>
      </c>
      <c r="C182" s="98" t="inlineStr">
        <is>
          <t>INV-1178</t>
        </is>
      </c>
      <c r="D182" s="98" t="inlineStr">
        <is>
          <t>Diesel Delivery</t>
        </is>
      </c>
      <c r="E182" s="103" t="n">
        <v>609</v>
      </c>
      <c r="F182" s="104" t="n">
        <v>3.82</v>
      </c>
      <c r="G182" s="98">
        <f>IF(OR(E182="",F182=""),"",E182*F182)</f>
        <v/>
      </c>
      <c r="H182" s="104" t="n">
        <v>67.47</v>
      </c>
      <c r="I182" s="98" t="n"/>
    </row>
    <row r="183">
      <c r="A183" s="102" t="n">
        <v>45856</v>
      </c>
      <c r="B183" s="98" t="inlineStr">
        <is>
          <t>Centennial Hauling</t>
        </is>
      </c>
      <c r="C183" s="98" t="inlineStr">
        <is>
          <t>INV-1179</t>
        </is>
      </c>
      <c r="D183" s="98" t="inlineStr">
        <is>
          <t>Filter Service</t>
        </is>
      </c>
      <c r="E183" s="103" t="n">
        <v>1</v>
      </c>
      <c r="F183" s="104" t="n">
        <v>888.36</v>
      </c>
      <c r="G183" s="98">
        <f>IF(OR(E183="",F183=""),"",E183*F183)</f>
        <v/>
      </c>
      <c r="H183" s="104" t="n">
        <v>25.76</v>
      </c>
      <c r="I183" s="98" t="n"/>
    </row>
    <row r="184">
      <c r="A184" s="102" t="n">
        <v>45859</v>
      </c>
      <c r="B184" s="98" t="inlineStr">
        <is>
          <t>Colorado Fuel Corp</t>
        </is>
      </c>
      <c r="C184" s="98" t="inlineStr">
        <is>
          <t>INV-1180</t>
        </is>
      </c>
      <c r="D184" s="98" t="inlineStr">
        <is>
          <t>Fleet Fuel Drop</t>
        </is>
      </c>
      <c r="E184" s="103" t="n">
        <v>664</v>
      </c>
      <c r="F184" s="104" t="n">
        <v>3.77</v>
      </c>
      <c r="G184" s="98">
        <f>IF(OR(E184="",F184=""),"",E184*F184)</f>
        <v/>
      </c>
      <c r="H184" s="104" t="n">
        <v>0</v>
      </c>
      <c r="I184" s="98" t="n"/>
    </row>
    <row r="185">
      <c r="A185" s="102" t="n">
        <v>45860</v>
      </c>
      <c r="B185" s="98" t="inlineStr">
        <is>
          <t>San Luis Transport</t>
        </is>
      </c>
      <c r="C185" s="98" t="inlineStr">
        <is>
          <t>INV-1181</t>
        </is>
      </c>
      <c r="D185" s="98" t="inlineStr">
        <is>
          <t>Unleaded Delivery</t>
        </is>
      </c>
      <c r="E185" s="103" t="n">
        <v>435</v>
      </c>
      <c r="F185" s="104" t="n">
        <v>3.95</v>
      </c>
      <c r="G185" s="98">
        <f>IF(OR(E185="",F185=""),"",E185*F185)</f>
        <v/>
      </c>
      <c r="H185" s="104" t="n">
        <v>49.83</v>
      </c>
      <c r="I185" s="98" t="n"/>
    </row>
    <row r="186">
      <c r="A186" s="102" t="n">
        <v>45861</v>
      </c>
      <c r="B186" s="98" t="inlineStr">
        <is>
          <t>High Plains Co</t>
        </is>
      </c>
      <c r="C186" s="98" t="inlineStr">
        <is>
          <t>INV-1182</t>
        </is>
      </c>
      <c r="D186" s="98" t="inlineStr">
        <is>
          <t>Bulk Diesel</t>
        </is>
      </c>
      <c r="E186" s="103" t="n">
        <v>407</v>
      </c>
      <c r="F186" s="104" t="n">
        <v>3.9</v>
      </c>
      <c r="G186" s="98">
        <f>IF(OR(E186="",F186=""),"",E186*F186)</f>
        <v/>
      </c>
      <c r="H186" s="104" t="n">
        <v>46.03</v>
      </c>
      <c r="I186" s="98" t="n"/>
    </row>
    <row r="187">
      <c r="A187" s="102" t="n">
        <v>45862</v>
      </c>
      <c r="B187" s="98" t="inlineStr">
        <is>
          <t>Springs Delivery Co</t>
        </is>
      </c>
      <c r="C187" s="98" t="inlineStr">
        <is>
          <t>INV-1183</t>
        </is>
      </c>
      <c r="D187" s="98" t="inlineStr">
        <is>
          <t>Fleet Fuel Drop</t>
        </is>
      </c>
      <c r="E187" s="103" t="n">
        <v>533</v>
      </c>
      <c r="F187" s="104" t="n">
        <v>3.9</v>
      </c>
      <c r="G187" s="98">
        <f>IF(OR(E187="",F187=""),"",E187*F187)</f>
        <v/>
      </c>
      <c r="H187" s="104" t="n">
        <v>60.28</v>
      </c>
      <c r="I187" s="98" t="n"/>
    </row>
    <row r="188">
      <c r="A188" s="102" t="n">
        <v>45863</v>
      </c>
      <c r="B188" s="98" t="inlineStr">
        <is>
          <t>Pueblo Supply Chain</t>
        </is>
      </c>
      <c r="C188" s="98" t="inlineStr">
        <is>
          <t>INV-1184</t>
        </is>
      </c>
      <c r="D188" s="98" t="inlineStr">
        <is>
          <t>Bulk Diesel</t>
        </is>
      </c>
      <c r="E188" s="103" t="n">
        <v>481</v>
      </c>
      <c r="F188" s="104" t="n">
        <v>3.91</v>
      </c>
      <c r="G188" s="98">
        <f>IF(OR(E188="",F188=""),"",E188*F188)</f>
        <v/>
      </c>
      <c r="H188" s="104" t="n">
        <v>54.54</v>
      </c>
      <c r="I188" s="98" t="n"/>
    </row>
    <row r="189">
      <c r="A189" s="102" t="n">
        <v>45866</v>
      </c>
      <c r="B189" s="98" t="inlineStr">
        <is>
          <t>Western Slope Transport</t>
        </is>
      </c>
      <c r="C189" s="98" t="inlineStr">
        <is>
          <t>INV-1185</t>
        </is>
      </c>
      <c r="D189" s="98" t="inlineStr">
        <is>
          <t>Fleet Fuel Drop</t>
        </is>
      </c>
      <c r="E189" s="103" t="n">
        <v>503</v>
      </c>
      <c r="F189" s="104" t="n">
        <v>3.88</v>
      </c>
      <c r="G189" s="98">
        <f>IF(OR(E189="",F189=""),"",E189*F189)</f>
        <v/>
      </c>
      <c r="H189" s="104" t="n">
        <v>56.6</v>
      </c>
      <c r="I189" s="98" t="n"/>
    </row>
    <row r="190">
      <c r="A190" s="102" t="n">
        <v>45867</v>
      </c>
      <c r="B190" s="98" t="inlineStr">
        <is>
          <t>Colorado Fuel Corp</t>
        </is>
      </c>
      <c r="C190" s="98" t="inlineStr">
        <is>
          <t>INV-1186</t>
        </is>
      </c>
      <c r="D190" s="98" t="inlineStr">
        <is>
          <t>Fleet Fuel Drop</t>
        </is>
      </c>
      <c r="E190" s="103" t="n">
        <v>438</v>
      </c>
      <c r="F190" s="104" t="n">
        <v>3.84</v>
      </c>
      <c r="G190" s="98">
        <f>IF(OR(E190="",F190=""),"",E190*F190)</f>
        <v/>
      </c>
      <c r="H190" s="104" t="n">
        <v>48.78</v>
      </c>
      <c r="I190" s="98" t="n"/>
    </row>
    <row r="191">
      <c r="A191" s="102" t="n">
        <v>45868</v>
      </c>
      <c r="B191" s="98" t="inlineStr">
        <is>
          <t>Colorado Fuel Corp</t>
        </is>
      </c>
      <c r="C191" s="98" t="inlineStr">
        <is>
          <t>INV-1187</t>
        </is>
      </c>
      <c r="D191" s="98" t="inlineStr">
        <is>
          <t>Bulk Diesel</t>
        </is>
      </c>
      <c r="E191" s="103" t="n">
        <v>487</v>
      </c>
      <c r="F191" s="104" t="n">
        <v>3.84</v>
      </c>
      <c r="G191" s="98">
        <f>IF(OR(E191="",F191=""),"",E191*F191)</f>
        <v/>
      </c>
      <c r="H191" s="104" t="n">
        <v>0</v>
      </c>
      <c r="I191" s="98" t="n"/>
    </row>
    <row r="192">
      <c r="A192" s="102" t="n">
        <v>45869</v>
      </c>
      <c r="B192" s="98" t="inlineStr">
        <is>
          <t>Mesa Verde Logistics</t>
        </is>
      </c>
      <c r="C192" s="98" t="inlineStr">
        <is>
          <t>INV-1188</t>
        </is>
      </c>
      <c r="D192" s="98" t="inlineStr">
        <is>
          <t>Unleaded Delivery</t>
        </is>
      </c>
      <c r="E192" s="103" t="n">
        <v>465</v>
      </c>
      <c r="F192" s="104" t="n">
        <v>3.86</v>
      </c>
      <c r="G192" s="98">
        <f>IF(OR(E192="",F192=""),"",E192*F192)</f>
        <v/>
      </c>
      <c r="H192" s="104" t="n">
        <v>52.05</v>
      </c>
      <c r="I192" s="98" t="n"/>
    </row>
    <row r="193">
      <c r="A193" s="102" t="n">
        <v>45870</v>
      </c>
      <c r="B193" s="98" t="inlineStr">
        <is>
          <t>Colorado Fuel Corp</t>
        </is>
      </c>
      <c r="C193" s="98" t="inlineStr">
        <is>
          <t>INV-1189</t>
        </is>
      </c>
      <c r="D193" s="98" t="inlineStr">
        <is>
          <t>Fleet Fuel Drop</t>
        </is>
      </c>
      <c r="E193" s="103" t="n">
        <v>468</v>
      </c>
      <c r="F193" s="104" t="n">
        <v>3.78</v>
      </c>
      <c r="G193" s="98">
        <f>IF(OR(E193="",F193=""),"",E193*F193)</f>
        <v/>
      </c>
      <c r="H193" s="104" t="n">
        <v>51.3</v>
      </c>
      <c r="I193" s="98" t="n"/>
    </row>
    <row r="194">
      <c r="A194" s="102" t="n">
        <v>45873</v>
      </c>
      <c r="B194" s="98" t="inlineStr">
        <is>
          <t>Colorado Fuel Corp</t>
        </is>
      </c>
      <c r="C194" s="98" t="inlineStr">
        <is>
          <t>INV-1190</t>
        </is>
      </c>
      <c r="D194" s="98" t="inlineStr">
        <is>
          <t>Premium Fuel Delivery</t>
        </is>
      </c>
      <c r="E194" s="103" t="n">
        <v>478</v>
      </c>
      <c r="F194" s="104" t="n">
        <v>3.82</v>
      </c>
      <c r="G194" s="98">
        <f>IF(OR(E194="",F194=""),"",E194*F194)</f>
        <v/>
      </c>
      <c r="H194" s="104" t="n">
        <v>0</v>
      </c>
      <c r="I194" s="98" t="n"/>
    </row>
    <row r="195">
      <c r="A195" s="102" t="n">
        <v>45874</v>
      </c>
      <c r="B195" s="98" t="inlineStr">
        <is>
          <t>Front Range Inc</t>
        </is>
      </c>
      <c r="C195" s="98" t="inlineStr">
        <is>
          <t>INV-1191</t>
        </is>
      </c>
      <c r="D195" s="98" t="inlineStr">
        <is>
          <t>Pump Maintenance</t>
        </is>
      </c>
      <c r="E195" s="103" t="n">
        <v>1</v>
      </c>
      <c r="F195" s="104" t="n">
        <v>1215.72</v>
      </c>
      <c r="G195" s="98">
        <f>IF(OR(E195="",F195=""),"",E195*F195)</f>
        <v/>
      </c>
      <c r="H195" s="104" t="n">
        <v>0</v>
      </c>
      <c r="I195" s="98" t="n"/>
    </row>
    <row r="196">
      <c r="A196" s="102" t="n">
        <v>45875</v>
      </c>
      <c r="B196" s="98" t="inlineStr">
        <is>
          <t>San Luis Transport</t>
        </is>
      </c>
      <c r="C196" s="98" t="inlineStr">
        <is>
          <t>INV-1192</t>
        </is>
      </c>
      <c r="D196" s="98" t="inlineStr">
        <is>
          <t>Premium Fuel Delivery</t>
        </is>
      </c>
      <c r="E196" s="103" t="n">
        <v>469</v>
      </c>
      <c r="F196" s="104" t="n">
        <v>3.8</v>
      </c>
      <c r="G196" s="98">
        <f>IF(OR(E196="",F196=""),"",E196*F196)</f>
        <v/>
      </c>
      <c r="H196" s="104" t="n">
        <v>51.68</v>
      </c>
      <c r="I196" s="98" t="n"/>
    </row>
    <row r="197">
      <c r="A197" s="102" t="n">
        <v>45876</v>
      </c>
      <c r="B197" s="98" t="inlineStr">
        <is>
          <t>High Plains Co</t>
        </is>
      </c>
      <c r="C197" s="98" t="inlineStr">
        <is>
          <t>INV-1193</t>
        </is>
      </c>
      <c r="D197" s="98" t="inlineStr">
        <is>
          <t>Unleaded Delivery</t>
        </is>
      </c>
      <c r="E197" s="103" t="n">
        <v>538</v>
      </c>
      <c r="F197" s="104" t="n">
        <v>3.81</v>
      </c>
      <c r="G197" s="98">
        <f>IF(OR(E197="",F197=""),"",E197*F197)</f>
        <v/>
      </c>
      <c r="H197" s="104" t="n">
        <v>0</v>
      </c>
      <c r="I197" s="98" t="n"/>
    </row>
    <row r="198">
      <c r="A198" s="102" t="n">
        <v>45877</v>
      </c>
      <c r="B198" s="98" t="inlineStr">
        <is>
          <t>Royal Gorge Freight</t>
        </is>
      </c>
      <c r="C198" s="98" t="inlineStr">
        <is>
          <t>INV-1194</t>
        </is>
      </c>
      <c r="D198" s="98" t="inlineStr">
        <is>
          <t>Unleaded Delivery</t>
        </is>
      </c>
      <c r="E198" s="103" t="n">
        <v>539</v>
      </c>
      <c r="F198" s="104" t="n">
        <v>3.76</v>
      </c>
      <c r="G198" s="98">
        <f>IF(OR(E198="",F198=""),"",E198*F198)</f>
        <v/>
      </c>
      <c r="H198" s="104" t="n">
        <v>0</v>
      </c>
      <c r="I198" s="98" t="n"/>
    </row>
    <row r="199">
      <c r="A199" s="102" t="n">
        <v>45880</v>
      </c>
      <c r="B199" s="98" t="inlineStr">
        <is>
          <t>Western Slope Transport</t>
        </is>
      </c>
      <c r="C199" s="98" t="inlineStr">
        <is>
          <t>INV-1195</t>
        </is>
      </c>
      <c r="D199" s="98" t="inlineStr">
        <is>
          <t>Bulk Diesel</t>
        </is>
      </c>
      <c r="E199" s="103" t="n">
        <v>448</v>
      </c>
      <c r="F199" s="104" t="n">
        <v>3.75</v>
      </c>
      <c r="G199" s="98">
        <f>IF(OR(E199="",F199=""),"",E199*F199)</f>
        <v/>
      </c>
      <c r="H199" s="104" t="n">
        <v>48.72</v>
      </c>
      <c r="I199" s="98" t="n"/>
    </row>
    <row r="200">
      <c r="A200" s="102" t="n">
        <v>45881</v>
      </c>
      <c r="B200" s="98" t="inlineStr">
        <is>
          <t>Western Slope Transport</t>
        </is>
      </c>
      <c r="C200" s="98" t="inlineStr">
        <is>
          <t>INV-1196</t>
        </is>
      </c>
      <c r="D200" s="98" t="inlineStr">
        <is>
          <t>Bulk Diesel</t>
        </is>
      </c>
      <c r="E200" s="103" t="n">
        <v>406</v>
      </c>
      <c r="F200" s="104" t="n">
        <v>3.76</v>
      </c>
      <c r="G200" s="98">
        <f>IF(OR(E200="",F200=""),"",E200*F200)</f>
        <v/>
      </c>
      <c r="H200" s="104" t="n">
        <v>0</v>
      </c>
      <c r="I200" s="98" t="n"/>
    </row>
    <row r="201">
      <c r="A201" s="102" t="n">
        <v>45882</v>
      </c>
      <c r="B201" s="98" t="inlineStr">
        <is>
          <t>Western Slope Transport</t>
        </is>
      </c>
      <c r="C201" s="98" t="inlineStr">
        <is>
          <t>INV-1197</t>
        </is>
      </c>
      <c r="D201" s="98" t="inlineStr">
        <is>
          <t>Bulk Diesel</t>
        </is>
      </c>
      <c r="E201" s="103" t="n">
        <v>378</v>
      </c>
      <c r="F201" s="104" t="n">
        <v>3.78</v>
      </c>
      <c r="G201" s="98">
        <f>IF(OR(E201="",F201=""),"",E201*F201)</f>
        <v/>
      </c>
      <c r="H201" s="104" t="n">
        <v>41.44</v>
      </c>
      <c r="I201" s="98" t="n"/>
    </row>
    <row r="202">
      <c r="A202" s="102" t="n">
        <v>45883</v>
      </c>
      <c r="B202" s="98" t="inlineStr">
        <is>
          <t>Royal Gorge Freight</t>
        </is>
      </c>
      <c r="C202" s="98" t="inlineStr">
        <is>
          <t>INV-1198</t>
        </is>
      </c>
      <c r="D202" s="98" t="inlineStr">
        <is>
          <t>Fleet Fuel Drop</t>
        </is>
      </c>
      <c r="E202" s="103" t="n">
        <v>284</v>
      </c>
      <c r="F202" s="104" t="n">
        <v>3.73</v>
      </c>
      <c r="G202" s="98">
        <f>IF(OR(E202="",F202=""),"",E202*F202)</f>
        <v/>
      </c>
      <c r="H202" s="104" t="n">
        <v>0</v>
      </c>
      <c r="I202" s="98" t="n"/>
    </row>
    <row r="203">
      <c r="A203" s="102" t="n">
        <v>45884</v>
      </c>
      <c r="B203" s="98" t="inlineStr">
        <is>
          <t>Western Slope Transport</t>
        </is>
      </c>
      <c r="C203" s="98" t="inlineStr">
        <is>
          <t>INV-1199</t>
        </is>
      </c>
      <c r="D203" s="98" t="inlineStr">
        <is>
          <t>Fleet Fuel Drop</t>
        </is>
      </c>
      <c r="E203" s="103" t="n">
        <v>412</v>
      </c>
      <c r="F203" s="104" t="n">
        <v>3.76</v>
      </c>
      <c r="G203" s="98">
        <f>IF(OR(E203="",F203=""),"",E203*F203)</f>
        <v/>
      </c>
      <c r="H203" s="104" t="n">
        <v>44.92</v>
      </c>
      <c r="I203" s="98" t="n"/>
    </row>
    <row r="204">
      <c r="A204" s="102" t="n">
        <v>45887</v>
      </c>
      <c r="B204" s="98" t="inlineStr">
        <is>
          <t>Pikes Peak Energy</t>
        </is>
      </c>
      <c r="C204" s="98" t="inlineStr">
        <is>
          <t>INV-1200</t>
        </is>
      </c>
      <c r="D204" s="98" t="inlineStr">
        <is>
          <t>Premium Fuel Delivery</t>
        </is>
      </c>
      <c r="E204" s="103" t="n">
        <v>472</v>
      </c>
      <c r="F204" s="104" t="n">
        <v>3.71</v>
      </c>
      <c r="G204" s="98">
        <f>IF(OR(E204="",F204=""),"",E204*F204)</f>
        <v/>
      </c>
      <c r="H204" s="104" t="n">
        <v>50.78</v>
      </c>
      <c r="I204" s="98" t="n"/>
    </row>
    <row r="205">
      <c r="A205" s="102" t="n">
        <v>45888</v>
      </c>
      <c r="B205" s="98" t="inlineStr">
        <is>
          <t>Springs Delivery Co</t>
        </is>
      </c>
      <c r="C205" s="98" t="inlineStr">
        <is>
          <t>INV-1201</t>
        </is>
      </c>
      <c r="D205" s="98" t="inlineStr">
        <is>
          <t>Bulk Diesel</t>
        </is>
      </c>
      <c r="E205" s="103" t="n">
        <v>538</v>
      </c>
      <c r="F205" s="104" t="n">
        <v>3.7</v>
      </c>
      <c r="G205" s="98">
        <f>IF(OR(E205="",F205=""),"",E205*F205)</f>
        <v/>
      </c>
      <c r="H205" s="104" t="n">
        <v>57.73</v>
      </c>
      <c r="I205" s="98" t="n"/>
    </row>
    <row r="206">
      <c r="A206" s="102" t="n">
        <v>45889</v>
      </c>
      <c r="B206" s="98" t="inlineStr">
        <is>
          <t>Centennial Hauling</t>
        </is>
      </c>
      <c r="C206" s="98" t="inlineStr">
        <is>
          <t>INV-1202</t>
        </is>
      </c>
      <c r="D206" s="98" t="inlineStr">
        <is>
          <t>Fleet Fuel Drop</t>
        </is>
      </c>
      <c r="E206" s="103" t="n">
        <v>536</v>
      </c>
      <c r="F206" s="104" t="n">
        <v>3.73</v>
      </c>
      <c r="G206" s="98">
        <f>IF(OR(E206="",F206=""),"",E206*F206)</f>
        <v/>
      </c>
      <c r="H206" s="104" t="n">
        <v>57.98</v>
      </c>
      <c r="I206" s="98" t="n"/>
    </row>
    <row r="207">
      <c r="A207" s="102" t="n">
        <v>45890</v>
      </c>
      <c r="B207" s="98" t="inlineStr">
        <is>
          <t>Colorado Fuel Corp</t>
        </is>
      </c>
      <c r="C207" s="98" t="inlineStr">
        <is>
          <t>INV-1203</t>
        </is>
      </c>
      <c r="D207" s="98" t="inlineStr">
        <is>
          <t>Filter Service</t>
        </is>
      </c>
      <c r="E207" s="103" t="n">
        <v>1</v>
      </c>
      <c r="F207" s="104" t="n">
        <v>856.48</v>
      </c>
      <c r="G207" s="98">
        <f>IF(OR(E207="",F207=""),"",E207*F207)</f>
        <v/>
      </c>
      <c r="H207" s="104" t="n">
        <v>0</v>
      </c>
      <c r="I207" s="98" t="n"/>
    </row>
    <row r="208">
      <c r="A208" s="102" t="n">
        <v>45891</v>
      </c>
      <c r="B208" s="98" t="inlineStr">
        <is>
          <t>Colorado Fuel Corp</t>
        </is>
      </c>
      <c r="C208" s="98" t="inlineStr">
        <is>
          <t>INV-1204</t>
        </is>
      </c>
      <c r="D208" s="98" t="inlineStr">
        <is>
          <t>Bulk Diesel</t>
        </is>
      </c>
      <c r="E208" s="103" t="n">
        <v>456</v>
      </c>
      <c r="F208" s="104" t="n">
        <v>3.68</v>
      </c>
      <c r="G208" s="98">
        <f>IF(OR(E208="",F208=""),"",E208*F208)</f>
        <v/>
      </c>
      <c r="H208" s="104" t="n">
        <v>0</v>
      </c>
      <c r="I208" s="98" t="n"/>
    </row>
    <row r="209">
      <c r="A209" s="102" t="n">
        <v>45894</v>
      </c>
      <c r="B209" s="98" t="inlineStr">
        <is>
          <t>Arkansas Valley Oil</t>
        </is>
      </c>
      <c r="C209" s="98" t="inlineStr">
        <is>
          <t>INV-1205</t>
        </is>
      </c>
      <c r="D209" s="98" t="inlineStr">
        <is>
          <t>Premium Fuel Delivery</t>
        </is>
      </c>
      <c r="E209" s="103" t="n">
        <v>491</v>
      </c>
      <c r="F209" s="104" t="n">
        <v>3.69</v>
      </c>
      <c r="G209" s="98">
        <f>IF(OR(E209="",F209=""),"",E209*F209)</f>
        <v/>
      </c>
      <c r="H209" s="104" t="n">
        <v>52.54</v>
      </c>
      <c r="I209" s="98" t="n"/>
    </row>
    <row r="210">
      <c r="A210" s="102" t="n">
        <v>45895</v>
      </c>
      <c r="B210" s="98" t="inlineStr">
        <is>
          <t>Royal Gorge Freight</t>
        </is>
      </c>
      <c r="C210" s="98" t="inlineStr">
        <is>
          <t>INV-1206</t>
        </is>
      </c>
      <c r="D210" s="98" t="inlineStr">
        <is>
          <t>Bulk Diesel</t>
        </is>
      </c>
      <c r="E210" s="103" t="n">
        <v>505</v>
      </c>
      <c r="F210" s="104" t="n">
        <v>3.71</v>
      </c>
      <c r="G210" s="98">
        <f>IF(OR(E210="",F210=""),"",E210*F210)</f>
        <v/>
      </c>
      <c r="H210" s="104" t="n">
        <v>0</v>
      </c>
      <c r="I210" s="98" t="n"/>
    </row>
    <row r="211">
      <c r="A211" s="102" t="n">
        <v>45896</v>
      </c>
      <c r="B211" s="98" t="inlineStr">
        <is>
          <t>San Luis Transport</t>
        </is>
      </c>
      <c r="C211" s="98" t="inlineStr">
        <is>
          <t>INV-1207</t>
        </is>
      </c>
      <c r="D211" s="98" t="inlineStr">
        <is>
          <t>Bulk Diesel</t>
        </is>
      </c>
      <c r="E211" s="103" t="n">
        <v>487</v>
      </c>
      <c r="F211" s="104" t="n">
        <v>3.63</v>
      </c>
      <c r="G211" s="98">
        <f>IF(OR(E211="",F211=""),"",E211*F211)</f>
        <v/>
      </c>
      <c r="H211" s="104" t="n">
        <v>0</v>
      </c>
      <c r="I211" s="98" t="n"/>
    </row>
    <row r="212">
      <c r="A212" s="102" t="n">
        <v>45897</v>
      </c>
      <c r="B212" s="98" t="inlineStr">
        <is>
          <t>San Luis Transport</t>
        </is>
      </c>
      <c r="C212" s="98" t="inlineStr">
        <is>
          <t>INV-1208</t>
        </is>
      </c>
      <c r="D212" s="98" t="inlineStr">
        <is>
          <t>Tank Inspection</t>
        </is>
      </c>
      <c r="E212" s="103" t="n">
        <v>1</v>
      </c>
      <c r="F212" s="104" t="n">
        <v>1285.18</v>
      </c>
      <c r="G212" s="98">
        <f>IF(OR(E212="",F212=""),"",E212*F212)</f>
        <v/>
      </c>
      <c r="H212" s="104" t="n">
        <v>37.27</v>
      </c>
      <c r="I212" s="98" t="n"/>
    </row>
    <row r="213">
      <c r="A213" s="102" t="n">
        <v>45898</v>
      </c>
      <c r="B213" s="98" t="inlineStr">
        <is>
          <t>Arkansas Valley Oil</t>
        </is>
      </c>
      <c r="C213" s="98" t="inlineStr">
        <is>
          <t>INV-1209</t>
        </is>
      </c>
      <c r="D213" s="98" t="inlineStr">
        <is>
          <t>Fleet Fuel Drop</t>
        </is>
      </c>
      <c r="E213" s="103" t="n">
        <v>389</v>
      </c>
      <c r="F213" s="104" t="n">
        <v>3.63</v>
      </c>
      <c r="G213" s="98">
        <f>IF(OR(E213="",F213=""),"",E213*F213)</f>
        <v/>
      </c>
      <c r="H213" s="104" t="n">
        <v>0</v>
      </c>
      <c r="I213" s="98" t="n"/>
    </row>
    <row r="214">
      <c r="A214" s="102" t="n">
        <v>45901</v>
      </c>
      <c r="B214" s="98" t="inlineStr">
        <is>
          <t>High Plains Co</t>
        </is>
      </c>
      <c r="C214" s="98" t="inlineStr">
        <is>
          <t>INV-1210</t>
        </is>
      </c>
      <c r="D214" s="98" t="inlineStr">
        <is>
          <t>Bulk Diesel</t>
        </is>
      </c>
      <c r="E214" s="103" t="n">
        <v>401</v>
      </c>
      <c r="F214" s="104" t="n">
        <v>3.62</v>
      </c>
      <c r="G214" s="98">
        <f>IF(OR(E214="",F214=""),"",E214*F214)</f>
        <v/>
      </c>
      <c r="H214" s="104" t="n">
        <v>42.1</v>
      </c>
      <c r="I214" s="98" t="n"/>
    </row>
    <row r="215">
      <c r="A215" s="102" t="n">
        <v>45902</v>
      </c>
      <c r="B215" s="98" t="inlineStr">
        <is>
          <t>Acme Petroleum</t>
        </is>
      </c>
      <c r="C215" s="98" t="inlineStr">
        <is>
          <t>INV-1211</t>
        </is>
      </c>
      <c r="D215" s="98" t="inlineStr">
        <is>
          <t>Filter Service</t>
        </is>
      </c>
      <c r="E215" s="103" t="n">
        <v>1</v>
      </c>
      <c r="F215" s="104" t="n">
        <v>875.65</v>
      </c>
      <c r="G215" s="98">
        <f>IF(OR(E215="",F215=""),"",E215*F215)</f>
        <v/>
      </c>
      <c r="H215" s="104" t="n">
        <v>0</v>
      </c>
      <c r="I215" s="98" t="n"/>
    </row>
    <row r="216">
      <c r="A216" s="102" t="n">
        <v>45903</v>
      </c>
      <c r="B216" s="98" t="inlineStr">
        <is>
          <t>Front Range Inc</t>
        </is>
      </c>
      <c r="C216" s="98" t="inlineStr">
        <is>
          <t>INV-1212</t>
        </is>
      </c>
      <c r="D216" s="98" t="inlineStr">
        <is>
          <t>Premium Fuel Delivery</t>
        </is>
      </c>
      <c r="E216" s="103" t="n">
        <v>428</v>
      </c>
      <c r="F216" s="104" t="n">
        <v>3.6</v>
      </c>
      <c r="G216" s="98">
        <f>IF(OR(E216="",F216=""),"",E216*F216)</f>
        <v/>
      </c>
      <c r="H216" s="104" t="n">
        <v>44.68</v>
      </c>
      <c r="I216" s="98" t="n"/>
    </row>
    <row r="217">
      <c r="A217" s="102" t="n">
        <v>45904</v>
      </c>
      <c r="B217" s="98" t="inlineStr">
        <is>
          <t>Centennial Hauling</t>
        </is>
      </c>
      <c r="C217" s="98" t="inlineStr">
        <is>
          <t>INV-1213</t>
        </is>
      </c>
      <c r="D217" s="98" t="inlineStr">
        <is>
          <t>Premium Fuel Delivery</t>
        </is>
      </c>
      <c r="E217" s="103" t="n">
        <v>393</v>
      </c>
      <c r="F217" s="104" t="n">
        <v>3.58</v>
      </c>
      <c r="G217" s="98">
        <f>IF(OR(E217="",F217=""),"",E217*F217)</f>
        <v/>
      </c>
      <c r="H217" s="104" t="n">
        <v>40.8</v>
      </c>
      <c r="I217" s="98" t="n"/>
    </row>
    <row r="218">
      <c r="A218" s="102" t="n">
        <v>45905</v>
      </c>
      <c r="B218" s="98" t="inlineStr">
        <is>
          <t>Centennial Hauling</t>
        </is>
      </c>
      <c r="C218" s="98" t="inlineStr">
        <is>
          <t>INV-1214</t>
        </is>
      </c>
      <c r="D218" s="98" t="inlineStr">
        <is>
          <t>Premium Fuel Delivery</t>
        </is>
      </c>
      <c r="E218" s="103" t="n">
        <v>299</v>
      </c>
      <c r="F218" s="104" t="n">
        <v>3.6</v>
      </c>
      <c r="G218" s="98">
        <f>IF(OR(E218="",F218=""),"",E218*F218)</f>
        <v/>
      </c>
      <c r="H218" s="104" t="n">
        <v>31.22</v>
      </c>
      <c r="I218" s="98" t="n"/>
    </row>
    <row r="219">
      <c r="A219" s="102" t="n">
        <v>45908</v>
      </c>
      <c r="B219" s="98" t="inlineStr">
        <is>
          <t>Pikes Peak Energy</t>
        </is>
      </c>
      <c r="C219" s="98" t="inlineStr">
        <is>
          <t>INV-1215</t>
        </is>
      </c>
      <c r="D219" s="98" t="inlineStr">
        <is>
          <t>Bulk Diesel</t>
        </is>
      </c>
      <c r="E219" s="103" t="n">
        <v>220</v>
      </c>
      <c r="F219" s="104" t="n">
        <v>3.56</v>
      </c>
      <c r="G219" s="98">
        <f>IF(OR(E219="",F219=""),"",E219*F219)</f>
        <v/>
      </c>
      <c r="H219" s="104" t="n">
        <v>22.71</v>
      </c>
      <c r="I219" s="98" t="n"/>
    </row>
    <row r="220">
      <c r="A220" s="102" t="n">
        <v>45909</v>
      </c>
      <c r="B220" s="98" t="inlineStr">
        <is>
          <t>Acme Petroleum</t>
        </is>
      </c>
      <c r="C220" s="98" t="inlineStr">
        <is>
          <t>INV-1216</t>
        </is>
      </c>
      <c r="D220" s="98" t="inlineStr">
        <is>
          <t>Bulk Diesel</t>
        </is>
      </c>
      <c r="E220" s="103" t="n">
        <v>247</v>
      </c>
      <c r="F220" s="104" t="n">
        <v>3.59</v>
      </c>
      <c r="G220" s="98">
        <f>IF(OR(E220="",F220=""),"",E220*F220)</f>
        <v/>
      </c>
      <c r="H220" s="104" t="n">
        <v>25.72</v>
      </c>
      <c r="I220" s="98" t="n"/>
    </row>
    <row r="221">
      <c r="A221" s="102" t="n">
        <v>45910</v>
      </c>
      <c r="B221" s="98" t="inlineStr">
        <is>
          <t>Mountain View Fleet</t>
        </is>
      </c>
      <c r="C221" s="98" t="inlineStr">
        <is>
          <t>INV-1217</t>
        </is>
      </c>
      <c r="D221" s="98" t="inlineStr">
        <is>
          <t>Diesel Delivery</t>
        </is>
      </c>
      <c r="E221" s="103" t="n">
        <v>258</v>
      </c>
      <c r="F221" s="104" t="n">
        <v>3.54</v>
      </c>
      <c r="G221" s="98">
        <f>IF(OR(E221="",F221=""),"",E221*F221)</f>
        <v/>
      </c>
      <c r="H221" s="104" t="n">
        <v>0</v>
      </c>
      <c r="I221" s="98" t="n"/>
    </row>
    <row r="222">
      <c r="A222" s="102" t="n">
        <v>45911</v>
      </c>
      <c r="B222" s="98" t="inlineStr">
        <is>
          <t>Centennial Hauling</t>
        </is>
      </c>
      <c r="C222" s="98" t="inlineStr">
        <is>
          <t>INV-1218</t>
        </is>
      </c>
      <c r="D222" s="98" t="inlineStr">
        <is>
          <t>Diesel Delivery</t>
        </is>
      </c>
      <c r="E222" s="103" t="n">
        <v>289</v>
      </c>
      <c r="F222" s="104" t="n">
        <v>3.59</v>
      </c>
      <c r="G222" s="98">
        <f>IF(OR(E222="",F222=""),"",E222*F222)</f>
        <v/>
      </c>
      <c r="H222" s="104" t="n">
        <v>30.09</v>
      </c>
      <c r="I222" s="98" t="n"/>
    </row>
    <row r="223">
      <c r="A223" s="102" t="n">
        <v>45912</v>
      </c>
      <c r="B223" s="98" t="inlineStr">
        <is>
          <t>Centennial Hauling</t>
        </is>
      </c>
      <c r="C223" s="98" t="inlineStr">
        <is>
          <t>INV-1219</t>
        </is>
      </c>
      <c r="D223" s="98" t="inlineStr">
        <is>
          <t>Diesel Delivery</t>
        </is>
      </c>
      <c r="E223" s="103" t="n">
        <v>316</v>
      </c>
      <c r="F223" s="104" t="n">
        <v>3.52</v>
      </c>
      <c r="G223" s="98">
        <f>IF(OR(E223="",F223=""),"",E223*F223)</f>
        <v/>
      </c>
      <c r="H223" s="104" t="n">
        <v>0</v>
      </c>
      <c r="I223" s="98" t="n"/>
    </row>
    <row r="224">
      <c r="A224" s="102" t="n">
        <v>45915</v>
      </c>
      <c r="B224" s="98" t="inlineStr">
        <is>
          <t>Front Range Inc</t>
        </is>
      </c>
      <c r="C224" s="98" t="inlineStr">
        <is>
          <t>INV-1220</t>
        </is>
      </c>
      <c r="D224" s="98" t="inlineStr">
        <is>
          <t>Unleaded Delivery</t>
        </is>
      </c>
      <c r="E224" s="103" t="n">
        <v>380</v>
      </c>
      <c r="F224" s="104" t="n">
        <v>3.57</v>
      </c>
      <c r="G224" s="98">
        <f>IF(OR(E224="",F224=""),"",E224*F224)</f>
        <v/>
      </c>
      <c r="H224" s="104" t="n">
        <v>39.34</v>
      </c>
      <c r="I224" s="98" t="n"/>
    </row>
    <row r="225">
      <c r="A225" s="102" t="n">
        <v>45916</v>
      </c>
      <c r="B225" s="98" t="inlineStr">
        <is>
          <t>High Plains Co</t>
        </is>
      </c>
      <c r="C225" s="98" t="inlineStr">
        <is>
          <t>INV-1221</t>
        </is>
      </c>
      <c r="D225" s="98" t="inlineStr">
        <is>
          <t>Fleet Fuel Drop</t>
        </is>
      </c>
      <c r="E225" s="103" t="n">
        <v>454</v>
      </c>
      <c r="F225" s="104" t="n">
        <v>3.52</v>
      </c>
      <c r="G225" s="98">
        <f>IF(OR(E225="",F225=""),"",E225*F225)</f>
        <v/>
      </c>
      <c r="H225" s="104" t="n">
        <v>0</v>
      </c>
      <c r="I225" s="98" t="n"/>
    </row>
    <row r="226">
      <c r="A226" s="102" t="n">
        <v>45917</v>
      </c>
      <c r="B226" s="98" t="inlineStr">
        <is>
          <t>Arkansas Valley Oil</t>
        </is>
      </c>
      <c r="C226" s="98" t="inlineStr">
        <is>
          <t>INV-1222</t>
        </is>
      </c>
      <c r="D226" s="98" t="inlineStr">
        <is>
          <t>Bulk Diesel</t>
        </is>
      </c>
      <c r="E226" s="103" t="n">
        <v>516</v>
      </c>
      <c r="F226" s="104" t="n">
        <v>3.51</v>
      </c>
      <c r="G226" s="98">
        <f>IF(OR(E226="",F226=""),"",E226*F226)</f>
        <v/>
      </c>
      <c r="H226" s="104" t="n">
        <v>0</v>
      </c>
      <c r="I226" s="98" t="n"/>
    </row>
    <row r="227">
      <c r="A227" s="102" t="n">
        <v>45918</v>
      </c>
      <c r="B227" s="98" t="inlineStr">
        <is>
          <t>Colorado Fuel Corp</t>
        </is>
      </c>
      <c r="C227" s="98" t="inlineStr">
        <is>
          <t>INV-1223</t>
        </is>
      </c>
      <c r="D227" s="98" t="inlineStr">
        <is>
          <t>Filter Service</t>
        </is>
      </c>
      <c r="E227" s="103" t="n">
        <v>1</v>
      </c>
      <c r="F227" s="104" t="n">
        <v>1123.35</v>
      </c>
      <c r="G227" s="98">
        <f>IF(OR(E227="",F227=""),"",E227*F227)</f>
        <v/>
      </c>
      <c r="H227" s="104" t="n">
        <v>32.58</v>
      </c>
      <c r="I227" s="98" t="n"/>
    </row>
    <row r="228">
      <c r="A228" s="102" t="n">
        <v>45919</v>
      </c>
      <c r="B228" s="98" t="inlineStr">
        <is>
          <t>High Plains Co</t>
        </is>
      </c>
      <c r="C228" s="98" t="inlineStr">
        <is>
          <t>INV-1224</t>
        </is>
      </c>
      <c r="D228" s="98" t="inlineStr">
        <is>
          <t>Premium Fuel Delivery</t>
        </is>
      </c>
      <c r="E228" s="103" t="n">
        <v>512</v>
      </c>
      <c r="F228" s="104" t="n">
        <v>3.49</v>
      </c>
      <c r="G228" s="98">
        <f>IF(OR(E228="",F228=""),"",E228*F228)</f>
        <v/>
      </c>
      <c r="H228" s="104" t="n">
        <v>51.82</v>
      </c>
      <c r="I228" s="98" t="n"/>
    </row>
    <row r="229">
      <c r="A229" s="102" t="n">
        <v>45922</v>
      </c>
      <c r="B229" s="98" t="inlineStr">
        <is>
          <t>Centennial Hauling</t>
        </is>
      </c>
      <c r="C229" s="98" t="inlineStr">
        <is>
          <t>INV-1225</t>
        </is>
      </c>
      <c r="D229" s="98" t="inlineStr">
        <is>
          <t>Diesel Delivery</t>
        </is>
      </c>
      <c r="E229" s="103" t="n">
        <v>512</v>
      </c>
      <c r="F229" s="104" t="n">
        <v>3.48</v>
      </c>
      <c r="G229" s="98">
        <f>IF(OR(E229="",F229=""),"",E229*F229)</f>
        <v/>
      </c>
      <c r="H229" s="104" t="n">
        <v>51.67</v>
      </c>
      <c r="I229" s="98" t="n"/>
    </row>
    <row r="230">
      <c r="A230" s="102" t="n">
        <v>45923</v>
      </c>
      <c r="B230" s="98" t="inlineStr">
        <is>
          <t>Summit Logistics</t>
        </is>
      </c>
      <c r="C230" s="98" t="inlineStr">
        <is>
          <t>INV-1226</t>
        </is>
      </c>
      <c r="D230" s="98" t="inlineStr">
        <is>
          <t>Premium Fuel Delivery</t>
        </is>
      </c>
      <c r="E230" s="103" t="n">
        <v>466</v>
      </c>
      <c r="F230" s="104" t="n">
        <v>3.5</v>
      </c>
      <c r="G230" s="98">
        <f>IF(OR(E230="",F230=""),"",E230*F230)</f>
        <v/>
      </c>
      <c r="H230" s="104" t="n">
        <v>47.3</v>
      </c>
      <c r="I230" s="98" t="n"/>
    </row>
    <row r="231">
      <c r="A231" s="102" t="n">
        <v>45924</v>
      </c>
      <c r="B231" s="98" t="inlineStr">
        <is>
          <t>Pueblo Supply Chain</t>
        </is>
      </c>
      <c r="C231" s="98" t="inlineStr">
        <is>
          <t>INV-1227</t>
        </is>
      </c>
      <c r="D231" s="98" t="inlineStr">
        <is>
          <t>Premium Fuel Delivery</t>
        </is>
      </c>
      <c r="E231" s="103" t="n">
        <v>470</v>
      </c>
      <c r="F231" s="104" t="n">
        <v>3.49</v>
      </c>
      <c r="G231" s="98">
        <f>IF(OR(E231="",F231=""),"",E231*F231)</f>
        <v/>
      </c>
      <c r="H231" s="104" t="n">
        <v>47.57</v>
      </c>
      <c r="I231" s="98" t="n"/>
    </row>
    <row r="232">
      <c r="A232" s="102" t="n">
        <v>45925</v>
      </c>
      <c r="B232" s="98" t="inlineStr">
        <is>
          <t>Western Slope Transport</t>
        </is>
      </c>
      <c r="C232" s="98" t="inlineStr">
        <is>
          <t>INV-1228</t>
        </is>
      </c>
      <c r="D232" s="98" t="inlineStr">
        <is>
          <t>Line Flush Service</t>
        </is>
      </c>
      <c r="E232" s="103" t="n">
        <v>1</v>
      </c>
      <c r="F232" s="104" t="n">
        <v>1263.78</v>
      </c>
      <c r="G232" s="98">
        <f>IF(OR(E232="",F232=""),"",E232*F232)</f>
        <v/>
      </c>
      <c r="H232" s="104" t="n">
        <v>36.65</v>
      </c>
      <c r="I232" s="98" t="n"/>
    </row>
    <row r="233">
      <c r="A233" s="102" t="n">
        <v>45926</v>
      </c>
      <c r="B233" s="98" t="inlineStr">
        <is>
          <t>Summit Logistics</t>
        </is>
      </c>
      <c r="C233" s="98" t="inlineStr">
        <is>
          <t>INV-1229</t>
        </is>
      </c>
      <c r="D233" s="98" t="inlineStr">
        <is>
          <t>Unleaded Delivery</t>
        </is>
      </c>
      <c r="E233" s="103" t="n">
        <v>536</v>
      </c>
      <c r="F233" s="104" t="n">
        <v>3.46</v>
      </c>
      <c r="G233" s="98">
        <f>IF(OR(E233="",F233=""),"",E233*F233)</f>
        <v/>
      </c>
      <c r="H233" s="104" t="n">
        <v>53.78</v>
      </c>
      <c r="I233" s="98" t="n"/>
    </row>
    <row r="234">
      <c r="A234" s="102" t="n">
        <v>45929</v>
      </c>
      <c r="B234" s="98" t="inlineStr">
        <is>
          <t>Summit Logistics</t>
        </is>
      </c>
      <c r="C234" s="98" t="inlineStr">
        <is>
          <t>INV-1230</t>
        </is>
      </c>
      <c r="D234" s="98" t="inlineStr">
        <is>
          <t>Unleaded Delivery</t>
        </is>
      </c>
      <c r="E234" s="103" t="n">
        <v>508</v>
      </c>
      <c r="F234" s="104" t="n">
        <v>3.44</v>
      </c>
      <c r="G234" s="98">
        <f>IF(OR(E234="",F234=""),"",E234*F234)</f>
        <v/>
      </c>
      <c r="H234" s="104" t="n">
        <v>50.68</v>
      </c>
      <c r="I234" s="98" t="n"/>
    </row>
    <row r="235">
      <c r="A235" s="102" t="n">
        <v>45930</v>
      </c>
      <c r="B235" s="98" t="inlineStr">
        <is>
          <t>Mesa Verde Logistics</t>
        </is>
      </c>
      <c r="C235" s="98" t="inlineStr">
        <is>
          <t>INV-1231</t>
        </is>
      </c>
      <c r="D235" s="98" t="inlineStr">
        <is>
          <t>Premium Fuel Delivery</t>
        </is>
      </c>
      <c r="E235" s="103" t="n">
        <v>556</v>
      </c>
      <c r="F235" s="104" t="n">
        <v>3.45</v>
      </c>
      <c r="G235" s="98">
        <f>IF(OR(E235="",F235=""),"",E235*F235)</f>
        <v/>
      </c>
      <c r="H235" s="104" t="n">
        <v>55.63</v>
      </c>
      <c r="I235" s="98" t="n"/>
    </row>
    <row r="236">
      <c r="A236" s="102" t="n">
        <v>45931</v>
      </c>
      <c r="B236" s="98" t="inlineStr">
        <is>
          <t>Centennial Hauling</t>
        </is>
      </c>
      <c r="C236" s="98" t="inlineStr">
        <is>
          <t>INV-1232</t>
        </is>
      </c>
      <c r="D236" s="98" t="inlineStr">
        <is>
          <t>Diesel Delivery</t>
        </is>
      </c>
      <c r="E236" s="103" t="n">
        <v>483</v>
      </c>
      <c r="F236" s="104" t="n">
        <v>3.46</v>
      </c>
      <c r="G236" s="98">
        <f>IF(OR(E236="",F236=""),"",E236*F236)</f>
        <v/>
      </c>
      <c r="H236" s="104" t="n">
        <v>48.46</v>
      </c>
      <c r="I236" s="98" t="n"/>
    </row>
    <row r="237">
      <c r="A237" s="102" t="n">
        <v>45932</v>
      </c>
      <c r="B237" s="98" t="inlineStr">
        <is>
          <t>Mountain View Fleet</t>
        </is>
      </c>
      <c r="C237" s="98" t="inlineStr">
        <is>
          <t>INV-1233</t>
        </is>
      </c>
      <c r="D237" s="98" t="inlineStr">
        <is>
          <t>Tank Inspection</t>
        </is>
      </c>
      <c r="E237" s="103" t="n">
        <v>1</v>
      </c>
      <c r="F237" s="104" t="n">
        <v>1106.39</v>
      </c>
      <c r="G237" s="98">
        <f>IF(OR(E237="",F237=""),"",E237*F237)</f>
        <v/>
      </c>
      <c r="H237" s="104" t="n">
        <v>32.09</v>
      </c>
      <c r="I237" s="98" t="n"/>
    </row>
    <row r="238">
      <c r="A238" s="102" t="n">
        <v>45933</v>
      </c>
      <c r="B238" s="98" t="inlineStr">
        <is>
          <t>Summit Logistics</t>
        </is>
      </c>
      <c r="C238" s="98" t="inlineStr">
        <is>
          <t>INV-1234</t>
        </is>
      </c>
      <c r="D238" s="98" t="inlineStr">
        <is>
          <t>Premium Fuel Delivery</t>
        </is>
      </c>
      <c r="E238" s="103" t="n">
        <v>515</v>
      </c>
      <c r="F238" s="104" t="n">
        <v>3.4</v>
      </c>
      <c r="G238" s="98">
        <f>IF(OR(E238="",F238=""),"",E238*F238)</f>
        <v/>
      </c>
      <c r="H238" s="104" t="n">
        <v>50.78</v>
      </c>
      <c r="I238" s="98" t="n"/>
    </row>
    <row r="239">
      <c r="A239" s="102" t="n">
        <v>45936</v>
      </c>
      <c r="B239" s="98" t="inlineStr">
        <is>
          <t>Acme Petroleum</t>
        </is>
      </c>
      <c r="C239" s="98" t="inlineStr">
        <is>
          <t>INV-1235</t>
        </is>
      </c>
      <c r="D239" s="98" t="inlineStr">
        <is>
          <t>Premium Fuel Delivery</t>
        </is>
      </c>
      <c r="E239" s="103" t="n">
        <v>548</v>
      </c>
      <c r="F239" s="104" t="n">
        <v>3.43</v>
      </c>
      <c r="G239" s="98">
        <f>IF(OR(E239="",F239=""),"",E239*F239)</f>
        <v/>
      </c>
      <c r="H239" s="104" t="n">
        <v>54.51</v>
      </c>
      <c r="I239" s="98" t="n"/>
    </row>
    <row r="240">
      <c r="A240" s="102" t="n">
        <v>45937</v>
      </c>
      <c r="B240" s="98" t="inlineStr">
        <is>
          <t>Summit Logistics</t>
        </is>
      </c>
      <c r="C240" s="98" t="inlineStr">
        <is>
          <t>INV-1236</t>
        </is>
      </c>
      <c r="D240" s="98" t="inlineStr">
        <is>
          <t>Bulk Diesel</t>
        </is>
      </c>
      <c r="E240" s="103" t="n">
        <v>500</v>
      </c>
      <c r="F240" s="104" t="n">
        <v>3.43</v>
      </c>
      <c r="G240" s="98">
        <f>IF(OR(E240="",F240=""),"",E240*F240)</f>
        <v/>
      </c>
      <c r="H240" s="104" t="n">
        <v>49.73</v>
      </c>
      <c r="I240" s="98" t="n"/>
    </row>
    <row r="241">
      <c r="A241" s="102" t="n">
        <v>45938</v>
      </c>
      <c r="B241" s="98" t="inlineStr">
        <is>
          <t>Arkansas Valley Oil</t>
        </is>
      </c>
      <c r="C241" s="98" t="inlineStr">
        <is>
          <t>INV-1237</t>
        </is>
      </c>
      <c r="D241" s="98" t="inlineStr">
        <is>
          <t>Premium Fuel Delivery</t>
        </is>
      </c>
      <c r="E241" s="103" t="n">
        <v>518</v>
      </c>
      <c r="F241" s="104" t="n">
        <v>3.43</v>
      </c>
      <c r="G241" s="98">
        <f>IF(OR(E241="",F241=""),"",E241*F241)</f>
        <v/>
      </c>
      <c r="H241" s="104" t="n">
        <v>51.53</v>
      </c>
      <c r="I241" s="98" t="n"/>
    </row>
    <row r="242">
      <c r="A242" s="102" t="n">
        <v>45939</v>
      </c>
      <c r="B242" s="98" t="inlineStr">
        <is>
          <t>Royal Gorge Freight</t>
        </is>
      </c>
      <c r="C242" s="98" t="inlineStr">
        <is>
          <t>INV-1238</t>
        </is>
      </c>
      <c r="D242" s="98" t="inlineStr">
        <is>
          <t>Line Flush Service</t>
        </is>
      </c>
      <c r="E242" s="103" t="n">
        <v>1</v>
      </c>
      <c r="F242" s="104" t="n">
        <v>1514.93</v>
      </c>
      <c r="G242" s="98">
        <f>IF(OR(E242="",F242=""),"",E242*F242)</f>
        <v/>
      </c>
      <c r="H242" s="104" t="n">
        <v>0</v>
      </c>
      <c r="I242" s="98" t="n"/>
    </row>
    <row r="243">
      <c r="A243" s="102" t="n">
        <v>45940</v>
      </c>
      <c r="B243" s="98" t="inlineStr">
        <is>
          <t>Royal Gorge Freight</t>
        </is>
      </c>
      <c r="C243" s="98" t="inlineStr">
        <is>
          <t>INV-1239</t>
        </is>
      </c>
      <c r="D243" s="98" t="inlineStr">
        <is>
          <t>Unleaded Delivery</t>
        </is>
      </c>
      <c r="E243" s="103" t="n">
        <v>523</v>
      </c>
      <c r="F243" s="104" t="n">
        <v>3.39</v>
      </c>
      <c r="G243" s="98">
        <f>IF(OR(E243="",F243=""),"",E243*F243)</f>
        <v/>
      </c>
      <c r="H243" s="104" t="n">
        <v>51.42</v>
      </c>
      <c r="I243" s="98" t="n"/>
    </row>
    <row r="244">
      <c r="A244" s="102" t="n">
        <v>45943</v>
      </c>
      <c r="B244" s="98" t="inlineStr">
        <is>
          <t>Pueblo Supply Chain</t>
        </is>
      </c>
      <c r="C244" s="98" t="inlineStr">
        <is>
          <t>INV-1240</t>
        </is>
      </c>
      <c r="D244" s="98" t="inlineStr">
        <is>
          <t>Premium Fuel Delivery</t>
        </is>
      </c>
      <c r="E244" s="103" t="n">
        <v>528</v>
      </c>
      <c r="F244" s="104" t="n">
        <v>3.36</v>
      </c>
      <c r="G244" s="98">
        <f>IF(OR(E244="",F244=""),"",E244*F244)</f>
        <v/>
      </c>
      <c r="H244" s="104" t="n">
        <v>51.45</v>
      </c>
      <c r="I244" s="98" t="n"/>
    </row>
    <row r="245">
      <c r="A245" s="102" t="n">
        <v>45944</v>
      </c>
      <c r="B245" s="98" t="inlineStr">
        <is>
          <t>Centennial Hauling</t>
        </is>
      </c>
      <c r="C245" s="98" t="inlineStr">
        <is>
          <t>INV-1241</t>
        </is>
      </c>
      <c r="D245" s="98" t="inlineStr">
        <is>
          <t>Fleet Fuel Drop</t>
        </is>
      </c>
      <c r="E245" s="103" t="n">
        <v>557</v>
      </c>
      <c r="F245" s="104" t="n">
        <v>3.85</v>
      </c>
      <c r="G245" s="98">
        <f>IF(OR(E245="",F245=""),"",E245*F245)</f>
        <v/>
      </c>
      <c r="H245" s="104" t="n">
        <v>62.19</v>
      </c>
      <c r="I245" s="98" t="n"/>
    </row>
    <row r="246">
      <c r="A246" s="102" t="n">
        <v>45945</v>
      </c>
      <c r="B246" s="98" t="inlineStr">
        <is>
          <t>Mesa Verde Logistics</t>
        </is>
      </c>
      <c r="C246" s="98" t="inlineStr">
        <is>
          <t>INV-1242</t>
        </is>
      </c>
      <c r="D246" s="98" t="inlineStr">
        <is>
          <t>Line Flush Service</t>
        </is>
      </c>
      <c r="E246" s="103" t="n">
        <v>1</v>
      </c>
      <c r="F246" s="104" t="n">
        <v>1255.23</v>
      </c>
      <c r="G246" s="98">
        <f>IF(OR(E246="",F246=""),"",E246*F246)</f>
        <v/>
      </c>
      <c r="H246" s="104" t="n">
        <v>36.4</v>
      </c>
      <c r="I246" s="98" t="n"/>
    </row>
    <row r="247">
      <c r="A247" s="102" t="n">
        <v>45946</v>
      </c>
      <c r="B247" s="98" t="inlineStr">
        <is>
          <t>Mountain View Fleet</t>
        </is>
      </c>
      <c r="C247" s="98" t="inlineStr">
        <is>
          <t>INV-1243</t>
        </is>
      </c>
      <c r="D247" s="98" t="inlineStr">
        <is>
          <t>Premium Fuel Delivery</t>
        </is>
      </c>
      <c r="E247" s="103" t="n">
        <v>620</v>
      </c>
      <c r="F247" s="104" t="n">
        <v>3.91</v>
      </c>
      <c r="G247" s="98">
        <f>IF(OR(E247="",F247=""),"",E247*F247)</f>
        <v/>
      </c>
      <c r="H247" s="104" t="n">
        <v>70.3</v>
      </c>
      <c r="I247" s="98" t="n"/>
    </row>
    <row r="248">
      <c r="A248" s="102" t="n">
        <v>45947</v>
      </c>
      <c r="B248" s="98" t="inlineStr">
        <is>
          <t>Pikes Peak Energy</t>
        </is>
      </c>
      <c r="C248" s="98" t="inlineStr">
        <is>
          <t>INV-1244</t>
        </is>
      </c>
      <c r="D248" s="98" t="inlineStr">
        <is>
          <t>Diesel Delivery</t>
        </is>
      </c>
      <c r="E248" s="103" t="n">
        <v>559</v>
      </c>
      <c r="F248" s="104" t="n">
        <v>3.84</v>
      </c>
      <c r="G248" s="98">
        <f>IF(OR(E248="",F248=""),"",E248*F248)</f>
        <v/>
      </c>
      <c r="H248" s="104" t="n">
        <v>62.25</v>
      </c>
      <c r="I248" s="98" t="n"/>
    </row>
    <row r="249">
      <c r="A249" s="102" t="n">
        <v>45950</v>
      </c>
      <c r="B249" s="98" t="inlineStr">
        <is>
          <t>Centennial Hauling</t>
        </is>
      </c>
      <c r="C249" s="98" t="inlineStr">
        <is>
          <t>INV-1245</t>
        </is>
      </c>
      <c r="D249" s="98" t="inlineStr">
        <is>
          <t>Unleaded Delivery</t>
        </is>
      </c>
      <c r="E249" s="103" t="n">
        <v>547</v>
      </c>
      <c r="F249" s="104" t="n">
        <v>3.83</v>
      </c>
      <c r="G249" s="98">
        <f>IF(OR(E249="",F249=""),"",E249*F249)</f>
        <v/>
      </c>
      <c r="H249" s="104" t="n">
        <v>60.76</v>
      </c>
      <c r="I249" s="98" t="n"/>
    </row>
    <row r="250">
      <c r="A250" s="102" t="n">
        <v>45951</v>
      </c>
      <c r="B250" s="98" t="inlineStr">
        <is>
          <t>Mountain View Fleet</t>
        </is>
      </c>
      <c r="C250" s="98" t="inlineStr">
        <is>
          <t>INV-1246</t>
        </is>
      </c>
      <c r="D250" s="98" t="inlineStr">
        <is>
          <t>Line Flush Service</t>
        </is>
      </c>
      <c r="E250" s="103" t="n">
        <v>1</v>
      </c>
      <c r="F250" s="104" t="n">
        <v>1436.11</v>
      </c>
      <c r="G250" s="98">
        <f>IF(OR(E250="",F250=""),"",E250*F250)</f>
        <v/>
      </c>
      <c r="H250" s="104" t="n">
        <v>0</v>
      </c>
      <c r="I250" s="98" t="n"/>
    </row>
    <row r="251">
      <c r="A251" s="102" t="n">
        <v>45952</v>
      </c>
      <c r="B251" s="98" t="inlineStr">
        <is>
          <t>High Plains Co</t>
        </is>
      </c>
      <c r="C251" s="98" t="inlineStr">
        <is>
          <t>INV-1247</t>
        </is>
      </c>
      <c r="D251" s="98" t="inlineStr">
        <is>
          <t>Premium Fuel Delivery</t>
        </is>
      </c>
      <c r="E251" s="103" t="n">
        <v>529</v>
      </c>
      <c r="F251" s="104" t="n">
        <v>3.81</v>
      </c>
      <c r="G251" s="98">
        <f>IF(OR(E251="",F251=""),"",E251*F251)</f>
        <v/>
      </c>
      <c r="H251" s="104" t="n">
        <v>58.45</v>
      </c>
      <c r="I251" s="98" t="n"/>
    </row>
    <row r="252">
      <c r="A252" s="102" t="n">
        <v>45953</v>
      </c>
      <c r="B252" s="98" t="inlineStr">
        <is>
          <t>Centennial Hauling</t>
        </is>
      </c>
      <c r="C252" s="98" t="inlineStr">
        <is>
          <t>INV-1248</t>
        </is>
      </c>
      <c r="D252" s="98" t="inlineStr">
        <is>
          <t>Premium Fuel Delivery</t>
        </is>
      </c>
      <c r="E252" s="103" t="n">
        <v>553</v>
      </c>
      <c r="F252" s="104" t="n">
        <v>3.81</v>
      </c>
      <c r="G252" s="98">
        <f>IF(OR(E252="",F252=""),"",E252*F252)</f>
        <v/>
      </c>
      <c r="H252" s="104" t="n">
        <v>0</v>
      </c>
      <c r="I252" s="98" t="n"/>
    </row>
    <row r="253">
      <c r="A253" s="102" t="n">
        <v>45954</v>
      </c>
      <c r="B253" s="98" t="inlineStr">
        <is>
          <t>San Luis Transport</t>
        </is>
      </c>
      <c r="C253" s="98" t="inlineStr">
        <is>
          <t>INV-1249</t>
        </is>
      </c>
      <c r="D253" s="98" t="inlineStr">
        <is>
          <t>Premium Fuel Delivery</t>
        </is>
      </c>
      <c r="E253" s="103" t="n">
        <v>541</v>
      </c>
      <c r="F253" s="104" t="n">
        <v>3.79</v>
      </c>
      <c r="G253" s="98">
        <f>IF(OR(E253="",F253=""),"",E253*F253)</f>
        <v/>
      </c>
      <c r="H253" s="104" t="n">
        <v>59.46</v>
      </c>
      <c r="I253" s="98" t="n"/>
    </row>
    <row r="254">
      <c r="A254" s="102" t="n">
        <v>45957</v>
      </c>
      <c r="B254" s="98" t="inlineStr">
        <is>
          <t>Springs Delivery Co</t>
        </is>
      </c>
      <c r="C254" s="98" t="inlineStr">
        <is>
          <t>INV-1250</t>
        </is>
      </c>
      <c r="D254" s="98" t="inlineStr">
        <is>
          <t>Premium Fuel Delivery</t>
        </is>
      </c>
      <c r="E254" s="103" t="n">
        <v>556</v>
      </c>
      <c r="F254" s="104" t="n">
        <v>3.81</v>
      </c>
      <c r="G254" s="98">
        <f>IF(OR(E254="",F254=""),"",E254*F254)</f>
        <v/>
      </c>
      <c r="H254" s="104" t="n">
        <v>0</v>
      </c>
      <c r="I254" s="98" t="n"/>
    </row>
    <row r="255">
      <c r="A255" s="102" t="n">
        <v>45958</v>
      </c>
      <c r="B255" s="98" t="inlineStr">
        <is>
          <t>Summit Logistics</t>
        </is>
      </c>
      <c r="C255" s="98" t="inlineStr">
        <is>
          <t>INV-1251</t>
        </is>
      </c>
      <c r="D255" s="98" t="inlineStr">
        <is>
          <t>Unleaded Delivery</t>
        </is>
      </c>
      <c r="E255" s="103" t="n">
        <v>607</v>
      </c>
      <c r="F255" s="104" t="n">
        <v>3.81</v>
      </c>
      <c r="G255" s="98">
        <f>IF(OR(E255="",F255=""),"",E255*F255)</f>
        <v/>
      </c>
      <c r="H255" s="104" t="n">
        <v>0</v>
      </c>
      <c r="I255" s="98" t="n"/>
    </row>
    <row r="256">
      <c r="A256" s="102" t="n">
        <v>45959</v>
      </c>
      <c r="B256" s="98" t="inlineStr">
        <is>
          <t>Colorado Fuel Corp</t>
        </is>
      </c>
      <c r="C256" s="98" t="inlineStr">
        <is>
          <t>INV-1252</t>
        </is>
      </c>
      <c r="D256" s="98" t="inlineStr">
        <is>
          <t>Line Flush Service</t>
        </is>
      </c>
      <c r="E256" s="103" t="n">
        <v>1</v>
      </c>
      <c r="F256" s="104" t="n">
        <v>915.5</v>
      </c>
      <c r="G256" s="98">
        <f>IF(OR(E256="",F256=""),"",E256*F256)</f>
        <v/>
      </c>
      <c r="H256" s="104" t="n">
        <v>26.55</v>
      </c>
      <c r="I256" s="98" t="n"/>
    </row>
    <row r="257">
      <c r="A257" s="102" t="n">
        <v>45960</v>
      </c>
      <c r="B257" s="98" t="inlineStr">
        <is>
          <t>Royal Gorge Freight</t>
        </is>
      </c>
      <c r="C257" s="98" t="inlineStr">
        <is>
          <t>INV-1253</t>
        </is>
      </c>
      <c r="D257" s="98" t="inlineStr">
        <is>
          <t>Unleaded Delivery</t>
        </is>
      </c>
      <c r="E257" s="103" t="n">
        <v>627</v>
      </c>
      <c r="F257" s="104" t="n">
        <v>3.8</v>
      </c>
      <c r="G257" s="98">
        <f>IF(OR(E257="",F257=""),"",E257*F257)</f>
        <v/>
      </c>
      <c r="H257" s="104" t="n">
        <v>69.09999999999999</v>
      </c>
      <c r="I257" s="98" t="n"/>
    </row>
    <row r="258">
      <c r="A258" s="102" t="n">
        <v>45961</v>
      </c>
      <c r="B258" s="98" t="inlineStr">
        <is>
          <t>Colorado Fuel Corp</t>
        </is>
      </c>
      <c r="C258" s="98" t="inlineStr">
        <is>
          <t>INV-1254</t>
        </is>
      </c>
      <c r="D258" s="98" t="inlineStr">
        <is>
          <t>Bulk Diesel</t>
        </is>
      </c>
      <c r="E258" s="103" t="n">
        <v>569</v>
      </c>
      <c r="F258" s="104" t="n">
        <v>3.75</v>
      </c>
      <c r="G258" s="98">
        <f>IF(OR(E258="",F258=""),"",E258*F258)</f>
        <v/>
      </c>
      <c r="H258" s="104" t="n">
        <v>61.88</v>
      </c>
      <c r="I258" s="98" t="n"/>
    </row>
    <row r="259">
      <c r="A259" s="102" t="n">
        <v>45964</v>
      </c>
      <c r="B259" s="98" t="inlineStr">
        <is>
          <t>Pikes Peak Energy</t>
        </is>
      </c>
      <c r="C259" s="98" t="inlineStr">
        <is>
          <t>INV-1255</t>
        </is>
      </c>
      <c r="D259" s="98" t="inlineStr">
        <is>
          <t>Diesel Delivery</t>
        </is>
      </c>
      <c r="E259" s="103" t="n">
        <v>563</v>
      </c>
      <c r="F259" s="104" t="n">
        <v>3.8</v>
      </c>
      <c r="G259" s="98">
        <f>IF(OR(E259="",F259=""),"",E259*F259)</f>
        <v/>
      </c>
      <c r="H259" s="104" t="n">
        <v>0</v>
      </c>
      <c r="I259" s="98" t="n"/>
    </row>
    <row r="260">
      <c r="A260" s="102" t="n">
        <v>45965</v>
      </c>
      <c r="B260" s="98" t="inlineStr">
        <is>
          <t>Pikes Peak Energy</t>
        </is>
      </c>
      <c r="C260" s="98" t="inlineStr">
        <is>
          <t>INV-1256</t>
        </is>
      </c>
      <c r="D260" s="98" t="inlineStr">
        <is>
          <t>Filter Service</t>
        </is>
      </c>
      <c r="E260" s="103" t="n">
        <v>1</v>
      </c>
      <c r="F260" s="104" t="n">
        <v>1889.62</v>
      </c>
      <c r="G260" s="98">
        <f>IF(OR(E260="",F260=""),"",E260*F260)</f>
        <v/>
      </c>
      <c r="H260" s="104" t="n">
        <v>54.8</v>
      </c>
      <c r="I260" s="98" t="n"/>
    </row>
    <row r="261">
      <c r="A261" s="102" t="n">
        <v>45966</v>
      </c>
      <c r="B261" s="98" t="inlineStr">
        <is>
          <t>Colorado Fuel Corp</t>
        </is>
      </c>
      <c r="C261" s="98" t="inlineStr">
        <is>
          <t>INV-1257</t>
        </is>
      </c>
      <c r="D261" s="98" t="inlineStr">
        <is>
          <t>Premium Fuel Delivery</t>
        </is>
      </c>
      <c r="E261" s="103" t="n">
        <v>568</v>
      </c>
      <c r="F261" s="104" t="n">
        <v>3.79</v>
      </c>
      <c r="G261" s="98">
        <f>IF(OR(E261="",F261=""),"",E261*F261)</f>
        <v/>
      </c>
      <c r="H261" s="104" t="n">
        <v>62.43</v>
      </c>
      <c r="I261" s="98" t="n"/>
    </row>
    <row r="262">
      <c r="A262" s="102" t="n">
        <v>45967</v>
      </c>
      <c r="B262" s="98" t="inlineStr">
        <is>
          <t>Western Slope Transport</t>
        </is>
      </c>
      <c r="C262" s="98" t="inlineStr">
        <is>
          <t>INV-1258</t>
        </is>
      </c>
      <c r="D262" s="98" t="inlineStr">
        <is>
          <t>Premium Fuel Delivery</t>
        </is>
      </c>
      <c r="E262" s="103" t="n">
        <v>561</v>
      </c>
      <c r="F262" s="104" t="n">
        <v>3.77</v>
      </c>
      <c r="G262" s="98">
        <f>IF(OR(E262="",F262=""),"",E262*F262)</f>
        <v/>
      </c>
      <c r="H262" s="104" t="n">
        <v>61.33</v>
      </c>
      <c r="I262" s="98" t="n"/>
    </row>
    <row r="263">
      <c r="A263" s="102" t="n">
        <v>45968</v>
      </c>
      <c r="B263" s="98" t="inlineStr">
        <is>
          <t>Mountain View Fleet</t>
        </is>
      </c>
      <c r="C263" s="98" t="inlineStr">
        <is>
          <t>INV-1259</t>
        </is>
      </c>
      <c r="D263" s="98" t="inlineStr">
        <is>
          <t>Fleet Fuel Drop</t>
        </is>
      </c>
      <c r="E263" s="103" t="n">
        <v>578</v>
      </c>
      <c r="F263" s="104" t="n">
        <v>3.76</v>
      </c>
      <c r="G263" s="98">
        <f>IF(OR(E263="",F263=""),"",E263*F263)</f>
        <v/>
      </c>
      <c r="H263" s="104" t="n">
        <v>63.03</v>
      </c>
      <c r="I263" s="98" t="n"/>
    </row>
    <row r="264">
      <c r="A264" s="102" t="n">
        <v>45971</v>
      </c>
      <c r="B264" s="98" t="inlineStr">
        <is>
          <t>Pikes Peak Energy</t>
        </is>
      </c>
      <c r="C264" s="98" t="inlineStr">
        <is>
          <t>INV-1260</t>
        </is>
      </c>
      <c r="D264" s="98" t="inlineStr">
        <is>
          <t>Bulk Diesel</t>
        </is>
      </c>
      <c r="E264" s="103" t="n">
        <v>494</v>
      </c>
      <c r="F264" s="104" t="n">
        <v>3.82</v>
      </c>
      <c r="G264" s="98">
        <f>IF(OR(E264="",F264=""),"",E264*F264)</f>
        <v/>
      </c>
      <c r="H264" s="104" t="n">
        <v>54.73</v>
      </c>
      <c r="I264" s="98" t="n"/>
    </row>
    <row r="265">
      <c r="A265" s="102" t="n">
        <v>45972</v>
      </c>
      <c r="B265" s="98" t="inlineStr">
        <is>
          <t>Summit Logistics</t>
        </is>
      </c>
      <c r="C265" s="98" t="inlineStr">
        <is>
          <t>INV-1261</t>
        </is>
      </c>
      <c r="D265" s="98" t="inlineStr">
        <is>
          <t>Motor Oil Case</t>
        </is>
      </c>
      <c r="E265" s="103" t="n">
        <v>160</v>
      </c>
      <c r="F265" s="104" t="n">
        <v>45.13</v>
      </c>
      <c r="G265" s="98">
        <f>IF(OR(E265="",F265=""),"",E265*F265)</f>
        <v/>
      </c>
      <c r="H265" s="104" t="n">
        <v>209.4</v>
      </c>
      <c r="I265" s="98" t="n"/>
    </row>
    <row r="266">
      <c r="A266" s="102" t="n">
        <v>45973</v>
      </c>
      <c r="B266" s="98" t="inlineStr">
        <is>
          <t>Summit Logistics</t>
        </is>
      </c>
      <c r="C266" s="98" t="inlineStr">
        <is>
          <t>INV-1262</t>
        </is>
      </c>
      <c r="D266" s="98" t="inlineStr">
        <is>
          <t>Pump Maintenance</t>
        </is>
      </c>
      <c r="E266" s="103" t="n">
        <v>1</v>
      </c>
      <c r="F266" s="104" t="n">
        <v>1352.35</v>
      </c>
      <c r="G266" s="98">
        <f>IF(OR(E266="",F266=""),"",E266*F266)</f>
        <v/>
      </c>
      <c r="H266" s="104" t="n">
        <v>39.22</v>
      </c>
      <c r="I266" s="98" t="n"/>
    </row>
    <row r="267">
      <c r="A267" s="102" t="n">
        <v>45974</v>
      </c>
      <c r="B267" s="98" t="inlineStr">
        <is>
          <t>Front Range Inc</t>
        </is>
      </c>
      <c r="C267" s="98" t="inlineStr">
        <is>
          <t>INV-1263</t>
        </is>
      </c>
      <c r="D267" s="98" t="inlineStr">
        <is>
          <t>Unleaded Delivery</t>
        </is>
      </c>
      <c r="E267" s="103" t="n">
        <v>652</v>
      </c>
      <c r="F267" s="104" t="n">
        <v>3.85</v>
      </c>
      <c r="G267" s="98">
        <f>IF(OR(E267="",F267=""),"",E267*F267)</f>
        <v/>
      </c>
      <c r="H267" s="104" t="n">
        <v>0</v>
      </c>
      <c r="I267" s="98" t="n"/>
    </row>
    <row r="268">
      <c r="A268" s="102" t="n">
        <v>45975</v>
      </c>
      <c r="B268" s="98" t="inlineStr">
        <is>
          <t>Pikes Peak Energy</t>
        </is>
      </c>
      <c r="C268" s="98" t="inlineStr">
        <is>
          <t>INV-1264</t>
        </is>
      </c>
      <c r="D268" s="98" t="inlineStr">
        <is>
          <t>Bulk Diesel</t>
        </is>
      </c>
      <c r="E268" s="103" t="n">
        <v>589</v>
      </c>
      <c r="F268" s="104" t="n">
        <v>3.85</v>
      </c>
      <c r="G268" s="98">
        <f>IF(OR(E268="",F268=""),"",E268*F268)</f>
        <v/>
      </c>
      <c r="H268" s="104" t="n">
        <v>65.76000000000001</v>
      </c>
      <c r="I268" s="98" t="n"/>
    </row>
    <row r="269">
      <c r="A269" s="102" t="n">
        <v>45978</v>
      </c>
      <c r="B269" s="98" t="inlineStr">
        <is>
          <t>Pueblo Supply Chain</t>
        </is>
      </c>
      <c r="C269" s="98" t="inlineStr">
        <is>
          <t>INV-1265</t>
        </is>
      </c>
      <c r="D269" s="98" t="inlineStr">
        <is>
          <t>Fleet Fuel Drop</t>
        </is>
      </c>
      <c r="E269" s="103" t="n">
        <v>750</v>
      </c>
      <c r="F269" s="104" t="n">
        <v>3.79</v>
      </c>
      <c r="G269" s="98">
        <f>IF(OR(E269="",F269=""),"",E269*F269)</f>
        <v/>
      </c>
      <c r="H269" s="104" t="n">
        <v>0</v>
      </c>
      <c r="I269" s="98" t="n"/>
    </row>
    <row r="270">
      <c r="A270" s="102" t="n">
        <v>45979</v>
      </c>
      <c r="B270" s="98" t="inlineStr">
        <is>
          <t>Mesa Verde Logistics</t>
        </is>
      </c>
      <c r="C270" s="98" t="inlineStr">
        <is>
          <t>INV-1266</t>
        </is>
      </c>
      <c r="D270" s="98" t="inlineStr">
        <is>
          <t>Tank Inspection</t>
        </is>
      </c>
      <c r="E270" s="103" t="n">
        <v>1</v>
      </c>
      <c r="F270" s="104" t="n">
        <v>1247.83</v>
      </c>
      <c r="G270" s="98">
        <f>IF(OR(E270="",F270=""),"",E270*F270)</f>
        <v/>
      </c>
      <c r="H270" s="104" t="n">
        <v>0</v>
      </c>
      <c r="I270" s="98" t="n"/>
    </row>
    <row r="271">
      <c r="A271" s="102" t="n">
        <v>45980</v>
      </c>
      <c r="B271" s="98" t="inlineStr">
        <is>
          <t>Mountain View Fleet</t>
        </is>
      </c>
      <c r="C271" s="98" t="inlineStr">
        <is>
          <t>INV-1267</t>
        </is>
      </c>
      <c r="D271" s="98" t="inlineStr">
        <is>
          <t>Unleaded Delivery</t>
        </is>
      </c>
      <c r="E271" s="103" t="n">
        <v>598</v>
      </c>
      <c r="F271" s="104" t="n">
        <v>3.85</v>
      </c>
      <c r="G271" s="98">
        <f>IF(OR(E271="",F271=""),"",E271*F271)</f>
        <v/>
      </c>
      <c r="H271" s="104" t="n">
        <v>0</v>
      </c>
      <c r="I271" s="98" t="n"/>
    </row>
    <row r="272">
      <c r="A272" s="102" t="n">
        <v>45981</v>
      </c>
      <c r="B272" s="98" t="inlineStr">
        <is>
          <t>Royal Gorge Freight</t>
        </is>
      </c>
      <c r="C272" s="98" t="inlineStr">
        <is>
          <t>INV-1268</t>
        </is>
      </c>
      <c r="D272" s="98" t="inlineStr">
        <is>
          <t>Diesel Delivery</t>
        </is>
      </c>
      <c r="E272" s="103" t="n">
        <v>552</v>
      </c>
      <c r="F272" s="104" t="n">
        <v>3.83</v>
      </c>
      <c r="G272" s="98">
        <f>IF(OR(E272="",F272=""),"",E272*F272)</f>
        <v/>
      </c>
      <c r="H272" s="104" t="n">
        <v>61.31</v>
      </c>
      <c r="I272" s="98" t="n"/>
    </row>
    <row r="273">
      <c r="A273" s="102" t="n">
        <v>45982</v>
      </c>
      <c r="B273" s="98" t="inlineStr">
        <is>
          <t>Acme Petroleum</t>
        </is>
      </c>
      <c r="C273" s="98" t="inlineStr">
        <is>
          <t>INV-1269</t>
        </is>
      </c>
      <c r="D273" s="98" t="inlineStr">
        <is>
          <t>Pump Maintenance</t>
        </is>
      </c>
      <c r="E273" s="103" t="n">
        <v>1</v>
      </c>
      <c r="F273" s="104" t="n">
        <v>894.5</v>
      </c>
      <c r="G273" s="98">
        <f>IF(OR(E273="",F273=""),"",E273*F273)</f>
        <v/>
      </c>
      <c r="H273" s="104" t="n">
        <v>25.94</v>
      </c>
      <c r="I273" s="98" t="n"/>
    </row>
    <row r="274">
      <c r="A274" s="102" t="n">
        <v>45985</v>
      </c>
      <c r="B274" s="98" t="inlineStr">
        <is>
          <t>Pikes Peak Energy</t>
        </is>
      </c>
      <c r="C274" s="98" t="inlineStr">
        <is>
          <t>INV-1270</t>
        </is>
      </c>
      <c r="D274" s="98" t="inlineStr">
        <is>
          <t>Fleet Fuel Drop</t>
        </is>
      </c>
      <c r="E274" s="103" t="n">
        <v>632</v>
      </c>
      <c r="F274" s="104" t="n">
        <v>3.79</v>
      </c>
      <c r="G274" s="98">
        <f>IF(OR(E274="",F274=""),"",E274*F274)</f>
        <v/>
      </c>
      <c r="H274" s="104" t="n">
        <v>69.45999999999999</v>
      </c>
      <c r="I274" s="98" t="n"/>
    </row>
    <row r="275">
      <c r="A275" s="102" t="n">
        <v>45986</v>
      </c>
      <c r="B275" s="98" t="inlineStr">
        <is>
          <t>Arkansas Valley Oil</t>
        </is>
      </c>
      <c r="C275" s="98" t="inlineStr">
        <is>
          <t>INV-1271</t>
        </is>
      </c>
      <c r="D275" s="98" t="inlineStr">
        <is>
          <t>Unleaded Delivery</t>
        </is>
      </c>
      <c r="E275" s="103" t="n">
        <v>468</v>
      </c>
      <c r="F275" s="104" t="n">
        <v>3.88</v>
      </c>
      <c r="G275" s="98">
        <f>IF(OR(E275="",F275=""),"",E275*F275)</f>
        <v/>
      </c>
      <c r="H275" s="104" t="n">
        <v>52.66</v>
      </c>
      <c r="I275" s="98" t="n"/>
    </row>
    <row r="276">
      <c r="A276" s="102" t="n">
        <v>45987</v>
      </c>
      <c r="B276" s="98" t="inlineStr">
        <is>
          <t>Summit Logistics</t>
        </is>
      </c>
      <c r="C276" s="98" t="inlineStr">
        <is>
          <t>INV-1272</t>
        </is>
      </c>
      <c r="D276" s="98" t="inlineStr">
        <is>
          <t>Bulk Diesel</t>
        </is>
      </c>
      <c r="E276" s="103" t="n">
        <v>441</v>
      </c>
      <c r="F276" s="104" t="n">
        <v>3.92</v>
      </c>
      <c r="G276" s="98">
        <f>IF(OR(E276="",F276=""),"",E276*F276)</f>
        <v/>
      </c>
      <c r="H276" s="104" t="n">
        <v>50.13</v>
      </c>
      <c r="I276" s="98" t="n"/>
    </row>
    <row r="277">
      <c r="A277" s="102" t="n">
        <v>45988</v>
      </c>
      <c r="B277" s="98" t="inlineStr">
        <is>
          <t>Pikes Peak Energy</t>
        </is>
      </c>
      <c r="C277" s="98" t="inlineStr">
        <is>
          <t>INV-1273</t>
        </is>
      </c>
      <c r="D277" s="98" t="inlineStr">
        <is>
          <t>Fleet Fuel Drop</t>
        </is>
      </c>
      <c r="E277" s="103" t="n">
        <v>564</v>
      </c>
      <c r="F277" s="104" t="n">
        <v>3.92</v>
      </c>
      <c r="G277" s="98">
        <f>IF(OR(E277="",F277=""),"",E277*F277)</f>
        <v/>
      </c>
      <c r="H277" s="104" t="n">
        <v>64.12</v>
      </c>
      <c r="I277" s="98" t="n"/>
    </row>
    <row r="278">
      <c r="A278" s="102" t="n">
        <v>45989</v>
      </c>
      <c r="B278" s="98" t="inlineStr">
        <is>
          <t>Mountain View Fleet</t>
        </is>
      </c>
      <c r="C278" s="98" t="inlineStr">
        <is>
          <t>INV-1274</t>
        </is>
      </c>
      <c r="D278" s="98" t="inlineStr">
        <is>
          <t>Bulk Diesel</t>
        </is>
      </c>
      <c r="E278" s="103" t="n">
        <v>496</v>
      </c>
      <c r="F278" s="104" t="n">
        <v>3.85</v>
      </c>
      <c r="G278" s="98">
        <f>IF(OR(E278="",F278=""),"",E278*F278)</f>
        <v/>
      </c>
      <c r="H278" s="104" t="n">
        <v>0</v>
      </c>
      <c r="I278" s="98" t="n"/>
    </row>
    <row r="279">
      <c r="A279" s="102" t="n">
        <v>45992</v>
      </c>
      <c r="B279" s="98" t="inlineStr">
        <is>
          <t>Pikes Peak Energy</t>
        </is>
      </c>
      <c r="C279" s="98" t="inlineStr">
        <is>
          <t>INV-1275</t>
        </is>
      </c>
      <c r="D279" s="98" t="inlineStr">
        <is>
          <t>Diesel Delivery</t>
        </is>
      </c>
      <c r="E279" s="103" t="n">
        <v>501</v>
      </c>
      <c r="F279" s="104" t="n">
        <v>3.79</v>
      </c>
      <c r="G279" s="98">
        <f>IF(OR(E279="",F279=""),"",E279*F279)</f>
        <v/>
      </c>
      <c r="H279" s="104" t="n">
        <v>55.06</v>
      </c>
      <c r="I279" s="98" t="n"/>
    </row>
    <row r="280">
      <c r="A280" s="102" t="n">
        <v>45993</v>
      </c>
      <c r="B280" s="98" t="inlineStr">
        <is>
          <t>Summit Logistics</t>
        </is>
      </c>
      <c r="C280" s="98" t="inlineStr">
        <is>
          <t>INV-1276</t>
        </is>
      </c>
      <c r="D280" s="98" t="inlineStr">
        <is>
          <t>Bulk Diesel</t>
        </is>
      </c>
      <c r="E280" s="103" t="n">
        <v>459</v>
      </c>
      <c r="F280" s="104" t="n">
        <v>3.81</v>
      </c>
      <c r="G280" s="98">
        <f>IF(OR(E280="",F280=""),"",E280*F280)</f>
        <v/>
      </c>
      <c r="H280" s="104" t="n">
        <v>50.71</v>
      </c>
      <c r="I280" s="98" t="n"/>
    </row>
    <row r="281">
      <c r="A281" s="102" t="n">
        <v>45994</v>
      </c>
      <c r="B281" s="98" t="inlineStr">
        <is>
          <t>Colorado Fuel Corp</t>
        </is>
      </c>
      <c r="C281" s="98" t="inlineStr">
        <is>
          <t>INV-1277</t>
        </is>
      </c>
      <c r="D281" s="98" t="inlineStr">
        <is>
          <t>Bulk Diesel</t>
        </is>
      </c>
      <c r="E281" s="103" t="n">
        <v>497</v>
      </c>
      <c r="F281" s="104" t="n">
        <v>3.82</v>
      </c>
      <c r="G281" s="98">
        <f>IF(OR(E281="",F281=""),"",E281*F281)</f>
        <v/>
      </c>
      <c r="H281" s="104" t="n">
        <v>0</v>
      </c>
      <c r="I281" s="98" t="n"/>
    </row>
    <row r="282">
      <c r="A282" s="102" t="n">
        <v>45995</v>
      </c>
      <c r="B282" s="98" t="inlineStr">
        <is>
          <t>High Plains Co</t>
        </is>
      </c>
      <c r="C282" s="98" t="inlineStr">
        <is>
          <t>INV-1278</t>
        </is>
      </c>
      <c r="D282" s="98" t="inlineStr">
        <is>
          <t>Diesel Delivery</t>
        </is>
      </c>
      <c r="E282" s="103" t="n">
        <v>469</v>
      </c>
      <c r="F282" s="104" t="n">
        <v>3.84</v>
      </c>
      <c r="G282" s="98">
        <f>IF(OR(E282="",F282=""),"",E282*F282)</f>
        <v/>
      </c>
      <c r="H282" s="104" t="n">
        <v>0</v>
      </c>
      <c r="I282" s="98" t="n"/>
    </row>
    <row r="283">
      <c r="A283" s="102" t="n">
        <v>45996</v>
      </c>
      <c r="B283" s="98" t="inlineStr">
        <is>
          <t>Pikes Peak Energy</t>
        </is>
      </c>
      <c r="C283" s="98" t="inlineStr">
        <is>
          <t>INV-1279</t>
        </is>
      </c>
      <c r="D283" s="98" t="inlineStr">
        <is>
          <t>Fleet Fuel Drop</t>
        </is>
      </c>
      <c r="E283" s="103" t="n">
        <v>521</v>
      </c>
      <c r="F283" s="104" t="n">
        <v>3.8</v>
      </c>
      <c r="G283" s="98">
        <f>IF(OR(E283="",F283=""),"",E283*F283)</f>
        <v/>
      </c>
      <c r="H283" s="104" t="n">
        <v>0</v>
      </c>
      <c r="I283" s="98" t="n"/>
    </row>
    <row r="284">
      <c r="A284" s="102" t="n">
        <v>45999</v>
      </c>
      <c r="B284" s="98" t="inlineStr">
        <is>
          <t>Summit Logistics</t>
        </is>
      </c>
      <c r="C284" s="98" t="inlineStr">
        <is>
          <t>INV-1280</t>
        </is>
      </c>
      <c r="D284" s="98" t="inlineStr">
        <is>
          <t>Unleaded Delivery</t>
        </is>
      </c>
      <c r="E284" s="103" t="n">
        <v>499</v>
      </c>
      <c r="F284" s="104" t="n">
        <v>3.79</v>
      </c>
      <c r="G284" s="98">
        <f>IF(OR(E284="",F284=""),"",E284*F284)</f>
        <v/>
      </c>
      <c r="H284" s="104" t="n">
        <v>54.85</v>
      </c>
      <c r="I284" s="98" t="n"/>
    </row>
    <row r="285">
      <c r="A285" s="102" t="n">
        <v>46000</v>
      </c>
      <c r="B285" s="98" t="inlineStr">
        <is>
          <t>Pueblo Supply Chain</t>
        </is>
      </c>
      <c r="C285" s="98" t="inlineStr">
        <is>
          <t>INV-1281</t>
        </is>
      </c>
      <c r="D285" s="98" t="inlineStr">
        <is>
          <t>Line Flush Service</t>
        </is>
      </c>
      <c r="E285" s="103" t="n">
        <v>1</v>
      </c>
      <c r="F285" s="104" t="n">
        <v>1154.98</v>
      </c>
      <c r="G285" s="98">
        <f>IF(OR(E285="",F285=""),"",E285*F285)</f>
        <v/>
      </c>
      <c r="H285" s="104" t="n">
        <v>33.49</v>
      </c>
      <c r="I285" s="98" t="n"/>
    </row>
    <row r="286">
      <c r="A286" s="102" t="n">
        <v>46001</v>
      </c>
      <c r="B286" s="98" t="inlineStr">
        <is>
          <t>Front Range Inc</t>
        </is>
      </c>
      <c r="C286" s="98" t="inlineStr">
        <is>
          <t>INV-1282</t>
        </is>
      </c>
      <c r="D286" s="98" t="inlineStr">
        <is>
          <t>Fleet Fuel Drop</t>
        </is>
      </c>
      <c r="E286" s="103" t="n">
        <v>484</v>
      </c>
      <c r="F286" s="104" t="n">
        <v>3.86</v>
      </c>
      <c r="G286" s="98">
        <f>IF(OR(E286="",F286=""),"",E286*F286)</f>
        <v/>
      </c>
      <c r="H286" s="104" t="n">
        <v>54.18</v>
      </c>
      <c r="I286" s="98" t="n"/>
    </row>
    <row r="287">
      <c r="A287" s="102" t="n">
        <v>46002</v>
      </c>
      <c r="B287" s="98" t="inlineStr">
        <is>
          <t>Colorado Fuel Corp</t>
        </is>
      </c>
      <c r="C287" s="98" t="inlineStr">
        <is>
          <t>INV-1283</t>
        </is>
      </c>
      <c r="D287" s="98" t="inlineStr">
        <is>
          <t>Bulk Diesel</t>
        </is>
      </c>
      <c r="E287" s="103" t="n">
        <v>598</v>
      </c>
      <c r="F287" s="104" t="n">
        <v>3.77</v>
      </c>
      <c r="G287" s="98">
        <f>IF(OR(E287="",F287=""),"",E287*F287)</f>
        <v/>
      </c>
      <c r="H287" s="104" t="n">
        <v>65.38</v>
      </c>
      <c r="I287" s="98" t="n"/>
    </row>
    <row r="288">
      <c r="A288" s="102" t="n">
        <v>46003</v>
      </c>
      <c r="B288" s="98" t="inlineStr">
        <is>
          <t>Mesa Verde Logistics</t>
        </is>
      </c>
      <c r="C288" s="98" t="inlineStr">
        <is>
          <t>INV-1284</t>
        </is>
      </c>
      <c r="D288" s="98" t="inlineStr">
        <is>
          <t>Premium Fuel Delivery</t>
        </is>
      </c>
      <c r="E288" s="103" t="n">
        <v>591</v>
      </c>
      <c r="F288" s="104" t="n">
        <v>3.77</v>
      </c>
      <c r="G288" s="98">
        <f>IF(OR(E288="",F288=""),"",E288*F288)</f>
        <v/>
      </c>
      <c r="H288" s="104" t="n">
        <v>64.61</v>
      </c>
      <c r="I288" s="98" t="n"/>
    </row>
    <row r="289">
      <c r="A289" s="102" t="n">
        <v>46006</v>
      </c>
      <c r="B289" s="98" t="inlineStr">
        <is>
          <t>Pikes Peak Energy</t>
        </is>
      </c>
      <c r="C289" s="98" t="inlineStr">
        <is>
          <t>INV-1285</t>
        </is>
      </c>
      <c r="D289" s="98" t="inlineStr">
        <is>
          <t>Bulk Diesel</t>
        </is>
      </c>
      <c r="E289" s="103" t="n">
        <v>471</v>
      </c>
      <c r="F289" s="104" t="n">
        <v>3.79</v>
      </c>
      <c r="G289" s="98">
        <f>IF(OR(E289="",F289=""),"",E289*F289)</f>
        <v/>
      </c>
      <c r="H289" s="104" t="n">
        <v>51.77</v>
      </c>
      <c r="I289" s="98" t="n"/>
    </row>
    <row r="290">
      <c r="A290" s="102" t="n">
        <v>46007</v>
      </c>
      <c r="B290" s="98" t="inlineStr">
        <is>
          <t>Pueblo Supply Chain</t>
        </is>
      </c>
      <c r="C290" s="98" t="inlineStr">
        <is>
          <t>INV-1286</t>
        </is>
      </c>
      <c r="D290" s="98" t="inlineStr">
        <is>
          <t>Diesel Delivery</t>
        </is>
      </c>
      <c r="E290" s="103" t="n">
        <v>382</v>
      </c>
      <c r="F290" s="104" t="n">
        <v>3.77</v>
      </c>
      <c r="G290" s="98">
        <f>IF(OR(E290="",F290=""),"",E290*F290)</f>
        <v/>
      </c>
      <c r="H290" s="104" t="n">
        <v>41.76</v>
      </c>
      <c r="I290" s="98" t="n"/>
    </row>
    <row r="291">
      <c r="A291" s="102" t="n">
        <v>46008</v>
      </c>
      <c r="B291" s="98" t="inlineStr">
        <is>
          <t>Centennial Hauling</t>
        </is>
      </c>
      <c r="C291" s="98" t="inlineStr">
        <is>
          <t>INV-1287</t>
        </is>
      </c>
      <c r="D291" s="98" t="inlineStr">
        <is>
          <t>Diesel Delivery</t>
        </is>
      </c>
      <c r="E291" s="103" t="n">
        <v>372</v>
      </c>
      <c r="F291" s="104" t="n">
        <v>3.78</v>
      </c>
      <c r="G291" s="98">
        <f>IF(OR(E291="",F291=""),"",E291*F291)</f>
        <v/>
      </c>
      <c r="H291" s="104" t="n">
        <v>0</v>
      </c>
      <c r="I291" s="98" t="n"/>
    </row>
    <row r="292">
      <c r="A292" s="102" t="n">
        <v>46009</v>
      </c>
      <c r="B292" s="98" t="inlineStr">
        <is>
          <t>Pikes Peak Energy</t>
        </is>
      </c>
      <c r="C292" s="98" t="inlineStr">
        <is>
          <t>INV-1288</t>
        </is>
      </c>
      <c r="D292" s="98" t="inlineStr">
        <is>
          <t>Unleaded Delivery</t>
        </is>
      </c>
      <c r="E292" s="103" t="n">
        <v>300</v>
      </c>
      <c r="F292" s="104" t="n">
        <v>3.78</v>
      </c>
      <c r="G292" s="98">
        <f>IF(OR(E292="",F292=""),"",E292*F292)</f>
        <v/>
      </c>
      <c r="H292" s="104" t="n">
        <v>32.89</v>
      </c>
      <c r="I292" s="98" t="n"/>
    </row>
    <row r="293">
      <c r="A293" s="102" t="n">
        <v>46010</v>
      </c>
      <c r="B293" s="98" t="inlineStr">
        <is>
          <t>Front Range Inc</t>
        </is>
      </c>
      <c r="C293" s="98" t="inlineStr">
        <is>
          <t>INV-1289</t>
        </is>
      </c>
      <c r="D293" s="98" t="inlineStr">
        <is>
          <t>Unleaded Delivery</t>
        </is>
      </c>
      <c r="E293" s="103" t="n">
        <v>408</v>
      </c>
      <c r="F293" s="104" t="n">
        <v>3.71</v>
      </c>
      <c r="G293" s="98">
        <f>IF(OR(E293="",F293=""),"",E293*F293)</f>
        <v/>
      </c>
      <c r="H293" s="104" t="n">
        <v>0</v>
      </c>
      <c r="I293" s="98" t="n"/>
    </row>
    <row r="294">
      <c r="A294" s="102" t="n">
        <v>46013</v>
      </c>
      <c r="B294" s="98" t="inlineStr">
        <is>
          <t>High Plains Co</t>
        </is>
      </c>
      <c r="C294" s="98" t="inlineStr">
        <is>
          <t>INV-1290</t>
        </is>
      </c>
      <c r="D294" s="98" t="inlineStr">
        <is>
          <t>Diesel Delivery</t>
        </is>
      </c>
      <c r="E294" s="103" t="n">
        <v>480</v>
      </c>
      <c r="F294" s="104" t="n">
        <v>3.75</v>
      </c>
      <c r="G294" s="98">
        <f>IF(OR(E294="",F294=""),"",E294*F294)</f>
        <v/>
      </c>
      <c r="H294" s="104" t="n">
        <v>0</v>
      </c>
      <c r="I294" s="98" t="n"/>
    </row>
    <row r="295">
      <c r="A295" s="102" t="n">
        <v>46014</v>
      </c>
      <c r="B295" s="98" t="inlineStr">
        <is>
          <t>Royal Gorge Freight</t>
        </is>
      </c>
      <c r="C295" s="98" t="inlineStr">
        <is>
          <t>INV-1291</t>
        </is>
      </c>
      <c r="D295" s="98" t="inlineStr">
        <is>
          <t>Bulk Diesel</t>
        </is>
      </c>
      <c r="E295" s="103" t="n">
        <v>562</v>
      </c>
      <c r="F295" s="104" t="n">
        <v>3.74</v>
      </c>
      <c r="G295" s="98">
        <f>IF(OR(E295="",F295=""),"",E295*F295)</f>
        <v/>
      </c>
      <c r="H295" s="104" t="n">
        <v>60.95</v>
      </c>
      <c r="I295" s="98" t="n"/>
    </row>
    <row r="296">
      <c r="A296" s="102" t="n">
        <v>46015</v>
      </c>
      <c r="B296" s="98" t="inlineStr">
        <is>
          <t>Acme Petroleum</t>
        </is>
      </c>
      <c r="C296" s="98" t="inlineStr">
        <is>
          <t>INV-1292</t>
        </is>
      </c>
      <c r="D296" s="98" t="inlineStr">
        <is>
          <t>Premium Fuel Delivery</t>
        </is>
      </c>
      <c r="E296" s="103" t="n">
        <v>550</v>
      </c>
      <c r="F296" s="104" t="n">
        <v>3.72</v>
      </c>
      <c r="G296" s="98">
        <f>IF(OR(E296="",F296=""),"",E296*F296)</f>
        <v/>
      </c>
      <c r="H296" s="104" t="n">
        <v>0</v>
      </c>
      <c r="I296" s="98" t="n"/>
    </row>
    <row r="297">
      <c r="A297" s="102" t="n">
        <v>46016</v>
      </c>
      <c r="B297" s="98" t="inlineStr">
        <is>
          <t>Royal Gorge Freight</t>
        </is>
      </c>
      <c r="C297" s="98" t="inlineStr">
        <is>
          <t>INV-1293</t>
        </is>
      </c>
      <c r="D297" s="98" t="inlineStr">
        <is>
          <t>Pump Maintenance</t>
        </is>
      </c>
      <c r="E297" s="103" t="n">
        <v>1</v>
      </c>
      <c r="F297" s="104" t="n">
        <v>894.04</v>
      </c>
      <c r="G297" s="98">
        <f>IF(OR(E297="",F297=""),"",E297*F297)</f>
        <v/>
      </c>
      <c r="H297" s="104" t="n">
        <v>25.93</v>
      </c>
      <c r="I297" s="98" t="n"/>
    </row>
    <row r="298">
      <c r="A298" s="102" t="n">
        <v>46017</v>
      </c>
      <c r="B298" s="98" t="inlineStr">
        <is>
          <t>Arkansas Valley Oil</t>
        </is>
      </c>
      <c r="C298" s="98" t="inlineStr">
        <is>
          <t>INV-1294</t>
        </is>
      </c>
      <c r="D298" s="98" t="inlineStr">
        <is>
          <t>Diesel Delivery</t>
        </is>
      </c>
      <c r="E298" s="103" t="n">
        <v>472</v>
      </c>
      <c r="F298" s="104" t="n">
        <v>3.72</v>
      </c>
      <c r="G298" s="98">
        <f>IF(OR(E298="",F298=""),"",E298*F298)</f>
        <v/>
      </c>
      <c r="H298" s="104" t="n">
        <v>0</v>
      </c>
      <c r="I298" s="98" t="n"/>
    </row>
    <row r="299">
      <c r="A299" s="102" t="n">
        <v>46020</v>
      </c>
      <c r="B299" s="98" t="inlineStr">
        <is>
          <t>Centennial Hauling</t>
        </is>
      </c>
      <c r="C299" s="98" t="inlineStr">
        <is>
          <t>INV-1295</t>
        </is>
      </c>
      <c r="D299" s="98" t="inlineStr">
        <is>
          <t>Premium Fuel Delivery</t>
        </is>
      </c>
      <c r="E299" s="103" t="n">
        <v>488</v>
      </c>
      <c r="F299" s="104" t="n">
        <v>3.68</v>
      </c>
      <c r="G299" s="98">
        <f>IF(OR(E299="",F299=""),"",E299*F299)</f>
        <v/>
      </c>
      <c r="H299" s="104" t="n">
        <v>52.08</v>
      </c>
      <c r="I299" s="98" t="n"/>
    </row>
    <row r="300">
      <c r="A300" s="102" t="n">
        <v>46021</v>
      </c>
      <c r="B300" s="98" t="inlineStr">
        <is>
          <t>Arkansas Valley Oil</t>
        </is>
      </c>
      <c r="C300" s="98" t="inlineStr">
        <is>
          <t>INV-1296</t>
        </is>
      </c>
      <c r="D300" s="98" t="inlineStr">
        <is>
          <t>Fleet Fuel Drop</t>
        </is>
      </c>
      <c r="E300" s="103" t="n">
        <v>519</v>
      </c>
      <c r="F300" s="104" t="n">
        <v>3.72</v>
      </c>
      <c r="G300" s="98">
        <f>IF(OR(E300="",F300=""),"",E300*F300)</f>
        <v/>
      </c>
      <c r="H300" s="104" t="n">
        <v>55.99</v>
      </c>
      <c r="I300" s="98" t="n"/>
    </row>
    <row r="301">
      <c r="A301" s="102" t="n">
        <v>46022</v>
      </c>
      <c r="B301" s="98" t="inlineStr">
        <is>
          <t>Western Slope Transport</t>
        </is>
      </c>
      <c r="C301" s="98" t="inlineStr">
        <is>
          <t>INV-1297</t>
        </is>
      </c>
      <c r="D301" s="98" t="inlineStr">
        <is>
          <t>Unleaded Delivery</t>
        </is>
      </c>
      <c r="E301" s="103" t="n">
        <v>471</v>
      </c>
      <c r="F301" s="104" t="n">
        <v>3.63</v>
      </c>
      <c r="G301" s="98">
        <f>IF(OR(E301="",F301=""),"",E301*F301)</f>
        <v/>
      </c>
      <c r="H301" s="104" t="n">
        <v>0</v>
      </c>
      <c r="I301" s="98" t="n"/>
    </row>
    <row r="302">
      <c r="A302" s="102" t="n">
        <v>46023</v>
      </c>
      <c r="B302" s="98" t="inlineStr">
        <is>
          <t>Arkansas Valley Oil</t>
        </is>
      </c>
      <c r="C302" s="98" t="inlineStr">
        <is>
          <t>INV-1298</t>
        </is>
      </c>
      <c r="D302" s="98" t="inlineStr">
        <is>
          <t>Filter Service</t>
        </is>
      </c>
      <c r="E302" s="103" t="n">
        <v>1</v>
      </c>
      <c r="F302" s="104" t="n">
        <v>1425.37</v>
      </c>
      <c r="G302" s="98">
        <f>IF(OR(E302="",F302=""),"",E302*F302)</f>
        <v/>
      </c>
      <c r="H302" s="104" t="n">
        <v>0</v>
      </c>
      <c r="I302" s="98" t="n"/>
    </row>
    <row r="303">
      <c r="A303" s="102" t="n">
        <v>46024</v>
      </c>
      <c r="B303" s="98" t="inlineStr">
        <is>
          <t>Mesa Verde Logistics</t>
        </is>
      </c>
      <c r="C303" s="98" t="inlineStr">
        <is>
          <t>INV-1299</t>
        </is>
      </c>
      <c r="D303" s="98" t="inlineStr">
        <is>
          <t>Premium Fuel Delivery</t>
        </is>
      </c>
      <c r="E303" s="103" t="n">
        <v>390</v>
      </c>
      <c r="F303" s="104" t="n">
        <v>3.63</v>
      </c>
      <c r="G303" s="98">
        <f>IF(OR(E303="",F303=""),"",E303*F303)</f>
        <v/>
      </c>
      <c r="H303" s="104" t="n">
        <v>0</v>
      </c>
      <c r="I303" s="98" t="n"/>
    </row>
    <row r="304">
      <c r="A304" s="102" t="n">
        <v>46027</v>
      </c>
      <c r="B304" s="98" t="inlineStr">
        <is>
          <t>High Plains Co</t>
        </is>
      </c>
      <c r="C304" s="98" t="inlineStr">
        <is>
          <t>INV-1300</t>
        </is>
      </c>
      <c r="D304" s="98" t="inlineStr">
        <is>
          <t>Diesel Delivery</t>
        </is>
      </c>
      <c r="E304" s="103" t="n">
        <v>433</v>
      </c>
      <c r="F304" s="104" t="n">
        <v>3.64</v>
      </c>
      <c r="G304" s="98">
        <f>IF(OR(E304="",F304=""),"",E304*F304)</f>
        <v/>
      </c>
      <c r="H304" s="104" t="n">
        <v>45.71</v>
      </c>
      <c r="I304" s="98" t="n"/>
    </row>
    <row r="305">
      <c r="A305" s="102" t="n">
        <v>46028</v>
      </c>
      <c r="B305" s="98" t="inlineStr">
        <is>
          <t>Colorado Fuel Corp</t>
        </is>
      </c>
      <c r="C305" s="98" t="inlineStr">
        <is>
          <t>INV-1301</t>
        </is>
      </c>
      <c r="D305" s="98" t="inlineStr">
        <is>
          <t>Pump Maintenance</t>
        </is>
      </c>
      <c r="E305" s="103" t="n">
        <v>1</v>
      </c>
      <c r="F305" s="104" t="n">
        <v>908.77</v>
      </c>
      <c r="G305" s="98">
        <f>IF(OR(E305="",F305=""),"",E305*F305)</f>
        <v/>
      </c>
      <c r="H305" s="104" t="n">
        <v>0</v>
      </c>
      <c r="I305" s="98" t="n"/>
    </row>
    <row r="306">
      <c r="A306" s="102" t="n">
        <v>46029</v>
      </c>
      <c r="B306" s="98" t="inlineStr">
        <is>
          <t>Royal Gorge Freight</t>
        </is>
      </c>
      <c r="C306" s="98" t="inlineStr">
        <is>
          <t>INV-1302</t>
        </is>
      </c>
      <c r="D306" s="98" t="inlineStr">
        <is>
          <t>Premium Fuel Delivery</t>
        </is>
      </c>
      <c r="E306" s="103" t="n">
        <v>477</v>
      </c>
      <c r="F306" s="104" t="n">
        <v>3.64</v>
      </c>
      <c r="G306" s="98">
        <f>IF(OR(E306="",F306=""),"",E306*F306)</f>
        <v/>
      </c>
      <c r="H306" s="104" t="n">
        <v>50.35</v>
      </c>
      <c r="I306" s="98" t="n"/>
    </row>
    <row r="307">
      <c r="A307" s="102" t="n">
        <v>46030</v>
      </c>
      <c r="B307" s="98" t="inlineStr">
        <is>
          <t>Springs Delivery Co</t>
        </is>
      </c>
      <c r="C307" s="98" t="inlineStr">
        <is>
          <t>INV-1303</t>
        </is>
      </c>
      <c r="D307" s="98" t="inlineStr">
        <is>
          <t>Premium Fuel Delivery</t>
        </is>
      </c>
      <c r="E307" s="103" t="n">
        <v>448</v>
      </c>
      <c r="F307" s="104" t="n">
        <v>3.6</v>
      </c>
      <c r="G307" s="98">
        <f>IF(OR(E307="",F307=""),"",E307*F307)</f>
        <v/>
      </c>
      <c r="H307" s="104" t="n">
        <v>46.77</v>
      </c>
      <c r="I307" s="98" t="n"/>
    </row>
    <row r="308">
      <c r="A308" s="102" t="n">
        <v>46031</v>
      </c>
      <c r="B308" s="98" t="inlineStr">
        <is>
          <t>Summit Logistics</t>
        </is>
      </c>
      <c r="C308" s="98" t="inlineStr">
        <is>
          <t>INV-1304</t>
        </is>
      </c>
      <c r="D308" s="98" t="inlineStr">
        <is>
          <t>Bulk Diesel</t>
        </is>
      </c>
      <c r="E308" s="103" t="n">
        <v>329</v>
      </c>
      <c r="F308" s="104" t="n">
        <v>3.61</v>
      </c>
      <c r="G308" s="98">
        <f>IF(OR(E308="",F308=""),"",E308*F308)</f>
        <v/>
      </c>
      <c r="H308" s="104" t="n">
        <v>34.44</v>
      </c>
      <c r="I308" s="98" t="n"/>
    </row>
    <row r="309">
      <c r="A309" s="102" t="n">
        <v>46034</v>
      </c>
      <c r="B309" s="98" t="inlineStr">
        <is>
          <t>Royal Gorge Freight</t>
        </is>
      </c>
      <c r="C309" s="98" t="inlineStr">
        <is>
          <t>INV-1305</t>
        </is>
      </c>
      <c r="D309" s="98" t="inlineStr">
        <is>
          <t>Bulk Diesel</t>
        </is>
      </c>
      <c r="E309" s="103" t="n">
        <v>228</v>
      </c>
      <c r="F309" s="104" t="n">
        <v>3.57</v>
      </c>
      <c r="G309" s="98">
        <f>IF(OR(E309="",F309=""),"",E309*F309)</f>
        <v/>
      </c>
      <c r="H309" s="104" t="n">
        <v>23.6</v>
      </c>
      <c r="I309" s="98" t="n"/>
    </row>
    <row r="310">
      <c r="A310" s="102" t="n">
        <v>46035</v>
      </c>
      <c r="B310" s="98" t="inlineStr">
        <is>
          <t>Acme Petroleum</t>
        </is>
      </c>
      <c r="C310" s="98" t="inlineStr">
        <is>
          <t>INV-1306</t>
        </is>
      </c>
      <c r="D310" s="98" t="inlineStr">
        <is>
          <t>Premium Fuel Delivery</t>
        </is>
      </c>
      <c r="E310" s="103" t="n">
        <v>255</v>
      </c>
      <c r="F310" s="104" t="n">
        <v>3.61</v>
      </c>
      <c r="G310" s="98">
        <f>IF(OR(E310="",F310=""),"",E310*F310)</f>
        <v/>
      </c>
      <c r="H310" s="104" t="n">
        <v>0</v>
      </c>
      <c r="I310" s="98" t="n"/>
    </row>
    <row r="311">
      <c r="A311" s="102" t="n">
        <v>46036</v>
      </c>
      <c r="B311" s="98" t="inlineStr">
        <is>
          <t>Pueblo Supply Chain</t>
        </is>
      </c>
      <c r="C311" s="98" t="inlineStr">
        <is>
          <t>INV-1307</t>
        </is>
      </c>
      <c r="D311" s="98" t="inlineStr">
        <is>
          <t>Fleet Fuel Drop</t>
        </is>
      </c>
      <c r="E311" s="103" t="n">
        <v>266</v>
      </c>
      <c r="F311" s="104" t="n">
        <v>3.55</v>
      </c>
      <c r="G311" s="98">
        <f>IF(OR(E311="",F311=""),"",E311*F311)</f>
        <v/>
      </c>
      <c r="H311" s="104" t="n">
        <v>27.38</v>
      </c>
      <c r="I311" s="98" t="n"/>
    </row>
    <row r="312">
      <c r="A312" s="102" t="n">
        <v>46037</v>
      </c>
      <c r="B312" s="98" t="inlineStr">
        <is>
          <t>Pueblo Supply Chain</t>
        </is>
      </c>
      <c r="C312" s="98" t="inlineStr">
        <is>
          <t>INV-1308</t>
        </is>
      </c>
      <c r="D312" s="98" t="inlineStr">
        <is>
          <t>Premium Fuel Delivery</t>
        </is>
      </c>
      <c r="E312" s="103" t="n">
        <v>287</v>
      </c>
      <c r="F312" s="104" t="n">
        <v>3.56</v>
      </c>
      <c r="G312" s="98">
        <f>IF(OR(E312="",F312=""),"",E312*F312)</f>
        <v/>
      </c>
      <c r="H312" s="104" t="n">
        <v>0</v>
      </c>
      <c r="I312" s="98" t="n"/>
    </row>
    <row r="313">
      <c r="A313" s="102" t="n">
        <v>46038</v>
      </c>
      <c r="B313" s="98" t="inlineStr">
        <is>
          <t>Colorado Fuel Corp</t>
        </is>
      </c>
      <c r="C313" s="98" t="inlineStr">
        <is>
          <t>INV-1309</t>
        </is>
      </c>
      <c r="D313" s="98" t="inlineStr">
        <is>
          <t>Unleaded Delivery</t>
        </is>
      </c>
      <c r="E313" s="103" t="n">
        <v>321</v>
      </c>
      <c r="F313" s="104" t="n">
        <v>3.54</v>
      </c>
      <c r="G313" s="98">
        <f>IF(OR(E313="",F313=""),"",E313*F313)</f>
        <v/>
      </c>
      <c r="H313" s="104" t="n">
        <v>32.95</v>
      </c>
      <c r="I313" s="98" t="n"/>
    </row>
    <row r="314">
      <c r="A314" s="102" t="n">
        <v>46041</v>
      </c>
      <c r="B314" s="98" t="inlineStr">
        <is>
          <t>San Luis Transport</t>
        </is>
      </c>
      <c r="C314" s="98" t="inlineStr">
        <is>
          <t>INV-1310</t>
        </is>
      </c>
      <c r="D314" s="98" t="inlineStr">
        <is>
          <t>Bulk Diesel</t>
        </is>
      </c>
      <c r="E314" s="103" t="n">
        <v>413</v>
      </c>
      <c r="F314" s="104" t="n">
        <v>3.53</v>
      </c>
      <c r="G314" s="98">
        <f>IF(OR(E314="",F314=""),"",E314*F314)</f>
        <v/>
      </c>
      <c r="H314" s="104" t="n">
        <v>0</v>
      </c>
      <c r="I314" s="98" t="n"/>
    </row>
    <row r="315">
      <c r="A315" s="102" t="n">
        <v>46042</v>
      </c>
      <c r="B315" s="98" t="inlineStr">
        <is>
          <t>Western Slope Transport</t>
        </is>
      </c>
      <c r="C315" s="98" t="inlineStr">
        <is>
          <t>INV-1311</t>
        </is>
      </c>
      <c r="D315" s="98" t="inlineStr">
        <is>
          <t>Fleet Fuel Drop</t>
        </is>
      </c>
      <c r="E315" s="103" t="n">
        <v>475</v>
      </c>
      <c r="F315" s="104" t="n">
        <v>3.54</v>
      </c>
      <c r="G315" s="98">
        <f>IF(OR(E315="",F315=""),"",E315*F315)</f>
        <v/>
      </c>
      <c r="H315" s="104" t="n">
        <v>48.76</v>
      </c>
      <c r="I315" s="98" t="n"/>
    </row>
    <row r="316">
      <c r="A316" s="102" t="n">
        <v>46043</v>
      </c>
      <c r="B316" s="98" t="inlineStr">
        <is>
          <t>Summit Logistics</t>
        </is>
      </c>
      <c r="C316" s="98" t="inlineStr">
        <is>
          <t>INV-1312</t>
        </is>
      </c>
      <c r="D316" s="98" t="inlineStr">
        <is>
          <t>Bulk Diesel</t>
        </is>
      </c>
      <c r="E316" s="103" t="n">
        <v>548</v>
      </c>
      <c r="F316" s="104" t="n">
        <v>3.53</v>
      </c>
      <c r="G316" s="98">
        <f>IF(OR(E316="",F316=""),"",E316*F316)</f>
        <v/>
      </c>
      <c r="H316" s="104" t="n">
        <v>56.1</v>
      </c>
      <c r="I316" s="98" t="n"/>
    </row>
    <row r="317">
      <c r="A317" s="102" t="n">
        <v>46044</v>
      </c>
      <c r="B317" s="98" t="inlineStr">
        <is>
          <t>Mountain View Fleet</t>
        </is>
      </c>
      <c r="C317" s="98" t="inlineStr">
        <is>
          <t>INV-1313</t>
        </is>
      </c>
      <c r="D317" s="98" t="inlineStr">
        <is>
          <t>Line Flush Service</t>
        </is>
      </c>
      <c r="E317" s="103" t="n">
        <v>1</v>
      </c>
      <c r="F317" s="104" t="n">
        <v>997.37</v>
      </c>
      <c r="G317" s="98">
        <f>IF(OR(E317="",F317=""),"",E317*F317)</f>
        <v/>
      </c>
      <c r="H317" s="104" t="n">
        <v>28.92</v>
      </c>
      <c r="I317" s="98" t="n"/>
    </row>
    <row r="318">
      <c r="A318" s="102" t="n">
        <v>46045</v>
      </c>
      <c r="B318" s="98" t="inlineStr">
        <is>
          <t>Mesa Verde Logistics</t>
        </is>
      </c>
      <c r="C318" s="98" t="inlineStr">
        <is>
          <t>INV-1314</t>
        </is>
      </c>
      <c r="D318" s="98" t="inlineStr">
        <is>
          <t>Diesel Delivery</t>
        </is>
      </c>
      <c r="E318" s="103" t="n">
        <v>550</v>
      </c>
      <c r="F318" s="104" t="n">
        <v>3.49</v>
      </c>
      <c r="G318" s="98">
        <f>IF(OR(E318="",F318=""),"",E318*F318)</f>
        <v/>
      </c>
      <c r="H318" s="104" t="n">
        <v>0</v>
      </c>
      <c r="I318" s="98" t="n"/>
    </row>
    <row r="319">
      <c r="A319" s="102" t="n">
        <v>46048</v>
      </c>
      <c r="B319" s="98" t="inlineStr">
        <is>
          <t>Royal Gorge Freight</t>
        </is>
      </c>
      <c r="C319" s="98" t="inlineStr">
        <is>
          <t>INV-1315</t>
        </is>
      </c>
      <c r="D319" s="98" t="inlineStr">
        <is>
          <t>Bulk Diesel</t>
        </is>
      </c>
      <c r="E319" s="103" t="n">
        <v>579</v>
      </c>
      <c r="F319" s="104" t="n">
        <v>3.48</v>
      </c>
      <c r="G319" s="98">
        <f>IF(OR(E319="",F319=""),"",E319*F319)</f>
        <v/>
      </c>
      <c r="H319" s="104" t="n">
        <v>58.43</v>
      </c>
      <c r="I319" s="98" t="n"/>
    </row>
    <row r="320">
      <c r="A320" s="102" t="n">
        <v>46049</v>
      </c>
      <c r="B320" s="98" t="inlineStr">
        <is>
          <t>Mesa Verde Logistics</t>
        </is>
      </c>
      <c r="C320" s="98" t="inlineStr">
        <is>
          <t>INV-1316</t>
        </is>
      </c>
      <c r="D320" s="98" t="inlineStr">
        <is>
          <t>Bulk Diesel</t>
        </is>
      </c>
      <c r="E320" s="103" t="n">
        <v>506</v>
      </c>
      <c r="F320" s="104" t="n">
        <v>3.48</v>
      </c>
      <c r="G320" s="98">
        <f>IF(OR(E320="",F320=""),"",E320*F320)</f>
        <v/>
      </c>
      <c r="H320" s="104" t="n">
        <v>51.07</v>
      </c>
      <c r="I320" s="98" t="n"/>
    </row>
    <row r="321">
      <c r="A321" s="102" t="n">
        <v>46050</v>
      </c>
      <c r="B321" s="98" t="inlineStr">
        <is>
          <t>Colorado Fuel Corp</t>
        </is>
      </c>
      <c r="C321" s="98" t="inlineStr">
        <is>
          <t>INV-1317</t>
        </is>
      </c>
      <c r="D321" s="98" t="inlineStr">
        <is>
          <t>Diesel Delivery</t>
        </is>
      </c>
      <c r="E321" s="103" t="n">
        <v>486</v>
      </c>
      <c r="F321" s="104" t="n">
        <v>3.49</v>
      </c>
      <c r="G321" s="98">
        <f>IF(OR(E321="",F321=""),"",E321*F321)</f>
        <v/>
      </c>
      <c r="H321" s="104" t="n">
        <v>0</v>
      </c>
      <c r="I321" s="98" t="n"/>
    </row>
    <row r="322">
      <c r="A322" s="102" t="n">
        <v>46051</v>
      </c>
      <c r="B322" s="98" t="inlineStr">
        <is>
          <t>Mountain View Fleet</t>
        </is>
      </c>
      <c r="C322" s="98" t="inlineStr">
        <is>
          <t>INV-1318</t>
        </is>
      </c>
      <c r="D322" s="98" t="inlineStr">
        <is>
          <t>Pump Maintenance</t>
        </is>
      </c>
      <c r="E322" s="103" t="n">
        <v>1</v>
      </c>
      <c r="F322" s="104" t="n">
        <v>1594.66</v>
      </c>
      <c r="G322" s="98">
        <f>IF(OR(E322="",F322=""),"",E322*F322)</f>
        <v/>
      </c>
      <c r="H322" s="104" t="n">
        <v>0</v>
      </c>
      <c r="I322" s="98" t="n"/>
    </row>
    <row r="323">
      <c r="A323" s="102" t="n">
        <v>46052</v>
      </c>
      <c r="B323" s="98" t="inlineStr">
        <is>
          <t>Mesa Verde Logistics</t>
        </is>
      </c>
      <c r="C323" s="98" t="inlineStr">
        <is>
          <t>INV-1319</t>
        </is>
      </c>
      <c r="D323" s="98" t="inlineStr">
        <is>
          <t>Bulk Diesel</t>
        </is>
      </c>
      <c r="E323" s="103" t="n">
        <v>530</v>
      </c>
      <c r="F323" s="104" t="n">
        <v>3.47</v>
      </c>
      <c r="G323" s="98">
        <f>IF(OR(E323="",F323=""),"",E323*F323)</f>
        <v/>
      </c>
      <c r="H323" s="104" t="n">
        <v>53.33</v>
      </c>
      <c r="I323" s="98" t="n"/>
    </row>
    <row r="324">
      <c r="A324" s="102" t="n">
        <v>46055</v>
      </c>
      <c r="B324" s="98" t="inlineStr">
        <is>
          <t>Arkansas Valley Oil</t>
        </is>
      </c>
      <c r="C324" s="98" t="inlineStr">
        <is>
          <t>INV-1320</t>
        </is>
      </c>
      <c r="D324" s="98" t="inlineStr">
        <is>
          <t>Diesel Delivery</t>
        </is>
      </c>
      <c r="E324" s="103" t="n">
        <v>517</v>
      </c>
      <c r="F324" s="104" t="n">
        <v>3.41</v>
      </c>
      <c r="G324" s="98">
        <f>IF(OR(E324="",F324=""),"",E324*F324)</f>
        <v/>
      </c>
      <c r="H324" s="104" t="n">
        <v>51.13</v>
      </c>
      <c r="I324" s="98" t="n"/>
    </row>
    <row r="325">
      <c r="A325" s="102" t="n">
        <v>46056</v>
      </c>
      <c r="B325" s="98" t="inlineStr">
        <is>
          <t>Western Slope Transport</t>
        </is>
      </c>
      <c r="C325" s="98" t="inlineStr">
        <is>
          <t>INV-1321</t>
        </is>
      </c>
      <c r="D325" s="98" t="inlineStr">
        <is>
          <t>Bulk Diesel</t>
        </is>
      </c>
      <c r="E325" s="103" t="n">
        <v>594</v>
      </c>
      <c r="F325" s="104" t="n">
        <v>3.43</v>
      </c>
      <c r="G325" s="98">
        <f>IF(OR(E325="",F325=""),"",E325*F325)</f>
        <v/>
      </c>
      <c r="H325" s="104" t="n">
        <v>0</v>
      </c>
      <c r="I325" s="98" t="n"/>
    </row>
    <row r="326">
      <c r="A326" s="102" t="n">
        <v>46057</v>
      </c>
      <c r="B326" s="98" t="inlineStr">
        <is>
          <t>Mountain View Fleet</t>
        </is>
      </c>
      <c r="C326" s="98" t="inlineStr">
        <is>
          <t>INV-1322</t>
        </is>
      </c>
      <c r="D326" s="98" t="inlineStr">
        <is>
          <t>Fleet Fuel Drop</t>
        </is>
      </c>
      <c r="E326" s="103" t="n">
        <v>553</v>
      </c>
      <c r="F326" s="104" t="n">
        <v>3.43</v>
      </c>
      <c r="G326" s="98">
        <f>IF(OR(E326="",F326=""),"",E326*F326)</f>
        <v/>
      </c>
      <c r="H326" s="104" t="n">
        <v>55.01</v>
      </c>
      <c r="I326" s="98" t="n"/>
    </row>
    <row r="327">
      <c r="A327" s="102" t="n">
        <v>46058</v>
      </c>
      <c r="B327" s="98" t="inlineStr">
        <is>
          <t>Arkansas Valley Oil</t>
        </is>
      </c>
      <c r="C327" s="98" t="inlineStr">
        <is>
          <t>INV-1323</t>
        </is>
      </c>
      <c r="D327" s="98" t="inlineStr">
        <is>
          <t>Line Flush Service</t>
        </is>
      </c>
      <c r="E327" s="103" t="n">
        <v>1</v>
      </c>
      <c r="F327" s="104" t="n">
        <v>909.61</v>
      </c>
      <c r="G327" s="98">
        <f>IF(OR(E327="",F327=""),"",E327*F327)</f>
        <v/>
      </c>
      <c r="H327" s="104" t="n">
        <v>26.38</v>
      </c>
      <c r="I327" s="98" t="n"/>
    </row>
    <row r="328">
      <c r="A328" s="102" t="n">
        <v>46059</v>
      </c>
      <c r="B328" s="98" t="inlineStr">
        <is>
          <t>Front Range Inc</t>
        </is>
      </c>
      <c r="C328" s="98" t="inlineStr">
        <is>
          <t>INV-1324</t>
        </is>
      </c>
      <c r="D328" s="98" t="inlineStr">
        <is>
          <t>Diesel Delivery</t>
        </is>
      </c>
      <c r="E328" s="103" t="n">
        <v>565</v>
      </c>
      <c r="F328" s="104" t="n">
        <v>3.39</v>
      </c>
      <c r="G328" s="98">
        <f>IF(OR(E328="",F328=""),"",E328*F328)</f>
        <v/>
      </c>
      <c r="H328" s="104" t="n">
        <v>0</v>
      </c>
      <c r="I328" s="98" t="n"/>
    </row>
    <row r="329">
      <c r="A329" s="102" t="n">
        <v>46062</v>
      </c>
      <c r="B329" s="98" t="inlineStr">
        <is>
          <t>San Luis Transport</t>
        </is>
      </c>
      <c r="C329" s="98" t="inlineStr">
        <is>
          <t>INV-1325</t>
        </is>
      </c>
      <c r="D329" s="98" t="inlineStr">
        <is>
          <t>Unleaded Delivery</t>
        </is>
      </c>
      <c r="E329" s="103" t="n">
        <v>591</v>
      </c>
      <c r="F329" s="104" t="n">
        <v>3.44</v>
      </c>
      <c r="G329" s="98">
        <f>IF(OR(E329="",F329=""),"",E329*F329)</f>
        <v/>
      </c>
      <c r="H329" s="104" t="n">
        <v>0</v>
      </c>
      <c r="I329" s="98" t="n"/>
    </row>
    <row r="330">
      <c r="A330" s="102" t="n">
        <v>46063</v>
      </c>
      <c r="B330" s="98" t="inlineStr">
        <is>
          <t>Summit Logistics</t>
        </is>
      </c>
      <c r="C330" s="98" t="inlineStr">
        <is>
          <t>INV-1326</t>
        </is>
      </c>
      <c r="D330" s="98" t="inlineStr">
        <is>
          <t>Bulk Diesel</t>
        </is>
      </c>
      <c r="E330" s="103" t="n">
        <v>520</v>
      </c>
      <c r="F330" s="104" t="n">
        <v>3.4</v>
      </c>
      <c r="G330" s="98">
        <f>IF(OR(E330="",F330=""),"",E330*F330)</f>
        <v/>
      </c>
      <c r="H330" s="104" t="n">
        <v>0</v>
      </c>
      <c r="I330" s="98" t="n"/>
    </row>
    <row r="331">
      <c r="A331" s="102" t="n">
        <v>46064</v>
      </c>
      <c r="B331" s="98" t="inlineStr">
        <is>
          <t>Centennial Hauling</t>
        </is>
      </c>
      <c r="C331" s="98" t="inlineStr">
        <is>
          <t>INV-1327</t>
        </is>
      </c>
      <c r="D331" s="98" t="inlineStr">
        <is>
          <t>Fleet Fuel Drop</t>
        </is>
      </c>
      <c r="E331" s="103" t="n">
        <v>498</v>
      </c>
      <c r="F331" s="104" t="n">
        <v>3.38</v>
      </c>
      <c r="G331" s="98">
        <f>IF(OR(E331="",F331=""),"",E331*F331)</f>
        <v/>
      </c>
      <c r="H331" s="104" t="n">
        <v>0</v>
      </c>
      <c r="I331" s="98" t="n"/>
    </row>
    <row r="332">
      <c r="A332" s="102" t="n">
        <v>46065</v>
      </c>
      <c r="B332" s="98" t="inlineStr">
        <is>
          <t>Pikes Peak Energy</t>
        </is>
      </c>
      <c r="C332" s="98" t="inlineStr">
        <is>
          <t>INV-1328</t>
        </is>
      </c>
      <c r="D332" s="98" t="inlineStr">
        <is>
          <t>Filter Service</t>
        </is>
      </c>
      <c r="E332" s="103" t="n">
        <v>1</v>
      </c>
      <c r="F332" s="104" t="n">
        <v>1647</v>
      </c>
      <c r="G332" s="98">
        <f>IF(OR(E332="",F332=""),"",E332*F332)</f>
        <v/>
      </c>
      <c r="H332" s="104" t="n">
        <v>47.76</v>
      </c>
      <c r="I332" s="98" t="n"/>
    </row>
    <row r="333">
      <c r="A333" s="102" t="n">
        <v>46066</v>
      </c>
      <c r="B333" s="98" t="inlineStr">
        <is>
          <t>Western Slope Transport</t>
        </is>
      </c>
      <c r="C333" s="98" t="inlineStr">
        <is>
          <t>INV-1329</t>
        </is>
      </c>
      <c r="D333" s="98" t="inlineStr">
        <is>
          <t>Fleet Fuel Drop</t>
        </is>
      </c>
      <c r="E333" s="103" t="n">
        <v>571</v>
      </c>
      <c r="F333" s="104" t="n">
        <v>3.42</v>
      </c>
      <c r="G333" s="98">
        <f>IF(OR(E333="",F333=""),"",E333*F333)</f>
        <v/>
      </c>
      <c r="H333" s="104" t="n">
        <v>0</v>
      </c>
      <c r="I333" s="98" t="n"/>
    </row>
    <row r="334">
      <c r="A334" s="102" t="n">
        <v>46069</v>
      </c>
      <c r="B334" s="98" t="inlineStr">
        <is>
          <t>Colorado Fuel Corp</t>
        </is>
      </c>
      <c r="C334" s="98" t="inlineStr">
        <is>
          <t>INV-1330</t>
        </is>
      </c>
      <c r="D334" s="98" t="inlineStr">
        <is>
          <t>Diesel Delivery</t>
        </is>
      </c>
      <c r="E334" s="103" t="n">
        <v>549</v>
      </c>
      <c r="F334" s="104" t="n">
        <v>3.36</v>
      </c>
      <c r="G334" s="98">
        <f>IF(OR(E334="",F334=""),"",E334*F334)</f>
        <v/>
      </c>
      <c r="H334" s="104" t="n">
        <v>53.49</v>
      </c>
      <c r="I334" s="98" t="n"/>
    </row>
    <row r="335">
      <c r="A335" s="102" t="n">
        <v>46070</v>
      </c>
      <c r="B335" s="98" t="inlineStr">
        <is>
          <t>Colorado Fuel Corp</t>
        </is>
      </c>
      <c r="C335" s="98" t="inlineStr">
        <is>
          <t>INV-1331</t>
        </is>
      </c>
      <c r="D335" s="98" t="inlineStr">
        <is>
          <t>Unleaded Delivery</t>
        </is>
      </c>
      <c r="E335" s="103" t="n">
        <v>628</v>
      </c>
      <c r="F335" s="104" t="n">
        <v>3.83</v>
      </c>
      <c r="G335" s="98">
        <f>IF(OR(E335="",F335=""),"",E335*F335)</f>
        <v/>
      </c>
      <c r="H335" s="104" t="n">
        <v>69.75</v>
      </c>
      <c r="I335" s="98" t="n"/>
    </row>
    <row r="336">
      <c r="A336" s="102" t="n">
        <v>46071</v>
      </c>
      <c r="B336" s="98" t="inlineStr">
        <is>
          <t>Springs Delivery Co</t>
        </is>
      </c>
      <c r="C336" s="98" t="inlineStr">
        <is>
          <t>INV-1332</t>
        </is>
      </c>
      <c r="D336" s="98" t="inlineStr">
        <is>
          <t>Pump Maintenance</t>
        </is>
      </c>
      <c r="E336" s="103" t="n">
        <v>1</v>
      </c>
      <c r="F336" s="104" t="n">
        <v>1277.39</v>
      </c>
      <c r="G336" s="98">
        <f>IF(OR(E336="",F336=""),"",E336*F336)</f>
        <v/>
      </c>
      <c r="H336" s="104" t="n">
        <v>37.04</v>
      </c>
      <c r="I336" s="98" t="n"/>
    </row>
    <row r="337">
      <c r="A337" s="102" t="n">
        <v>46072</v>
      </c>
      <c r="B337" s="98" t="inlineStr">
        <is>
          <t>Mesa Verde Logistics</t>
        </is>
      </c>
      <c r="C337" s="98" t="inlineStr">
        <is>
          <t>INV-1333</t>
        </is>
      </c>
      <c r="D337" s="98" t="inlineStr">
        <is>
          <t>Bulk Diesel</t>
        </is>
      </c>
      <c r="E337" s="103" t="n">
        <v>684</v>
      </c>
      <c r="F337" s="104" t="n">
        <v>3.91</v>
      </c>
      <c r="G337" s="98">
        <f>IF(OR(E337="",F337=""),"",E337*F337)</f>
        <v/>
      </c>
      <c r="H337" s="104" t="n">
        <v>77.56</v>
      </c>
      <c r="I337" s="98" t="n"/>
    </row>
    <row r="338">
      <c r="A338" s="102" t="n">
        <v>46073</v>
      </c>
      <c r="B338" s="98" t="inlineStr">
        <is>
          <t>Front Range Inc</t>
        </is>
      </c>
      <c r="C338" s="98" t="inlineStr">
        <is>
          <t>INV-1334</t>
        </is>
      </c>
      <c r="D338" s="98" t="inlineStr">
        <is>
          <t>Bulk Diesel</t>
        </is>
      </c>
      <c r="E338" s="103" t="n">
        <v>592</v>
      </c>
      <c r="F338" s="104" t="n">
        <v>3.87</v>
      </c>
      <c r="G338" s="98">
        <f>IF(OR(E338="",F338=""),"",E338*F338)</f>
        <v/>
      </c>
      <c r="H338" s="104" t="n">
        <v>66.44</v>
      </c>
      <c r="I338" s="98" t="n"/>
    </row>
    <row r="339">
      <c r="A339" s="102" t="n">
        <v>46076</v>
      </c>
      <c r="B339" s="98" t="inlineStr">
        <is>
          <t>Western Slope Transport</t>
        </is>
      </c>
      <c r="C339" s="98" t="inlineStr">
        <is>
          <t>INV-1335</t>
        </is>
      </c>
      <c r="D339" s="98" t="inlineStr">
        <is>
          <t>Unleaded Delivery</t>
        </is>
      </c>
      <c r="E339" s="103" t="n">
        <v>597</v>
      </c>
      <c r="F339" s="104" t="n">
        <v>3.87</v>
      </c>
      <c r="G339" s="98">
        <f>IF(OR(E339="",F339=""),"",E339*F339)</f>
        <v/>
      </c>
      <c r="H339" s="104" t="n">
        <v>0</v>
      </c>
      <c r="I339" s="98" t="n"/>
    </row>
    <row r="340">
      <c r="A340" s="102" t="n">
        <v>46077</v>
      </c>
      <c r="B340" s="98" t="inlineStr">
        <is>
          <t>Mesa Verde Logistics</t>
        </is>
      </c>
      <c r="C340" s="98" t="inlineStr">
        <is>
          <t>INV-1336</t>
        </is>
      </c>
      <c r="D340" s="98" t="inlineStr">
        <is>
          <t>Filter Service</t>
        </is>
      </c>
      <c r="E340" s="103" t="n">
        <v>1</v>
      </c>
      <c r="F340" s="104" t="n">
        <v>1460.31</v>
      </c>
      <c r="G340" s="98">
        <f>IF(OR(E340="",F340=""),"",E340*F340)</f>
        <v/>
      </c>
      <c r="H340" s="104" t="n">
        <v>0</v>
      </c>
      <c r="I340" s="98" t="n"/>
    </row>
    <row r="341">
      <c r="A341" s="102" t="n">
        <v>46078</v>
      </c>
      <c r="B341" s="98" t="inlineStr">
        <is>
          <t>Mountain View Fleet</t>
        </is>
      </c>
      <c r="C341" s="98" t="inlineStr">
        <is>
          <t>INV-1337</t>
        </is>
      </c>
      <c r="D341" s="98" t="inlineStr">
        <is>
          <t>Bulk Diesel</t>
        </is>
      </c>
      <c r="E341" s="103" t="n">
        <v>515</v>
      </c>
      <c r="F341" s="104" t="n">
        <v>3.82</v>
      </c>
      <c r="G341" s="98">
        <f>IF(OR(E341="",F341=""),"",E341*F341)</f>
        <v/>
      </c>
      <c r="H341" s="104" t="n">
        <v>57.05</v>
      </c>
      <c r="I341" s="98" t="n"/>
    </row>
    <row r="342">
      <c r="A342" s="102" t="n">
        <v>46079</v>
      </c>
      <c r="B342" s="98" t="inlineStr">
        <is>
          <t>Pikes Peak Energy</t>
        </is>
      </c>
      <c r="C342" s="98" t="inlineStr">
        <is>
          <t>INV-1338</t>
        </is>
      </c>
      <c r="D342" s="98" t="inlineStr">
        <is>
          <t>Fleet Fuel Drop</t>
        </is>
      </c>
      <c r="E342" s="103" t="n">
        <v>577</v>
      </c>
      <c r="F342" s="104" t="n">
        <v>3.84</v>
      </c>
      <c r="G342" s="98">
        <f>IF(OR(E342="",F342=""),"",E342*F342)</f>
        <v/>
      </c>
      <c r="H342" s="104" t="n">
        <v>64.25</v>
      </c>
      <c r="I342" s="98" t="n"/>
    </row>
    <row r="343">
      <c r="A343" s="102" t="n">
        <v>46080</v>
      </c>
      <c r="B343" s="98" t="inlineStr">
        <is>
          <t>Royal Gorge Freight</t>
        </is>
      </c>
      <c r="C343" s="98" t="inlineStr">
        <is>
          <t>INV-1339</t>
        </is>
      </c>
      <c r="D343" s="98" t="inlineStr">
        <is>
          <t>Premium Fuel Delivery</t>
        </is>
      </c>
      <c r="E343" s="103" t="n">
        <v>596</v>
      </c>
      <c r="F343" s="104" t="n">
        <v>3.83</v>
      </c>
      <c r="G343" s="98">
        <f>IF(OR(E343="",F343=""),"",E343*F343)</f>
        <v/>
      </c>
      <c r="H343" s="104" t="n">
        <v>0</v>
      </c>
      <c r="I343" s="98" t="n"/>
    </row>
    <row r="344">
      <c r="A344" s="102" t="n">
        <v>46083</v>
      </c>
      <c r="B344" s="98" t="inlineStr">
        <is>
          <t>Pueblo Supply Chain</t>
        </is>
      </c>
      <c r="C344" s="98" t="inlineStr">
        <is>
          <t>INV-1340</t>
        </is>
      </c>
      <c r="D344" s="98" t="inlineStr">
        <is>
          <t>Fleet Fuel Drop</t>
        </is>
      </c>
      <c r="E344" s="103" t="n">
        <v>564</v>
      </c>
      <c r="F344" s="104" t="n">
        <v>3.81</v>
      </c>
      <c r="G344" s="98">
        <f>IF(OR(E344="",F344=""),"",E344*F344)</f>
        <v/>
      </c>
      <c r="H344" s="104" t="n">
        <v>62.32</v>
      </c>
      <c r="I344" s="98" t="n"/>
    </row>
    <row r="345">
      <c r="A345" s="102" t="n">
        <v>46084</v>
      </c>
      <c r="B345" s="98" t="inlineStr">
        <is>
          <t>Mesa Verde Logistics</t>
        </is>
      </c>
      <c r="C345" s="98" t="inlineStr">
        <is>
          <t>INV-1341</t>
        </is>
      </c>
      <c r="D345" s="98" t="inlineStr">
        <is>
          <t>Bulk Diesel</t>
        </is>
      </c>
      <c r="E345" s="103" t="n">
        <v>649</v>
      </c>
      <c r="F345" s="104" t="n">
        <v>3.82</v>
      </c>
      <c r="G345" s="98">
        <f>IF(OR(E345="",F345=""),"",E345*F345)</f>
        <v/>
      </c>
      <c r="H345" s="104" t="n">
        <v>0</v>
      </c>
      <c r="I345" s="98" t="n"/>
    </row>
    <row r="346">
      <c r="A346" s="102" t="n">
        <v>46085</v>
      </c>
      <c r="B346" s="98" t="inlineStr">
        <is>
          <t>Mountain View Fleet</t>
        </is>
      </c>
      <c r="C346" s="98" t="inlineStr">
        <is>
          <t>INV-1342</t>
        </is>
      </c>
      <c r="D346" s="98" t="inlineStr">
        <is>
          <t>Line Flush Service</t>
        </is>
      </c>
      <c r="E346" s="103" t="n">
        <v>1</v>
      </c>
      <c r="F346" s="104" t="n">
        <v>1009.59</v>
      </c>
      <c r="G346" s="98">
        <f>IF(OR(E346="",F346=""),"",E346*F346)</f>
        <v/>
      </c>
      <c r="H346" s="104" t="n">
        <v>29.28</v>
      </c>
      <c r="I346" s="98" t="n"/>
    </row>
    <row r="347">
      <c r="A347" s="102" t="n">
        <v>46086</v>
      </c>
      <c r="B347" s="98" t="inlineStr">
        <is>
          <t>Western Slope Transport</t>
        </is>
      </c>
      <c r="C347" s="98" t="inlineStr">
        <is>
          <t>INV-1343</t>
        </is>
      </c>
      <c r="D347" s="98" t="inlineStr">
        <is>
          <t>Fleet Fuel Drop</t>
        </is>
      </c>
      <c r="E347" s="103" t="n">
        <v>688</v>
      </c>
      <c r="F347" s="104" t="n">
        <v>3.75</v>
      </c>
      <c r="G347" s="98">
        <f>IF(OR(E347="",F347=""),"",E347*F347)</f>
        <v/>
      </c>
      <c r="H347" s="104" t="n">
        <v>74.81999999999999</v>
      </c>
      <c r="I347" s="98" t="n"/>
    </row>
    <row r="348">
      <c r="A348" s="102" t="n">
        <v>46087</v>
      </c>
      <c r="B348" s="98" t="inlineStr">
        <is>
          <t>Mesa Verde Logistics</t>
        </is>
      </c>
      <c r="C348" s="98" t="inlineStr">
        <is>
          <t>INV-1344</t>
        </is>
      </c>
      <c r="D348" s="98" t="inlineStr">
        <is>
          <t>Premium Fuel Delivery</t>
        </is>
      </c>
      <c r="E348" s="103" t="n">
        <v>655</v>
      </c>
      <c r="F348" s="104" t="n">
        <v>3.72</v>
      </c>
      <c r="G348" s="98">
        <f>IF(OR(E348="",F348=""),"",E348*F348)</f>
        <v/>
      </c>
      <c r="H348" s="104" t="n">
        <v>0</v>
      </c>
      <c r="I348" s="98" t="n"/>
    </row>
    <row r="349">
      <c r="A349" s="102" t="n">
        <v>46090</v>
      </c>
      <c r="B349" s="98" t="inlineStr">
        <is>
          <t>Pueblo Supply Chain</t>
        </is>
      </c>
      <c r="C349" s="98" t="inlineStr">
        <is>
          <t>INV-1345</t>
        </is>
      </c>
      <c r="D349" s="98" t="inlineStr">
        <is>
          <t>Unleaded Delivery</t>
        </is>
      </c>
      <c r="E349" s="103" t="n">
        <v>625</v>
      </c>
      <c r="F349" s="104" t="n">
        <v>3.75</v>
      </c>
      <c r="G349" s="98">
        <f>IF(OR(E349="",F349=""),"",E349*F349)</f>
        <v/>
      </c>
      <c r="H349" s="104" t="n">
        <v>67.97</v>
      </c>
      <c r="I349" s="98" t="n"/>
    </row>
    <row r="350">
      <c r="A350" s="102" t="n">
        <v>46091</v>
      </c>
      <c r="B350" s="98" t="inlineStr">
        <is>
          <t>Acme Petroleum</t>
        </is>
      </c>
      <c r="C350" s="98" t="inlineStr">
        <is>
          <t>INV-1346</t>
        </is>
      </c>
      <c r="D350" s="98" t="inlineStr">
        <is>
          <t>Line Flush Service</t>
        </is>
      </c>
      <c r="E350" s="103" t="n">
        <v>1</v>
      </c>
      <c r="F350" s="104" t="n">
        <v>1715.4</v>
      </c>
      <c r="G350" s="98">
        <f>IF(OR(E350="",F350=""),"",E350*F350)</f>
        <v/>
      </c>
      <c r="H350" s="104" t="n">
        <v>49.75</v>
      </c>
      <c r="I350" s="98" t="n"/>
    </row>
    <row r="351">
      <c r="A351" s="102" t="n">
        <v>46092</v>
      </c>
      <c r="B351" s="98" t="inlineStr">
        <is>
          <t>Royal Gorge Freight</t>
        </is>
      </c>
      <c r="C351" s="98" t="inlineStr">
        <is>
          <t>INV-1347</t>
        </is>
      </c>
      <c r="D351" s="98" t="inlineStr">
        <is>
          <t>Bulk Diesel</t>
        </is>
      </c>
      <c r="E351" s="103" t="n">
        <v>582</v>
      </c>
      <c r="F351" s="104" t="n">
        <v>3.74</v>
      </c>
      <c r="G351" s="98">
        <f>IF(OR(E351="",F351=""),"",E351*F351)</f>
        <v/>
      </c>
      <c r="H351" s="104" t="n">
        <v>63.12</v>
      </c>
      <c r="I351" s="98" t="n"/>
    </row>
    <row r="352">
      <c r="A352" s="102" t="n">
        <v>46093</v>
      </c>
      <c r="B352" s="98" t="inlineStr">
        <is>
          <t>Western Slope Transport</t>
        </is>
      </c>
      <c r="C352" s="98" t="inlineStr">
        <is>
          <t>INV-1348</t>
        </is>
      </c>
      <c r="D352" s="98" t="inlineStr">
        <is>
          <t>Bulk Diesel</t>
        </is>
      </c>
      <c r="E352" s="103" t="n">
        <v>572</v>
      </c>
      <c r="F352" s="104" t="n">
        <v>3.75</v>
      </c>
      <c r="G352" s="98">
        <f>IF(OR(E352="",F352=""),"",E352*F352)</f>
        <v/>
      </c>
      <c r="H352" s="104" t="n">
        <v>62.21</v>
      </c>
      <c r="I352" s="98" t="n"/>
    </row>
    <row r="353">
      <c r="A353" s="102" t="n">
        <v>46094</v>
      </c>
      <c r="B353" s="98" t="inlineStr">
        <is>
          <t>Colorado Fuel Corp</t>
        </is>
      </c>
      <c r="C353" s="98" t="inlineStr">
        <is>
          <t>INV-1349</t>
        </is>
      </c>
      <c r="D353" s="98" t="inlineStr">
        <is>
          <t>Unleaded Delivery</t>
        </is>
      </c>
      <c r="E353" s="103" t="n">
        <v>617</v>
      </c>
      <c r="F353" s="104" t="n">
        <v>3.78</v>
      </c>
      <c r="G353" s="98">
        <f>IF(OR(E353="",F353=""),"",E353*F353)</f>
        <v/>
      </c>
      <c r="H353" s="104" t="n">
        <v>67.64</v>
      </c>
      <c r="I353" s="98" t="n"/>
    </row>
    <row r="354">
      <c r="A354" s="102" t="n">
        <v>46097</v>
      </c>
      <c r="B354" s="98" t="inlineStr">
        <is>
          <t>Springs Delivery Co</t>
        </is>
      </c>
      <c r="C354" s="98" t="inlineStr">
        <is>
          <t>INV-1350</t>
        </is>
      </c>
      <c r="D354" s="98" t="inlineStr">
        <is>
          <t>Unleaded Delivery</t>
        </is>
      </c>
      <c r="E354" s="103" t="n">
        <v>570</v>
      </c>
      <c r="F354" s="104" t="n">
        <v>3.89</v>
      </c>
      <c r="G354" s="98">
        <f>IF(OR(E354="",F354=""),"",E354*F354)</f>
        <v/>
      </c>
      <c r="H354" s="104" t="n">
        <v>64.3</v>
      </c>
      <c r="I354" s="98" t="n"/>
    </row>
    <row r="355">
      <c r="A355" s="102" t="n">
        <v>46098</v>
      </c>
      <c r="B355" s="98" t="inlineStr">
        <is>
          <t>Mesa Verde Logistics</t>
        </is>
      </c>
      <c r="C355" s="98" t="inlineStr">
        <is>
          <t>INV-1351</t>
        </is>
      </c>
      <c r="D355" s="98" t="inlineStr">
        <is>
          <t>Synthetic Blend Package</t>
        </is>
      </c>
      <c r="E355" s="103" t="n">
        <v>204</v>
      </c>
      <c r="F355" s="104" t="n">
        <v>45.4</v>
      </c>
      <c r="G355" s="98">
        <f>IF(OR(E355="",F355=""),"",E355*F355)</f>
        <v/>
      </c>
      <c r="H355" s="104" t="n">
        <v>0</v>
      </c>
      <c r="I355" s="98" t="n"/>
    </row>
    <row r="356">
      <c r="A356" s="102" t="n">
        <v>46099</v>
      </c>
      <c r="B356" s="98" t="inlineStr">
        <is>
          <t>Summit Logistics</t>
        </is>
      </c>
      <c r="C356" s="98" t="inlineStr">
        <is>
          <t>INV-1352</t>
        </is>
      </c>
      <c r="D356" s="98" t="inlineStr">
        <is>
          <t>Line Flush Service</t>
        </is>
      </c>
      <c r="E356" s="103" t="n">
        <v>1</v>
      </c>
      <c r="F356" s="104" t="n">
        <v>1350.18</v>
      </c>
      <c r="G356" s="98">
        <f>IF(OR(E356="",F356=""),"",E356*F356)</f>
        <v/>
      </c>
      <c r="H356" s="104" t="n">
        <v>39.16</v>
      </c>
      <c r="I356" s="98" t="n"/>
    </row>
    <row r="357">
      <c r="A357" s="102" t="n">
        <v>46100</v>
      </c>
      <c r="B357" s="98" t="inlineStr">
        <is>
          <t>Acme Petroleum</t>
        </is>
      </c>
      <c r="C357" s="98" t="inlineStr">
        <is>
          <t>INV-1353</t>
        </is>
      </c>
      <c r="D357" s="98" t="inlineStr">
        <is>
          <t>Bulk Diesel</t>
        </is>
      </c>
      <c r="E357" s="103" t="n">
        <v>715</v>
      </c>
      <c r="F357" s="104" t="n">
        <v>3.9</v>
      </c>
      <c r="G357" s="98">
        <f>IF(OR(E357="",F357=""),"",E357*F357)</f>
        <v/>
      </c>
      <c r="H357" s="104" t="n">
        <v>80.87</v>
      </c>
      <c r="I357" s="98" t="n"/>
    </row>
    <row r="358">
      <c r="A358" s="102" t="n">
        <v>46101</v>
      </c>
      <c r="B358" s="98" t="inlineStr">
        <is>
          <t>Mesa Verde Logistics</t>
        </is>
      </c>
      <c r="C358" s="98" t="inlineStr">
        <is>
          <t>INV-1354</t>
        </is>
      </c>
      <c r="D358" s="98" t="inlineStr">
        <is>
          <t>Bulk Diesel</t>
        </is>
      </c>
      <c r="E358" s="103" t="n">
        <v>670</v>
      </c>
      <c r="F358" s="104" t="n">
        <v>3.86</v>
      </c>
      <c r="G358" s="98">
        <f>IF(OR(E358="",F358=""),"",E358*F358)</f>
        <v/>
      </c>
      <c r="H358" s="104" t="n">
        <v>75</v>
      </c>
      <c r="I358" s="98" t="n"/>
    </row>
    <row r="359">
      <c r="A359" s="102" t="n">
        <v>46104</v>
      </c>
      <c r="B359" s="98" t="inlineStr">
        <is>
          <t>Summit Logistics</t>
        </is>
      </c>
      <c r="C359" s="98" t="inlineStr">
        <is>
          <t>INV-1355</t>
        </is>
      </c>
      <c r="D359" s="98" t="inlineStr">
        <is>
          <t>Unleaded Delivery</t>
        </is>
      </c>
      <c r="E359" s="103" t="n">
        <v>833</v>
      </c>
      <c r="F359" s="104" t="n">
        <v>3.79</v>
      </c>
      <c r="G359" s="98">
        <f>IF(OR(E359="",F359=""),"",E359*F359)</f>
        <v/>
      </c>
      <c r="H359" s="104" t="n">
        <v>91.56</v>
      </c>
      <c r="I359" s="98" t="n"/>
    </row>
    <row r="360">
      <c r="A360" s="102" t="n">
        <v>46105</v>
      </c>
      <c r="B360" s="98" t="inlineStr">
        <is>
          <t>Mountain View Fleet</t>
        </is>
      </c>
      <c r="C360" s="98" t="inlineStr">
        <is>
          <t>INV-1356</t>
        </is>
      </c>
      <c r="D360" s="98" t="inlineStr">
        <is>
          <t>Pump Maintenance</t>
        </is>
      </c>
      <c r="E360" s="103" t="n">
        <v>1</v>
      </c>
      <c r="F360" s="104" t="n">
        <v>956.3200000000001</v>
      </c>
      <c r="G360" s="98">
        <f>IF(OR(E360="",F360=""),"",E360*F360)</f>
        <v/>
      </c>
      <c r="H360" s="104" t="n">
        <v>27.73</v>
      </c>
      <c r="I360" s="98" t="n"/>
    </row>
    <row r="361">
      <c r="A361" s="102" t="n">
        <v>46106</v>
      </c>
      <c r="B361" s="98" t="inlineStr">
        <is>
          <t>Arkansas Valley Oil</t>
        </is>
      </c>
      <c r="C361" s="98" t="inlineStr">
        <is>
          <t>INV-1357</t>
        </is>
      </c>
      <c r="D361" s="98" t="inlineStr">
        <is>
          <t>Bulk Diesel</t>
        </is>
      </c>
      <c r="E361" s="103" t="n">
        <v>643</v>
      </c>
      <c r="F361" s="104" t="n">
        <v>3.85</v>
      </c>
      <c r="G361" s="98">
        <f>IF(OR(E361="",F361=""),"",E361*F361)</f>
        <v/>
      </c>
      <c r="H361" s="104" t="n">
        <v>0</v>
      </c>
      <c r="I361" s="98" t="n"/>
    </row>
    <row r="362">
      <c r="A362" s="102" t="n">
        <v>46107</v>
      </c>
      <c r="B362" s="98" t="inlineStr">
        <is>
          <t>Mesa Verde Logistics</t>
        </is>
      </c>
      <c r="C362" s="98" t="inlineStr">
        <is>
          <t>INV-1358</t>
        </is>
      </c>
      <c r="D362" s="98" t="inlineStr">
        <is>
          <t>Premium Fuel Delivery</t>
        </is>
      </c>
      <c r="E362" s="103" t="n">
        <v>634</v>
      </c>
      <c r="F362" s="104" t="n">
        <v>3.81</v>
      </c>
      <c r="G362" s="98">
        <f>IF(OR(E362="",F362=""),"",E362*F362)</f>
        <v/>
      </c>
      <c r="H362" s="104" t="n">
        <v>70.05</v>
      </c>
      <c r="I362" s="98" t="n"/>
    </row>
    <row r="363">
      <c r="A363" s="102" t="n">
        <v>46108</v>
      </c>
      <c r="B363" s="98" t="inlineStr">
        <is>
          <t>Mountain View Fleet</t>
        </is>
      </c>
      <c r="C363" s="98" t="inlineStr">
        <is>
          <t>INV-1359</t>
        </is>
      </c>
      <c r="D363" s="98" t="inlineStr">
        <is>
          <t>Line Flush Service</t>
        </is>
      </c>
      <c r="E363" s="103" t="n">
        <v>1</v>
      </c>
      <c r="F363" s="104" t="n">
        <v>959.52</v>
      </c>
      <c r="G363" s="98">
        <f>IF(OR(E363="",F363=""),"",E363*F363)</f>
        <v/>
      </c>
      <c r="H363" s="104" t="n">
        <v>27.83</v>
      </c>
      <c r="I363" s="98" t="n"/>
    </row>
    <row r="364">
      <c r="A364" s="102" t="n">
        <v>46111</v>
      </c>
      <c r="B364" s="98" t="inlineStr">
        <is>
          <t>Mesa Verde Logistics</t>
        </is>
      </c>
      <c r="C364" s="98" t="inlineStr">
        <is>
          <t>INV-1360</t>
        </is>
      </c>
      <c r="D364" s="98" t="inlineStr">
        <is>
          <t>Bulk Diesel</t>
        </is>
      </c>
      <c r="E364" s="103" t="n">
        <v>684</v>
      </c>
      <c r="F364" s="104" t="n">
        <v>3.79</v>
      </c>
      <c r="G364" s="98">
        <f>IF(OR(E364="",F364=""),"",E364*F364)</f>
        <v/>
      </c>
      <c r="H364" s="104" t="n">
        <v>75.18000000000001</v>
      </c>
      <c r="I364" s="98" t="n"/>
    </row>
    <row r="365">
      <c r="A365" s="102" t="n">
        <v>46112</v>
      </c>
      <c r="B365" s="98" t="inlineStr">
        <is>
          <t>Summit Logistics</t>
        </is>
      </c>
      <c r="C365" s="98" t="inlineStr">
        <is>
          <t>INV-1361</t>
        </is>
      </c>
      <c r="D365" s="98" t="inlineStr">
        <is>
          <t>Fleet Fuel Drop</t>
        </is>
      </c>
      <c r="E365" s="103" t="n">
        <v>451</v>
      </c>
      <c r="F365" s="104" t="n">
        <v>3.92</v>
      </c>
      <c r="G365" s="98">
        <f>IF(OR(E365="",F365=""),"",E365*F365)</f>
        <v/>
      </c>
      <c r="H365" s="104" t="n">
        <v>0</v>
      </c>
      <c r="I365" s="98" t="n"/>
    </row>
    <row r="366">
      <c r="A366" s="102" t="n">
        <v>46113</v>
      </c>
      <c r="B366" s="98" t="inlineStr">
        <is>
          <t>Front Range Inc</t>
        </is>
      </c>
      <c r="C366" s="98" t="inlineStr">
        <is>
          <t>INV-1362</t>
        </is>
      </c>
      <c r="D366" s="98" t="inlineStr">
        <is>
          <t>Premium Fuel Delivery</t>
        </is>
      </c>
      <c r="E366" s="103" t="n">
        <v>411</v>
      </c>
      <c r="F366" s="104" t="n">
        <v>3.94</v>
      </c>
      <c r="G366" s="98">
        <f>IF(OR(E366="",F366=""),"",E366*F366)</f>
        <v/>
      </c>
      <c r="H366" s="104" t="n">
        <v>46.96</v>
      </c>
      <c r="I366" s="98" t="n"/>
    </row>
    <row r="367">
      <c r="A367" s="102" t="n">
        <v>46114</v>
      </c>
      <c r="B367" s="98" t="inlineStr">
        <is>
          <t>Summit Logistics</t>
        </is>
      </c>
      <c r="C367" s="98" t="inlineStr">
        <is>
          <t>INV-1363</t>
        </is>
      </c>
      <c r="D367" s="98" t="inlineStr">
        <is>
          <t>Bulk Diesel</t>
        </is>
      </c>
      <c r="E367" s="103" t="n">
        <v>587</v>
      </c>
      <c r="F367" s="104" t="n">
        <v>3.92</v>
      </c>
      <c r="G367" s="98">
        <f>IF(OR(E367="",F367=""),"",E367*F367)</f>
        <v/>
      </c>
      <c r="H367" s="104" t="n">
        <v>66.73</v>
      </c>
      <c r="I367" s="98" t="n"/>
    </row>
    <row r="368">
      <c r="A368" s="102" t="n">
        <v>46115</v>
      </c>
      <c r="B368" s="98" t="inlineStr">
        <is>
          <t>Colorado Fuel Corp</t>
        </is>
      </c>
      <c r="C368" s="98" t="inlineStr">
        <is>
          <t>INV-1364</t>
        </is>
      </c>
      <c r="D368" s="98" t="inlineStr">
        <is>
          <t>Diesel Delivery</t>
        </is>
      </c>
      <c r="E368" s="103" t="n">
        <v>530</v>
      </c>
      <c r="F368" s="104" t="n">
        <v>3.9</v>
      </c>
      <c r="G368" s="98">
        <f>IF(OR(E368="",F368=""),"",E368*F368)</f>
        <v/>
      </c>
      <c r="H368" s="104" t="n">
        <v>0</v>
      </c>
      <c r="I368" s="98" t="n"/>
    </row>
    <row r="369">
      <c r="A369" s="102" t="n">
        <v>46118</v>
      </c>
      <c r="B369" s="98" t="inlineStr">
        <is>
          <t>San Luis Transport</t>
        </is>
      </c>
      <c r="C369" s="98" t="inlineStr">
        <is>
          <t>INV-1365</t>
        </is>
      </c>
      <c r="D369" s="98" t="inlineStr">
        <is>
          <t>Premium Fuel Delivery</t>
        </is>
      </c>
      <c r="E369" s="103" t="n">
        <v>540</v>
      </c>
      <c r="F369" s="104" t="n">
        <v>3.89</v>
      </c>
      <c r="G369" s="98">
        <f>IF(OR(E369="",F369=""),"",E369*F369)</f>
        <v/>
      </c>
      <c r="H369" s="104" t="n">
        <v>0</v>
      </c>
      <c r="I369" s="98" t="n"/>
    </row>
    <row r="370">
      <c r="A370" s="102" t="n">
        <v>46119</v>
      </c>
      <c r="B370" s="98" t="inlineStr">
        <is>
          <t>Centennial Hauling</t>
        </is>
      </c>
      <c r="C370" s="98" t="inlineStr">
        <is>
          <t>INV-1366</t>
        </is>
      </c>
      <c r="D370" s="98" t="inlineStr">
        <is>
          <t>Premium Fuel Delivery</t>
        </is>
      </c>
      <c r="E370" s="103" t="n">
        <v>436</v>
      </c>
      <c r="F370" s="104" t="n">
        <v>3.86</v>
      </c>
      <c r="G370" s="98">
        <f>IF(OR(E370="",F370=""),"",E370*F370)</f>
        <v/>
      </c>
      <c r="H370" s="104" t="n">
        <v>0</v>
      </c>
      <c r="I370" s="98" t="n"/>
    </row>
    <row r="371">
      <c r="A371" s="102" t="n">
        <v>46120</v>
      </c>
      <c r="B371" s="98" t="inlineStr">
        <is>
          <t>Mountain View Fleet</t>
        </is>
      </c>
      <c r="C371" s="98" t="inlineStr">
        <is>
          <t>INV-1367</t>
        </is>
      </c>
      <c r="D371" s="98" t="inlineStr">
        <is>
          <t>Premium Fuel Delivery</t>
        </is>
      </c>
      <c r="E371" s="103" t="n">
        <v>511</v>
      </c>
      <c r="F371" s="104" t="n">
        <v>3.82</v>
      </c>
      <c r="G371" s="98">
        <f>IF(OR(E371="",F371=""),"",E371*F371)</f>
        <v/>
      </c>
      <c r="H371" s="104" t="n">
        <v>56.61</v>
      </c>
      <c r="I371" s="98" t="n"/>
    </row>
    <row r="372">
      <c r="A372" s="102" t="n">
        <v>46121</v>
      </c>
      <c r="B372" s="98" t="inlineStr">
        <is>
          <t>Springs Delivery Co</t>
        </is>
      </c>
      <c r="C372" s="98" t="inlineStr">
        <is>
          <t>INV-1368</t>
        </is>
      </c>
      <c r="D372" s="98" t="inlineStr">
        <is>
          <t>Unleaded Delivery</t>
        </is>
      </c>
      <c r="E372" s="103" t="n">
        <v>489</v>
      </c>
      <c r="F372" s="104" t="n">
        <v>3.85</v>
      </c>
      <c r="G372" s="98">
        <f>IF(OR(E372="",F372=""),"",E372*F372)</f>
        <v/>
      </c>
      <c r="H372" s="104" t="n">
        <v>54.6</v>
      </c>
      <c r="I372" s="98" t="n"/>
    </row>
    <row r="373">
      <c r="A373" s="102" t="n">
        <v>46122</v>
      </c>
      <c r="B373" s="98" t="inlineStr">
        <is>
          <t>High Plains Co</t>
        </is>
      </c>
      <c r="C373" s="98" t="inlineStr">
        <is>
          <t>INV-1369</t>
        </is>
      </c>
      <c r="D373" s="98" t="inlineStr">
        <is>
          <t>Unleaded Delivery</t>
        </is>
      </c>
      <c r="E373" s="103" t="n">
        <v>498</v>
      </c>
      <c r="F373" s="104" t="n">
        <v>3.82</v>
      </c>
      <c r="G373" s="98">
        <f>IF(OR(E373="",F373=""),"",E373*F373)</f>
        <v/>
      </c>
      <c r="H373" s="104" t="n">
        <v>0</v>
      </c>
      <c r="I373" s="98" t="n"/>
    </row>
    <row r="374">
      <c r="A374" s="102" t="n">
        <v>46125</v>
      </c>
      <c r="B374" s="98" t="inlineStr">
        <is>
          <t>Mesa Verde Logistics</t>
        </is>
      </c>
      <c r="C374" s="98" t="inlineStr">
        <is>
          <t>INV-1370</t>
        </is>
      </c>
      <c r="D374" s="98" t="inlineStr">
        <is>
          <t>Fleet Fuel Drop</t>
        </is>
      </c>
      <c r="E374" s="103" t="n">
        <v>485</v>
      </c>
      <c r="F374" s="104" t="n">
        <v>3.79</v>
      </c>
      <c r="G374" s="98">
        <f>IF(OR(E374="",F374=""),"",E374*F374)</f>
        <v/>
      </c>
      <c r="H374" s="104" t="n">
        <v>53.31</v>
      </c>
      <c r="I374" s="98" t="n"/>
    </row>
    <row r="375">
      <c r="A375" s="102" t="n">
        <v>46126</v>
      </c>
      <c r="B375" s="98" t="inlineStr">
        <is>
          <t>Colorado Fuel Corp</t>
        </is>
      </c>
      <c r="C375" s="98" t="inlineStr">
        <is>
          <t>INV-1371</t>
        </is>
      </c>
      <c r="D375" s="98" t="inlineStr">
        <is>
          <t>Filter Service</t>
        </is>
      </c>
      <c r="E375" s="103" t="n">
        <v>1</v>
      </c>
      <c r="F375" s="104" t="n">
        <v>1341.84</v>
      </c>
      <c r="G375" s="98">
        <f>IF(OR(E375="",F375=""),"",E375*F375)</f>
        <v/>
      </c>
      <c r="H375" s="104" t="n">
        <v>38.91</v>
      </c>
      <c r="I375" s="98" t="n"/>
    </row>
    <row r="376">
      <c r="A376" s="102" t="n">
        <v>46127</v>
      </c>
      <c r="B376" s="98" t="inlineStr">
        <is>
          <t>Front Range Inc</t>
        </is>
      </c>
      <c r="C376" s="98" t="inlineStr">
        <is>
          <t>INV-1372</t>
        </is>
      </c>
      <c r="D376" s="98" t="inlineStr">
        <is>
          <t>Unleaded Delivery</t>
        </is>
      </c>
      <c r="E376" s="103" t="n">
        <v>507</v>
      </c>
      <c r="F376" s="104" t="n">
        <v>3.77</v>
      </c>
      <c r="G376" s="98">
        <f>IF(OR(E376="",F376=""),"",E376*F376)</f>
        <v/>
      </c>
      <c r="H376" s="104" t="n">
        <v>55.43</v>
      </c>
      <c r="I376" s="98" t="n"/>
    </row>
    <row r="377">
      <c r="A377" s="102" t="n">
        <v>46128</v>
      </c>
      <c r="B377" s="98" t="inlineStr">
        <is>
          <t>Colorado Fuel Corp</t>
        </is>
      </c>
      <c r="C377" s="98" t="inlineStr">
        <is>
          <t>INV-1373</t>
        </is>
      </c>
      <c r="D377" s="98" t="inlineStr">
        <is>
          <t>Premium Fuel Delivery</t>
        </is>
      </c>
      <c r="E377" s="103" t="n">
        <v>568</v>
      </c>
      <c r="F377" s="104" t="n">
        <v>3.81</v>
      </c>
      <c r="G377" s="98">
        <f>IF(OR(E377="",F377=""),"",E377*F377)</f>
        <v/>
      </c>
      <c r="H377" s="104" t="n">
        <v>0</v>
      </c>
      <c r="I377" s="98" t="n"/>
    </row>
    <row r="378">
      <c r="A378" s="102" t="n">
        <v>46129</v>
      </c>
      <c r="B378" s="98" t="inlineStr">
        <is>
          <t>San Luis Transport</t>
        </is>
      </c>
      <c r="C378" s="98" t="inlineStr">
        <is>
          <t>INV-1374</t>
        </is>
      </c>
      <c r="D378" s="98" t="inlineStr">
        <is>
          <t>Diesel Delivery</t>
        </is>
      </c>
      <c r="E378" s="103" t="n">
        <v>574</v>
      </c>
      <c r="F378" s="104" t="n">
        <v>3.76</v>
      </c>
      <c r="G378" s="98">
        <f>IF(OR(E378="",F378=""),"",E378*F378)</f>
        <v/>
      </c>
      <c r="H378" s="104" t="n">
        <v>62.59</v>
      </c>
      <c r="I378" s="98" t="n"/>
    </row>
    <row r="379">
      <c r="A379" s="102" t="n">
        <v>46132</v>
      </c>
      <c r="B379" s="98" t="inlineStr">
        <is>
          <t>Arkansas Valley Oil</t>
        </is>
      </c>
      <c r="C379" s="98" t="inlineStr">
        <is>
          <t>INV-1375</t>
        </is>
      </c>
      <c r="D379" s="98" t="inlineStr">
        <is>
          <t>Premium Fuel Delivery</t>
        </is>
      </c>
      <c r="E379" s="103" t="n">
        <v>466</v>
      </c>
      <c r="F379" s="104" t="n">
        <v>3.8</v>
      </c>
      <c r="G379" s="98">
        <f>IF(OR(E379="",F379=""),"",E379*F379)</f>
        <v/>
      </c>
      <c r="H379" s="104" t="n">
        <v>51.35</v>
      </c>
      <c r="I379" s="98" t="n"/>
    </row>
    <row r="380">
      <c r="A380" s="102" t="n">
        <v>46133</v>
      </c>
      <c r="B380" s="98" t="inlineStr">
        <is>
          <t>Colorado Fuel Corp</t>
        </is>
      </c>
      <c r="C380" s="98" t="inlineStr">
        <is>
          <t>INV-1376</t>
        </is>
      </c>
      <c r="D380" s="98" t="inlineStr">
        <is>
          <t>Diesel Delivery</t>
        </is>
      </c>
      <c r="E380" s="103" t="n">
        <v>416</v>
      </c>
      <c r="F380" s="104" t="n">
        <v>3.78</v>
      </c>
      <c r="G380" s="98">
        <f>IF(OR(E380="",F380=""),"",E380*F380)</f>
        <v/>
      </c>
      <c r="H380" s="104" t="n">
        <v>45.6</v>
      </c>
      <c r="I380" s="98" t="n"/>
    </row>
    <row r="381">
      <c r="A381" s="102" t="n">
        <v>46134</v>
      </c>
      <c r="B381" s="98" t="inlineStr">
        <is>
          <t>Pikes Peak Energy</t>
        </is>
      </c>
      <c r="C381" s="98" t="inlineStr">
        <is>
          <t>INV-1377</t>
        </is>
      </c>
      <c r="D381" s="98" t="inlineStr">
        <is>
          <t>Fleet Fuel Drop</t>
        </is>
      </c>
      <c r="E381" s="103" t="n">
        <v>384</v>
      </c>
      <c r="F381" s="104" t="n">
        <v>3.73</v>
      </c>
      <c r="G381" s="98">
        <f>IF(OR(E381="",F381=""),"",E381*F381)</f>
        <v/>
      </c>
      <c r="H381" s="104" t="n">
        <v>41.54</v>
      </c>
      <c r="I381" s="98" t="n"/>
    </row>
    <row r="382">
      <c r="A382" s="102" t="n">
        <v>46135</v>
      </c>
      <c r="B382" s="98" t="inlineStr">
        <is>
          <t>Royal Gorge Freight</t>
        </is>
      </c>
      <c r="C382" s="98" t="inlineStr">
        <is>
          <t>INV-1378</t>
        </is>
      </c>
      <c r="D382" s="98" t="inlineStr">
        <is>
          <t>Bulk Diesel</t>
        </is>
      </c>
      <c r="E382" s="103" t="n">
        <v>323</v>
      </c>
      <c r="F382" s="104" t="n">
        <v>3.74</v>
      </c>
      <c r="G382" s="98">
        <f>IF(OR(E382="",F382=""),"",E382*F382)</f>
        <v/>
      </c>
      <c r="H382" s="104" t="n">
        <v>0</v>
      </c>
      <c r="I382" s="98" t="n"/>
    </row>
    <row r="383">
      <c r="A383" s="102" t="n">
        <v>46136</v>
      </c>
      <c r="B383" s="98" t="inlineStr">
        <is>
          <t>Front Range Inc</t>
        </is>
      </c>
      <c r="C383" s="98" t="inlineStr">
        <is>
          <t>INV-1379</t>
        </is>
      </c>
      <c r="D383" s="98" t="inlineStr">
        <is>
          <t>Premium Fuel Delivery</t>
        </is>
      </c>
      <c r="E383" s="103" t="n">
        <v>440</v>
      </c>
      <c r="F383" s="104" t="n">
        <v>3.75</v>
      </c>
      <c r="G383" s="98">
        <f>IF(OR(E383="",F383=""),"",E383*F383)</f>
        <v/>
      </c>
      <c r="H383" s="104" t="n">
        <v>47.85</v>
      </c>
      <c r="I383" s="98" t="n"/>
    </row>
    <row r="384">
      <c r="A384" s="102" t="n">
        <v>46139</v>
      </c>
      <c r="B384" s="98" t="inlineStr">
        <is>
          <t>Summit Logistics</t>
        </is>
      </c>
      <c r="C384" s="98" t="inlineStr">
        <is>
          <t>INV-1380</t>
        </is>
      </c>
      <c r="D384" s="98" t="inlineStr">
        <is>
          <t>Bulk Diesel</t>
        </is>
      </c>
      <c r="E384" s="103" t="n">
        <v>493</v>
      </c>
      <c r="F384" s="104" t="n">
        <v>3.74</v>
      </c>
      <c r="G384" s="98">
        <f>IF(OR(E384="",F384=""),"",E384*F384)</f>
        <v/>
      </c>
      <c r="H384" s="104" t="n">
        <v>0</v>
      </c>
      <c r="I384" s="98" t="n"/>
    </row>
    <row r="385">
      <c r="A385" s="102" t="n">
        <v>46140</v>
      </c>
      <c r="B385" s="98" t="inlineStr">
        <is>
          <t>Mountain View Fleet</t>
        </is>
      </c>
      <c r="C385" s="98" t="inlineStr">
        <is>
          <t>INV-1381</t>
        </is>
      </c>
      <c r="D385" s="98" t="inlineStr">
        <is>
          <t>Fleet Fuel Drop</t>
        </is>
      </c>
      <c r="E385" s="103" t="n">
        <v>533</v>
      </c>
      <c r="F385" s="104" t="n">
        <v>3.75</v>
      </c>
      <c r="G385" s="98">
        <f>IF(OR(E385="",F385=""),"",E385*F385)</f>
        <v/>
      </c>
      <c r="H385" s="104" t="n">
        <v>57.96</v>
      </c>
      <c r="I385" s="98" t="n"/>
    </row>
    <row r="386">
      <c r="A386" s="102" t="n">
        <v>46141</v>
      </c>
      <c r="B386" s="98" t="inlineStr">
        <is>
          <t>Acme Petroleum</t>
        </is>
      </c>
      <c r="C386" s="98" t="inlineStr">
        <is>
          <t>INV-1382</t>
        </is>
      </c>
      <c r="D386" s="98" t="inlineStr">
        <is>
          <t>Premium Fuel Delivery</t>
        </is>
      </c>
      <c r="E386" s="103" t="n">
        <v>542</v>
      </c>
      <c r="F386" s="104" t="n">
        <v>3.7</v>
      </c>
      <c r="G386" s="98">
        <f>IF(OR(E386="",F386=""),"",E386*F386)</f>
        <v/>
      </c>
      <c r="H386" s="104" t="n">
        <v>58.16</v>
      </c>
      <c r="I386" s="98" t="n"/>
    </row>
    <row r="387">
      <c r="A387" s="102" t="n">
        <v>46142</v>
      </c>
      <c r="B387" s="98" t="inlineStr">
        <is>
          <t>Pikes Peak Energy</t>
        </is>
      </c>
      <c r="C387" s="98" t="inlineStr">
        <is>
          <t>INV-1383</t>
        </is>
      </c>
      <c r="D387" s="98" t="inlineStr">
        <is>
          <t>Line Flush Service</t>
        </is>
      </c>
      <c r="E387" s="103" t="n">
        <v>1</v>
      </c>
      <c r="F387" s="104" t="n">
        <v>806.28</v>
      </c>
      <c r="G387" s="98">
        <f>IF(OR(E387="",F387=""),"",E387*F387)</f>
        <v/>
      </c>
      <c r="H387" s="104" t="n">
        <v>0</v>
      </c>
      <c r="I387" s="98" t="n"/>
    </row>
    <row r="388">
      <c r="A388" s="102" t="n">
        <v>46143</v>
      </c>
      <c r="B388" s="98" t="inlineStr">
        <is>
          <t>San Luis Transport</t>
        </is>
      </c>
      <c r="C388" s="98" t="inlineStr">
        <is>
          <t>INV-1384</t>
        </is>
      </c>
      <c r="D388" s="98" t="inlineStr">
        <is>
          <t>Diesel Delivery</t>
        </is>
      </c>
      <c r="E388" s="103" t="n">
        <v>467</v>
      </c>
      <c r="F388" s="104" t="n">
        <v>3.69</v>
      </c>
      <c r="G388" s="98">
        <f>IF(OR(E388="",F388=""),"",E388*F388)</f>
        <v/>
      </c>
      <c r="H388" s="104" t="n">
        <v>49.97</v>
      </c>
      <c r="I388" s="98" t="n"/>
    </row>
    <row r="389">
      <c r="A389" s="102" t="n">
        <v>46146</v>
      </c>
      <c r="B389" s="98" t="inlineStr">
        <is>
          <t>Mesa Verde Logistics</t>
        </is>
      </c>
      <c r="C389" s="98" t="inlineStr">
        <is>
          <t>INV-1385</t>
        </is>
      </c>
      <c r="D389" s="98" t="inlineStr">
        <is>
          <t>Bulk Diesel</t>
        </is>
      </c>
      <c r="E389" s="103" t="n">
        <v>513</v>
      </c>
      <c r="F389" s="104" t="n">
        <v>3.71</v>
      </c>
      <c r="G389" s="98">
        <f>IF(OR(E389="",F389=""),"",E389*F389)</f>
        <v/>
      </c>
      <c r="H389" s="104" t="n">
        <v>55.19</v>
      </c>
      <c r="I389" s="98" t="n"/>
    </row>
    <row r="390">
      <c r="A390" s="102" t="n">
        <v>46147</v>
      </c>
      <c r="B390" s="98" t="inlineStr">
        <is>
          <t>Centennial Hauling</t>
        </is>
      </c>
      <c r="C390" s="98" t="inlineStr">
        <is>
          <t>INV-1386</t>
        </is>
      </c>
      <c r="D390" s="98" t="inlineStr">
        <is>
          <t>Premium Fuel Delivery</t>
        </is>
      </c>
      <c r="E390" s="103" t="n">
        <v>545</v>
      </c>
      <c r="F390" s="104" t="n">
        <v>3.66</v>
      </c>
      <c r="G390" s="98">
        <f>IF(OR(E390="",F390=""),"",E390*F390)</f>
        <v/>
      </c>
      <c r="H390" s="104" t="n">
        <v>57.85</v>
      </c>
      <c r="I390" s="98" t="n"/>
    </row>
    <row r="391">
      <c r="A391" s="102" t="n">
        <v>46148</v>
      </c>
      <c r="B391" s="98" t="inlineStr">
        <is>
          <t>Centennial Hauling</t>
        </is>
      </c>
      <c r="C391" s="98" t="inlineStr">
        <is>
          <t>INV-1387</t>
        </is>
      </c>
      <c r="D391" s="98" t="inlineStr">
        <is>
          <t>Fleet Fuel Drop</t>
        </is>
      </c>
      <c r="E391" s="103" t="n">
        <v>513</v>
      </c>
      <c r="F391" s="104" t="n">
        <v>3.62</v>
      </c>
      <c r="G391" s="98">
        <f>IF(OR(E391="",F391=""),"",E391*F391)</f>
        <v/>
      </c>
      <c r="H391" s="104" t="n">
        <v>53.85</v>
      </c>
      <c r="I391" s="98" t="n"/>
    </row>
    <row r="392">
      <c r="A392" s="102" t="n">
        <v>46149</v>
      </c>
      <c r="B392" s="98" t="inlineStr">
        <is>
          <t>Pueblo Supply Chain</t>
        </is>
      </c>
      <c r="C392" s="98" t="inlineStr">
        <is>
          <t>INV-1388</t>
        </is>
      </c>
      <c r="D392" s="98" t="inlineStr">
        <is>
          <t>Filter Service</t>
        </is>
      </c>
      <c r="E392" s="103" t="n">
        <v>1</v>
      </c>
      <c r="F392" s="104" t="n">
        <v>1282.55</v>
      </c>
      <c r="G392" s="98">
        <f>IF(OR(E392="",F392=""),"",E392*F392)</f>
        <v/>
      </c>
      <c r="H392" s="104" t="n">
        <v>0</v>
      </c>
      <c r="I392" s="98" t="n"/>
    </row>
    <row r="393">
      <c r="A393" s="102" t="n">
        <v>46150</v>
      </c>
      <c r="B393" s="98" t="inlineStr">
        <is>
          <t>Arkansas Valley Oil</t>
        </is>
      </c>
      <c r="C393" s="98" t="inlineStr">
        <is>
          <t>INV-1389</t>
        </is>
      </c>
      <c r="D393" s="98" t="inlineStr">
        <is>
          <t>Unleaded Delivery</t>
        </is>
      </c>
      <c r="E393" s="103" t="n">
        <v>394</v>
      </c>
      <c r="F393" s="104" t="n">
        <v>3.67</v>
      </c>
      <c r="G393" s="98">
        <f>IF(OR(E393="",F393=""),"",E393*F393)</f>
        <v/>
      </c>
      <c r="H393" s="104" t="n">
        <v>0</v>
      </c>
      <c r="I393" s="98" t="n"/>
    </row>
    <row r="394">
      <c r="A394" s="102" t="n">
        <v>46153</v>
      </c>
      <c r="B394" s="98" t="inlineStr">
        <is>
          <t>Pikes Peak Energy</t>
        </is>
      </c>
      <c r="C394" s="98" t="inlineStr">
        <is>
          <t>INV-1390</t>
        </is>
      </c>
      <c r="D394" s="98" t="inlineStr">
        <is>
          <t>Diesel Delivery</t>
        </is>
      </c>
      <c r="E394" s="103" t="n">
        <v>438</v>
      </c>
      <c r="F394" s="104" t="n">
        <v>3.66</v>
      </c>
      <c r="G394" s="98">
        <f>IF(OR(E394="",F394=""),"",E394*F394)</f>
        <v/>
      </c>
      <c r="H394" s="104" t="n">
        <v>46.49</v>
      </c>
      <c r="I394" s="98" t="n"/>
    </row>
    <row r="395">
      <c r="A395" s="102" t="n">
        <v>46154</v>
      </c>
      <c r="B395" s="98" t="inlineStr">
        <is>
          <t>Pueblo Supply Chain</t>
        </is>
      </c>
      <c r="C395" s="98" t="inlineStr">
        <is>
          <t>INV-1391</t>
        </is>
      </c>
      <c r="D395" s="98" t="inlineStr">
        <is>
          <t>Tank Inspection</t>
        </is>
      </c>
      <c r="E395" s="103" t="n">
        <v>1</v>
      </c>
      <c r="F395" s="104" t="n">
        <v>884.41</v>
      </c>
      <c r="G395" s="98">
        <f>IF(OR(E395="",F395=""),"",E395*F395)</f>
        <v/>
      </c>
      <c r="H395" s="104" t="n">
        <v>25.65</v>
      </c>
      <c r="I395" s="98" t="n"/>
    </row>
    <row r="396">
      <c r="A396" s="102" t="n">
        <v>46155</v>
      </c>
      <c r="B396" s="98" t="inlineStr">
        <is>
          <t>Summit Logistics</t>
        </is>
      </c>
      <c r="C396" s="98" t="inlineStr">
        <is>
          <t>INV-1392</t>
        </is>
      </c>
      <c r="D396" s="98" t="inlineStr">
        <is>
          <t>Unleaded Delivery</t>
        </is>
      </c>
      <c r="E396" s="103" t="n">
        <v>461</v>
      </c>
      <c r="F396" s="104" t="n">
        <v>3.65</v>
      </c>
      <c r="G396" s="98">
        <f>IF(OR(E396="",F396=""),"",E396*F396)</f>
        <v/>
      </c>
      <c r="H396" s="104" t="n">
        <v>48.8</v>
      </c>
      <c r="I396" s="98" t="n"/>
    </row>
    <row r="397">
      <c r="A397" s="102" t="n">
        <v>46156</v>
      </c>
      <c r="B397" s="98" t="inlineStr">
        <is>
          <t>Royal Gorge Freight</t>
        </is>
      </c>
      <c r="C397" s="98" t="inlineStr">
        <is>
          <t>INV-1393</t>
        </is>
      </c>
      <c r="D397" s="98" t="inlineStr">
        <is>
          <t>Premium Fuel Delivery</t>
        </is>
      </c>
      <c r="E397" s="103" t="n">
        <v>428</v>
      </c>
      <c r="F397" s="104" t="n">
        <v>3.59</v>
      </c>
      <c r="G397" s="98">
        <f>IF(OR(E397="",F397=""),"",E397*F397)</f>
        <v/>
      </c>
      <c r="H397" s="104" t="n">
        <v>44.56</v>
      </c>
      <c r="I397" s="98" t="n"/>
    </row>
    <row r="398">
      <c r="A398" s="102" t="n">
        <v>46157</v>
      </c>
      <c r="B398" s="98" t="inlineStr">
        <is>
          <t>High Plains Co</t>
        </is>
      </c>
      <c r="C398" s="98" t="inlineStr">
        <is>
          <t>INV-1394</t>
        </is>
      </c>
      <c r="D398" s="98" t="inlineStr">
        <is>
          <t>Unleaded Delivery</t>
        </is>
      </c>
      <c r="E398" s="103" t="n">
        <v>314</v>
      </c>
      <c r="F398" s="104" t="n">
        <v>3.58</v>
      </c>
      <c r="G398" s="98">
        <f>IF(OR(E398="",F398=""),"",E398*F398)</f>
        <v/>
      </c>
      <c r="H398" s="104" t="n">
        <v>32.6</v>
      </c>
      <c r="I398" s="98" t="n"/>
    </row>
    <row r="399">
      <c r="A399" s="102" t="n">
        <v>46160</v>
      </c>
      <c r="B399" s="98" t="inlineStr">
        <is>
          <t>Springs Delivery Co</t>
        </is>
      </c>
      <c r="C399" s="98" t="inlineStr">
        <is>
          <t>INV-1395</t>
        </is>
      </c>
      <c r="D399" s="98" t="inlineStr">
        <is>
          <t>Premium Fuel Delivery</t>
        </is>
      </c>
      <c r="E399" s="103" t="n">
        <v>233</v>
      </c>
      <c r="F399" s="104" t="n">
        <v>3.57</v>
      </c>
      <c r="G399" s="98">
        <f>IF(OR(E399="",F399=""),"",E399*F399)</f>
        <v/>
      </c>
      <c r="H399" s="104" t="n">
        <v>24.12</v>
      </c>
      <c r="I399" s="98" t="n"/>
    </row>
    <row r="400">
      <c r="A400" s="102" t="n">
        <v>46161</v>
      </c>
      <c r="B400" s="98" t="inlineStr">
        <is>
          <t>Mesa Verde Logistics</t>
        </is>
      </c>
      <c r="C400" s="98" t="inlineStr">
        <is>
          <t>INV-1396</t>
        </is>
      </c>
      <c r="D400" s="98" t="inlineStr">
        <is>
          <t>Premium Fuel Delivery</t>
        </is>
      </c>
      <c r="E400" s="103" t="n">
        <v>260</v>
      </c>
      <c r="F400" s="104" t="n">
        <v>3.55</v>
      </c>
      <c r="G400" s="98">
        <f>IF(OR(E400="",F400=""),"",E400*F400)</f>
        <v/>
      </c>
      <c r="H400" s="104" t="n">
        <v>0</v>
      </c>
      <c r="I400" s="98" t="n"/>
    </row>
    <row r="401">
      <c r="A401" s="102" t="n">
        <v>46162</v>
      </c>
      <c r="B401" s="98" t="inlineStr">
        <is>
          <t>Centennial Hauling</t>
        </is>
      </c>
      <c r="C401" s="98" t="inlineStr">
        <is>
          <t>INV-1397</t>
        </is>
      </c>
      <c r="D401" s="98" t="inlineStr">
        <is>
          <t>Bulk Diesel</t>
        </is>
      </c>
      <c r="E401" s="103" t="n">
        <v>288</v>
      </c>
      <c r="F401" s="104" t="n">
        <v>3.57</v>
      </c>
      <c r="G401" s="98">
        <f>IF(OR(E401="",F401=""),"",E401*F401)</f>
        <v/>
      </c>
      <c r="H401" s="104" t="n">
        <v>0</v>
      </c>
      <c r="I401" s="98" t="n"/>
    </row>
    <row r="402">
      <c r="A402" s="102" t="n">
        <v>46163</v>
      </c>
      <c r="B402" s="98" t="inlineStr">
        <is>
          <t>Centennial Hauling</t>
        </is>
      </c>
      <c r="C402" s="98" t="inlineStr">
        <is>
          <t>INV-1398</t>
        </is>
      </c>
      <c r="D402" s="98" t="inlineStr">
        <is>
          <t>Premium Fuel Delivery</t>
        </is>
      </c>
      <c r="E402" s="103" t="n">
        <v>311</v>
      </c>
      <c r="F402" s="104" t="n">
        <v>3.58</v>
      </c>
      <c r="G402" s="98">
        <f>IF(OR(E402="",F402=""),"",E402*F402)</f>
        <v/>
      </c>
      <c r="H402" s="104" t="n">
        <v>0</v>
      </c>
      <c r="I402" s="98" t="n"/>
    </row>
    <row r="403">
      <c r="A403" s="102" t="n">
        <v>46164</v>
      </c>
      <c r="B403" s="98" t="inlineStr">
        <is>
          <t>High Plains Co</t>
        </is>
      </c>
      <c r="C403" s="98" t="inlineStr">
        <is>
          <t>INV-1399</t>
        </is>
      </c>
      <c r="D403" s="98" t="inlineStr">
        <is>
          <t>Diesel Delivery</t>
        </is>
      </c>
      <c r="E403" s="103" t="n">
        <v>316</v>
      </c>
      <c r="F403" s="104" t="n">
        <v>3.54</v>
      </c>
      <c r="G403" s="98">
        <f>IF(OR(E403="",F403=""),"",E403*F403)</f>
        <v/>
      </c>
      <c r="H403" s="104" t="n">
        <v>32.44</v>
      </c>
      <c r="I403" s="98" t="n"/>
    </row>
    <row r="404">
      <c r="A404" s="102" t="n">
        <v>46167</v>
      </c>
      <c r="B404" s="98" t="inlineStr">
        <is>
          <t>Mesa Verde Logistics</t>
        </is>
      </c>
      <c r="C404" s="98" t="inlineStr">
        <is>
          <t>INV-1400</t>
        </is>
      </c>
      <c r="D404" s="98" t="inlineStr">
        <is>
          <t>Unleaded Delivery</t>
        </is>
      </c>
      <c r="E404" s="103" t="n">
        <v>394</v>
      </c>
      <c r="F404" s="104" t="n">
        <v>3.55</v>
      </c>
      <c r="G404" s="98">
        <f>IF(OR(E404="",F404=""),"",E404*F404)</f>
        <v/>
      </c>
      <c r="H404" s="104" t="n">
        <v>40.56</v>
      </c>
      <c r="I404" s="98" t="n"/>
    </row>
    <row r="405">
      <c r="A405" s="102" t="n">
        <v>46168</v>
      </c>
      <c r="B405" s="98" t="inlineStr">
        <is>
          <t>Mesa Verde Logistics</t>
        </is>
      </c>
      <c r="C405" s="98" t="inlineStr">
        <is>
          <t>INV-1401</t>
        </is>
      </c>
      <c r="D405" s="98" t="inlineStr">
        <is>
          <t>Bulk Diesel</t>
        </is>
      </c>
      <c r="E405" s="103" t="n">
        <v>479</v>
      </c>
      <c r="F405" s="104" t="n">
        <v>3.49</v>
      </c>
      <c r="G405" s="98">
        <f>IF(OR(E405="",F405=""),"",E405*F405)</f>
        <v/>
      </c>
      <c r="H405" s="104" t="n">
        <v>48.48</v>
      </c>
      <c r="I405" s="98" t="n"/>
    </row>
    <row r="406">
      <c r="A406" s="102" t="n">
        <v>46169</v>
      </c>
      <c r="B406" s="98" t="inlineStr">
        <is>
          <t>Summit Logistics</t>
        </is>
      </c>
      <c r="C406" s="98" t="inlineStr">
        <is>
          <t>INV-1402</t>
        </is>
      </c>
      <c r="D406" s="98" t="inlineStr">
        <is>
          <t>Premium Fuel Delivery</t>
        </is>
      </c>
      <c r="E406" s="103" t="n">
        <v>516</v>
      </c>
      <c r="F406" s="104" t="n">
        <v>3.51</v>
      </c>
      <c r="G406" s="98">
        <f>IF(OR(E406="",F406=""),"",E406*F406)</f>
        <v/>
      </c>
      <c r="H406" s="104" t="n">
        <v>52.52</v>
      </c>
      <c r="I406" s="98" t="n"/>
    </row>
    <row r="407">
      <c r="A407" s="102" t="n">
        <v>46170</v>
      </c>
      <c r="B407" s="98" t="inlineStr">
        <is>
          <t>Pikes Peak Energy</t>
        </is>
      </c>
      <c r="C407" s="98" t="inlineStr">
        <is>
          <t>INV-1403</t>
        </is>
      </c>
      <c r="D407" s="98" t="inlineStr">
        <is>
          <t>Tank Inspection</t>
        </is>
      </c>
      <c r="E407" s="103" t="n">
        <v>1</v>
      </c>
      <c r="F407" s="104" t="n">
        <v>1053.05</v>
      </c>
      <c r="G407" s="98">
        <f>IF(OR(E407="",F407=""),"",E407*F407)</f>
        <v/>
      </c>
      <c r="H407" s="104" t="n">
        <v>30.54</v>
      </c>
      <c r="I407" s="98" t="n"/>
    </row>
    <row r="408">
      <c r="A408" s="102" t="n">
        <v>46171</v>
      </c>
      <c r="B408" s="98" t="inlineStr">
        <is>
          <t>Mountain View Fleet</t>
        </is>
      </c>
      <c r="C408" s="98" t="inlineStr">
        <is>
          <t>INV-1404</t>
        </is>
      </c>
      <c r="D408" s="98" t="inlineStr">
        <is>
          <t>Bulk Diesel</t>
        </is>
      </c>
      <c r="E408" s="103" t="n">
        <v>550</v>
      </c>
      <c r="F408" s="104" t="n">
        <v>3.5</v>
      </c>
      <c r="G408" s="98">
        <f>IF(OR(E408="",F408=""),"",E408*F408)</f>
        <v/>
      </c>
      <c r="H408" s="104" t="n">
        <v>55.83</v>
      </c>
      <c r="I408" s="98" t="n"/>
    </row>
    <row r="409">
      <c r="A409" s="102" t="n">
        <v>46174</v>
      </c>
      <c r="B409" s="98" t="inlineStr">
        <is>
          <t>Pueblo Supply Chain</t>
        </is>
      </c>
      <c r="C409" s="98" t="inlineStr">
        <is>
          <t>INV-1405</t>
        </is>
      </c>
      <c r="D409" s="98" t="inlineStr">
        <is>
          <t>Premium Fuel Delivery</t>
        </is>
      </c>
      <c r="E409" s="103" t="n">
        <v>555</v>
      </c>
      <c r="F409" s="104" t="n">
        <v>3.53</v>
      </c>
      <c r="G409" s="98">
        <f>IF(OR(E409="",F409=""),"",E409*F409)</f>
        <v/>
      </c>
      <c r="H409" s="104" t="n">
        <v>56.82</v>
      </c>
      <c r="I409" s="98" t="n"/>
    </row>
    <row r="410">
      <c r="A410" s="102" t="n">
        <v>46175</v>
      </c>
      <c r="B410" s="98" t="inlineStr">
        <is>
          <t>Summit Logistics</t>
        </is>
      </c>
      <c r="C410" s="98" t="inlineStr">
        <is>
          <t>INV-1406</t>
        </is>
      </c>
      <c r="D410" s="98" t="inlineStr">
        <is>
          <t>Premium Fuel Delivery</t>
        </is>
      </c>
      <c r="E410" s="103" t="n">
        <v>482</v>
      </c>
      <c r="F410" s="104" t="n">
        <v>3.47</v>
      </c>
      <c r="G410" s="98">
        <f>IF(OR(E410="",F410=""),"",E410*F410)</f>
        <v/>
      </c>
      <c r="H410" s="104" t="n">
        <v>48.5</v>
      </c>
      <c r="I410" s="98" t="n"/>
    </row>
    <row r="411">
      <c r="A411" s="102" t="n">
        <v>46176</v>
      </c>
      <c r="B411" s="98" t="inlineStr">
        <is>
          <t>Acme Petroleum</t>
        </is>
      </c>
      <c r="C411" s="98" t="inlineStr">
        <is>
          <t>INV-1407</t>
        </is>
      </c>
      <c r="D411" s="98" t="inlineStr">
        <is>
          <t>Bulk Diesel</t>
        </is>
      </c>
      <c r="E411" s="103" t="n">
        <v>502</v>
      </c>
      <c r="F411" s="104" t="n">
        <v>3.51</v>
      </c>
      <c r="G411" s="98">
        <f>IF(OR(E411="",F411=""),"",E411*F411)</f>
        <v/>
      </c>
      <c r="H411" s="104" t="n">
        <v>51.1</v>
      </c>
      <c r="I411" s="98" t="n"/>
    </row>
    <row r="412">
      <c r="A412" s="102" t="n">
        <v>46177</v>
      </c>
      <c r="B412" s="98" t="inlineStr">
        <is>
          <t>San Luis Transport</t>
        </is>
      </c>
      <c r="C412" s="98" t="inlineStr">
        <is>
          <t>INV-1408</t>
        </is>
      </c>
      <c r="D412" s="98" t="inlineStr">
        <is>
          <t>Pump Maintenance</t>
        </is>
      </c>
      <c r="E412" s="103" t="n">
        <v>1</v>
      </c>
      <c r="F412" s="104" t="n">
        <v>1381.2</v>
      </c>
      <c r="G412" s="98">
        <f>IF(OR(E412="",F412=""),"",E412*F412)</f>
        <v/>
      </c>
      <c r="H412" s="104" t="n">
        <v>40.05</v>
      </c>
      <c r="I412" s="98" t="n"/>
    </row>
    <row r="413">
      <c r="A413" s="102" t="n">
        <v>46178</v>
      </c>
      <c r="B413" s="98" t="inlineStr">
        <is>
          <t>Arkansas Valley Oil</t>
        </is>
      </c>
      <c r="C413" s="98" t="inlineStr">
        <is>
          <t>INV-1409</t>
        </is>
      </c>
      <c r="D413" s="98" t="inlineStr">
        <is>
          <t>Diesel Delivery</t>
        </is>
      </c>
      <c r="E413" s="103" t="n">
        <v>555</v>
      </c>
      <c r="F413" s="104" t="n">
        <v>3.44</v>
      </c>
      <c r="G413" s="98">
        <f>IF(OR(E413="",F413=""),"",E413*F413)</f>
        <v/>
      </c>
      <c r="H413" s="104" t="n">
        <v>55.37</v>
      </c>
      <c r="I413" s="98" t="n"/>
    </row>
    <row r="414">
      <c r="A414" s="102" t="n">
        <v>46181</v>
      </c>
      <c r="B414" s="98" t="inlineStr">
        <is>
          <t>Arkansas Valley Oil</t>
        </is>
      </c>
      <c r="C414" s="98" t="inlineStr">
        <is>
          <t>INV-1410</t>
        </is>
      </c>
      <c r="D414" s="98" t="inlineStr">
        <is>
          <t>Premium Fuel Delivery</t>
        </is>
      </c>
      <c r="E414" s="103" t="n">
        <v>527</v>
      </c>
      <c r="F414" s="104" t="n">
        <v>3.48</v>
      </c>
      <c r="G414" s="98">
        <f>IF(OR(E414="",F414=""),"",E414*F414)</f>
        <v/>
      </c>
      <c r="H414" s="104" t="n">
        <v>53.18</v>
      </c>
      <c r="I414" s="98" t="n"/>
    </row>
    <row r="415">
      <c r="A415" s="102" t="n">
        <v>46182</v>
      </c>
      <c r="B415" s="98" t="inlineStr">
        <is>
          <t>Acme Petroleum</t>
        </is>
      </c>
      <c r="C415" s="98" t="inlineStr">
        <is>
          <t>INV-1411</t>
        </is>
      </c>
      <c r="D415" s="98" t="inlineStr">
        <is>
          <t>Unleaded Delivery</t>
        </is>
      </c>
      <c r="E415" s="103" t="n">
        <v>568</v>
      </c>
      <c r="F415" s="104" t="n">
        <v>3.42</v>
      </c>
      <c r="G415" s="98">
        <f>IF(OR(E415="",F415=""),"",E415*F415)</f>
        <v/>
      </c>
      <c r="H415" s="104" t="n">
        <v>56.33</v>
      </c>
      <c r="I415" s="98" t="n"/>
    </row>
    <row r="416">
      <c r="A416" s="102" t="n">
        <v>46183</v>
      </c>
      <c r="B416" s="98" t="inlineStr">
        <is>
          <t>Colorado Fuel Corp</t>
        </is>
      </c>
      <c r="C416" s="98" t="inlineStr">
        <is>
          <t>INV-1412</t>
        </is>
      </c>
      <c r="D416" s="98" t="inlineStr">
        <is>
          <t>Premium Fuel Delivery</t>
        </is>
      </c>
      <c r="E416" s="103" t="n">
        <v>542</v>
      </c>
      <c r="F416" s="104" t="n">
        <v>3.45</v>
      </c>
      <c r="G416" s="98">
        <f>IF(OR(E416="",F416=""),"",E416*F416)</f>
        <v/>
      </c>
      <c r="H416" s="104" t="n">
        <v>0</v>
      </c>
      <c r="I416" s="98" t="n"/>
    </row>
    <row r="417">
      <c r="A417" s="102" t="n">
        <v>46184</v>
      </c>
      <c r="B417" s="98" t="inlineStr">
        <is>
          <t>San Luis Transport</t>
        </is>
      </c>
      <c r="C417" s="98" t="inlineStr">
        <is>
          <t>INV-1413</t>
        </is>
      </c>
      <c r="D417" s="98" t="inlineStr">
        <is>
          <t>Filter Service</t>
        </is>
      </c>
      <c r="E417" s="103" t="n">
        <v>1</v>
      </c>
      <c r="F417" s="104" t="n">
        <v>884.46</v>
      </c>
      <c r="G417" s="98">
        <f>IF(OR(E417="",F417=""),"",E417*F417)</f>
        <v/>
      </c>
      <c r="H417" s="104" t="n">
        <v>25.65</v>
      </c>
      <c r="I417" s="98" t="n"/>
    </row>
    <row r="418">
      <c r="A418" s="102" t="n">
        <v>46185</v>
      </c>
      <c r="B418" s="98" t="inlineStr">
        <is>
          <t>Colorado Fuel Corp</t>
        </is>
      </c>
      <c r="C418" s="98" t="inlineStr">
        <is>
          <t>INV-1414</t>
        </is>
      </c>
      <c r="D418" s="98" t="inlineStr">
        <is>
          <t>Bulk Diesel</t>
        </is>
      </c>
      <c r="E418" s="103" t="n">
        <v>573</v>
      </c>
      <c r="F418" s="104" t="n">
        <v>3.41</v>
      </c>
      <c r="G418" s="98">
        <f>IF(OR(E418="",F418=""),"",E418*F418)</f>
        <v/>
      </c>
      <c r="H418" s="104" t="n">
        <v>56.66</v>
      </c>
      <c r="I418" s="98" t="n"/>
    </row>
    <row r="419">
      <c r="A419" s="102" t="n">
        <v>46188</v>
      </c>
      <c r="B419" s="98" t="inlineStr">
        <is>
          <t>Western Slope Transport</t>
        </is>
      </c>
      <c r="C419" s="98" t="inlineStr">
        <is>
          <t>INV-1415</t>
        </is>
      </c>
      <c r="D419" s="98" t="inlineStr">
        <is>
          <t>Fleet Fuel Drop</t>
        </is>
      </c>
      <c r="E419" s="103" t="n">
        <v>585</v>
      </c>
      <c r="F419" s="104" t="n">
        <v>3.42</v>
      </c>
      <c r="G419" s="98">
        <f>IF(OR(E419="",F419=""),"",E419*F419)</f>
        <v/>
      </c>
      <c r="H419" s="104" t="n">
        <v>58.02</v>
      </c>
      <c r="I419" s="98" t="n"/>
    </row>
    <row r="420">
      <c r="A420" s="102" t="n">
        <v>46189</v>
      </c>
      <c r="B420" s="98" t="inlineStr">
        <is>
          <t>San Luis Transport</t>
        </is>
      </c>
      <c r="C420" s="98" t="inlineStr">
        <is>
          <t>INV-1416</t>
        </is>
      </c>
      <c r="D420" s="98" t="inlineStr">
        <is>
          <t>Unleaded Delivery</t>
        </is>
      </c>
      <c r="E420" s="103" t="n">
        <v>535</v>
      </c>
      <c r="F420" s="104" t="n">
        <v>3.38</v>
      </c>
      <c r="G420" s="98">
        <f>IF(OR(E420="",F420=""),"",E420*F420)</f>
        <v/>
      </c>
      <c r="H420" s="104" t="n">
        <v>52.44</v>
      </c>
      <c r="I420" s="98" t="n"/>
    </row>
    <row r="421">
      <c r="A421" s="102" t="n">
        <v>46190</v>
      </c>
      <c r="B421" s="98" t="inlineStr">
        <is>
          <t>Mesa Verde Logistics</t>
        </is>
      </c>
      <c r="C421" s="98" t="inlineStr">
        <is>
          <t>INV-1417</t>
        </is>
      </c>
      <c r="D421" s="98" t="inlineStr">
        <is>
          <t>Diesel Delivery</t>
        </is>
      </c>
      <c r="E421" s="103" t="n">
        <v>527</v>
      </c>
      <c r="F421" s="104" t="n">
        <v>3.4</v>
      </c>
      <c r="G421" s="98">
        <f>IF(OR(E421="",F421=""),"",E421*F421)</f>
        <v/>
      </c>
      <c r="H421" s="104" t="n">
        <v>51.96</v>
      </c>
      <c r="I421" s="98" t="n"/>
    </row>
    <row r="422">
      <c r="A422" s="102" t="n">
        <v>46191</v>
      </c>
      <c r="B422" s="98" t="inlineStr">
        <is>
          <t>Pikes Peak Energy</t>
        </is>
      </c>
      <c r="C422" s="98" t="inlineStr">
        <is>
          <t>INV-1418</t>
        </is>
      </c>
      <c r="D422" s="98" t="inlineStr">
        <is>
          <t>Line Flush Service</t>
        </is>
      </c>
      <c r="E422" s="103" t="n">
        <v>1</v>
      </c>
      <c r="F422" s="104" t="n">
        <v>1637.33</v>
      </c>
      <c r="G422" s="98">
        <f>IF(OR(E422="",F422=""),"",E422*F422)</f>
        <v/>
      </c>
      <c r="H422" s="104" t="n">
        <v>0</v>
      </c>
      <c r="I422" s="98" t="n"/>
    </row>
    <row r="423">
      <c r="A423" s="102" t="n">
        <v>46192</v>
      </c>
      <c r="B423" s="98" t="inlineStr">
        <is>
          <t>Front Range Inc</t>
        </is>
      </c>
      <c r="C423" s="98" t="inlineStr">
        <is>
          <t>INV-1419</t>
        </is>
      </c>
      <c r="D423" s="98" t="inlineStr">
        <is>
          <t>Premium Fuel Delivery</t>
        </is>
      </c>
      <c r="E423" s="103" t="n">
        <v>586</v>
      </c>
      <c r="F423" s="104" t="n">
        <v>3.37</v>
      </c>
      <c r="G423" s="98">
        <f>IF(OR(E423="",F423=""),"",E423*F423)</f>
        <v/>
      </c>
      <c r="H423" s="104" t="n">
        <v>57.27</v>
      </c>
      <c r="I423" s="98" t="n"/>
    </row>
    <row r="424">
      <c r="A424" s="102" t="n">
        <v>46195</v>
      </c>
      <c r="B424" s="98" t="inlineStr">
        <is>
          <t>Mesa Verde Logistics</t>
        </is>
      </c>
      <c r="C424" s="98" t="inlineStr">
        <is>
          <t>INV-1420</t>
        </is>
      </c>
      <c r="D424" s="98" t="inlineStr">
        <is>
          <t>Unleaded Delivery</t>
        </is>
      </c>
      <c r="E424" s="103" t="n">
        <v>555</v>
      </c>
      <c r="F424" s="104" t="n">
        <v>3.37</v>
      </c>
      <c r="G424" s="98">
        <f>IF(OR(E424="",F424=""),"",E424*F424)</f>
        <v/>
      </c>
      <c r="H424" s="104" t="n">
        <v>54.24</v>
      </c>
      <c r="I424" s="98" t="n"/>
    </row>
    <row r="425">
      <c r="A425" s="102" t="n">
        <v>46196</v>
      </c>
      <c r="B425" s="98" t="inlineStr">
        <is>
          <t>Springs Delivery Co</t>
        </is>
      </c>
      <c r="C425" s="98" t="inlineStr">
        <is>
          <t>INV-1421</t>
        </is>
      </c>
      <c r="D425" s="98" t="inlineStr">
        <is>
          <t>Premium Fuel Delivery</t>
        </is>
      </c>
      <c r="E425" s="103" t="n">
        <v>598</v>
      </c>
      <c r="F425" s="104" t="n">
        <v>3.9</v>
      </c>
      <c r="G425" s="98">
        <f>IF(OR(E425="",F425=""),"",E425*F425)</f>
        <v/>
      </c>
      <c r="H425" s="104" t="n">
        <v>67.63</v>
      </c>
      <c r="I425" s="98" t="n"/>
    </row>
    <row r="426">
      <c r="A426" s="102" t="n">
        <v>46197</v>
      </c>
      <c r="B426" s="98" t="inlineStr">
        <is>
          <t>Acme Petroleum</t>
        </is>
      </c>
      <c r="C426" s="98" t="inlineStr">
        <is>
          <t>INV-1422</t>
        </is>
      </c>
      <c r="D426" s="98" t="inlineStr">
        <is>
          <t>Pump Maintenance</t>
        </is>
      </c>
      <c r="E426" s="103" t="n">
        <v>1</v>
      </c>
      <c r="F426" s="104" t="n">
        <v>1299.53</v>
      </c>
      <c r="G426" s="98">
        <f>IF(OR(E426="",F426=""),"",E426*F426)</f>
        <v/>
      </c>
      <c r="H426" s="104" t="n">
        <v>37.69</v>
      </c>
      <c r="I426" s="98" t="n"/>
    </row>
    <row r="427">
      <c r="A427" s="102" t="n">
        <v>46198</v>
      </c>
      <c r="B427" s="98" t="inlineStr">
        <is>
          <t>Summit Logistics</t>
        </is>
      </c>
      <c r="C427" s="98" t="inlineStr">
        <is>
          <t>INV-1423</t>
        </is>
      </c>
      <c r="D427" s="98" t="inlineStr">
        <is>
          <t>Unleaded Delivery</t>
        </is>
      </c>
      <c r="E427" s="103" t="n">
        <v>623</v>
      </c>
      <c r="F427" s="104" t="n">
        <v>3.88</v>
      </c>
      <c r="G427" s="98">
        <f>IF(OR(E427="",F427=""),"",E427*F427)</f>
        <v/>
      </c>
      <c r="H427" s="104" t="n">
        <v>70.09999999999999</v>
      </c>
      <c r="I427" s="98" t="n"/>
    </row>
    <row r="428">
      <c r="A428" s="102" t="n">
        <v>46199</v>
      </c>
      <c r="B428" s="98" t="inlineStr">
        <is>
          <t>Summit Logistics</t>
        </is>
      </c>
      <c r="C428" s="98" t="inlineStr">
        <is>
          <t>INV-1424</t>
        </is>
      </c>
      <c r="D428" s="98" t="inlineStr">
        <is>
          <t>Bulk Diesel</t>
        </is>
      </c>
      <c r="E428" s="103" t="n">
        <v>584</v>
      </c>
      <c r="F428" s="104" t="n">
        <v>3.84</v>
      </c>
      <c r="G428" s="98">
        <f>IF(OR(E428="",F428=""),"",E428*F428)</f>
        <v/>
      </c>
      <c r="H428" s="104" t="n">
        <v>65.03</v>
      </c>
      <c r="I428" s="98" t="n"/>
    </row>
    <row r="429">
      <c r="A429" s="102" t="n">
        <v>46202</v>
      </c>
      <c r="B429" s="98" t="inlineStr">
        <is>
          <t>Acme Petroleum</t>
        </is>
      </c>
      <c r="C429" s="98" t="inlineStr">
        <is>
          <t>INV-1425</t>
        </is>
      </c>
      <c r="D429" s="98" t="inlineStr">
        <is>
          <t>Fleet Fuel Drop</t>
        </is>
      </c>
      <c r="E429" s="103" t="n">
        <v>601</v>
      </c>
      <c r="F429" s="104" t="n">
        <v>3.86</v>
      </c>
      <c r="G429" s="98">
        <f>IF(OR(E429="",F429=""),"",E429*F429)</f>
        <v/>
      </c>
      <c r="H429" s="104" t="n">
        <v>0</v>
      </c>
      <c r="I429" s="98" t="n"/>
    </row>
    <row r="430">
      <c r="A430" s="102" t="n">
        <v>46203</v>
      </c>
      <c r="B430" s="98" t="inlineStr">
        <is>
          <t>Front Range Inc</t>
        </is>
      </c>
      <c r="C430" s="98" t="inlineStr">
        <is>
          <t>INV-1426</t>
        </is>
      </c>
      <c r="D430" s="98" t="inlineStr">
        <is>
          <t>Pump Maintenance</t>
        </is>
      </c>
      <c r="E430" s="103" t="n">
        <v>1</v>
      </c>
      <c r="F430" s="104" t="n">
        <v>1546.59</v>
      </c>
      <c r="G430" s="98">
        <f>IF(OR(E430="",F430=""),"",E430*F430)</f>
        <v/>
      </c>
      <c r="H430" s="104" t="n">
        <v>44.85</v>
      </c>
      <c r="I430" s="98" t="n"/>
    </row>
    <row r="431">
      <c r="A431" s="102" t="n">
        <v>46204</v>
      </c>
      <c r="B431" s="98" t="inlineStr">
        <is>
          <t>Front Range Inc</t>
        </is>
      </c>
      <c r="C431" s="98" t="inlineStr">
        <is>
          <t>INV-1427</t>
        </is>
      </c>
      <c r="D431" s="98" t="inlineStr">
        <is>
          <t>Fleet Fuel Drop</t>
        </is>
      </c>
      <c r="E431" s="103" t="n">
        <v>561</v>
      </c>
      <c r="F431" s="104" t="n">
        <v>3.85</v>
      </c>
      <c r="G431" s="98">
        <f>IF(OR(E431="",F431=""),"",E431*F431)</f>
        <v/>
      </c>
      <c r="H431" s="104" t="n">
        <v>0</v>
      </c>
      <c r="I431" s="98" t="n"/>
    </row>
    <row r="432">
      <c r="A432" s="102" t="n">
        <v>46205</v>
      </c>
      <c r="B432" s="98" t="inlineStr">
        <is>
          <t>Front Range Inc</t>
        </is>
      </c>
      <c r="C432" s="98" t="inlineStr">
        <is>
          <t>INV-1428</t>
        </is>
      </c>
      <c r="D432" s="98" t="inlineStr">
        <is>
          <t>Fleet Fuel Drop</t>
        </is>
      </c>
      <c r="E432" s="103" t="n">
        <v>585</v>
      </c>
      <c r="F432" s="104" t="n">
        <v>3.87</v>
      </c>
      <c r="G432" s="98">
        <f>IF(OR(E432="",F432=""),"",E432*F432)</f>
        <v/>
      </c>
      <c r="H432" s="104" t="n">
        <v>65.65000000000001</v>
      </c>
      <c r="I432" s="98" t="n"/>
    </row>
    <row r="433">
      <c r="A433" s="102" t="n">
        <v>46206</v>
      </c>
      <c r="B433" s="98" t="inlineStr">
        <is>
          <t>Mountain View Fleet</t>
        </is>
      </c>
      <c r="C433" s="98" t="inlineStr">
        <is>
          <t>INV-1429</t>
        </is>
      </c>
      <c r="D433" s="98" t="inlineStr">
        <is>
          <t>Unleaded Delivery</t>
        </is>
      </c>
      <c r="E433" s="103" t="n">
        <v>585</v>
      </c>
      <c r="F433" s="104" t="n">
        <v>3.85</v>
      </c>
      <c r="G433" s="98">
        <f>IF(OR(E433="",F433=""),"",E433*F433)</f>
        <v/>
      </c>
      <c r="H433" s="104" t="n">
        <v>65.31999999999999</v>
      </c>
      <c r="I433" s="98" t="n"/>
    </row>
    <row r="434">
      <c r="A434" s="102" t="n">
        <v>46209</v>
      </c>
      <c r="B434" s="98" t="inlineStr">
        <is>
          <t>Acme Petroleum</t>
        </is>
      </c>
      <c r="C434" s="98" t="inlineStr">
        <is>
          <t>INV-1430</t>
        </is>
      </c>
      <c r="D434" s="98" t="inlineStr">
        <is>
          <t>Fleet Fuel Drop</t>
        </is>
      </c>
      <c r="E434" s="103" t="n">
        <v>582</v>
      </c>
      <c r="F434" s="104" t="n">
        <v>3.84</v>
      </c>
      <c r="G434" s="98">
        <f>IF(OR(E434="",F434=""),"",E434*F434)</f>
        <v/>
      </c>
      <c r="H434" s="104" t="n">
        <v>0</v>
      </c>
      <c r="I434" s="98" t="n"/>
    </row>
    <row r="435">
      <c r="A435" s="102" t="n">
        <v>46210</v>
      </c>
      <c r="B435" s="98" t="inlineStr">
        <is>
          <t>High Plains Co</t>
        </is>
      </c>
      <c r="C435" s="98" t="inlineStr">
        <is>
          <t>INV-1431</t>
        </is>
      </c>
      <c r="D435" s="98" t="inlineStr">
        <is>
          <t>Unleaded Delivery</t>
        </is>
      </c>
      <c r="E435" s="103" t="n">
        <v>650</v>
      </c>
      <c r="F435" s="104" t="n">
        <v>3.77</v>
      </c>
      <c r="G435" s="98">
        <f>IF(OR(E435="",F435=""),"",E435*F435)</f>
        <v/>
      </c>
      <c r="H435" s="104" t="n">
        <v>71.06</v>
      </c>
      <c r="I435" s="98" t="n"/>
    </row>
    <row r="436">
      <c r="A436" s="102" t="n">
        <v>46211</v>
      </c>
      <c r="B436" s="98" t="inlineStr">
        <is>
          <t>Summit Logistics</t>
        </is>
      </c>
      <c r="C436" s="98" t="inlineStr">
        <is>
          <t>INV-1432</t>
        </is>
      </c>
      <c r="D436" s="98" t="inlineStr">
        <is>
          <t>Filter Service</t>
        </is>
      </c>
      <c r="E436" s="103" t="n">
        <v>1</v>
      </c>
      <c r="F436" s="104" t="n">
        <v>837.52</v>
      </c>
      <c r="G436" s="98">
        <f>IF(OR(E436="",F436=""),"",E436*F436)</f>
        <v/>
      </c>
      <c r="H436" s="104" t="n">
        <v>24.29</v>
      </c>
      <c r="I436" s="98" t="n"/>
    </row>
    <row r="437">
      <c r="A437" s="102" t="n">
        <v>46212</v>
      </c>
      <c r="B437" s="98" t="inlineStr">
        <is>
          <t>High Plains Co</t>
        </is>
      </c>
      <c r="C437" s="98" t="inlineStr">
        <is>
          <t>INV-1433</t>
        </is>
      </c>
      <c r="D437" s="98" t="inlineStr">
        <is>
          <t>Diesel Delivery</t>
        </is>
      </c>
      <c r="E437" s="103" t="n">
        <v>668</v>
      </c>
      <c r="F437" s="104" t="n">
        <v>3.81</v>
      </c>
      <c r="G437" s="98">
        <f>IF(OR(E437="",F437=""),"",E437*F437)</f>
        <v/>
      </c>
      <c r="H437" s="104" t="n">
        <v>0</v>
      </c>
      <c r="I437" s="98" t="n"/>
    </row>
    <row r="438">
      <c r="A438" s="102" t="n">
        <v>46213</v>
      </c>
      <c r="B438" s="98" t="inlineStr">
        <is>
          <t>Pueblo Supply Chain</t>
        </is>
      </c>
      <c r="C438" s="98" t="inlineStr">
        <is>
          <t>INV-1434</t>
        </is>
      </c>
      <c r="D438" s="98" t="inlineStr">
        <is>
          <t>Unleaded Delivery</t>
        </is>
      </c>
      <c r="E438" s="103" t="n">
        <v>616</v>
      </c>
      <c r="F438" s="104" t="n">
        <v>3.81</v>
      </c>
      <c r="G438" s="98">
        <f>IF(OR(E438="",F438=""),"",E438*F438)</f>
        <v/>
      </c>
      <c r="H438" s="104" t="n">
        <v>68.06</v>
      </c>
      <c r="I438" s="98" t="n"/>
    </row>
    <row r="439">
      <c r="A439" s="102" t="n">
        <v>46216</v>
      </c>
      <c r="B439" s="98" t="inlineStr">
        <is>
          <t>Pikes Peak Energy</t>
        </is>
      </c>
      <c r="C439" s="98" t="inlineStr">
        <is>
          <t>INV-1435</t>
        </is>
      </c>
      <c r="D439" s="98" t="inlineStr">
        <is>
          <t>Unleaded Delivery</t>
        </is>
      </c>
      <c r="E439" s="103" t="n">
        <v>603</v>
      </c>
      <c r="F439" s="104" t="n">
        <v>3.82</v>
      </c>
      <c r="G439" s="98">
        <f>IF(OR(E439="",F439=""),"",E439*F439)</f>
        <v/>
      </c>
      <c r="H439" s="104" t="n">
        <v>0</v>
      </c>
      <c r="I439" s="98" t="n"/>
    </row>
    <row r="440">
      <c r="A440" s="102" t="n">
        <v>46217</v>
      </c>
      <c r="B440" s="98" t="inlineStr">
        <is>
          <t>Springs Delivery Co</t>
        </is>
      </c>
      <c r="C440" s="98" t="inlineStr">
        <is>
          <t>INV-1436</t>
        </is>
      </c>
      <c r="D440" s="98" t="inlineStr">
        <is>
          <t>Line Flush Service</t>
        </is>
      </c>
      <c r="E440" s="103" t="n">
        <v>1</v>
      </c>
      <c r="F440" s="104" t="n">
        <v>1863.93</v>
      </c>
      <c r="G440" s="98">
        <f>IF(OR(E440="",F440=""),"",E440*F440)</f>
        <v/>
      </c>
      <c r="H440" s="104" t="n">
        <v>0</v>
      </c>
      <c r="I440" s="98" t="n"/>
    </row>
    <row r="441">
      <c r="A441" s="102" t="n">
        <v>46218</v>
      </c>
      <c r="B441" s="98" t="inlineStr">
        <is>
          <t>Colorado Fuel Corp</t>
        </is>
      </c>
      <c r="C441" s="98" t="inlineStr">
        <is>
          <t>INV-1437</t>
        </is>
      </c>
      <c r="D441" s="98" t="inlineStr">
        <is>
          <t>Diesel Delivery</t>
        </is>
      </c>
      <c r="E441" s="103" t="n">
        <v>593</v>
      </c>
      <c r="F441" s="104" t="n">
        <v>3.79</v>
      </c>
      <c r="G441" s="98">
        <f>IF(OR(E441="",F441=""),"",E441*F441)</f>
        <v/>
      </c>
      <c r="H441" s="104" t="n">
        <v>65.18000000000001</v>
      </c>
      <c r="I441" s="98" t="n"/>
    </row>
    <row r="442">
      <c r="A442" s="102" t="n">
        <v>46219</v>
      </c>
      <c r="B442" s="98" t="inlineStr">
        <is>
          <t>Springs Delivery Co</t>
        </is>
      </c>
      <c r="C442" s="98" t="inlineStr">
        <is>
          <t>INV-1438</t>
        </is>
      </c>
      <c r="D442" s="98" t="inlineStr">
        <is>
          <t>Premium Fuel Delivery</t>
        </is>
      </c>
      <c r="E442" s="103" t="n">
        <v>565</v>
      </c>
      <c r="F442" s="104" t="n">
        <v>3.79</v>
      </c>
      <c r="G442" s="98">
        <f>IF(OR(E442="",F442=""),"",E442*F442)</f>
        <v/>
      </c>
      <c r="H442" s="104" t="n">
        <v>62.1</v>
      </c>
      <c r="I442" s="98" t="n"/>
    </row>
    <row r="443">
      <c r="A443" s="102" t="n">
        <v>46220</v>
      </c>
      <c r="B443" s="98" t="inlineStr">
        <is>
          <t>Springs Delivery Co</t>
        </is>
      </c>
      <c r="C443" s="98" t="inlineStr">
        <is>
          <t>INV-1439</t>
        </is>
      </c>
      <c r="D443" s="98" t="inlineStr">
        <is>
          <t>Bulk Diesel</t>
        </is>
      </c>
      <c r="E443" s="103" t="n">
        <v>599</v>
      </c>
      <c r="F443" s="104" t="n">
        <v>3.75</v>
      </c>
      <c r="G443" s="98">
        <f>IF(OR(E443="",F443=""),"",E443*F443)</f>
        <v/>
      </c>
      <c r="H443" s="104" t="n">
        <v>0</v>
      </c>
      <c r="I443" s="98" t="n"/>
    </row>
    <row r="444">
      <c r="A444" s="102" t="n">
        <v>46223</v>
      </c>
      <c r="B444" s="98" t="inlineStr">
        <is>
          <t>Acme Petroleum</t>
        </is>
      </c>
      <c r="C444" s="98" t="inlineStr">
        <is>
          <t>INV-1440</t>
        </is>
      </c>
      <c r="D444" s="98" t="inlineStr">
        <is>
          <t>Fleet Fuel Drop</t>
        </is>
      </c>
      <c r="E444" s="103" t="n">
        <v>551</v>
      </c>
      <c r="F444" s="104" t="n">
        <v>3.82</v>
      </c>
      <c r="G444" s="98">
        <f>IF(OR(E444="",F444=""),"",E444*F444)</f>
        <v/>
      </c>
      <c r="H444" s="104" t="n">
        <v>61.04</v>
      </c>
      <c r="I444" s="98" t="n"/>
    </row>
    <row r="445">
      <c r="A445" s="102" t="n">
        <v>46224</v>
      </c>
      <c r="B445" s="98" t="inlineStr">
        <is>
          <t>Colorado Fuel Corp</t>
        </is>
      </c>
      <c r="C445" s="98" t="inlineStr">
        <is>
          <t>INV-1441</t>
        </is>
      </c>
      <c r="D445" s="98" t="inlineStr">
        <is>
          <t>Synthetic Blend Package</t>
        </is>
      </c>
      <c r="E445" s="103" t="n">
        <v>160</v>
      </c>
      <c r="F445" s="104" t="n">
        <v>45.38</v>
      </c>
      <c r="G445" s="98">
        <f>IF(OR(E445="",F445=""),"",E445*F445)</f>
        <v/>
      </c>
      <c r="H445" s="104" t="n">
        <v>210.56</v>
      </c>
      <c r="I445" s="98" t="n"/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03"/>
  <sheetViews>
    <sheetView zoomScaleNormal="100" workbookViewId="0">
      <pane ySplit="3" topLeftCell="A4" activePane="bottomLeft" state="frozen"/>
      <selection pane="bottomLeft" activeCell="A444" sqref="A3:C444"/>
    </sheetView>
  </sheetViews>
  <sheetFormatPr baseColWidth="8" defaultRowHeight="15"/>
  <cols>
    <col width="14.42578125" customWidth="1" style="89" min="1" max="1"/>
    <col width="45.85546875" customWidth="1" style="89" min="2" max="2"/>
    <col width="73" customWidth="1" style="89" min="3" max="3"/>
  </cols>
  <sheetData>
    <row r="1" ht="27.95" customHeight="1" s="89">
      <c r="A1" s="86" t="inlineStr">
        <is>
          <t>PIPELINE_READY — Drop this CSV into data/raw/ after exporting</t>
        </is>
      </c>
    </row>
    <row r="2" ht="18" customHeight="1" s="89">
      <c r="A2" s="90" t="inlineStr">
        <is>
          <t>Minimum viable format. config.py reads: DATE_COLUMN='Date', QTY_COLUMN='Qty', PRICE_COLUMN='Sales Price' OR TARGET_COLUMN='Total Sales'</t>
        </is>
      </c>
    </row>
    <row r="3" ht="21.95" customHeight="1" s="89">
      <c r="A3" s="8" t="inlineStr">
        <is>
          <t>Date</t>
        </is>
      </c>
      <c r="B3" s="8" t="inlineStr">
        <is>
          <t>Qty</t>
        </is>
      </c>
      <c r="C3" s="8" t="inlineStr">
        <is>
          <t>Sales Price</t>
        </is>
      </c>
    </row>
    <row r="4">
      <c r="A4" s="9">
        <f>IF(RAW_INPUT!A5="","",RAW_INPUT!A5)</f>
        <v/>
      </c>
      <c r="B4" s="10">
        <f>IF(RAW_INPUT!A5="","",RAW_INPUT!E5)</f>
        <v/>
      </c>
      <c r="C4" s="11">
        <f>IF(RAW_INPUT!A5="","",RAW_INPUT!F5)</f>
        <v/>
      </c>
    </row>
    <row r="5">
      <c r="A5" s="12">
        <f>IF(RAW_INPUT!A6="","",RAW_INPUT!A6)</f>
        <v/>
      </c>
      <c r="B5" s="13">
        <f>IF(RAW_INPUT!A6="","",RAW_INPUT!E6)</f>
        <v/>
      </c>
      <c r="C5" s="14">
        <f>IF(RAW_INPUT!A6="","",RAW_INPUT!F6)</f>
        <v/>
      </c>
    </row>
    <row r="6">
      <c r="A6" s="9">
        <f>IF(RAW_INPUT!A7="","",RAW_INPUT!A7)</f>
        <v/>
      </c>
      <c r="B6" s="10">
        <f>IF(RAW_INPUT!A7="","",RAW_INPUT!E7)</f>
        <v/>
      </c>
      <c r="C6" s="11">
        <f>IF(RAW_INPUT!A7="","",RAW_INPUT!F7)</f>
        <v/>
      </c>
    </row>
    <row r="7">
      <c r="A7" s="12">
        <f>IF(RAW_INPUT!A8="","",RAW_INPUT!A8)</f>
        <v/>
      </c>
      <c r="B7" s="13">
        <f>IF(RAW_INPUT!A8="","",RAW_INPUT!E8)</f>
        <v/>
      </c>
      <c r="C7" s="14">
        <f>IF(RAW_INPUT!A8="","",RAW_INPUT!F8)</f>
        <v/>
      </c>
    </row>
    <row r="8">
      <c r="A8" s="9">
        <f>IF(RAW_INPUT!A9="","",RAW_INPUT!A9)</f>
        <v/>
      </c>
      <c r="B8" s="10">
        <f>IF(RAW_INPUT!A9="","",RAW_INPUT!E9)</f>
        <v/>
      </c>
      <c r="C8" s="11">
        <f>IF(RAW_INPUT!A9="","",RAW_INPUT!F9)</f>
        <v/>
      </c>
    </row>
    <row r="9">
      <c r="A9" s="15">
        <f>IF(RAW_INPUT!A10="","",RAW_INPUT!A10)</f>
        <v/>
      </c>
      <c r="B9" s="16">
        <f>IF(RAW_INPUT!A10="","",RAW_INPUT!E10)</f>
        <v/>
      </c>
      <c r="C9" s="17">
        <f>IF(RAW_INPUT!A10="","",RAW_INPUT!F10)</f>
        <v/>
      </c>
    </row>
    <row r="10">
      <c r="A10" s="15">
        <f>IF(RAW_INPUT!A11="","",RAW_INPUT!A11)</f>
        <v/>
      </c>
      <c r="B10" s="16">
        <f>IF(RAW_INPUT!A11="","",RAW_INPUT!E11)</f>
        <v/>
      </c>
      <c r="C10" s="17">
        <f>IF(RAW_INPUT!A11="","",RAW_INPUT!F11)</f>
        <v/>
      </c>
    </row>
    <row r="11">
      <c r="A11" s="15">
        <f>IF(RAW_INPUT!A12="","",RAW_INPUT!A12)</f>
        <v/>
      </c>
      <c r="B11" s="16">
        <f>IF(RAW_INPUT!A12="","",RAW_INPUT!E12)</f>
        <v/>
      </c>
      <c r="C11" s="17">
        <f>IF(RAW_INPUT!A12="","",RAW_INPUT!F12)</f>
        <v/>
      </c>
    </row>
    <row r="12">
      <c r="A12" s="15">
        <f>IF(RAW_INPUT!A13="","",RAW_INPUT!A13)</f>
        <v/>
      </c>
      <c r="B12" s="16">
        <f>IF(RAW_INPUT!A13="","",RAW_INPUT!E13)</f>
        <v/>
      </c>
      <c r="C12" s="17">
        <f>IF(RAW_INPUT!A13="","",RAW_INPUT!F13)</f>
        <v/>
      </c>
    </row>
    <row r="13">
      <c r="A13" s="15">
        <f>IF(RAW_INPUT!A14="","",RAW_INPUT!A14)</f>
        <v/>
      </c>
      <c r="B13" s="16">
        <f>IF(RAW_INPUT!A14="","",RAW_INPUT!E14)</f>
        <v/>
      </c>
      <c r="C13" s="17">
        <f>IF(RAW_INPUT!A14="","",RAW_INPUT!F14)</f>
        <v/>
      </c>
    </row>
    <row r="14">
      <c r="A14" s="15">
        <f>IF(RAW_INPUT!A15="","",RAW_INPUT!A15)</f>
        <v/>
      </c>
      <c r="B14" s="16">
        <f>IF(RAW_INPUT!A15="","",RAW_INPUT!E15)</f>
        <v/>
      </c>
      <c r="C14" s="17">
        <f>IF(RAW_INPUT!A15="","",RAW_INPUT!F15)</f>
        <v/>
      </c>
    </row>
    <row r="15">
      <c r="A15" s="15">
        <f>IF(RAW_INPUT!A16="","",RAW_INPUT!A16)</f>
        <v/>
      </c>
      <c r="B15" s="16">
        <f>IF(RAW_INPUT!A16="","",RAW_INPUT!E16)</f>
        <v/>
      </c>
      <c r="C15" s="17">
        <f>IF(RAW_INPUT!A16="","",RAW_INPUT!F16)</f>
        <v/>
      </c>
    </row>
    <row r="16">
      <c r="A16" s="15">
        <f>IF(RAW_INPUT!A17="","",RAW_INPUT!A17)</f>
        <v/>
      </c>
      <c r="B16" s="16">
        <f>IF(RAW_INPUT!A17="","",RAW_INPUT!E17)</f>
        <v/>
      </c>
      <c r="C16" s="17">
        <f>IF(RAW_INPUT!A17="","",RAW_INPUT!F17)</f>
        <v/>
      </c>
    </row>
    <row r="17">
      <c r="A17" s="15">
        <f>IF(RAW_INPUT!A18="","",RAW_INPUT!A18)</f>
        <v/>
      </c>
      <c r="B17" s="16">
        <f>IF(RAW_INPUT!A18="","",RAW_INPUT!E18)</f>
        <v/>
      </c>
      <c r="C17" s="17">
        <f>IF(RAW_INPUT!A18="","",RAW_INPUT!F18)</f>
        <v/>
      </c>
    </row>
    <row r="18">
      <c r="A18" s="15">
        <f>IF(RAW_INPUT!A19="","",RAW_INPUT!A19)</f>
        <v/>
      </c>
      <c r="B18" s="16">
        <f>IF(RAW_INPUT!A19="","",RAW_INPUT!E19)</f>
        <v/>
      </c>
      <c r="C18" s="17">
        <f>IF(RAW_INPUT!A19="","",RAW_INPUT!F19)</f>
        <v/>
      </c>
    </row>
    <row r="19">
      <c r="A19" s="15">
        <f>IF(RAW_INPUT!A20="","",RAW_INPUT!A20)</f>
        <v/>
      </c>
      <c r="B19" s="16">
        <f>IF(RAW_INPUT!A20="","",RAW_INPUT!E20)</f>
        <v/>
      </c>
      <c r="C19" s="17">
        <f>IF(RAW_INPUT!A20="","",RAW_INPUT!F20)</f>
        <v/>
      </c>
    </row>
    <row r="20">
      <c r="A20" s="15">
        <f>IF(RAW_INPUT!A21="","",RAW_INPUT!A21)</f>
        <v/>
      </c>
      <c r="B20" s="16">
        <f>IF(RAW_INPUT!A21="","",RAW_INPUT!E21)</f>
        <v/>
      </c>
      <c r="C20" s="17">
        <f>IF(RAW_INPUT!A21="","",RAW_INPUT!F21)</f>
        <v/>
      </c>
    </row>
    <row r="21">
      <c r="A21" s="15">
        <f>IF(RAW_INPUT!A22="","",RAW_INPUT!A22)</f>
        <v/>
      </c>
      <c r="B21" s="16">
        <f>IF(RAW_INPUT!A22="","",RAW_INPUT!E22)</f>
        <v/>
      </c>
      <c r="C21" s="17">
        <f>IF(RAW_INPUT!A22="","",RAW_INPUT!F22)</f>
        <v/>
      </c>
    </row>
    <row r="22">
      <c r="A22" s="15">
        <f>IF(RAW_INPUT!A23="","",RAW_INPUT!A23)</f>
        <v/>
      </c>
      <c r="B22" s="16">
        <f>IF(RAW_INPUT!A23="","",RAW_INPUT!E23)</f>
        <v/>
      </c>
      <c r="C22" s="17">
        <f>IF(RAW_INPUT!A23="","",RAW_INPUT!F23)</f>
        <v/>
      </c>
    </row>
    <row r="23">
      <c r="A23" s="15">
        <f>IF(RAW_INPUT!A24="","",RAW_INPUT!A24)</f>
        <v/>
      </c>
      <c r="B23" s="16">
        <f>IF(RAW_INPUT!A24="","",RAW_INPUT!E24)</f>
        <v/>
      </c>
      <c r="C23" s="17">
        <f>IF(RAW_INPUT!A24="","",RAW_INPUT!F24)</f>
        <v/>
      </c>
    </row>
    <row r="24">
      <c r="A24" s="15">
        <f>IF(RAW_INPUT!A25="","",RAW_INPUT!A25)</f>
        <v/>
      </c>
      <c r="B24" s="16">
        <f>IF(RAW_INPUT!A25="","",RAW_INPUT!E25)</f>
        <v/>
      </c>
      <c r="C24" s="17">
        <f>IF(RAW_INPUT!A25="","",RAW_INPUT!F25)</f>
        <v/>
      </c>
    </row>
    <row r="25">
      <c r="A25" s="15">
        <f>IF(RAW_INPUT!A26="","",RAW_INPUT!A26)</f>
        <v/>
      </c>
      <c r="B25" s="16">
        <f>IF(RAW_INPUT!A26="","",RAW_INPUT!E26)</f>
        <v/>
      </c>
      <c r="C25" s="17">
        <f>IF(RAW_INPUT!A26="","",RAW_INPUT!F26)</f>
        <v/>
      </c>
    </row>
    <row r="26">
      <c r="A26" s="15">
        <f>IF(RAW_INPUT!A27="","",RAW_INPUT!A27)</f>
        <v/>
      </c>
      <c r="B26" s="16">
        <f>IF(RAW_INPUT!A27="","",RAW_INPUT!E27)</f>
        <v/>
      </c>
      <c r="C26" s="17">
        <f>IF(RAW_INPUT!A27="","",RAW_INPUT!F27)</f>
        <v/>
      </c>
    </row>
    <row r="27">
      <c r="A27" s="15">
        <f>IF(RAW_INPUT!A28="","",RAW_INPUT!A28)</f>
        <v/>
      </c>
      <c r="B27" s="16">
        <f>IF(RAW_INPUT!A28="","",RAW_INPUT!E28)</f>
        <v/>
      </c>
      <c r="C27" s="17">
        <f>IF(RAW_INPUT!A28="","",RAW_INPUT!F28)</f>
        <v/>
      </c>
    </row>
    <row r="28">
      <c r="A28" s="15">
        <f>IF(RAW_INPUT!A29="","",RAW_INPUT!A29)</f>
        <v/>
      </c>
      <c r="B28" s="16">
        <f>IF(RAW_INPUT!A29="","",RAW_INPUT!E29)</f>
        <v/>
      </c>
      <c r="C28" s="17">
        <f>IF(RAW_INPUT!A29="","",RAW_INPUT!F29)</f>
        <v/>
      </c>
    </row>
    <row r="29">
      <c r="A29" s="15">
        <f>IF(RAW_INPUT!A30="","",RAW_INPUT!A30)</f>
        <v/>
      </c>
      <c r="B29" s="16">
        <f>IF(RAW_INPUT!A30="","",RAW_INPUT!E30)</f>
        <v/>
      </c>
      <c r="C29" s="17">
        <f>IF(RAW_INPUT!A30="","",RAW_INPUT!F30)</f>
        <v/>
      </c>
    </row>
    <row r="30">
      <c r="A30" s="15">
        <f>IF(RAW_INPUT!A31="","",RAW_INPUT!A31)</f>
        <v/>
      </c>
      <c r="B30" s="16">
        <f>IF(RAW_INPUT!A31="","",RAW_INPUT!E31)</f>
        <v/>
      </c>
      <c r="C30" s="17">
        <f>IF(RAW_INPUT!A31="","",RAW_INPUT!F31)</f>
        <v/>
      </c>
    </row>
    <row r="31">
      <c r="A31" s="15">
        <f>IF(RAW_INPUT!A32="","",RAW_INPUT!A32)</f>
        <v/>
      </c>
      <c r="B31" s="16">
        <f>IF(RAW_INPUT!A32="","",RAW_INPUT!E32)</f>
        <v/>
      </c>
      <c r="C31" s="17">
        <f>IF(RAW_INPUT!A32="","",RAW_INPUT!F32)</f>
        <v/>
      </c>
    </row>
    <row r="32">
      <c r="A32" s="15">
        <f>IF(RAW_INPUT!A33="","",RAW_INPUT!A33)</f>
        <v/>
      </c>
      <c r="B32" s="16">
        <f>IF(RAW_INPUT!A33="","",RAW_INPUT!E33)</f>
        <v/>
      </c>
      <c r="C32" s="17">
        <f>IF(RAW_INPUT!A33="","",RAW_INPUT!F33)</f>
        <v/>
      </c>
    </row>
    <row r="33">
      <c r="A33" s="15">
        <f>IF(RAW_INPUT!A34="","",RAW_INPUT!A34)</f>
        <v/>
      </c>
      <c r="B33" s="16">
        <f>IF(RAW_INPUT!A34="","",RAW_INPUT!E34)</f>
        <v/>
      </c>
      <c r="C33" s="17">
        <f>IF(RAW_INPUT!A34="","",RAW_INPUT!F34)</f>
        <v/>
      </c>
    </row>
    <row r="34">
      <c r="A34" s="15">
        <f>IF(RAW_INPUT!A35="","",RAW_INPUT!A35)</f>
        <v/>
      </c>
      <c r="B34" s="16">
        <f>IF(RAW_INPUT!A35="","",RAW_INPUT!E35)</f>
        <v/>
      </c>
      <c r="C34" s="17">
        <f>IF(RAW_INPUT!A35="","",RAW_INPUT!F35)</f>
        <v/>
      </c>
    </row>
    <row r="35">
      <c r="A35" s="15">
        <f>IF(RAW_INPUT!A36="","",RAW_INPUT!A36)</f>
        <v/>
      </c>
      <c r="B35" s="16">
        <f>IF(RAW_INPUT!A36="","",RAW_INPUT!E36)</f>
        <v/>
      </c>
      <c r="C35" s="17">
        <f>IF(RAW_INPUT!A36="","",RAW_INPUT!F36)</f>
        <v/>
      </c>
    </row>
    <row r="36">
      <c r="A36" s="15">
        <f>IF(RAW_INPUT!A37="","",RAW_INPUT!A37)</f>
        <v/>
      </c>
      <c r="B36" s="16">
        <f>IF(RAW_INPUT!A37="","",RAW_INPUT!E37)</f>
        <v/>
      </c>
      <c r="C36" s="17">
        <f>IF(RAW_INPUT!A37="","",RAW_INPUT!F37)</f>
        <v/>
      </c>
    </row>
    <row r="37">
      <c r="A37" s="15">
        <f>IF(RAW_INPUT!A38="","",RAW_INPUT!A38)</f>
        <v/>
      </c>
      <c r="B37" s="16">
        <f>IF(RAW_INPUT!A38="","",RAW_INPUT!E38)</f>
        <v/>
      </c>
      <c r="C37" s="17">
        <f>IF(RAW_INPUT!A38="","",RAW_INPUT!F38)</f>
        <v/>
      </c>
    </row>
    <row r="38">
      <c r="A38" s="15">
        <f>IF(RAW_INPUT!A39="","",RAW_INPUT!A39)</f>
        <v/>
      </c>
      <c r="B38" s="16">
        <f>IF(RAW_INPUT!A39="","",RAW_INPUT!E39)</f>
        <v/>
      </c>
      <c r="C38" s="17">
        <f>IF(RAW_INPUT!A39="","",RAW_INPUT!F39)</f>
        <v/>
      </c>
    </row>
    <row r="39">
      <c r="A39" s="15">
        <f>IF(RAW_INPUT!A40="","",RAW_INPUT!A40)</f>
        <v/>
      </c>
      <c r="B39" s="16">
        <f>IF(RAW_INPUT!A40="","",RAW_INPUT!E40)</f>
        <v/>
      </c>
      <c r="C39" s="17">
        <f>IF(RAW_INPUT!A40="","",RAW_INPUT!F40)</f>
        <v/>
      </c>
    </row>
    <row r="40">
      <c r="A40" s="15">
        <f>IF(RAW_INPUT!A41="","",RAW_INPUT!A41)</f>
        <v/>
      </c>
      <c r="B40" s="16">
        <f>IF(RAW_INPUT!A41="","",RAW_INPUT!E41)</f>
        <v/>
      </c>
      <c r="C40" s="17">
        <f>IF(RAW_INPUT!A41="","",RAW_INPUT!F41)</f>
        <v/>
      </c>
    </row>
    <row r="41">
      <c r="A41" s="15">
        <f>IF(RAW_INPUT!A42="","",RAW_INPUT!A42)</f>
        <v/>
      </c>
      <c r="B41" s="16">
        <f>IF(RAW_INPUT!A42="","",RAW_INPUT!E42)</f>
        <v/>
      </c>
      <c r="C41" s="17">
        <f>IF(RAW_INPUT!A42="","",RAW_INPUT!F42)</f>
        <v/>
      </c>
    </row>
    <row r="42">
      <c r="A42" s="15">
        <f>IF(RAW_INPUT!A43="","",RAW_INPUT!A43)</f>
        <v/>
      </c>
      <c r="B42" s="16">
        <f>IF(RAW_INPUT!A43="","",RAW_INPUT!E43)</f>
        <v/>
      </c>
      <c r="C42" s="17">
        <f>IF(RAW_INPUT!A43="","",RAW_INPUT!F43)</f>
        <v/>
      </c>
    </row>
    <row r="43">
      <c r="A43" s="15">
        <f>IF(RAW_INPUT!A44="","",RAW_INPUT!A44)</f>
        <v/>
      </c>
      <c r="B43" s="16">
        <f>IF(RAW_INPUT!A44="","",RAW_INPUT!E44)</f>
        <v/>
      </c>
      <c r="C43" s="17">
        <f>IF(RAW_INPUT!A44="","",RAW_INPUT!F44)</f>
        <v/>
      </c>
    </row>
    <row r="44">
      <c r="A44" s="15">
        <f>IF(RAW_INPUT!A45="","",RAW_INPUT!A45)</f>
        <v/>
      </c>
      <c r="B44" s="16">
        <f>IF(RAW_INPUT!A45="","",RAW_INPUT!E45)</f>
        <v/>
      </c>
      <c r="C44" s="17">
        <f>IF(RAW_INPUT!A45="","",RAW_INPUT!F45)</f>
        <v/>
      </c>
    </row>
    <row r="45">
      <c r="A45" s="15">
        <f>IF(RAW_INPUT!A46="","",RAW_INPUT!A46)</f>
        <v/>
      </c>
      <c r="B45" s="16">
        <f>IF(RAW_INPUT!A46="","",RAW_INPUT!E46)</f>
        <v/>
      </c>
      <c r="C45" s="17">
        <f>IF(RAW_INPUT!A46="","",RAW_INPUT!F46)</f>
        <v/>
      </c>
    </row>
    <row r="46">
      <c r="A46" s="15">
        <f>IF(RAW_INPUT!A47="","",RAW_INPUT!A47)</f>
        <v/>
      </c>
      <c r="B46" s="16">
        <f>IF(RAW_INPUT!A47="","",RAW_INPUT!E47)</f>
        <v/>
      </c>
      <c r="C46" s="17">
        <f>IF(RAW_INPUT!A47="","",RAW_INPUT!F47)</f>
        <v/>
      </c>
    </row>
    <row r="47">
      <c r="A47" s="15">
        <f>IF(RAW_INPUT!A48="","",RAW_INPUT!A48)</f>
        <v/>
      </c>
      <c r="B47" s="16">
        <f>IF(RAW_INPUT!A48="","",RAW_INPUT!E48)</f>
        <v/>
      </c>
      <c r="C47" s="17">
        <f>IF(RAW_INPUT!A48="","",RAW_INPUT!F48)</f>
        <v/>
      </c>
    </row>
    <row r="48">
      <c r="A48" s="15">
        <f>IF(RAW_INPUT!A49="","",RAW_INPUT!A49)</f>
        <v/>
      </c>
      <c r="B48" s="16">
        <f>IF(RAW_INPUT!A49="","",RAW_INPUT!E49)</f>
        <v/>
      </c>
      <c r="C48" s="17">
        <f>IF(RAW_INPUT!A49="","",RAW_INPUT!F49)</f>
        <v/>
      </c>
    </row>
    <row r="49">
      <c r="A49" s="15">
        <f>IF(RAW_INPUT!A50="","",RAW_INPUT!A50)</f>
        <v/>
      </c>
      <c r="B49" s="16">
        <f>IF(RAW_INPUT!A50="","",RAW_INPUT!E50)</f>
        <v/>
      </c>
      <c r="C49" s="17">
        <f>IF(RAW_INPUT!A50="","",RAW_INPUT!F50)</f>
        <v/>
      </c>
    </row>
    <row r="50">
      <c r="A50" s="15">
        <f>IF(RAW_INPUT!A51="","",RAW_INPUT!A51)</f>
        <v/>
      </c>
      <c r="B50" s="16">
        <f>IF(RAW_INPUT!A51="","",RAW_INPUT!E51)</f>
        <v/>
      </c>
      <c r="C50" s="17">
        <f>IF(RAW_INPUT!A51="","",RAW_INPUT!F51)</f>
        <v/>
      </c>
    </row>
    <row r="51">
      <c r="A51" s="15">
        <f>IF(RAW_INPUT!A52="","",RAW_INPUT!A52)</f>
        <v/>
      </c>
      <c r="B51" s="16">
        <f>IF(RAW_INPUT!A52="","",RAW_INPUT!E52)</f>
        <v/>
      </c>
      <c r="C51" s="17">
        <f>IF(RAW_INPUT!A52="","",RAW_INPUT!F52)</f>
        <v/>
      </c>
    </row>
    <row r="52">
      <c r="A52" s="15">
        <f>IF(RAW_INPUT!A53="","",RAW_INPUT!A53)</f>
        <v/>
      </c>
      <c r="B52" s="16">
        <f>IF(RAW_INPUT!A53="","",RAW_INPUT!E53)</f>
        <v/>
      </c>
      <c r="C52" s="17">
        <f>IF(RAW_INPUT!A53="","",RAW_INPUT!F53)</f>
        <v/>
      </c>
    </row>
    <row r="53">
      <c r="A53" s="15">
        <f>IF(RAW_INPUT!A54="","",RAW_INPUT!A54)</f>
        <v/>
      </c>
      <c r="B53" s="16">
        <f>IF(RAW_INPUT!A54="","",RAW_INPUT!E54)</f>
        <v/>
      </c>
      <c r="C53" s="17">
        <f>IF(RAW_INPUT!A54="","",RAW_INPUT!F54)</f>
        <v/>
      </c>
    </row>
    <row r="54">
      <c r="A54" s="15">
        <f>IF(RAW_INPUT!A55="","",RAW_INPUT!A55)</f>
        <v/>
      </c>
      <c r="B54" s="16">
        <f>IF(RAW_INPUT!A55="","",RAW_INPUT!E55)</f>
        <v/>
      </c>
      <c r="C54" s="17">
        <f>IF(RAW_INPUT!A55="","",RAW_INPUT!F55)</f>
        <v/>
      </c>
    </row>
    <row r="55">
      <c r="A55" s="15">
        <f>IF(RAW_INPUT!A56="","",RAW_INPUT!A56)</f>
        <v/>
      </c>
      <c r="B55" s="16">
        <f>IF(RAW_INPUT!A56="","",RAW_INPUT!E56)</f>
        <v/>
      </c>
      <c r="C55" s="17">
        <f>IF(RAW_INPUT!A56="","",RAW_INPUT!F56)</f>
        <v/>
      </c>
    </row>
    <row r="56">
      <c r="A56" s="15">
        <f>IF(RAW_INPUT!A57="","",RAW_INPUT!A57)</f>
        <v/>
      </c>
      <c r="B56" s="16">
        <f>IF(RAW_INPUT!A57="","",RAW_INPUT!E57)</f>
        <v/>
      </c>
      <c r="C56" s="17">
        <f>IF(RAW_INPUT!A57="","",RAW_INPUT!F57)</f>
        <v/>
      </c>
    </row>
    <row r="57">
      <c r="A57" s="15">
        <f>IF(RAW_INPUT!A58="","",RAW_INPUT!A58)</f>
        <v/>
      </c>
      <c r="B57" s="16">
        <f>IF(RAW_INPUT!A58="","",RAW_INPUT!E58)</f>
        <v/>
      </c>
      <c r="C57" s="17">
        <f>IF(RAW_INPUT!A58="","",RAW_INPUT!F58)</f>
        <v/>
      </c>
    </row>
    <row r="58">
      <c r="A58" s="15">
        <f>IF(RAW_INPUT!A59="","",RAW_INPUT!A59)</f>
        <v/>
      </c>
      <c r="B58" s="16">
        <f>IF(RAW_INPUT!A59="","",RAW_INPUT!E59)</f>
        <v/>
      </c>
      <c r="C58" s="17">
        <f>IF(RAW_INPUT!A59="","",RAW_INPUT!F59)</f>
        <v/>
      </c>
    </row>
    <row r="59">
      <c r="A59" s="15">
        <f>IF(RAW_INPUT!A60="","",RAW_INPUT!A60)</f>
        <v/>
      </c>
      <c r="B59" s="16">
        <f>IF(RAW_INPUT!A60="","",RAW_INPUT!E60)</f>
        <v/>
      </c>
      <c r="C59" s="17">
        <f>IF(RAW_INPUT!A60="","",RAW_INPUT!F60)</f>
        <v/>
      </c>
    </row>
    <row r="60">
      <c r="A60" s="15">
        <f>IF(RAW_INPUT!A61="","",RAW_INPUT!A61)</f>
        <v/>
      </c>
      <c r="B60" s="16">
        <f>IF(RAW_INPUT!A61="","",RAW_INPUT!E61)</f>
        <v/>
      </c>
      <c r="C60" s="17">
        <f>IF(RAW_INPUT!A61="","",RAW_INPUT!F61)</f>
        <v/>
      </c>
    </row>
    <row r="61">
      <c r="A61" s="15">
        <f>IF(RAW_INPUT!A62="","",RAW_INPUT!A62)</f>
        <v/>
      </c>
      <c r="B61" s="16">
        <f>IF(RAW_INPUT!A62="","",RAW_INPUT!E62)</f>
        <v/>
      </c>
      <c r="C61" s="17">
        <f>IF(RAW_INPUT!A62="","",RAW_INPUT!F62)</f>
        <v/>
      </c>
    </row>
    <row r="62">
      <c r="A62" s="15">
        <f>IF(RAW_INPUT!A63="","",RAW_INPUT!A63)</f>
        <v/>
      </c>
      <c r="B62" s="16">
        <f>IF(RAW_INPUT!A63="","",RAW_INPUT!E63)</f>
        <v/>
      </c>
      <c r="C62" s="17">
        <f>IF(RAW_INPUT!A63="","",RAW_INPUT!F63)</f>
        <v/>
      </c>
    </row>
    <row r="63">
      <c r="A63" s="15">
        <f>IF(RAW_INPUT!A64="","",RAW_INPUT!A64)</f>
        <v/>
      </c>
      <c r="B63" s="16">
        <f>IF(RAW_INPUT!A64="","",RAW_INPUT!E64)</f>
        <v/>
      </c>
      <c r="C63" s="17">
        <f>IF(RAW_INPUT!A64="","",RAW_INPUT!F64)</f>
        <v/>
      </c>
    </row>
    <row r="64">
      <c r="A64" s="15">
        <f>IF(RAW_INPUT!A65="","",RAW_INPUT!A65)</f>
        <v/>
      </c>
      <c r="B64" s="16">
        <f>IF(RAW_INPUT!A65="","",RAW_INPUT!E65)</f>
        <v/>
      </c>
      <c r="C64" s="17">
        <f>IF(RAW_INPUT!A65="","",RAW_INPUT!F65)</f>
        <v/>
      </c>
    </row>
    <row r="65">
      <c r="A65" s="15">
        <f>IF(RAW_INPUT!A66="","",RAW_INPUT!A66)</f>
        <v/>
      </c>
      <c r="B65" s="16">
        <f>IF(RAW_INPUT!A66="","",RAW_INPUT!E66)</f>
        <v/>
      </c>
      <c r="C65" s="17">
        <f>IF(RAW_INPUT!A66="","",RAW_INPUT!F66)</f>
        <v/>
      </c>
    </row>
    <row r="66">
      <c r="A66" s="15">
        <f>IF(RAW_INPUT!A67="","",RAW_INPUT!A67)</f>
        <v/>
      </c>
      <c r="B66" s="16">
        <f>IF(RAW_INPUT!A67="","",RAW_INPUT!E67)</f>
        <v/>
      </c>
      <c r="C66" s="17">
        <f>IF(RAW_INPUT!A67="","",RAW_INPUT!F67)</f>
        <v/>
      </c>
    </row>
    <row r="67">
      <c r="A67" s="15">
        <f>IF(RAW_INPUT!A68="","",RAW_INPUT!A68)</f>
        <v/>
      </c>
      <c r="B67" s="16">
        <f>IF(RAW_INPUT!A68="","",RAW_INPUT!E68)</f>
        <v/>
      </c>
      <c r="C67" s="17">
        <f>IF(RAW_INPUT!A68="","",RAW_INPUT!F68)</f>
        <v/>
      </c>
    </row>
    <row r="68">
      <c r="A68" s="15">
        <f>IF(RAW_INPUT!A69="","",RAW_INPUT!A69)</f>
        <v/>
      </c>
      <c r="B68" s="16">
        <f>IF(RAW_INPUT!A69="","",RAW_INPUT!E69)</f>
        <v/>
      </c>
      <c r="C68" s="17">
        <f>IF(RAW_INPUT!A69="","",RAW_INPUT!F69)</f>
        <v/>
      </c>
    </row>
    <row r="69">
      <c r="A69" s="15">
        <f>IF(RAW_INPUT!A70="","",RAW_INPUT!A70)</f>
        <v/>
      </c>
      <c r="B69" s="16">
        <f>IF(RAW_INPUT!A70="","",RAW_INPUT!E70)</f>
        <v/>
      </c>
      <c r="C69" s="17">
        <f>IF(RAW_INPUT!A70="","",RAW_INPUT!F70)</f>
        <v/>
      </c>
    </row>
    <row r="70">
      <c r="A70" s="15">
        <f>IF(RAW_INPUT!A71="","",RAW_INPUT!A71)</f>
        <v/>
      </c>
      <c r="B70" s="16">
        <f>IF(RAW_INPUT!A71="","",RAW_INPUT!E71)</f>
        <v/>
      </c>
      <c r="C70" s="17">
        <f>IF(RAW_INPUT!A71="","",RAW_INPUT!F71)</f>
        <v/>
      </c>
    </row>
    <row r="71">
      <c r="A71" s="15">
        <f>IF(RAW_INPUT!A72="","",RAW_INPUT!A72)</f>
        <v/>
      </c>
      <c r="B71" s="16">
        <f>IF(RAW_INPUT!A72="","",RAW_INPUT!E72)</f>
        <v/>
      </c>
      <c r="C71" s="17">
        <f>IF(RAW_INPUT!A72="","",RAW_INPUT!F72)</f>
        <v/>
      </c>
    </row>
    <row r="72">
      <c r="A72" s="15">
        <f>IF(RAW_INPUT!A73="","",RAW_INPUT!A73)</f>
        <v/>
      </c>
      <c r="B72" s="16">
        <f>IF(RAW_INPUT!A73="","",RAW_INPUT!E73)</f>
        <v/>
      </c>
      <c r="C72" s="17">
        <f>IF(RAW_INPUT!A73="","",RAW_INPUT!F73)</f>
        <v/>
      </c>
    </row>
    <row r="73">
      <c r="A73" s="15">
        <f>IF(RAW_INPUT!A74="","",RAW_INPUT!A74)</f>
        <v/>
      </c>
      <c r="B73" s="16">
        <f>IF(RAW_INPUT!A74="","",RAW_INPUT!E74)</f>
        <v/>
      </c>
      <c r="C73" s="17">
        <f>IF(RAW_INPUT!A74="","",RAW_INPUT!F74)</f>
        <v/>
      </c>
    </row>
    <row r="74">
      <c r="A74" s="15">
        <f>IF(RAW_INPUT!A75="","",RAW_INPUT!A75)</f>
        <v/>
      </c>
      <c r="B74" s="16">
        <f>IF(RAW_INPUT!A75="","",RAW_INPUT!E75)</f>
        <v/>
      </c>
      <c r="C74" s="17">
        <f>IF(RAW_INPUT!A75="","",RAW_INPUT!F75)</f>
        <v/>
      </c>
    </row>
    <row r="75">
      <c r="A75" s="15">
        <f>IF(RAW_INPUT!A76="","",RAW_INPUT!A76)</f>
        <v/>
      </c>
      <c r="B75" s="16">
        <f>IF(RAW_INPUT!A76="","",RAW_INPUT!E76)</f>
        <v/>
      </c>
      <c r="C75" s="17">
        <f>IF(RAW_INPUT!A76="","",RAW_INPUT!F76)</f>
        <v/>
      </c>
    </row>
    <row r="76">
      <c r="A76" s="15">
        <f>IF(RAW_INPUT!A77="","",RAW_INPUT!A77)</f>
        <v/>
      </c>
      <c r="B76" s="16">
        <f>IF(RAW_INPUT!A77="","",RAW_INPUT!E77)</f>
        <v/>
      </c>
      <c r="C76" s="17">
        <f>IF(RAW_INPUT!A77="","",RAW_INPUT!F77)</f>
        <v/>
      </c>
    </row>
    <row r="77">
      <c r="A77" s="15">
        <f>IF(RAW_INPUT!A78="","",RAW_INPUT!A78)</f>
        <v/>
      </c>
      <c r="B77" s="16">
        <f>IF(RAW_INPUT!A78="","",RAW_INPUT!E78)</f>
        <v/>
      </c>
      <c r="C77" s="17">
        <f>IF(RAW_INPUT!A78="","",RAW_INPUT!F78)</f>
        <v/>
      </c>
    </row>
    <row r="78">
      <c r="A78" s="15">
        <f>IF(RAW_INPUT!A79="","",RAW_INPUT!A79)</f>
        <v/>
      </c>
      <c r="B78" s="16">
        <f>IF(RAW_INPUT!A79="","",RAW_INPUT!E79)</f>
        <v/>
      </c>
      <c r="C78" s="17">
        <f>IF(RAW_INPUT!A79="","",RAW_INPUT!F79)</f>
        <v/>
      </c>
    </row>
    <row r="79">
      <c r="A79" s="15">
        <f>IF(RAW_INPUT!A80="","",RAW_INPUT!A80)</f>
        <v/>
      </c>
      <c r="B79" s="16">
        <f>IF(RAW_INPUT!A80="","",RAW_INPUT!E80)</f>
        <v/>
      </c>
      <c r="C79" s="17">
        <f>IF(RAW_INPUT!A80="","",RAW_INPUT!F80)</f>
        <v/>
      </c>
    </row>
    <row r="80">
      <c r="A80" s="15">
        <f>IF(RAW_INPUT!A81="","",RAW_INPUT!A81)</f>
        <v/>
      </c>
      <c r="B80" s="16">
        <f>IF(RAW_INPUT!A81="","",RAW_INPUT!E81)</f>
        <v/>
      </c>
      <c r="C80" s="17">
        <f>IF(RAW_INPUT!A81="","",RAW_INPUT!F81)</f>
        <v/>
      </c>
    </row>
    <row r="81">
      <c r="A81" s="15">
        <f>IF(RAW_INPUT!A82="","",RAW_INPUT!A82)</f>
        <v/>
      </c>
      <c r="B81" s="16">
        <f>IF(RAW_INPUT!A82="","",RAW_INPUT!E82)</f>
        <v/>
      </c>
      <c r="C81" s="17">
        <f>IF(RAW_INPUT!A82="","",RAW_INPUT!F82)</f>
        <v/>
      </c>
    </row>
    <row r="82">
      <c r="A82" s="15">
        <f>IF(RAW_INPUT!A83="","",RAW_INPUT!A83)</f>
        <v/>
      </c>
      <c r="B82" s="16">
        <f>IF(RAW_INPUT!A83="","",RAW_INPUT!E83)</f>
        <v/>
      </c>
      <c r="C82" s="17">
        <f>IF(RAW_INPUT!A83="","",RAW_INPUT!F83)</f>
        <v/>
      </c>
    </row>
    <row r="83">
      <c r="A83" s="15">
        <f>IF(RAW_INPUT!A84="","",RAW_INPUT!A84)</f>
        <v/>
      </c>
      <c r="B83" s="16">
        <f>IF(RAW_INPUT!A84="","",RAW_INPUT!E84)</f>
        <v/>
      </c>
      <c r="C83" s="17">
        <f>IF(RAW_INPUT!A84="","",RAW_INPUT!F84)</f>
        <v/>
      </c>
    </row>
    <row r="84">
      <c r="A84" s="15">
        <f>IF(RAW_INPUT!A85="","",RAW_INPUT!A85)</f>
        <v/>
      </c>
      <c r="B84" s="16">
        <f>IF(RAW_INPUT!A85="","",RAW_INPUT!E85)</f>
        <v/>
      </c>
      <c r="C84" s="17">
        <f>IF(RAW_INPUT!A85="","",RAW_INPUT!F85)</f>
        <v/>
      </c>
    </row>
    <row r="85">
      <c r="A85" s="15">
        <f>IF(RAW_INPUT!A86="","",RAW_INPUT!A86)</f>
        <v/>
      </c>
      <c r="B85" s="16">
        <f>IF(RAW_INPUT!A86="","",RAW_INPUT!E86)</f>
        <v/>
      </c>
      <c r="C85" s="17">
        <f>IF(RAW_INPUT!A86="","",RAW_INPUT!F86)</f>
        <v/>
      </c>
    </row>
    <row r="86">
      <c r="A86" s="15">
        <f>IF(RAW_INPUT!A87="","",RAW_INPUT!A87)</f>
        <v/>
      </c>
      <c r="B86" s="16">
        <f>IF(RAW_INPUT!A87="","",RAW_INPUT!E87)</f>
        <v/>
      </c>
      <c r="C86" s="17">
        <f>IF(RAW_INPUT!A87="","",RAW_INPUT!F87)</f>
        <v/>
      </c>
    </row>
    <row r="87">
      <c r="A87" s="15">
        <f>IF(RAW_INPUT!A88="","",RAW_INPUT!A88)</f>
        <v/>
      </c>
      <c r="B87" s="16">
        <f>IF(RAW_INPUT!A88="","",RAW_INPUT!E88)</f>
        <v/>
      </c>
      <c r="C87" s="17">
        <f>IF(RAW_INPUT!A88="","",RAW_INPUT!F88)</f>
        <v/>
      </c>
    </row>
    <row r="88">
      <c r="A88" s="15">
        <f>IF(RAW_INPUT!A89="","",RAW_INPUT!A89)</f>
        <v/>
      </c>
      <c r="B88" s="16">
        <f>IF(RAW_INPUT!A89="","",RAW_INPUT!E89)</f>
        <v/>
      </c>
      <c r="C88" s="17">
        <f>IF(RAW_INPUT!A89="","",RAW_INPUT!F89)</f>
        <v/>
      </c>
    </row>
    <row r="89">
      <c r="A89" s="15">
        <f>IF(RAW_INPUT!A90="","",RAW_INPUT!A90)</f>
        <v/>
      </c>
      <c r="B89" s="16">
        <f>IF(RAW_INPUT!A90="","",RAW_INPUT!E90)</f>
        <v/>
      </c>
      <c r="C89" s="17">
        <f>IF(RAW_INPUT!A90="","",RAW_INPUT!F90)</f>
        <v/>
      </c>
    </row>
    <row r="90">
      <c r="A90" s="15">
        <f>IF(RAW_INPUT!A91="","",RAW_INPUT!A91)</f>
        <v/>
      </c>
      <c r="B90" s="16">
        <f>IF(RAW_INPUT!A91="","",RAW_INPUT!E91)</f>
        <v/>
      </c>
      <c r="C90" s="17">
        <f>IF(RAW_INPUT!A91="","",RAW_INPUT!F91)</f>
        <v/>
      </c>
    </row>
    <row r="91">
      <c r="A91" s="15">
        <f>IF(RAW_INPUT!A92="","",RAW_INPUT!A92)</f>
        <v/>
      </c>
      <c r="B91" s="16">
        <f>IF(RAW_INPUT!A92="","",RAW_INPUT!E92)</f>
        <v/>
      </c>
      <c r="C91" s="17">
        <f>IF(RAW_INPUT!A92="","",RAW_INPUT!F92)</f>
        <v/>
      </c>
    </row>
    <row r="92">
      <c r="A92" s="15">
        <f>IF(RAW_INPUT!A93="","",RAW_INPUT!A93)</f>
        <v/>
      </c>
      <c r="B92" s="16">
        <f>IF(RAW_INPUT!A93="","",RAW_INPUT!E93)</f>
        <v/>
      </c>
      <c r="C92" s="17">
        <f>IF(RAW_INPUT!A93="","",RAW_INPUT!F93)</f>
        <v/>
      </c>
    </row>
    <row r="93">
      <c r="A93" s="15">
        <f>IF(RAW_INPUT!A94="","",RAW_INPUT!A94)</f>
        <v/>
      </c>
      <c r="B93" s="16">
        <f>IF(RAW_INPUT!A94="","",RAW_INPUT!E94)</f>
        <v/>
      </c>
      <c r="C93" s="17">
        <f>IF(RAW_INPUT!A94="","",RAW_INPUT!F94)</f>
        <v/>
      </c>
    </row>
    <row r="94">
      <c r="A94" s="15">
        <f>IF(RAW_INPUT!A95="","",RAW_INPUT!A95)</f>
        <v/>
      </c>
      <c r="B94" s="16">
        <f>IF(RAW_INPUT!A95="","",RAW_INPUT!E95)</f>
        <v/>
      </c>
      <c r="C94" s="17">
        <f>IF(RAW_INPUT!A95="","",RAW_INPUT!F95)</f>
        <v/>
      </c>
    </row>
    <row r="95">
      <c r="A95" s="15">
        <f>IF(RAW_INPUT!A96="","",RAW_INPUT!A96)</f>
        <v/>
      </c>
      <c r="B95" s="16">
        <f>IF(RAW_INPUT!A96="","",RAW_INPUT!E96)</f>
        <v/>
      </c>
      <c r="C95" s="17">
        <f>IF(RAW_INPUT!A96="","",RAW_INPUT!F96)</f>
        <v/>
      </c>
    </row>
    <row r="96">
      <c r="A96" s="15">
        <f>IF(RAW_INPUT!A97="","",RAW_INPUT!A97)</f>
        <v/>
      </c>
      <c r="B96" s="16">
        <f>IF(RAW_INPUT!A97="","",RAW_INPUT!E97)</f>
        <v/>
      </c>
      <c r="C96" s="17">
        <f>IF(RAW_INPUT!A97="","",RAW_INPUT!F97)</f>
        <v/>
      </c>
    </row>
    <row r="97">
      <c r="A97" s="15">
        <f>IF(RAW_INPUT!A98="","",RAW_INPUT!A98)</f>
        <v/>
      </c>
      <c r="B97" s="16">
        <f>IF(RAW_INPUT!A98="","",RAW_INPUT!E98)</f>
        <v/>
      </c>
      <c r="C97" s="17">
        <f>IF(RAW_INPUT!A98="","",RAW_INPUT!F98)</f>
        <v/>
      </c>
    </row>
    <row r="98">
      <c r="A98" s="15">
        <f>IF(RAW_INPUT!A99="","",RAW_INPUT!A99)</f>
        <v/>
      </c>
      <c r="B98" s="16">
        <f>IF(RAW_INPUT!A99="","",RAW_INPUT!E99)</f>
        <v/>
      </c>
      <c r="C98" s="17">
        <f>IF(RAW_INPUT!A99="","",RAW_INPUT!F99)</f>
        <v/>
      </c>
    </row>
    <row r="99">
      <c r="A99" s="15">
        <f>IF(RAW_INPUT!A100="","",RAW_INPUT!A100)</f>
        <v/>
      </c>
      <c r="B99" s="16">
        <f>IF(RAW_INPUT!A100="","",RAW_INPUT!E100)</f>
        <v/>
      </c>
      <c r="C99" s="17">
        <f>IF(RAW_INPUT!A100="","",RAW_INPUT!F100)</f>
        <v/>
      </c>
    </row>
    <row r="100">
      <c r="A100" s="15">
        <f>IF(RAW_INPUT!A101="","",RAW_INPUT!A101)</f>
        <v/>
      </c>
      <c r="B100" s="16">
        <f>IF(RAW_INPUT!A101="","",RAW_INPUT!E101)</f>
        <v/>
      </c>
      <c r="C100" s="17">
        <f>IF(RAW_INPUT!A101="","",RAW_INPUT!F101)</f>
        <v/>
      </c>
    </row>
    <row r="101">
      <c r="A101" s="15">
        <f>IF(RAW_INPUT!A102="","",RAW_INPUT!A102)</f>
        <v/>
      </c>
      <c r="B101" s="16">
        <f>IF(RAW_INPUT!A102="","",RAW_INPUT!E102)</f>
        <v/>
      </c>
      <c r="C101" s="17">
        <f>IF(RAW_INPUT!A102="","",RAW_INPUT!F102)</f>
        <v/>
      </c>
    </row>
    <row r="102">
      <c r="A102" s="15">
        <f>IF(RAW_INPUT!A103="","",RAW_INPUT!A103)</f>
        <v/>
      </c>
      <c r="B102" s="16">
        <f>IF(RAW_INPUT!A103="","",RAW_INPUT!E103)</f>
        <v/>
      </c>
      <c r="C102" s="17">
        <f>IF(RAW_INPUT!A103="","",RAW_INPUT!F103)</f>
        <v/>
      </c>
    </row>
    <row r="103">
      <c r="A103" s="15">
        <f>IF(RAW_INPUT!A104="","",RAW_INPUT!A104)</f>
        <v/>
      </c>
      <c r="B103" s="16">
        <f>IF(RAW_INPUT!A104="","",RAW_INPUT!E104)</f>
        <v/>
      </c>
      <c r="C103" s="17">
        <f>IF(RAW_INPUT!A104="","",RAW_INPUT!F104)</f>
        <v/>
      </c>
    </row>
    <row r="104">
      <c r="A104" s="15">
        <f>IF(RAW_INPUT!A105="","",RAW_INPUT!A105)</f>
        <v/>
      </c>
      <c r="B104" s="16">
        <f>IF(RAW_INPUT!A105="","",RAW_INPUT!E105)</f>
        <v/>
      </c>
      <c r="C104" s="17">
        <f>IF(RAW_INPUT!A105="","",RAW_INPUT!F105)</f>
        <v/>
      </c>
    </row>
    <row r="105">
      <c r="A105" s="15">
        <f>IF(RAW_INPUT!A106="","",RAW_INPUT!A106)</f>
        <v/>
      </c>
      <c r="B105" s="16">
        <f>IF(RAW_INPUT!A106="","",RAW_INPUT!E106)</f>
        <v/>
      </c>
      <c r="C105" s="17">
        <f>IF(RAW_INPUT!A106="","",RAW_INPUT!F106)</f>
        <v/>
      </c>
    </row>
    <row r="106">
      <c r="A106" s="15">
        <f>IF(RAW_INPUT!A107="","",RAW_INPUT!A107)</f>
        <v/>
      </c>
      <c r="B106" s="16">
        <f>IF(RAW_INPUT!A107="","",RAW_INPUT!E107)</f>
        <v/>
      </c>
      <c r="C106" s="17">
        <f>IF(RAW_INPUT!A107="","",RAW_INPUT!F107)</f>
        <v/>
      </c>
    </row>
    <row r="107">
      <c r="A107" s="15">
        <f>IF(RAW_INPUT!A108="","",RAW_INPUT!A108)</f>
        <v/>
      </c>
      <c r="B107" s="16">
        <f>IF(RAW_INPUT!A108="","",RAW_INPUT!E108)</f>
        <v/>
      </c>
      <c r="C107" s="17">
        <f>IF(RAW_INPUT!A108="","",RAW_INPUT!F108)</f>
        <v/>
      </c>
    </row>
    <row r="108">
      <c r="A108" s="15">
        <f>IF(RAW_INPUT!A109="","",RAW_INPUT!A109)</f>
        <v/>
      </c>
      <c r="B108" s="16">
        <f>IF(RAW_INPUT!A109="","",RAW_INPUT!E109)</f>
        <v/>
      </c>
      <c r="C108" s="17">
        <f>IF(RAW_INPUT!A109="","",RAW_INPUT!F109)</f>
        <v/>
      </c>
    </row>
    <row r="109">
      <c r="A109" s="15">
        <f>IF(RAW_INPUT!A110="","",RAW_INPUT!A110)</f>
        <v/>
      </c>
      <c r="B109" s="16">
        <f>IF(RAW_INPUT!A110="","",RAW_INPUT!E110)</f>
        <v/>
      </c>
      <c r="C109" s="17">
        <f>IF(RAW_INPUT!A110="","",RAW_INPUT!F110)</f>
        <v/>
      </c>
    </row>
    <row r="110">
      <c r="A110" s="15">
        <f>IF(RAW_INPUT!A111="","",RAW_INPUT!A111)</f>
        <v/>
      </c>
      <c r="B110" s="16">
        <f>IF(RAW_INPUT!A111="","",RAW_INPUT!E111)</f>
        <v/>
      </c>
      <c r="C110" s="17">
        <f>IF(RAW_INPUT!A111="","",RAW_INPUT!F111)</f>
        <v/>
      </c>
    </row>
    <row r="111">
      <c r="A111" s="15">
        <f>IF(RAW_INPUT!A112="","",RAW_INPUT!A112)</f>
        <v/>
      </c>
      <c r="B111" s="16">
        <f>IF(RAW_INPUT!A112="","",RAW_INPUT!E112)</f>
        <v/>
      </c>
      <c r="C111" s="17">
        <f>IF(RAW_INPUT!A112="","",RAW_INPUT!F112)</f>
        <v/>
      </c>
    </row>
    <row r="112">
      <c r="A112" s="15">
        <f>IF(RAW_INPUT!A113="","",RAW_INPUT!A113)</f>
        <v/>
      </c>
      <c r="B112" s="16">
        <f>IF(RAW_INPUT!A113="","",RAW_INPUT!E113)</f>
        <v/>
      </c>
      <c r="C112" s="17">
        <f>IF(RAW_INPUT!A113="","",RAW_INPUT!F113)</f>
        <v/>
      </c>
    </row>
    <row r="113">
      <c r="A113" s="15">
        <f>IF(RAW_INPUT!A114="","",RAW_INPUT!A114)</f>
        <v/>
      </c>
      <c r="B113" s="16">
        <f>IF(RAW_INPUT!A114="","",RAW_INPUT!E114)</f>
        <v/>
      </c>
      <c r="C113" s="17">
        <f>IF(RAW_INPUT!A114="","",RAW_INPUT!F114)</f>
        <v/>
      </c>
    </row>
    <row r="114">
      <c r="A114" s="15">
        <f>IF(RAW_INPUT!A115="","",RAW_INPUT!A115)</f>
        <v/>
      </c>
      <c r="B114" s="16">
        <f>IF(RAW_INPUT!A115="","",RAW_INPUT!E115)</f>
        <v/>
      </c>
      <c r="C114" s="17">
        <f>IF(RAW_INPUT!A115="","",RAW_INPUT!F115)</f>
        <v/>
      </c>
    </row>
    <row r="115">
      <c r="A115" s="15">
        <f>IF(RAW_INPUT!A116="","",RAW_INPUT!A116)</f>
        <v/>
      </c>
      <c r="B115" s="16">
        <f>IF(RAW_INPUT!A116="","",RAW_INPUT!E116)</f>
        <v/>
      </c>
      <c r="C115" s="17">
        <f>IF(RAW_INPUT!A116="","",RAW_INPUT!F116)</f>
        <v/>
      </c>
    </row>
    <row r="116">
      <c r="A116" s="15">
        <f>IF(RAW_INPUT!A117="","",RAW_INPUT!A117)</f>
        <v/>
      </c>
      <c r="B116" s="16">
        <f>IF(RAW_INPUT!A117="","",RAW_INPUT!E117)</f>
        <v/>
      </c>
      <c r="C116" s="17">
        <f>IF(RAW_INPUT!A117="","",RAW_INPUT!F117)</f>
        <v/>
      </c>
    </row>
    <row r="117">
      <c r="A117" s="15">
        <f>IF(RAW_INPUT!A118="","",RAW_INPUT!A118)</f>
        <v/>
      </c>
      <c r="B117" s="16">
        <f>IF(RAW_INPUT!A118="","",RAW_INPUT!E118)</f>
        <v/>
      </c>
      <c r="C117" s="17">
        <f>IF(RAW_INPUT!A118="","",RAW_INPUT!F118)</f>
        <v/>
      </c>
    </row>
    <row r="118">
      <c r="A118" s="15">
        <f>IF(RAW_INPUT!A119="","",RAW_INPUT!A119)</f>
        <v/>
      </c>
      <c r="B118" s="16">
        <f>IF(RAW_INPUT!A119="","",RAW_INPUT!E119)</f>
        <v/>
      </c>
      <c r="C118" s="17">
        <f>IF(RAW_INPUT!A119="","",RAW_INPUT!F119)</f>
        <v/>
      </c>
    </row>
    <row r="119">
      <c r="A119" s="15">
        <f>IF(RAW_INPUT!A120="","",RAW_INPUT!A120)</f>
        <v/>
      </c>
      <c r="B119" s="16">
        <f>IF(RAW_INPUT!A120="","",RAW_INPUT!E120)</f>
        <v/>
      </c>
      <c r="C119" s="17">
        <f>IF(RAW_INPUT!A120="","",RAW_INPUT!F120)</f>
        <v/>
      </c>
    </row>
    <row r="120">
      <c r="A120" s="15">
        <f>IF(RAW_INPUT!A121="","",RAW_INPUT!A121)</f>
        <v/>
      </c>
      <c r="B120" s="16">
        <f>IF(RAW_INPUT!A121="","",RAW_INPUT!E121)</f>
        <v/>
      </c>
      <c r="C120" s="17">
        <f>IF(RAW_INPUT!A121="","",RAW_INPUT!F121)</f>
        <v/>
      </c>
    </row>
    <row r="121">
      <c r="A121" s="15">
        <f>IF(RAW_INPUT!A122="","",RAW_INPUT!A122)</f>
        <v/>
      </c>
      <c r="B121" s="16">
        <f>IF(RAW_INPUT!A122="","",RAW_INPUT!E122)</f>
        <v/>
      </c>
      <c r="C121" s="17">
        <f>IF(RAW_INPUT!A122="","",RAW_INPUT!F122)</f>
        <v/>
      </c>
    </row>
    <row r="122">
      <c r="A122" s="15">
        <f>IF(RAW_INPUT!A123="","",RAW_INPUT!A123)</f>
        <v/>
      </c>
      <c r="B122" s="16">
        <f>IF(RAW_INPUT!A123="","",RAW_INPUT!E123)</f>
        <v/>
      </c>
      <c r="C122" s="17">
        <f>IF(RAW_INPUT!A123="","",RAW_INPUT!F123)</f>
        <v/>
      </c>
    </row>
    <row r="123">
      <c r="A123" s="15">
        <f>IF(RAW_INPUT!A124="","",RAW_INPUT!A124)</f>
        <v/>
      </c>
      <c r="B123" s="16">
        <f>IF(RAW_INPUT!A124="","",RAW_INPUT!E124)</f>
        <v/>
      </c>
      <c r="C123" s="17">
        <f>IF(RAW_INPUT!A124="","",RAW_INPUT!F124)</f>
        <v/>
      </c>
    </row>
    <row r="124">
      <c r="A124" s="15">
        <f>IF(RAW_INPUT!A125="","",RAW_INPUT!A125)</f>
        <v/>
      </c>
      <c r="B124" s="16">
        <f>IF(RAW_INPUT!A125="","",RAW_INPUT!E125)</f>
        <v/>
      </c>
      <c r="C124" s="17">
        <f>IF(RAW_INPUT!A125="","",RAW_INPUT!F125)</f>
        <v/>
      </c>
    </row>
    <row r="125">
      <c r="A125" s="15">
        <f>IF(RAW_INPUT!A126="","",RAW_INPUT!A126)</f>
        <v/>
      </c>
      <c r="B125" s="16">
        <f>IF(RAW_INPUT!A126="","",RAW_INPUT!E126)</f>
        <v/>
      </c>
      <c r="C125" s="17">
        <f>IF(RAW_INPUT!A126="","",RAW_INPUT!F126)</f>
        <v/>
      </c>
    </row>
    <row r="126">
      <c r="A126" s="15">
        <f>IF(RAW_INPUT!A127="","",RAW_INPUT!A127)</f>
        <v/>
      </c>
      <c r="B126" s="16">
        <f>IF(RAW_INPUT!A127="","",RAW_INPUT!E127)</f>
        <v/>
      </c>
      <c r="C126" s="17">
        <f>IF(RAW_INPUT!A127="","",RAW_INPUT!F127)</f>
        <v/>
      </c>
    </row>
    <row r="127">
      <c r="A127" s="15">
        <f>IF(RAW_INPUT!A128="","",RAW_INPUT!A128)</f>
        <v/>
      </c>
      <c r="B127" s="16">
        <f>IF(RAW_INPUT!A128="","",RAW_INPUT!E128)</f>
        <v/>
      </c>
      <c r="C127" s="17">
        <f>IF(RAW_INPUT!A128="","",RAW_INPUT!F128)</f>
        <v/>
      </c>
    </row>
    <row r="128">
      <c r="A128" s="15">
        <f>IF(RAW_INPUT!A129="","",RAW_INPUT!A129)</f>
        <v/>
      </c>
      <c r="B128" s="16">
        <f>IF(RAW_INPUT!A129="","",RAW_INPUT!E129)</f>
        <v/>
      </c>
      <c r="C128" s="17">
        <f>IF(RAW_INPUT!A129="","",RAW_INPUT!F129)</f>
        <v/>
      </c>
    </row>
    <row r="129">
      <c r="A129" s="15">
        <f>IF(RAW_INPUT!A130="","",RAW_INPUT!A130)</f>
        <v/>
      </c>
      <c r="B129" s="16">
        <f>IF(RAW_INPUT!A130="","",RAW_INPUT!E130)</f>
        <v/>
      </c>
      <c r="C129" s="17">
        <f>IF(RAW_INPUT!A130="","",RAW_INPUT!F130)</f>
        <v/>
      </c>
    </row>
    <row r="130">
      <c r="A130" s="15">
        <f>IF(RAW_INPUT!A131="","",RAW_INPUT!A131)</f>
        <v/>
      </c>
      <c r="B130" s="16">
        <f>IF(RAW_INPUT!A131="","",RAW_INPUT!E131)</f>
        <v/>
      </c>
      <c r="C130" s="17">
        <f>IF(RAW_INPUT!A131="","",RAW_INPUT!F131)</f>
        <v/>
      </c>
    </row>
    <row r="131">
      <c r="A131" s="15">
        <f>IF(RAW_INPUT!A132="","",RAW_INPUT!A132)</f>
        <v/>
      </c>
      <c r="B131" s="16">
        <f>IF(RAW_INPUT!A132="","",RAW_INPUT!E132)</f>
        <v/>
      </c>
      <c r="C131" s="17">
        <f>IF(RAW_INPUT!A132="","",RAW_INPUT!F132)</f>
        <v/>
      </c>
    </row>
    <row r="132">
      <c r="A132" s="15">
        <f>IF(RAW_INPUT!A133="","",RAW_INPUT!A133)</f>
        <v/>
      </c>
      <c r="B132" s="16">
        <f>IF(RAW_INPUT!A133="","",RAW_INPUT!E133)</f>
        <v/>
      </c>
      <c r="C132" s="17">
        <f>IF(RAW_INPUT!A133="","",RAW_INPUT!F133)</f>
        <v/>
      </c>
    </row>
    <row r="133">
      <c r="A133" s="15">
        <f>IF(RAW_INPUT!A134="","",RAW_INPUT!A134)</f>
        <v/>
      </c>
      <c r="B133" s="16">
        <f>IF(RAW_INPUT!A134="","",RAW_INPUT!E134)</f>
        <v/>
      </c>
      <c r="C133" s="17">
        <f>IF(RAW_INPUT!A134="","",RAW_INPUT!F134)</f>
        <v/>
      </c>
    </row>
    <row r="134">
      <c r="A134" s="15">
        <f>IF(RAW_INPUT!A135="","",RAW_INPUT!A135)</f>
        <v/>
      </c>
      <c r="B134" s="16">
        <f>IF(RAW_INPUT!A135="","",RAW_INPUT!E135)</f>
        <v/>
      </c>
      <c r="C134" s="17">
        <f>IF(RAW_INPUT!A135="","",RAW_INPUT!F135)</f>
        <v/>
      </c>
    </row>
    <row r="135">
      <c r="A135" s="15">
        <f>IF(RAW_INPUT!A136="","",RAW_INPUT!A136)</f>
        <v/>
      </c>
      <c r="B135" s="16">
        <f>IF(RAW_INPUT!A136="","",RAW_INPUT!E136)</f>
        <v/>
      </c>
      <c r="C135" s="17">
        <f>IF(RAW_INPUT!A136="","",RAW_INPUT!F136)</f>
        <v/>
      </c>
    </row>
    <row r="136">
      <c r="A136" s="15">
        <f>IF(RAW_INPUT!A137="","",RAW_INPUT!A137)</f>
        <v/>
      </c>
      <c r="B136" s="16">
        <f>IF(RAW_INPUT!A137="","",RAW_INPUT!E137)</f>
        <v/>
      </c>
      <c r="C136" s="17">
        <f>IF(RAW_INPUT!A137="","",RAW_INPUT!F137)</f>
        <v/>
      </c>
    </row>
    <row r="137">
      <c r="A137" s="15">
        <f>IF(RAW_INPUT!A138="","",RAW_INPUT!A138)</f>
        <v/>
      </c>
      <c r="B137" s="16">
        <f>IF(RAW_INPUT!A138="","",RAW_INPUT!E138)</f>
        <v/>
      </c>
      <c r="C137" s="17">
        <f>IF(RAW_INPUT!A138="","",RAW_INPUT!F138)</f>
        <v/>
      </c>
    </row>
    <row r="138">
      <c r="A138" s="15">
        <f>IF(RAW_INPUT!A139="","",RAW_INPUT!A139)</f>
        <v/>
      </c>
      <c r="B138" s="16">
        <f>IF(RAW_INPUT!A139="","",RAW_INPUT!E139)</f>
        <v/>
      </c>
      <c r="C138" s="17">
        <f>IF(RAW_INPUT!A139="","",RAW_INPUT!F139)</f>
        <v/>
      </c>
    </row>
    <row r="139">
      <c r="A139" s="15">
        <f>IF(RAW_INPUT!A140="","",RAW_INPUT!A140)</f>
        <v/>
      </c>
      <c r="B139" s="16">
        <f>IF(RAW_INPUT!A140="","",RAW_INPUT!E140)</f>
        <v/>
      </c>
      <c r="C139" s="17">
        <f>IF(RAW_INPUT!A140="","",RAW_INPUT!F140)</f>
        <v/>
      </c>
    </row>
    <row r="140">
      <c r="A140" s="15">
        <f>IF(RAW_INPUT!A141="","",RAW_INPUT!A141)</f>
        <v/>
      </c>
      <c r="B140" s="16">
        <f>IF(RAW_INPUT!A141="","",RAW_INPUT!E141)</f>
        <v/>
      </c>
      <c r="C140" s="17">
        <f>IF(RAW_INPUT!A141="","",RAW_INPUT!F141)</f>
        <v/>
      </c>
    </row>
    <row r="141">
      <c r="A141" s="15">
        <f>IF(RAW_INPUT!A142="","",RAW_INPUT!A142)</f>
        <v/>
      </c>
      <c r="B141" s="16">
        <f>IF(RAW_INPUT!A142="","",RAW_INPUT!E142)</f>
        <v/>
      </c>
      <c r="C141" s="17">
        <f>IF(RAW_INPUT!A142="","",RAW_INPUT!F142)</f>
        <v/>
      </c>
    </row>
    <row r="142">
      <c r="A142" s="15">
        <f>IF(RAW_INPUT!A143="","",RAW_INPUT!A143)</f>
        <v/>
      </c>
      <c r="B142" s="16">
        <f>IF(RAW_INPUT!A143="","",RAW_INPUT!E143)</f>
        <v/>
      </c>
      <c r="C142" s="17">
        <f>IF(RAW_INPUT!A143="","",RAW_INPUT!F143)</f>
        <v/>
      </c>
    </row>
    <row r="143">
      <c r="A143" s="15">
        <f>IF(RAW_INPUT!A144="","",RAW_INPUT!A144)</f>
        <v/>
      </c>
      <c r="B143" s="16">
        <f>IF(RAW_INPUT!A144="","",RAW_INPUT!E144)</f>
        <v/>
      </c>
      <c r="C143" s="17">
        <f>IF(RAW_INPUT!A144="","",RAW_INPUT!F144)</f>
        <v/>
      </c>
    </row>
    <row r="144">
      <c r="A144" s="15">
        <f>IF(RAW_INPUT!A145="","",RAW_INPUT!A145)</f>
        <v/>
      </c>
      <c r="B144" s="16">
        <f>IF(RAW_INPUT!A145="","",RAW_INPUT!E145)</f>
        <v/>
      </c>
      <c r="C144" s="17">
        <f>IF(RAW_INPUT!A145="","",RAW_INPUT!F145)</f>
        <v/>
      </c>
    </row>
    <row r="145">
      <c r="A145" s="15">
        <f>IF(RAW_INPUT!A146="","",RAW_INPUT!A146)</f>
        <v/>
      </c>
      <c r="B145" s="16">
        <f>IF(RAW_INPUT!A146="","",RAW_INPUT!E146)</f>
        <v/>
      </c>
      <c r="C145" s="17">
        <f>IF(RAW_INPUT!A146="","",RAW_INPUT!F146)</f>
        <v/>
      </c>
    </row>
    <row r="146">
      <c r="A146" s="15">
        <f>IF(RAW_INPUT!A147="","",RAW_INPUT!A147)</f>
        <v/>
      </c>
      <c r="B146" s="16">
        <f>IF(RAW_INPUT!A147="","",RAW_INPUT!E147)</f>
        <v/>
      </c>
      <c r="C146" s="17">
        <f>IF(RAW_INPUT!A147="","",RAW_INPUT!F147)</f>
        <v/>
      </c>
    </row>
    <row r="147">
      <c r="A147" s="15">
        <f>IF(RAW_INPUT!A148="","",RAW_INPUT!A148)</f>
        <v/>
      </c>
      <c r="B147" s="16">
        <f>IF(RAW_INPUT!A148="","",RAW_INPUT!E148)</f>
        <v/>
      </c>
      <c r="C147" s="17">
        <f>IF(RAW_INPUT!A148="","",RAW_INPUT!F148)</f>
        <v/>
      </c>
    </row>
    <row r="148">
      <c r="A148" s="15">
        <f>IF(RAW_INPUT!A149="","",RAW_INPUT!A149)</f>
        <v/>
      </c>
      <c r="B148" s="16">
        <f>IF(RAW_INPUT!A149="","",RAW_INPUT!E149)</f>
        <v/>
      </c>
      <c r="C148" s="17">
        <f>IF(RAW_INPUT!A149="","",RAW_INPUT!F149)</f>
        <v/>
      </c>
    </row>
    <row r="149">
      <c r="A149" s="15">
        <f>IF(RAW_INPUT!A150="","",RAW_INPUT!A150)</f>
        <v/>
      </c>
      <c r="B149" s="16">
        <f>IF(RAW_INPUT!A150="","",RAW_INPUT!E150)</f>
        <v/>
      </c>
      <c r="C149" s="17">
        <f>IF(RAW_INPUT!A150="","",RAW_INPUT!F150)</f>
        <v/>
      </c>
    </row>
    <row r="150">
      <c r="A150" s="15">
        <f>IF(RAW_INPUT!A151="","",RAW_INPUT!A151)</f>
        <v/>
      </c>
      <c r="B150" s="16">
        <f>IF(RAW_INPUT!A151="","",RAW_INPUT!E151)</f>
        <v/>
      </c>
      <c r="C150" s="17">
        <f>IF(RAW_INPUT!A151="","",RAW_INPUT!F151)</f>
        <v/>
      </c>
    </row>
    <row r="151">
      <c r="A151" s="15">
        <f>IF(RAW_INPUT!A152="","",RAW_INPUT!A152)</f>
        <v/>
      </c>
      <c r="B151" s="16">
        <f>IF(RAW_INPUT!A152="","",RAW_INPUT!E152)</f>
        <v/>
      </c>
      <c r="C151" s="17">
        <f>IF(RAW_INPUT!A152="","",RAW_INPUT!F152)</f>
        <v/>
      </c>
    </row>
    <row r="152">
      <c r="A152" s="15">
        <f>IF(RAW_INPUT!A153="","",RAW_INPUT!A153)</f>
        <v/>
      </c>
      <c r="B152" s="16">
        <f>IF(RAW_INPUT!A153="","",RAW_INPUT!E153)</f>
        <v/>
      </c>
      <c r="C152" s="17">
        <f>IF(RAW_INPUT!A153="","",RAW_INPUT!F153)</f>
        <v/>
      </c>
    </row>
    <row r="153">
      <c r="A153" s="15">
        <f>IF(RAW_INPUT!A154="","",RAW_INPUT!A154)</f>
        <v/>
      </c>
      <c r="B153" s="16">
        <f>IF(RAW_INPUT!A154="","",RAW_INPUT!E154)</f>
        <v/>
      </c>
      <c r="C153" s="17">
        <f>IF(RAW_INPUT!A154="","",RAW_INPUT!F154)</f>
        <v/>
      </c>
    </row>
    <row r="154">
      <c r="A154" s="15">
        <f>IF(RAW_INPUT!A155="","",RAW_INPUT!A155)</f>
        <v/>
      </c>
      <c r="B154" s="16">
        <f>IF(RAW_INPUT!A155="","",RAW_INPUT!E155)</f>
        <v/>
      </c>
      <c r="C154" s="17">
        <f>IF(RAW_INPUT!A155="","",RAW_INPUT!F155)</f>
        <v/>
      </c>
    </row>
    <row r="155">
      <c r="A155" s="15">
        <f>IF(RAW_INPUT!A156="","",RAW_INPUT!A156)</f>
        <v/>
      </c>
      <c r="B155" s="16">
        <f>IF(RAW_INPUT!A156="","",RAW_INPUT!E156)</f>
        <v/>
      </c>
      <c r="C155" s="17">
        <f>IF(RAW_INPUT!A156="","",RAW_INPUT!F156)</f>
        <v/>
      </c>
    </row>
    <row r="156">
      <c r="A156" s="15">
        <f>IF(RAW_INPUT!A157="","",RAW_INPUT!A157)</f>
        <v/>
      </c>
      <c r="B156" s="16">
        <f>IF(RAW_INPUT!A157="","",RAW_INPUT!E157)</f>
        <v/>
      </c>
      <c r="C156" s="17">
        <f>IF(RAW_INPUT!A157="","",RAW_INPUT!F157)</f>
        <v/>
      </c>
    </row>
    <row r="157">
      <c r="A157" s="15">
        <f>IF(RAW_INPUT!A158="","",RAW_INPUT!A158)</f>
        <v/>
      </c>
      <c r="B157" s="16">
        <f>IF(RAW_INPUT!A158="","",RAW_INPUT!E158)</f>
        <v/>
      </c>
      <c r="C157" s="17">
        <f>IF(RAW_INPUT!A158="","",RAW_INPUT!F158)</f>
        <v/>
      </c>
    </row>
    <row r="158">
      <c r="A158" s="15">
        <f>IF(RAW_INPUT!A159="","",RAW_INPUT!A159)</f>
        <v/>
      </c>
      <c r="B158" s="16">
        <f>IF(RAW_INPUT!A159="","",RAW_INPUT!E159)</f>
        <v/>
      </c>
      <c r="C158" s="17">
        <f>IF(RAW_INPUT!A159="","",RAW_INPUT!F159)</f>
        <v/>
      </c>
    </row>
    <row r="159">
      <c r="A159" s="15">
        <f>IF(RAW_INPUT!A160="","",RAW_INPUT!A160)</f>
        <v/>
      </c>
      <c r="B159" s="16">
        <f>IF(RAW_INPUT!A160="","",RAW_INPUT!E160)</f>
        <v/>
      </c>
      <c r="C159" s="17">
        <f>IF(RAW_INPUT!A160="","",RAW_INPUT!F160)</f>
        <v/>
      </c>
    </row>
    <row r="160">
      <c r="A160" s="15">
        <f>IF(RAW_INPUT!A161="","",RAW_INPUT!A161)</f>
        <v/>
      </c>
      <c r="B160" s="16">
        <f>IF(RAW_INPUT!A161="","",RAW_INPUT!E161)</f>
        <v/>
      </c>
      <c r="C160" s="17">
        <f>IF(RAW_INPUT!A161="","",RAW_INPUT!F161)</f>
        <v/>
      </c>
    </row>
    <row r="161">
      <c r="A161" s="15">
        <f>IF(RAW_INPUT!A162="","",RAW_INPUT!A162)</f>
        <v/>
      </c>
      <c r="B161" s="16">
        <f>IF(RAW_INPUT!A162="","",RAW_INPUT!E162)</f>
        <v/>
      </c>
      <c r="C161" s="17">
        <f>IF(RAW_INPUT!A162="","",RAW_INPUT!F162)</f>
        <v/>
      </c>
    </row>
    <row r="162">
      <c r="A162" s="15">
        <f>IF(RAW_INPUT!A163="","",RAW_INPUT!A163)</f>
        <v/>
      </c>
      <c r="B162" s="16">
        <f>IF(RAW_INPUT!A163="","",RAW_INPUT!E163)</f>
        <v/>
      </c>
      <c r="C162" s="17">
        <f>IF(RAW_INPUT!A163="","",RAW_INPUT!F163)</f>
        <v/>
      </c>
    </row>
    <row r="163">
      <c r="A163" s="15">
        <f>IF(RAW_INPUT!A164="","",RAW_INPUT!A164)</f>
        <v/>
      </c>
      <c r="B163" s="16">
        <f>IF(RAW_INPUT!A164="","",RAW_INPUT!E164)</f>
        <v/>
      </c>
      <c r="C163" s="17">
        <f>IF(RAW_INPUT!A164="","",RAW_INPUT!F164)</f>
        <v/>
      </c>
    </row>
    <row r="164">
      <c r="A164" s="15">
        <f>IF(RAW_INPUT!A165="","",RAW_INPUT!A165)</f>
        <v/>
      </c>
      <c r="B164" s="16">
        <f>IF(RAW_INPUT!A165="","",RAW_INPUT!E165)</f>
        <v/>
      </c>
      <c r="C164" s="17">
        <f>IF(RAW_INPUT!A165="","",RAW_INPUT!F165)</f>
        <v/>
      </c>
    </row>
    <row r="165">
      <c r="A165" s="15">
        <f>IF(RAW_INPUT!A166="","",RAW_INPUT!A166)</f>
        <v/>
      </c>
      <c r="B165" s="16">
        <f>IF(RAW_INPUT!A166="","",RAW_INPUT!E166)</f>
        <v/>
      </c>
      <c r="C165" s="17">
        <f>IF(RAW_INPUT!A166="","",RAW_INPUT!F166)</f>
        <v/>
      </c>
    </row>
    <row r="166">
      <c r="A166" s="15">
        <f>IF(RAW_INPUT!A167="","",RAW_INPUT!A167)</f>
        <v/>
      </c>
      <c r="B166" s="16">
        <f>IF(RAW_INPUT!A167="","",RAW_INPUT!E167)</f>
        <v/>
      </c>
      <c r="C166" s="17">
        <f>IF(RAW_INPUT!A167="","",RAW_INPUT!F167)</f>
        <v/>
      </c>
    </row>
    <row r="167">
      <c r="A167" s="15">
        <f>IF(RAW_INPUT!A168="","",RAW_INPUT!A168)</f>
        <v/>
      </c>
      <c r="B167" s="16">
        <f>IF(RAW_INPUT!A168="","",RAW_INPUT!E168)</f>
        <v/>
      </c>
      <c r="C167" s="17">
        <f>IF(RAW_INPUT!A168="","",RAW_INPUT!F168)</f>
        <v/>
      </c>
    </row>
    <row r="168">
      <c r="A168" s="15">
        <f>IF(RAW_INPUT!A169="","",RAW_INPUT!A169)</f>
        <v/>
      </c>
      <c r="B168" s="16">
        <f>IF(RAW_INPUT!A169="","",RAW_INPUT!E169)</f>
        <v/>
      </c>
      <c r="C168" s="17">
        <f>IF(RAW_INPUT!A169="","",RAW_INPUT!F169)</f>
        <v/>
      </c>
    </row>
    <row r="169">
      <c r="A169" s="15">
        <f>IF(RAW_INPUT!A170="","",RAW_INPUT!A170)</f>
        <v/>
      </c>
      <c r="B169" s="16">
        <f>IF(RAW_INPUT!A170="","",RAW_INPUT!E170)</f>
        <v/>
      </c>
      <c r="C169" s="17">
        <f>IF(RAW_INPUT!A170="","",RAW_INPUT!F170)</f>
        <v/>
      </c>
    </row>
    <row r="170">
      <c r="A170" s="15">
        <f>IF(RAW_INPUT!A171="","",RAW_INPUT!A171)</f>
        <v/>
      </c>
      <c r="B170" s="16">
        <f>IF(RAW_INPUT!A171="","",RAW_INPUT!E171)</f>
        <v/>
      </c>
      <c r="C170" s="17">
        <f>IF(RAW_INPUT!A171="","",RAW_INPUT!F171)</f>
        <v/>
      </c>
    </row>
    <row r="171">
      <c r="A171" s="15">
        <f>IF(RAW_INPUT!A172="","",RAW_INPUT!A172)</f>
        <v/>
      </c>
      <c r="B171" s="16">
        <f>IF(RAW_INPUT!A172="","",RAW_INPUT!E172)</f>
        <v/>
      </c>
      <c r="C171" s="17">
        <f>IF(RAW_INPUT!A172="","",RAW_INPUT!F172)</f>
        <v/>
      </c>
    </row>
    <row r="172">
      <c r="A172" s="15">
        <f>IF(RAW_INPUT!A173="","",RAW_INPUT!A173)</f>
        <v/>
      </c>
      <c r="B172" s="16">
        <f>IF(RAW_INPUT!A173="","",RAW_INPUT!E173)</f>
        <v/>
      </c>
      <c r="C172" s="17">
        <f>IF(RAW_INPUT!A173="","",RAW_INPUT!F173)</f>
        <v/>
      </c>
    </row>
    <row r="173">
      <c r="A173" s="15">
        <f>IF(RAW_INPUT!A174="","",RAW_INPUT!A174)</f>
        <v/>
      </c>
      <c r="B173" s="16">
        <f>IF(RAW_INPUT!A174="","",RAW_INPUT!E174)</f>
        <v/>
      </c>
      <c r="C173" s="17">
        <f>IF(RAW_INPUT!A174="","",RAW_INPUT!F174)</f>
        <v/>
      </c>
    </row>
    <row r="174">
      <c r="A174" s="15">
        <f>IF(RAW_INPUT!A175="","",RAW_INPUT!A175)</f>
        <v/>
      </c>
      <c r="B174" s="16">
        <f>IF(RAW_INPUT!A175="","",RAW_INPUT!E175)</f>
        <v/>
      </c>
      <c r="C174" s="17">
        <f>IF(RAW_INPUT!A175="","",RAW_INPUT!F175)</f>
        <v/>
      </c>
    </row>
    <row r="175">
      <c r="A175" s="15">
        <f>IF(RAW_INPUT!A176="","",RAW_INPUT!A176)</f>
        <v/>
      </c>
      <c r="B175" s="16">
        <f>IF(RAW_INPUT!A176="","",RAW_INPUT!E176)</f>
        <v/>
      </c>
      <c r="C175" s="17">
        <f>IF(RAW_INPUT!A176="","",RAW_INPUT!F176)</f>
        <v/>
      </c>
    </row>
    <row r="176">
      <c r="A176" s="15">
        <f>IF(RAW_INPUT!A177="","",RAW_INPUT!A177)</f>
        <v/>
      </c>
      <c r="B176" s="16">
        <f>IF(RAW_INPUT!A177="","",RAW_INPUT!E177)</f>
        <v/>
      </c>
      <c r="C176" s="17">
        <f>IF(RAW_INPUT!A177="","",RAW_INPUT!F177)</f>
        <v/>
      </c>
    </row>
    <row r="177">
      <c r="A177" s="15">
        <f>IF(RAW_INPUT!A178="","",RAW_INPUT!A178)</f>
        <v/>
      </c>
      <c r="B177" s="16">
        <f>IF(RAW_INPUT!A178="","",RAW_INPUT!E178)</f>
        <v/>
      </c>
      <c r="C177" s="17">
        <f>IF(RAW_INPUT!A178="","",RAW_INPUT!F178)</f>
        <v/>
      </c>
    </row>
    <row r="178">
      <c r="A178" s="15">
        <f>IF(RAW_INPUT!A179="","",RAW_INPUT!A179)</f>
        <v/>
      </c>
      <c r="B178" s="16">
        <f>IF(RAW_INPUT!A179="","",RAW_INPUT!E179)</f>
        <v/>
      </c>
      <c r="C178" s="17">
        <f>IF(RAW_INPUT!A179="","",RAW_INPUT!F179)</f>
        <v/>
      </c>
    </row>
    <row r="179">
      <c r="A179" s="15">
        <f>IF(RAW_INPUT!A180="","",RAW_INPUT!A180)</f>
        <v/>
      </c>
      <c r="B179" s="16">
        <f>IF(RAW_INPUT!A180="","",RAW_INPUT!E180)</f>
        <v/>
      </c>
      <c r="C179" s="17">
        <f>IF(RAW_INPUT!A180="","",RAW_INPUT!F180)</f>
        <v/>
      </c>
    </row>
    <row r="180">
      <c r="A180" s="15">
        <f>IF(RAW_INPUT!A181="","",RAW_INPUT!A181)</f>
        <v/>
      </c>
      <c r="B180" s="16">
        <f>IF(RAW_INPUT!A181="","",RAW_INPUT!E181)</f>
        <v/>
      </c>
      <c r="C180" s="17">
        <f>IF(RAW_INPUT!A181="","",RAW_INPUT!F181)</f>
        <v/>
      </c>
    </row>
    <row r="181">
      <c r="A181" s="15">
        <f>IF(RAW_INPUT!A182="","",RAW_INPUT!A182)</f>
        <v/>
      </c>
      <c r="B181" s="16">
        <f>IF(RAW_INPUT!A182="","",RAW_INPUT!E182)</f>
        <v/>
      </c>
      <c r="C181" s="17">
        <f>IF(RAW_INPUT!A182="","",RAW_INPUT!F182)</f>
        <v/>
      </c>
    </row>
    <row r="182">
      <c r="A182" s="15">
        <f>IF(RAW_INPUT!A183="","",RAW_INPUT!A183)</f>
        <v/>
      </c>
      <c r="B182" s="16">
        <f>IF(RAW_INPUT!A183="","",RAW_INPUT!E183)</f>
        <v/>
      </c>
      <c r="C182" s="17">
        <f>IF(RAW_INPUT!A183="","",RAW_INPUT!F183)</f>
        <v/>
      </c>
    </row>
    <row r="183">
      <c r="A183" s="15">
        <f>IF(RAW_INPUT!A184="","",RAW_INPUT!A184)</f>
        <v/>
      </c>
      <c r="B183" s="16">
        <f>IF(RAW_INPUT!A184="","",RAW_INPUT!E184)</f>
        <v/>
      </c>
      <c r="C183" s="17">
        <f>IF(RAW_INPUT!A184="","",RAW_INPUT!F184)</f>
        <v/>
      </c>
    </row>
    <row r="184">
      <c r="A184" s="15">
        <f>IF(RAW_INPUT!A185="","",RAW_INPUT!A185)</f>
        <v/>
      </c>
      <c r="B184" s="16">
        <f>IF(RAW_INPUT!A185="","",RAW_INPUT!E185)</f>
        <v/>
      </c>
      <c r="C184" s="17">
        <f>IF(RAW_INPUT!A185="","",RAW_INPUT!F185)</f>
        <v/>
      </c>
    </row>
    <row r="185">
      <c r="A185" s="15">
        <f>IF(RAW_INPUT!A186="","",RAW_INPUT!A186)</f>
        <v/>
      </c>
      <c r="B185" s="16">
        <f>IF(RAW_INPUT!A186="","",RAW_INPUT!E186)</f>
        <v/>
      </c>
      <c r="C185" s="17">
        <f>IF(RAW_INPUT!A186="","",RAW_INPUT!F186)</f>
        <v/>
      </c>
    </row>
    <row r="186">
      <c r="A186" s="15">
        <f>IF(RAW_INPUT!A187="","",RAW_INPUT!A187)</f>
        <v/>
      </c>
      <c r="B186" s="16">
        <f>IF(RAW_INPUT!A187="","",RAW_INPUT!E187)</f>
        <v/>
      </c>
      <c r="C186" s="17">
        <f>IF(RAW_INPUT!A187="","",RAW_INPUT!F187)</f>
        <v/>
      </c>
    </row>
    <row r="187">
      <c r="A187" s="15">
        <f>IF(RAW_INPUT!A188="","",RAW_INPUT!A188)</f>
        <v/>
      </c>
      <c r="B187" s="16">
        <f>IF(RAW_INPUT!A188="","",RAW_INPUT!E188)</f>
        <v/>
      </c>
      <c r="C187" s="17">
        <f>IF(RAW_INPUT!A188="","",RAW_INPUT!F188)</f>
        <v/>
      </c>
    </row>
    <row r="188">
      <c r="A188" s="15">
        <f>IF(RAW_INPUT!A189="","",RAW_INPUT!A189)</f>
        <v/>
      </c>
      <c r="B188" s="16">
        <f>IF(RAW_INPUT!A189="","",RAW_INPUT!E189)</f>
        <v/>
      </c>
      <c r="C188" s="17">
        <f>IF(RAW_INPUT!A189="","",RAW_INPUT!F189)</f>
        <v/>
      </c>
    </row>
    <row r="189">
      <c r="A189" s="15">
        <f>IF(RAW_INPUT!A190="","",RAW_INPUT!A190)</f>
        <v/>
      </c>
      <c r="B189" s="16">
        <f>IF(RAW_INPUT!A190="","",RAW_INPUT!E190)</f>
        <v/>
      </c>
      <c r="C189" s="17">
        <f>IF(RAW_INPUT!A190="","",RAW_INPUT!F190)</f>
        <v/>
      </c>
    </row>
    <row r="190">
      <c r="A190" s="15">
        <f>IF(RAW_INPUT!A191="","",RAW_INPUT!A191)</f>
        <v/>
      </c>
      <c r="B190" s="16">
        <f>IF(RAW_INPUT!A191="","",RAW_INPUT!E191)</f>
        <v/>
      </c>
      <c r="C190" s="17">
        <f>IF(RAW_INPUT!A191="","",RAW_INPUT!F191)</f>
        <v/>
      </c>
    </row>
    <row r="191">
      <c r="A191" s="15">
        <f>IF(RAW_INPUT!A192="","",RAW_INPUT!A192)</f>
        <v/>
      </c>
      <c r="B191" s="16">
        <f>IF(RAW_INPUT!A192="","",RAW_INPUT!E192)</f>
        <v/>
      </c>
      <c r="C191" s="17">
        <f>IF(RAW_INPUT!A192="","",RAW_INPUT!F192)</f>
        <v/>
      </c>
    </row>
    <row r="192">
      <c r="A192" s="15">
        <f>IF(RAW_INPUT!A193="","",RAW_INPUT!A193)</f>
        <v/>
      </c>
      <c r="B192" s="16">
        <f>IF(RAW_INPUT!A193="","",RAW_INPUT!E193)</f>
        <v/>
      </c>
      <c r="C192" s="17">
        <f>IF(RAW_INPUT!A193="","",RAW_INPUT!F193)</f>
        <v/>
      </c>
    </row>
    <row r="193">
      <c r="A193" s="15">
        <f>IF(RAW_INPUT!A194="","",RAW_INPUT!A194)</f>
        <v/>
      </c>
      <c r="B193" s="16">
        <f>IF(RAW_INPUT!A194="","",RAW_INPUT!E194)</f>
        <v/>
      </c>
      <c r="C193" s="17">
        <f>IF(RAW_INPUT!A194="","",RAW_INPUT!F194)</f>
        <v/>
      </c>
    </row>
    <row r="194">
      <c r="A194" s="15">
        <f>IF(RAW_INPUT!A195="","",RAW_INPUT!A195)</f>
        <v/>
      </c>
      <c r="B194" s="16">
        <f>IF(RAW_INPUT!A195="","",RAW_INPUT!E195)</f>
        <v/>
      </c>
      <c r="C194" s="17">
        <f>IF(RAW_INPUT!A195="","",RAW_INPUT!F195)</f>
        <v/>
      </c>
    </row>
    <row r="195">
      <c r="A195" s="15">
        <f>IF(RAW_INPUT!A196="","",RAW_INPUT!A196)</f>
        <v/>
      </c>
      <c r="B195" s="16">
        <f>IF(RAW_INPUT!A196="","",RAW_INPUT!E196)</f>
        <v/>
      </c>
      <c r="C195" s="17">
        <f>IF(RAW_INPUT!A196="","",RAW_INPUT!F196)</f>
        <v/>
      </c>
    </row>
    <row r="196">
      <c r="A196" s="15">
        <f>IF(RAW_INPUT!A197="","",RAW_INPUT!A197)</f>
        <v/>
      </c>
      <c r="B196" s="16">
        <f>IF(RAW_INPUT!A197="","",RAW_INPUT!E197)</f>
        <v/>
      </c>
      <c r="C196" s="17">
        <f>IF(RAW_INPUT!A197="","",RAW_INPUT!F197)</f>
        <v/>
      </c>
    </row>
    <row r="197">
      <c r="A197" s="15">
        <f>IF(RAW_INPUT!A198="","",RAW_INPUT!A198)</f>
        <v/>
      </c>
      <c r="B197" s="16">
        <f>IF(RAW_INPUT!A198="","",RAW_INPUT!E198)</f>
        <v/>
      </c>
      <c r="C197" s="17">
        <f>IF(RAW_INPUT!A198="","",RAW_INPUT!F198)</f>
        <v/>
      </c>
    </row>
    <row r="198">
      <c r="A198" s="15">
        <f>IF(RAW_INPUT!A199="","",RAW_INPUT!A199)</f>
        <v/>
      </c>
      <c r="B198" s="16">
        <f>IF(RAW_INPUT!A199="","",RAW_INPUT!E199)</f>
        <v/>
      </c>
      <c r="C198" s="17">
        <f>IF(RAW_INPUT!A199="","",RAW_INPUT!F199)</f>
        <v/>
      </c>
    </row>
    <row r="199">
      <c r="A199" s="15">
        <f>IF(RAW_INPUT!A200="","",RAW_INPUT!A200)</f>
        <v/>
      </c>
      <c r="B199" s="16">
        <f>IF(RAW_INPUT!A200="","",RAW_INPUT!E200)</f>
        <v/>
      </c>
      <c r="C199" s="17">
        <f>IF(RAW_INPUT!A200="","",RAW_INPUT!F200)</f>
        <v/>
      </c>
    </row>
    <row r="200">
      <c r="A200" s="15">
        <f>IF(RAW_INPUT!A201="","",RAW_INPUT!A201)</f>
        <v/>
      </c>
      <c r="B200" s="16">
        <f>IF(RAW_INPUT!A201="","",RAW_INPUT!E201)</f>
        <v/>
      </c>
      <c r="C200" s="17">
        <f>IF(RAW_INPUT!A201="","",RAW_INPUT!F201)</f>
        <v/>
      </c>
    </row>
    <row r="201">
      <c r="A201" s="15">
        <f>IF(RAW_INPUT!A202="","",RAW_INPUT!A202)</f>
        <v/>
      </c>
      <c r="B201" s="16">
        <f>IF(RAW_INPUT!A202="","",RAW_INPUT!E202)</f>
        <v/>
      </c>
      <c r="C201" s="17">
        <f>IF(RAW_INPUT!A202="","",RAW_INPUT!F202)</f>
        <v/>
      </c>
    </row>
    <row r="202">
      <c r="A202" s="15">
        <f>IF(RAW_INPUT!A203="","",RAW_INPUT!A203)</f>
        <v/>
      </c>
      <c r="B202" s="16">
        <f>IF(RAW_INPUT!A203="","",RAW_INPUT!E203)</f>
        <v/>
      </c>
      <c r="C202" s="17">
        <f>IF(RAW_INPUT!A203="","",RAW_INPUT!F203)</f>
        <v/>
      </c>
    </row>
    <row r="203">
      <c r="A203" s="15">
        <f>IF(RAW_INPUT!A204="","",RAW_INPUT!A204)</f>
        <v/>
      </c>
      <c r="B203" s="16">
        <f>IF(RAW_INPUT!A204="","",RAW_INPUT!E204)</f>
        <v/>
      </c>
      <c r="C203" s="17">
        <f>IF(RAW_INPUT!A204="","",RAW_INPUT!F204)</f>
        <v/>
      </c>
    </row>
    <row r="204">
      <c r="A204" s="15">
        <f>IF(RAW_INPUT!A205="","",RAW_INPUT!A205)</f>
        <v/>
      </c>
      <c r="B204" s="16">
        <f>IF(RAW_INPUT!A205="","",RAW_INPUT!E205)</f>
        <v/>
      </c>
      <c r="C204" s="17">
        <f>IF(RAW_INPUT!A205="","",RAW_INPUT!F205)</f>
        <v/>
      </c>
    </row>
    <row r="205">
      <c r="A205" s="15">
        <f>IF(RAW_INPUT!A206="","",RAW_INPUT!A206)</f>
        <v/>
      </c>
      <c r="B205" s="16">
        <f>IF(RAW_INPUT!A206="","",RAW_INPUT!E206)</f>
        <v/>
      </c>
      <c r="C205" s="17">
        <f>IF(RAW_INPUT!A206="","",RAW_INPUT!F206)</f>
        <v/>
      </c>
    </row>
    <row r="206">
      <c r="A206" s="15">
        <f>IF(RAW_INPUT!A207="","",RAW_INPUT!A207)</f>
        <v/>
      </c>
      <c r="B206" s="16">
        <f>IF(RAW_INPUT!A207="","",RAW_INPUT!E207)</f>
        <v/>
      </c>
      <c r="C206" s="17">
        <f>IF(RAW_INPUT!A207="","",RAW_INPUT!F207)</f>
        <v/>
      </c>
    </row>
    <row r="207">
      <c r="A207" s="15">
        <f>IF(RAW_INPUT!A208="","",RAW_INPUT!A208)</f>
        <v/>
      </c>
      <c r="B207" s="16">
        <f>IF(RAW_INPUT!A208="","",RAW_INPUT!E208)</f>
        <v/>
      </c>
      <c r="C207" s="17">
        <f>IF(RAW_INPUT!A208="","",RAW_INPUT!F208)</f>
        <v/>
      </c>
    </row>
    <row r="208">
      <c r="A208" s="15">
        <f>IF(RAW_INPUT!A209="","",RAW_INPUT!A209)</f>
        <v/>
      </c>
      <c r="B208" s="16">
        <f>IF(RAW_INPUT!A209="","",RAW_INPUT!E209)</f>
        <v/>
      </c>
      <c r="C208" s="17">
        <f>IF(RAW_INPUT!A209="","",RAW_INPUT!F209)</f>
        <v/>
      </c>
    </row>
    <row r="209">
      <c r="A209" s="15">
        <f>IF(RAW_INPUT!A210="","",RAW_INPUT!A210)</f>
        <v/>
      </c>
      <c r="B209" s="16">
        <f>IF(RAW_INPUT!A210="","",RAW_INPUT!E210)</f>
        <v/>
      </c>
      <c r="C209" s="17">
        <f>IF(RAW_INPUT!A210="","",RAW_INPUT!F210)</f>
        <v/>
      </c>
    </row>
    <row r="210">
      <c r="A210" s="15">
        <f>IF(RAW_INPUT!A211="","",RAW_INPUT!A211)</f>
        <v/>
      </c>
      <c r="B210" s="16">
        <f>IF(RAW_INPUT!A211="","",RAW_INPUT!E211)</f>
        <v/>
      </c>
      <c r="C210" s="17">
        <f>IF(RAW_INPUT!A211="","",RAW_INPUT!F211)</f>
        <v/>
      </c>
    </row>
    <row r="211">
      <c r="A211" s="15">
        <f>IF(RAW_INPUT!A212="","",RAW_INPUT!A212)</f>
        <v/>
      </c>
      <c r="B211" s="16">
        <f>IF(RAW_INPUT!A212="","",RAW_INPUT!E212)</f>
        <v/>
      </c>
      <c r="C211" s="17">
        <f>IF(RAW_INPUT!A212="","",RAW_INPUT!F212)</f>
        <v/>
      </c>
    </row>
    <row r="212">
      <c r="A212" s="15">
        <f>IF(RAW_INPUT!A213="","",RAW_INPUT!A213)</f>
        <v/>
      </c>
      <c r="B212" s="16">
        <f>IF(RAW_INPUT!A213="","",RAW_INPUT!E213)</f>
        <v/>
      </c>
      <c r="C212" s="17">
        <f>IF(RAW_INPUT!A213="","",RAW_INPUT!F213)</f>
        <v/>
      </c>
    </row>
    <row r="213">
      <c r="A213" s="15">
        <f>IF(RAW_INPUT!A214="","",RAW_INPUT!A214)</f>
        <v/>
      </c>
      <c r="B213" s="16">
        <f>IF(RAW_INPUT!A214="","",RAW_INPUT!E214)</f>
        <v/>
      </c>
      <c r="C213" s="17">
        <f>IF(RAW_INPUT!A214="","",RAW_INPUT!F214)</f>
        <v/>
      </c>
    </row>
    <row r="214">
      <c r="A214" s="15">
        <f>IF(RAW_INPUT!A215="","",RAW_INPUT!A215)</f>
        <v/>
      </c>
      <c r="B214" s="16">
        <f>IF(RAW_INPUT!A215="","",RAW_INPUT!E215)</f>
        <v/>
      </c>
      <c r="C214" s="17">
        <f>IF(RAW_INPUT!A215="","",RAW_INPUT!F215)</f>
        <v/>
      </c>
    </row>
    <row r="215">
      <c r="A215" s="15">
        <f>IF(RAW_INPUT!A216="","",RAW_INPUT!A216)</f>
        <v/>
      </c>
      <c r="B215" s="16">
        <f>IF(RAW_INPUT!A216="","",RAW_INPUT!E216)</f>
        <v/>
      </c>
      <c r="C215" s="17">
        <f>IF(RAW_INPUT!A216="","",RAW_INPUT!F216)</f>
        <v/>
      </c>
    </row>
    <row r="216">
      <c r="A216" s="15">
        <f>IF(RAW_INPUT!A217="","",RAW_INPUT!A217)</f>
        <v/>
      </c>
      <c r="B216" s="16">
        <f>IF(RAW_INPUT!A217="","",RAW_INPUT!E217)</f>
        <v/>
      </c>
      <c r="C216" s="17">
        <f>IF(RAW_INPUT!A217="","",RAW_INPUT!F217)</f>
        <v/>
      </c>
    </row>
    <row r="217">
      <c r="A217" s="15">
        <f>IF(RAW_INPUT!A218="","",RAW_INPUT!A218)</f>
        <v/>
      </c>
      <c r="B217" s="16">
        <f>IF(RAW_INPUT!A218="","",RAW_INPUT!E218)</f>
        <v/>
      </c>
      <c r="C217" s="17">
        <f>IF(RAW_INPUT!A218="","",RAW_INPUT!F218)</f>
        <v/>
      </c>
    </row>
    <row r="218">
      <c r="A218" s="15">
        <f>IF(RAW_INPUT!A219="","",RAW_INPUT!A219)</f>
        <v/>
      </c>
      <c r="B218" s="16">
        <f>IF(RAW_INPUT!A219="","",RAW_INPUT!E219)</f>
        <v/>
      </c>
      <c r="C218" s="17">
        <f>IF(RAW_INPUT!A219="","",RAW_INPUT!F219)</f>
        <v/>
      </c>
    </row>
    <row r="219">
      <c r="A219" s="15">
        <f>IF(RAW_INPUT!A220="","",RAW_INPUT!A220)</f>
        <v/>
      </c>
      <c r="B219" s="16">
        <f>IF(RAW_INPUT!A220="","",RAW_INPUT!E220)</f>
        <v/>
      </c>
      <c r="C219" s="17">
        <f>IF(RAW_INPUT!A220="","",RAW_INPUT!F220)</f>
        <v/>
      </c>
    </row>
    <row r="220">
      <c r="A220" s="15">
        <f>IF(RAW_INPUT!A221="","",RAW_INPUT!A221)</f>
        <v/>
      </c>
      <c r="B220" s="16">
        <f>IF(RAW_INPUT!A221="","",RAW_INPUT!E221)</f>
        <v/>
      </c>
      <c r="C220" s="17">
        <f>IF(RAW_INPUT!A221="","",RAW_INPUT!F221)</f>
        <v/>
      </c>
    </row>
    <row r="221">
      <c r="A221" s="15">
        <f>IF(RAW_INPUT!A222="","",RAW_INPUT!A222)</f>
        <v/>
      </c>
      <c r="B221" s="16">
        <f>IF(RAW_INPUT!A222="","",RAW_INPUT!E222)</f>
        <v/>
      </c>
      <c r="C221" s="17">
        <f>IF(RAW_INPUT!A222="","",RAW_INPUT!F222)</f>
        <v/>
      </c>
    </row>
    <row r="222">
      <c r="A222" s="15">
        <f>IF(RAW_INPUT!A223="","",RAW_INPUT!A223)</f>
        <v/>
      </c>
      <c r="B222" s="16">
        <f>IF(RAW_INPUT!A223="","",RAW_INPUT!E223)</f>
        <v/>
      </c>
      <c r="C222" s="17">
        <f>IF(RAW_INPUT!A223="","",RAW_INPUT!F223)</f>
        <v/>
      </c>
    </row>
    <row r="223">
      <c r="A223" s="15">
        <f>IF(RAW_INPUT!A224="","",RAW_INPUT!A224)</f>
        <v/>
      </c>
      <c r="B223" s="16">
        <f>IF(RAW_INPUT!A224="","",RAW_INPUT!E224)</f>
        <v/>
      </c>
      <c r="C223" s="17">
        <f>IF(RAW_INPUT!A224="","",RAW_INPUT!F224)</f>
        <v/>
      </c>
    </row>
    <row r="224">
      <c r="A224" s="15">
        <f>IF(RAW_INPUT!A225="","",RAW_INPUT!A225)</f>
        <v/>
      </c>
      <c r="B224" s="16">
        <f>IF(RAW_INPUT!A225="","",RAW_INPUT!E225)</f>
        <v/>
      </c>
      <c r="C224" s="17">
        <f>IF(RAW_INPUT!A225="","",RAW_INPUT!F225)</f>
        <v/>
      </c>
    </row>
    <row r="225">
      <c r="A225" s="15">
        <f>IF(RAW_INPUT!A226="","",RAW_INPUT!A226)</f>
        <v/>
      </c>
      <c r="B225" s="16">
        <f>IF(RAW_INPUT!A226="","",RAW_INPUT!E226)</f>
        <v/>
      </c>
      <c r="C225" s="17">
        <f>IF(RAW_INPUT!A226="","",RAW_INPUT!F226)</f>
        <v/>
      </c>
    </row>
    <row r="226">
      <c r="A226" s="15">
        <f>IF(RAW_INPUT!A227="","",RAW_INPUT!A227)</f>
        <v/>
      </c>
      <c r="B226" s="16">
        <f>IF(RAW_INPUT!A227="","",RAW_INPUT!E227)</f>
        <v/>
      </c>
      <c r="C226" s="17">
        <f>IF(RAW_INPUT!A227="","",RAW_INPUT!F227)</f>
        <v/>
      </c>
    </row>
    <row r="227">
      <c r="A227" s="15">
        <f>IF(RAW_INPUT!A228="","",RAW_INPUT!A228)</f>
        <v/>
      </c>
      <c r="B227" s="16">
        <f>IF(RAW_INPUT!A228="","",RAW_INPUT!E228)</f>
        <v/>
      </c>
      <c r="C227" s="17">
        <f>IF(RAW_INPUT!A228="","",RAW_INPUT!F228)</f>
        <v/>
      </c>
    </row>
    <row r="228">
      <c r="A228" s="15">
        <f>IF(RAW_INPUT!A229="","",RAW_INPUT!A229)</f>
        <v/>
      </c>
      <c r="B228" s="16">
        <f>IF(RAW_INPUT!A229="","",RAW_INPUT!E229)</f>
        <v/>
      </c>
      <c r="C228" s="17">
        <f>IF(RAW_INPUT!A229="","",RAW_INPUT!F229)</f>
        <v/>
      </c>
    </row>
    <row r="229">
      <c r="A229" s="15">
        <f>IF(RAW_INPUT!A230="","",RAW_INPUT!A230)</f>
        <v/>
      </c>
      <c r="B229" s="16">
        <f>IF(RAW_INPUT!A230="","",RAW_INPUT!E230)</f>
        <v/>
      </c>
      <c r="C229" s="17">
        <f>IF(RAW_INPUT!A230="","",RAW_INPUT!F230)</f>
        <v/>
      </c>
    </row>
    <row r="230">
      <c r="A230" s="15">
        <f>IF(RAW_INPUT!A231="","",RAW_INPUT!A231)</f>
        <v/>
      </c>
      <c r="B230" s="16">
        <f>IF(RAW_INPUT!A231="","",RAW_INPUT!E231)</f>
        <v/>
      </c>
      <c r="C230" s="17">
        <f>IF(RAW_INPUT!A231="","",RAW_INPUT!F231)</f>
        <v/>
      </c>
    </row>
    <row r="231">
      <c r="A231" s="15">
        <f>IF(RAW_INPUT!A232="","",RAW_INPUT!A232)</f>
        <v/>
      </c>
      <c r="B231" s="16">
        <f>IF(RAW_INPUT!A232="","",RAW_INPUT!E232)</f>
        <v/>
      </c>
      <c r="C231" s="17">
        <f>IF(RAW_INPUT!A232="","",RAW_INPUT!F232)</f>
        <v/>
      </c>
    </row>
    <row r="232">
      <c r="A232" s="15">
        <f>IF(RAW_INPUT!A233="","",RAW_INPUT!A233)</f>
        <v/>
      </c>
      <c r="B232" s="16">
        <f>IF(RAW_INPUT!A233="","",RAW_INPUT!E233)</f>
        <v/>
      </c>
      <c r="C232" s="17">
        <f>IF(RAW_INPUT!A233="","",RAW_INPUT!F233)</f>
        <v/>
      </c>
    </row>
    <row r="233">
      <c r="A233" s="15">
        <f>IF(RAW_INPUT!A234="","",RAW_INPUT!A234)</f>
        <v/>
      </c>
      <c r="B233" s="16">
        <f>IF(RAW_INPUT!A234="","",RAW_INPUT!E234)</f>
        <v/>
      </c>
      <c r="C233" s="17">
        <f>IF(RAW_INPUT!A234="","",RAW_INPUT!F234)</f>
        <v/>
      </c>
    </row>
    <row r="234">
      <c r="A234" s="15">
        <f>IF(RAW_INPUT!A235="","",RAW_INPUT!A235)</f>
        <v/>
      </c>
      <c r="B234" s="16">
        <f>IF(RAW_INPUT!A235="","",RAW_INPUT!E235)</f>
        <v/>
      </c>
      <c r="C234" s="17">
        <f>IF(RAW_INPUT!A235="","",RAW_INPUT!F235)</f>
        <v/>
      </c>
    </row>
    <row r="235">
      <c r="A235" s="15">
        <f>IF(RAW_INPUT!A236="","",RAW_INPUT!A236)</f>
        <v/>
      </c>
      <c r="B235" s="16">
        <f>IF(RAW_INPUT!A236="","",RAW_INPUT!E236)</f>
        <v/>
      </c>
      <c r="C235" s="17">
        <f>IF(RAW_INPUT!A236="","",RAW_INPUT!F236)</f>
        <v/>
      </c>
    </row>
    <row r="236">
      <c r="A236" s="15">
        <f>IF(RAW_INPUT!A237="","",RAW_INPUT!A237)</f>
        <v/>
      </c>
      <c r="B236" s="16">
        <f>IF(RAW_INPUT!A237="","",RAW_INPUT!E237)</f>
        <v/>
      </c>
      <c r="C236" s="17">
        <f>IF(RAW_INPUT!A237="","",RAW_INPUT!F237)</f>
        <v/>
      </c>
    </row>
    <row r="237">
      <c r="A237" s="15">
        <f>IF(RAW_INPUT!A238="","",RAW_INPUT!A238)</f>
        <v/>
      </c>
      <c r="B237" s="16">
        <f>IF(RAW_INPUT!A238="","",RAW_INPUT!E238)</f>
        <v/>
      </c>
      <c r="C237" s="17">
        <f>IF(RAW_INPUT!A238="","",RAW_INPUT!F238)</f>
        <v/>
      </c>
    </row>
    <row r="238">
      <c r="A238" s="15">
        <f>IF(RAW_INPUT!A239="","",RAW_INPUT!A239)</f>
        <v/>
      </c>
      <c r="B238" s="16">
        <f>IF(RAW_INPUT!A239="","",RAW_INPUT!E239)</f>
        <v/>
      </c>
      <c r="C238" s="17">
        <f>IF(RAW_INPUT!A239="","",RAW_INPUT!F239)</f>
        <v/>
      </c>
    </row>
    <row r="239">
      <c r="A239" s="15">
        <f>IF(RAW_INPUT!A240="","",RAW_INPUT!A240)</f>
        <v/>
      </c>
      <c r="B239" s="16">
        <f>IF(RAW_INPUT!A240="","",RAW_INPUT!E240)</f>
        <v/>
      </c>
      <c r="C239" s="17">
        <f>IF(RAW_INPUT!A240="","",RAW_INPUT!F240)</f>
        <v/>
      </c>
    </row>
    <row r="240">
      <c r="A240" s="15">
        <f>IF(RAW_INPUT!A241="","",RAW_INPUT!A241)</f>
        <v/>
      </c>
      <c r="B240" s="16">
        <f>IF(RAW_INPUT!A241="","",RAW_INPUT!E241)</f>
        <v/>
      </c>
      <c r="C240" s="17">
        <f>IF(RAW_INPUT!A241="","",RAW_INPUT!F241)</f>
        <v/>
      </c>
    </row>
    <row r="241">
      <c r="A241" s="15">
        <f>IF(RAW_INPUT!A242="","",RAW_INPUT!A242)</f>
        <v/>
      </c>
      <c r="B241" s="16">
        <f>IF(RAW_INPUT!A242="","",RAW_INPUT!E242)</f>
        <v/>
      </c>
      <c r="C241" s="17">
        <f>IF(RAW_INPUT!A242="","",RAW_INPUT!F242)</f>
        <v/>
      </c>
    </row>
    <row r="242">
      <c r="A242" s="15">
        <f>IF(RAW_INPUT!A243="","",RAW_INPUT!A243)</f>
        <v/>
      </c>
      <c r="B242" s="16">
        <f>IF(RAW_INPUT!A243="","",RAW_INPUT!E243)</f>
        <v/>
      </c>
      <c r="C242" s="17">
        <f>IF(RAW_INPUT!A243="","",RAW_INPUT!F243)</f>
        <v/>
      </c>
    </row>
    <row r="243">
      <c r="A243" s="15">
        <f>IF(RAW_INPUT!A244="","",RAW_INPUT!A244)</f>
        <v/>
      </c>
      <c r="B243" s="16">
        <f>IF(RAW_INPUT!A244="","",RAW_INPUT!E244)</f>
        <v/>
      </c>
      <c r="C243" s="17">
        <f>IF(RAW_INPUT!A244="","",RAW_INPUT!F244)</f>
        <v/>
      </c>
    </row>
    <row r="244">
      <c r="A244" s="15">
        <f>IF(RAW_INPUT!A245="","",RAW_INPUT!A245)</f>
        <v/>
      </c>
      <c r="B244" s="16">
        <f>IF(RAW_INPUT!A245="","",RAW_INPUT!E245)</f>
        <v/>
      </c>
      <c r="C244" s="17">
        <f>IF(RAW_INPUT!A245="","",RAW_INPUT!F245)</f>
        <v/>
      </c>
    </row>
    <row r="245">
      <c r="A245" s="15">
        <f>IF(RAW_INPUT!A246="","",RAW_INPUT!A246)</f>
        <v/>
      </c>
      <c r="B245" s="16">
        <f>IF(RAW_INPUT!A246="","",RAW_INPUT!E246)</f>
        <v/>
      </c>
      <c r="C245" s="17">
        <f>IF(RAW_INPUT!A246="","",RAW_INPUT!F246)</f>
        <v/>
      </c>
    </row>
    <row r="246">
      <c r="A246" s="15">
        <f>IF(RAW_INPUT!A247="","",RAW_INPUT!A247)</f>
        <v/>
      </c>
      <c r="B246" s="16">
        <f>IF(RAW_INPUT!A247="","",RAW_INPUT!E247)</f>
        <v/>
      </c>
      <c r="C246" s="17">
        <f>IF(RAW_INPUT!A247="","",RAW_INPUT!F247)</f>
        <v/>
      </c>
    </row>
    <row r="247">
      <c r="A247" s="15">
        <f>IF(RAW_INPUT!A248="","",RAW_INPUT!A248)</f>
        <v/>
      </c>
      <c r="B247" s="16">
        <f>IF(RAW_INPUT!A248="","",RAW_INPUT!E248)</f>
        <v/>
      </c>
      <c r="C247" s="17">
        <f>IF(RAW_INPUT!A248="","",RAW_INPUT!F248)</f>
        <v/>
      </c>
    </row>
    <row r="248">
      <c r="A248" s="15">
        <f>IF(RAW_INPUT!A249="","",RAW_INPUT!A249)</f>
        <v/>
      </c>
      <c r="B248" s="16">
        <f>IF(RAW_INPUT!A249="","",RAW_INPUT!E249)</f>
        <v/>
      </c>
      <c r="C248" s="17">
        <f>IF(RAW_INPUT!A249="","",RAW_INPUT!F249)</f>
        <v/>
      </c>
    </row>
    <row r="249">
      <c r="A249" s="15">
        <f>IF(RAW_INPUT!A250="","",RAW_INPUT!A250)</f>
        <v/>
      </c>
      <c r="B249" s="16">
        <f>IF(RAW_INPUT!A250="","",RAW_INPUT!E250)</f>
        <v/>
      </c>
      <c r="C249" s="17">
        <f>IF(RAW_INPUT!A250="","",RAW_INPUT!F250)</f>
        <v/>
      </c>
    </row>
    <row r="250">
      <c r="A250" s="15">
        <f>IF(RAW_INPUT!A251="","",RAW_INPUT!A251)</f>
        <v/>
      </c>
      <c r="B250" s="16">
        <f>IF(RAW_INPUT!A251="","",RAW_INPUT!E251)</f>
        <v/>
      </c>
      <c r="C250" s="17">
        <f>IF(RAW_INPUT!A251="","",RAW_INPUT!F251)</f>
        <v/>
      </c>
    </row>
    <row r="251">
      <c r="A251" s="15">
        <f>IF(RAW_INPUT!A252="","",RAW_INPUT!A252)</f>
        <v/>
      </c>
      <c r="B251" s="16">
        <f>IF(RAW_INPUT!A252="","",RAW_INPUT!E252)</f>
        <v/>
      </c>
      <c r="C251" s="17">
        <f>IF(RAW_INPUT!A252="","",RAW_INPUT!F252)</f>
        <v/>
      </c>
    </row>
    <row r="252">
      <c r="A252" s="15">
        <f>IF(RAW_INPUT!A253="","",RAW_INPUT!A253)</f>
        <v/>
      </c>
      <c r="B252" s="16">
        <f>IF(RAW_INPUT!A253="","",RAW_INPUT!E253)</f>
        <v/>
      </c>
      <c r="C252" s="17">
        <f>IF(RAW_INPUT!A253="","",RAW_INPUT!F253)</f>
        <v/>
      </c>
    </row>
    <row r="253">
      <c r="A253" s="15">
        <f>IF(RAW_INPUT!A254="","",RAW_INPUT!A254)</f>
        <v/>
      </c>
      <c r="B253" s="16">
        <f>IF(RAW_INPUT!A254="","",RAW_INPUT!E254)</f>
        <v/>
      </c>
      <c r="C253" s="17">
        <f>IF(RAW_INPUT!A254="","",RAW_INPUT!F254)</f>
        <v/>
      </c>
    </row>
    <row r="254">
      <c r="A254" s="15">
        <f>IF(RAW_INPUT!A255="","",RAW_INPUT!A255)</f>
        <v/>
      </c>
      <c r="B254" s="16">
        <f>IF(RAW_INPUT!A255="","",RAW_INPUT!E255)</f>
        <v/>
      </c>
      <c r="C254" s="17">
        <f>IF(RAW_INPUT!A255="","",RAW_INPUT!F255)</f>
        <v/>
      </c>
    </row>
    <row r="255">
      <c r="A255" s="15">
        <f>IF(RAW_INPUT!A256="","",RAW_INPUT!A256)</f>
        <v/>
      </c>
      <c r="B255" s="16">
        <f>IF(RAW_INPUT!A256="","",RAW_INPUT!E256)</f>
        <v/>
      </c>
      <c r="C255" s="17">
        <f>IF(RAW_INPUT!A256="","",RAW_INPUT!F256)</f>
        <v/>
      </c>
    </row>
    <row r="256">
      <c r="A256" s="15">
        <f>IF(RAW_INPUT!A257="","",RAW_INPUT!A257)</f>
        <v/>
      </c>
      <c r="B256" s="16">
        <f>IF(RAW_INPUT!A257="","",RAW_INPUT!E257)</f>
        <v/>
      </c>
      <c r="C256" s="17">
        <f>IF(RAW_INPUT!A257="","",RAW_INPUT!F257)</f>
        <v/>
      </c>
    </row>
    <row r="257">
      <c r="A257" s="15">
        <f>IF(RAW_INPUT!A258="","",RAW_INPUT!A258)</f>
        <v/>
      </c>
      <c r="B257" s="16">
        <f>IF(RAW_INPUT!A258="","",RAW_INPUT!E258)</f>
        <v/>
      </c>
      <c r="C257" s="17">
        <f>IF(RAW_INPUT!A258="","",RAW_INPUT!F258)</f>
        <v/>
      </c>
    </row>
    <row r="258">
      <c r="A258" s="15">
        <f>IF(RAW_INPUT!A259="","",RAW_INPUT!A259)</f>
        <v/>
      </c>
      <c r="B258" s="16">
        <f>IF(RAW_INPUT!A259="","",RAW_INPUT!E259)</f>
        <v/>
      </c>
      <c r="C258" s="17">
        <f>IF(RAW_INPUT!A259="","",RAW_INPUT!F259)</f>
        <v/>
      </c>
    </row>
    <row r="259">
      <c r="A259" s="15">
        <f>IF(RAW_INPUT!A260="","",RAW_INPUT!A260)</f>
        <v/>
      </c>
      <c r="B259" s="16">
        <f>IF(RAW_INPUT!A260="","",RAW_INPUT!E260)</f>
        <v/>
      </c>
      <c r="C259" s="17">
        <f>IF(RAW_INPUT!A260="","",RAW_INPUT!F260)</f>
        <v/>
      </c>
    </row>
    <row r="260">
      <c r="A260" s="15">
        <f>IF(RAW_INPUT!A261="","",RAW_INPUT!A261)</f>
        <v/>
      </c>
      <c r="B260" s="16">
        <f>IF(RAW_INPUT!A261="","",RAW_INPUT!E261)</f>
        <v/>
      </c>
      <c r="C260" s="17">
        <f>IF(RAW_INPUT!A261="","",RAW_INPUT!F261)</f>
        <v/>
      </c>
    </row>
    <row r="261">
      <c r="A261" s="15">
        <f>IF(RAW_INPUT!A262="","",RAW_INPUT!A262)</f>
        <v/>
      </c>
      <c r="B261" s="16">
        <f>IF(RAW_INPUT!A262="","",RAW_INPUT!E262)</f>
        <v/>
      </c>
      <c r="C261" s="17">
        <f>IF(RAW_INPUT!A262="","",RAW_INPUT!F262)</f>
        <v/>
      </c>
    </row>
    <row r="262">
      <c r="A262" s="15">
        <f>IF(RAW_INPUT!A263="","",RAW_INPUT!A263)</f>
        <v/>
      </c>
      <c r="B262" s="16">
        <f>IF(RAW_INPUT!A263="","",RAW_INPUT!E263)</f>
        <v/>
      </c>
      <c r="C262" s="17">
        <f>IF(RAW_INPUT!A263="","",RAW_INPUT!F263)</f>
        <v/>
      </c>
    </row>
    <row r="263">
      <c r="A263" s="15">
        <f>IF(RAW_INPUT!A264="","",RAW_INPUT!A264)</f>
        <v/>
      </c>
      <c r="B263" s="16">
        <f>IF(RAW_INPUT!A264="","",RAW_INPUT!E264)</f>
        <v/>
      </c>
      <c r="C263" s="17">
        <f>IF(RAW_INPUT!A264="","",RAW_INPUT!F264)</f>
        <v/>
      </c>
    </row>
    <row r="264">
      <c r="A264" s="15">
        <f>IF(RAW_INPUT!A265="","",RAW_INPUT!A265)</f>
        <v/>
      </c>
      <c r="B264" s="16">
        <f>IF(RAW_INPUT!A265="","",RAW_INPUT!E265)</f>
        <v/>
      </c>
      <c r="C264" s="17">
        <f>IF(RAW_INPUT!A265="","",RAW_INPUT!F265)</f>
        <v/>
      </c>
    </row>
    <row r="265">
      <c r="A265" s="15">
        <f>IF(RAW_INPUT!A266="","",RAW_INPUT!A266)</f>
        <v/>
      </c>
      <c r="B265" s="16">
        <f>IF(RAW_INPUT!A266="","",RAW_INPUT!E266)</f>
        <v/>
      </c>
      <c r="C265" s="17">
        <f>IF(RAW_INPUT!A266="","",RAW_INPUT!F266)</f>
        <v/>
      </c>
    </row>
    <row r="266">
      <c r="A266" s="15">
        <f>IF(RAW_INPUT!A267="","",RAW_INPUT!A267)</f>
        <v/>
      </c>
      <c r="B266" s="16">
        <f>IF(RAW_INPUT!A267="","",RAW_INPUT!E267)</f>
        <v/>
      </c>
      <c r="C266" s="17">
        <f>IF(RAW_INPUT!A267="","",RAW_INPUT!F267)</f>
        <v/>
      </c>
    </row>
    <row r="267">
      <c r="A267" s="15">
        <f>IF(RAW_INPUT!A268="","",RAW_INPUT!A268)</f>
        <v/>
      </c>
      <c r="B267" s="16">
        <f>IF(RAW_INPUT!A268="","",RAW_INPUT!E268)</f>
        <v/>
      </c>
      <c r="C267" s="17">
        <f>IF(RAW_INPUT!A268="","",RAW_INPUT!F268)</f>
        <v/>
      </c>
    </row>
    <row r="268">
      <c r="A268" s="15">
        <f>IF(RAW_INPUT!A269="","",RAW_INPUT!A269)</f>
        <v/>
      </c>
      <c r="B268" s="16">
        <f>IF(RAW_INPUT!A269="","",RAW_INPUT!E269)</f>
        <v/>
      </c>
      <c r="C268" s="17">
        <f>IF(RAW_INPUT!A269="","",RAW_INPUT!F269)</f>
        <v/>
      </c>
    </row>
    <row r="269">
      <c r="A269" s="15">
        <f>IF(RAW_INPUT!A270="","",RAW_INPUT!A270)</f>
        <v/>
      </c>
      <c r="B269" s="16">
        <f>IF(RAW_INPUT!A270="","",RAW_INPUT!E270)</f>
        <v/>
      </c>
      <c r="C269" s="17">
        <f>IF(RAW_INPUT!A270="","",RAW_INPUT!F270)</f>
        <v/>
      </c>
    </row>
    <row r="270">
      <c r="A270" s="15">
        <f>IF(RAW_INPUT!A271="","",RAW_INPUT!A271)</f>
        <v/>
      </c>
      <c r="B270" s="16">
        <f>IF(RAW_INPUT!A271="","",RAW_INPUT!E271)</f>
        <v/>
      </c>
      <c r="C270" s="17">
        <f>IF(RAW_INPUT!A271="","",RAW_INPUT!F271)</f>
        <v/>
      </c>
    </row>
    <row r="271">
      <c r="A271" s="15">
        <f>IF(RAW_INPUT!A272="","",RAW_INPUT!A272)</f>
        <v/>
      </c>
      <c r="B271" s="16">
        <f>IF(RAW_INPUT!A272="","",RAW_INPUT!E272)</f>
        <v/>
      </c>
      <c r="C271" s="17">
        <f>IF(RAW_INPUT!A272="","",RAW_INPUT!F272)</f>
        <v/>
      </c>
    </row>
    <row r="272">
      <c r="A272" s="15">
        <f>IF(RAW_INPUT!A273="","",RAW_INPUT!A273)</f>
        <v/>
      </c>
      <c r="B272" s="16">
        <f>IF(RAW_INPUT!A273="","",RAW_INPUT!E273)</f>
        <v/>
      </c>
      <c r="C272" s="17">
        <f>IF(RAW_INPUT!A273="","",RAW_INPUT!F273)</f>
        <v/>
      </c>
    </row>
    <row r="273">
      <c r="A273" s="15">
        <f>IF(RAW_INPUT!A274="","",RAW_INPUT!A274)</f>
        <v/>
      </c>
      <c r="B273" s="16">
        <f>IF(RAW_INPUT!A274="","",RAW_INPUT!E274)</f>
        <v/>
      </c>
      <c r="C273" s="17">
        <f>IF(RAW_INPUT!A274="","",RAW_INPUT!F274)</f>
        <v/>
      </c>
    </row>
    <row r="274">
      <c r="A274" s="15">
        <f>IF(RAW_INPUT!A275="","",RAW_INPUT!A275)</f>
        <v/>
      </c>
      <c r="B274" s="16">
        <f>IF(RAW_INPUT!A275="","",RAW_INPUT!E275)</f>
        <v/>
      </c>
      <c r="C274" s="17">
        <f>IF(RAW_INPUT!A275="","",RAW_INPUT!F275)</f>
        <v/>
      </c>
    </row>
    <row r="275">
      <c r="A275" s="15">
        <f>IF(RAW_INPUT!A276="","",RAW_INPUT!A276)</f>
        <v/>
      </c>
      <c r="B275" s="16">
        <f>IF(RAW_INPUT!A276="","",RAW_INPUT!E276)</f>
        <v/>
      </c>
      <c r="C275" s="17">
        <f>IF(RAW_INPUT!A276="","",RAW_INPUT!F276)</f>
        <v/>
      </c>
    </row>
    <row r="276">
      <c r="A276" s="15">
        <f>IF(RAW_INPUT!A277="","",RAW_INPUT!A277)</f>
        <v/>
      </c>
      <c r="B276" s="16">
        <f>IF(RAW_INPUT!A277="","",RAW_INPUT!E277)</f>
        <v/>
      </c>
      <c r="C276" s="17">
        <f>IF(RAW_INPUT!A277="","",RAW_INPUT!F277)</f>
        <v/>
      </c>
    </row>
    <row r="277">
      <c r="A277" s="15">
        <f>IF(RAW_INPUT!A278="","",RAW_INPUT!A278)</f>
        <v/>
      </c>
      <c r="B277" s="16">
        <f>IF(RAW_INPUT!A278="","",RAW_INPUT!E278)</f>
        <v/>
      </c>
      <c r="C277" s="17">
        <f>IF(RAW_INPUT!A278="","",RAW_INPUT!F278)</f>
        <v/>
      </c>
    </row>
    <row r="278">
      <c r="A278" s="15">
        <f>IF(RAW_INPUT!A279="","",RAW_INPUT!A279)</f>
        <v/>
      </c>
      <c r="B278" s="16">
        <f>IF(RAW_INPUT!A279="","",RAW_INPUT!E279)</f>
        <v/>
      </c>
      <c r="C278" s="17">
        <f>IF(RAW_INPUT!A279="","",RAW_INPUT!F279)</f>
        <v/>
      </c>
    </row>
    <row r="279">
      <c r="A279" s="15">
        <f>IF(RAW_INPUT!A280="","",RAW_INPUT!A280)</f>
        <v/>
      </c>
      <c r="B279" s="16">
        <f>IF(RAW_INPUT!A280="","",RAW_INPUT!E280)</f>
        <v/>
      </c>
      <c r="C279" s="17">
        <f>IF(RAW_INPUT!A280="","",RAW_INPUT!F280)</f>
        <v/>
      </c>
    </row>
    <row r="280">
      <c r="A280" s="15">
        <f>IF(RAW_INPUT!A281="","",RAW_INPUT!A281)</f>
        <v/>
      </c>
      <c r="B280" s="16">
        <f>IF(RAW_INPUT!A281="","",RAW_INPUT!E281)</f>
        <v/>
      </c>
      <c r="C280" s="17">
        <f>IF(RAW_INPUT!A281="","",RAW_INPUT!F281)</f>
        <v/>
      </c>
    </row>
    <row r="281">
      <c r="A281" s="15">
        <f>IF(RAW_INPUT!A282="","",RAW_INPUT!A282)</f>
        <v/>
      </c>
      <c r="B281" s="16">
        <f>IF(RAW_INPUT!A282="","",RAW_INPUT!E282)</f>
        <v/>
      </c>
      <c r="C281" s="17">
        <f>IF(RAW_INPUT!A282="","",RAW_INPUT!F282)</f>
        <v/>
      </c>
    </row>
    <row r="282">
      <c r="A282" s="15">
        <f>IF(RAW_INPUT!A283="","",RAW_INPUT!A283)</f>
        <v/>
      </c>
      <c r="B282" s="16">
        <f>IF(RAW_INPUT!A283="","",RAW_INPUT!E283)</f>
        <v/>
      </c>
      <c r="C282" s="17">
        <f>IF(RAW_INPUT!A283="","",RAW_INPUT!F283)</f>
        <v/>
      </c>
    </row>
    <row r="283">
      <c r="A283" s="15">
        <f>IF(RAW_INPUT!A284="","",RAW_INPUT!A284)</f>
        <v/>
      </c>
      <c r="B283" s="16">
        <f>IF(RAW_INPUT!A284="","",RAW_INPUT!E284)</f>
        <v/>
      </c>
      <c r="C283" s="17">
        <f>IF(RAW_INPUT!A284="","",RAW_INPUT!F284)</f>
        <v/>
      </c>
    </row>
    <row r="284">
      <c r="A284" s="15">
        <f>IF(RAW_INPUT!A285="","",RAW_INPUT!A285)</f>
        <v/>
      </c>
      <c r="B284" s="16">
        <f>IF(RAW_INPUT!A285="","",RAW_INPUT!E285)</f>
        <v/>
      </c>
      <c r="C284" s="17">
        <f>IF(RAW_INPUT!A285="","",RAW_INPUT!F285)</f>
        <v/>
      </c>
    </row>
    <row r="285">
      <c r="A285" s="15">
        <f>IF(RAW_INPUT!A286="","",RAW_INPUT!A286)</f>
        <v/>
      </c>
      <c r="B285" s="16">
        <f>IF(RAW_INPUT!A286="","",RAW_INPUT!E286)</f>
        <v/>
      </c>
      <c r="C285" s="17">
        <f>IF(RAW_INPUT!A286="","",RAW_INPUT!F286)</f>
        <v/>
      </c>
    </row>
    <row r="286">
      <c r="A286" s="15">
        <f>IF(RAW_INPUT!A287="","",RAW_INPUT!A287)</f>
        <v/>
      </c>
      <c r="B286" s="16">
        <f>IF(RAW_INPUT!A287="","",RAW_INPUT!E287)</f>
        <v/>
      </c>
      <c r="C286" s="17">
        <f>IF(RAW_INPUT!A287="","",RAW_INPUT!F287)</f>
        <v/>
      </c>
    </row>
    <row r="287">
      <c r="A287" s="15">
        <f>IF(RAW_INPUT!A288="","",RAW_INPUT!A288)</f>
        <v/>
      </c>
      <c r="B287" s="16">
        <f>IF(RAW_INPUT!A288="","",RAW_INPUT!E288)</f>
        <v/>
      </c>
      <c r="C287" s="17">
        <f>IF(RAW_INPUT!A288="","",RAW_INPUT!F288)</f>
        <v/>
      </c>
    </row>
    <row r="288">
      <c r="A288" s="15">
        <f>IF(RAW_INPUT!A289="","",RAW_INPUT!A289)</f>
        <v/>
      </c>
      <c r="B288" s="16">
        <f>IF(RAW_INPUT!A289="","",RAW_INPUT!E289)</f>
        <v/>
      </c>
      <c r="C288" s="17">
        <f>IF(RAW_INPUT!A289="","",RAW_INPUT!F289)</f>
        <v/>
      </c>
    </row>
    <row r="289">
      <c r="A289" s="15">
        <f>IF(RAW_INPUT!A290="","",RAW_INPUT!A290)</f>
        <v/>
      </c>
      <c r="B289" s="16">
        <f>IF(RAW_INPUT!A290="","",RAW_INPUT!E290)</f>
        <v/>
      </c>
      <c r="C289" s="17">
        <f>IF(RAW_INPUT!A290="","",RAW_INPUT!F290)</f>
        <v/>
      </c>
    </row>
    <row r="290">
      <c r="A290" s="15">
        <f>IF(RAW_INPUT!A291="","",RAW_INPUT!A291)</f>
        <v/>
      </c>
      <c r="B290" s="16">
        <f>IF(RAW_INPUT!A291="","",RAW_INPUT!E291)</f>
        <v/>
      </c>
      <c r="C290" s="17">
        <f>IF(RAW_INPUT!A291="","",RAW_INPUT!F291)</f>
        <v/>
      </c>
    </row>
    <row r="291">
      <c r="A291" s="15">
        <f>IF(RAW_INPUT!A292="","",RAW_INPUT!A292)</f>
        <v/>
      </c>
      <c r="B291" s="16">
        <f>IF(RAW_INPUT!A292="","",RAW_INPUT!E292)</f>
        <v/>
      </c>
      <c r="C291" s="17">
        <f>IF(RAW_INPUT!A292="","",RAW_INPUT!F292)</f>
        <v/>
      </c>
    </row>
    <row r="292">
      <c r="A292" s="15">
        <f>IF(RAW_INPUT!A293="","",RAW_INPUT!A293)</f>
        <v/>
      </c>
      <c r="B292" s="16">
        <f>IF(RAW_INPUT!A293="","",RAW_INPUT!E293)</f>
        <v/>
      </c>
      <c r="C292" s="17">
        <f>IF(RAW_INPUT!A293="","",RAW_INPUT!F293)</f>
        <v/>
      </c>
    </row>
    <row r="293">
      <c r="A293" s="15">
        <f>IF(RAW_INPUT!A294="","",RAW_INPUT!A294)</f>
        <v/>
      </c>
      <c r="B293" s="16">
        <f>IF(RAW_INPUT!A294="","",RAW_INPUT!E294)</f>
        <v/>
      </c>
      <c r="C293" s="17">
        <f>IF(RAW_INPUT!A294="","",RAW_INPUT!F294)</f>
        <v/>
      </c>
    </row>
    <row r="294">
      <c r="A294" s="15">
        <f>IF(RAW_INPUT!A295="","",RAW_INPUT!A295)</f>
        <v/>
      </c>
      <c r="B294" s="16">
        <f>IF(RAW_INPUT!A295="","",RAW_INPUT!E295)</f>
        <v/>
      </c>
      <c r="C294" s="17">
        <f>IF(RAW_INPUT!A295="","",RAW_INPUT!F295)</f>
        <v/>
      </c>
    </row>
    <row r="295">
      <c r="A295" s="15">
        <f>IF(RAW_INPUT!A296="","",RAW_INPUT!A296)</f>
        <v/>
      </c>
      <c r="B295" s="16">
        <f>IF(RAW_INPUT!A296="","",RAW_INPUT!E296)</f>
        <v/>
      </c>
      <c r="C295" s="17">
        <f>IF(RAW_INPUT!A296="","",RAW_INPUT!F296)</f>
        <v/>
      </c>
    </row>
    <row r="296">
      <c r="A296" s="15">
        <f>IF(RAW_INPUT!A297="","",RAW_INPUT!A297)</f>
        <v/>
      </c>
      <c r="B296" s="16">
        <f>IF(RAW_INPUT!A297="","",RAW_INPUT!E297)</f>
        <v/>
      </c>
      <c r="C296" s="17">
        <f>IF(RAW_INPUT!A297="","",RAW_INPUT!F297)</f>
        <v/>
      </c>
    </row>
    <row r="297">
      <c r="A297" s="15">
        <f>IF(RAW_INPUT!A298="","",RAW_INPUT!A298)</f>
        <v/>
      </c>
      <c r="B297" s="16">
        <f>IF(RAW_INPUT!A298="","",RAW_INPUT!E298)</f>
        <v/>
      </c>
      <c r="C297" s="17">
        <f>IF(RAW_INPUT!A298="","",RAW_INPUT!F298)</f>
        <v/>
      </c>
    </row>
    <row r="298">
      <c r="A298" s="15">
        <f>IF(RAW_INPUT!A299="","",RAW_INPUT!A299)</f>
        <v/>
      </c>
      <c r="B298" s="16">
        <f>IF(RAW_INPUT!A299="","",RAW_INPUT!E299)</f>
        <v/>
      </c>
      <c r="C298" s="17">
        <f>IF(RAW_INPUT!A299="","",RAW_INPUT!F299)</f>
        <v/>
      </c>
    </row>
    <row r="299">
      <c r="A299" s="15">
        <f>IF(RAW_INPUT!A300="","",RAW_INPUT!A300)</f>
        <v/>
      </c>
      <c r="B299" s="16">
        <f>IF(RAW_INPUT!A300="","",RAW_INPUT!E300)</f>
        <v/>
      </c>
      <c r="C299" s="17">
        <f>IF(RAW_INPUT!A300="","",RAW_INPUT!F300)</f>
        <v/>
      </c>
    </row>
    <row r="300">
      <c r="A300" s="15">
        <f>IF(RAW_INPUT!A301="","",RAW_INPUT!A301)</f>
        <v/>
      </c>
      <c r="B300" s="16">
        <f>IF(RAW_INPUT!A301="","",RAW_INPUT!E301)</f>
        <v/>
      </c>
      <c r="C300" s="17">
        <f>IF(RAW_INPUT!A301="","",RAW_INPUT!F301)</f>
        <v/>
      </c>
    </row>
    <row r="301">
      <c r="A301" s="15">
        <f>IF(RAW_INPUT!A302="","",RAW_INPUT!A302)</f>
        <v/>
      </c>
      <c r="B301" s="16">
        <f>IF(RAW_INPUT!A302="","",RAW_INPUT!E302)</f>
        <v/>
      </c>
      <c r="C301" s="17">
        <f>IF(RAW_INPUT!A302="","",RAW_INPUT!F302)</f>
        <v/>
      </c>
    </row>
    <row r="302">
      <c r="A302" s="15">
        <f>IF(RAW_INPUT!A303="","",RAW_INPUT!A303)</f>
        <v/>
      </c>
      <c r="B302" s="16">
        <f>IF(RAW_INPUT!A303="","",RAW_INPUT!E303)</f>
        <v/>
      </c>
      <c r="C302" s="17">
        <f>IF(RAW_INPUT!A303="","",RAW_INPUT!F303)</f>
        <v/>
      </c>
    </row>
    <row r="303">
      <c r="A303" s="15">
        <f>IF(RAW_INPUT!A304="","",RAW_INPUT!A304)</f>
        <v/>
      </c>
      <c r="B303" s="16">
        <f>IF(RAW_INPUT!A304="","",RAW_INPUT!E304)</f>
        <v/>
      </c>
      <c r="C303" s="17">
        <f>IF(RAW_INPUT!A304="","",RAW_INPUT!F304)</f>
        <v/>
      </c>
    </row>
    <row r="304">
      <c r="A304" s="15">
        <f>IF(RAW_INPUT!A305="","",RAW_INPUT!A305)</f>
        <v/>
      </c>
      <c r="B304" s="16">
        <f>IF(RAW_INPUT!A305="","",RAW_INPUT!E305)</f>
        <v/>
      </c>
      <c r="C304" s="17">
        <f>IF(RAW_INPUT!A305="","",RAW_INPUT!F305)</f>
        <v/>
      </c>
    </row>
    <row r="305">
      <c r="A305" s="15">
        <f>IF(RAW_INPUT!A306="","",RAW_INPUT!A306)</f>
        <v/>
      </c>
      <c r="B305" s="16">
        <f>IF(RAW_INPUT!A306="","",RAW_INPUT!E306)</f>
        <v/>
      </c>
      <c r="C305" s="17">
        <f>IF(RAW_INPUT!A306="","",RAW_INPUT!F306)</f>
        <v/>
      </c>
    </row>
    <row r="306">
      <c r="A306" s="15">
        <f>IF(RAW_INPUT!A307="","",RAW_INPUT!A307)</f>
        <v/>
      </c>
      <c r="B306" s="16">
        <f>IF(RAW_INPUT!A307="","",RAW_INPUT!E307)</f>
        <v/>
      </c>
      <c r="C306" s="17">
        <f>IF(RAW_INPUT!A307="","",RAW_INPUT!F307)</f>
        <v/>
      </c>
    </row>
    <row r="307">
      <c r="A307" s="15">
        <f>IF(RAW_INPUT!A308="","",RAW_INPUT!A308)</f>
        <v/>
      </c>
      <c r="B307" s="16">
        <f>IF(RAW_INPUT!A308="","",RAW_INPUT!E308)</f>
        <v/>
      </c>
      <c r="C307" s="17">
        <f>IF(RAW_INPUT!A308="","",RAW_INPUT!F308)</f>
        <v/>
      </c>
    </row>
    <row r="308">
      <c r="A308" s="15">
        <f>IF(RAW_INPUT!A309="","",RAW_INPUT!A309)</f>
        <v/>
      </c>
      <c r="B308" s="16">
        <f>IF(RAW_INPUT!A309="","",RAW_INPUT!E309)</f>
        <v/>
      </c>
      <c r="C308" s="17">
        <f>IF(RAW_INPUT!A309="","",RAW_INPUT!F309)</f>
        <v/>
      </c>
    </row>
    <row r="309">
      <c r="A309" s="15">
        <f>IF(RAW_INPUT!A310="","",RAW_INPUT!A310)</f>
        <v/>
      </c>
      <c r="B309" s="16">
        <f>IF(RAW_INPUT!A310="","",RAW_INPUT!E310)</f>
        <v/>
      </c>
      <c r="C309" s="17">
        <f>IF(RAW_INPUT!A310="","",RAW_INPUT!F310)</f>
        <v/>
      </c>
    </row>
    <row r="310">
      <c r="A310" s="15">
        <f>IF(RAW_INPUT!A311="","",RAW_INPUT!A311)</f>
        <v/>
      </c>
      <c r="B310" s="16">
        <f>IF(RAW_INPUT!A311="","",RAW_INPUT!E311)</f>
        <v/>
      </c>
      <c r="C310" s="17">
        <f>IF(RAW_INPUT!A311="","",RAW_INPUT!F311)</f>
        <v/>
      </c>
    </row>
    <row r="311">
      <c r="A311" s="15">
        <f>IF(RAW_INPUT!A312="","",RAW_INPUT!A312)</f>
        <v/>
      </c>
      <c r="B311" s="16">
        <f>IF(RAW_INPUT!A312="","",RAW_INPUT!E312)</f>
        <v/>
      </c>
      <c r="C311" s="17">
        <f>IF(RAW_INPUT!A312="","",RAW_INPUT!F312)</f>
        <v/>
      </c>
    </row>
    <row r="312">
      <c r="A312" s="15">
        <f>IF(RAW_INPUT!A313="","",RAW_INPUT!A313)</f>
        <v/>
      </c>
      <c r="B312" s="16">
        <f>IF(RAW_INPUT!A313="","",RAW_INPUT!E313)</f>
        <v/>
      </c>
      <c r="C312" s="17">
        <f>IF(RAW_INPUT!A313="","",RAW_INPUT!F313)</f>
        <v/>
      </c>
    </row>
    <row r="313">
      <c r="A313" s="15">
        <f>IF(RAW_INPUT!A314="","",RAW_INPUT!A314)</f>
        <v/>
      </c>
      <c r="B313" s="16">
        <f>IF(RAW_INPUT!A314="","",RAW_INPUT!E314)</f>
        <v/>
      </c>
      <c r="C313" s="17">
        <f>IF(RAW_INPUT!A314="","",RAW_INPUT!F314)</f>
        <v/>
      </c>
    </row>
    <row r="314">
      <c r="A314" s="15">
        <f>IF(RAW_INPUT!A315="","",RAW_INPUT!A315)</f>
        <v/>
      </c>
      <c r="B314" s="16">
        <f>IF(RAW_INPUT!A315="","",RAW_INPUT!E315)</f>
        <v/>
      </c>
      <c r="C314" s="17">
        <f>IF(RAW_INPUT!A315="","",RAW_INPUT!F315)</f>
        <v/>
      </c>
    </row>
    <row r="315">
      <c r="A315" s="15">
        <f>IF(RAW_INPUT!A316="","",RAW_INPUT!A316)</f>
        <v/>
      </c>
      <c r="B315" s="16">
        <f>IF(RAW_INPUT!A316="","",RAW_INPUT!E316)</f>
        <v/>
      </c>
      <c r="C315" s="17">
        <f>IF(RAW_INPUT!A316="","",RAW_INPUT!F316)</f>
        <v/>
      </c>
    </row>
    <row r="316">
      <c r="A316" s="15">
        <f>IF(RAW_INPUT!A317="","",RAW_INPUT!A317)</f>
        <v/>
      </c>
      <c r="B316" s="16">
        <f>IF(RAW_INPUT!A317="","",RAW_INPUT!E317)</f>
        <v/>
      </c>
      <c r="C316" s="17">
        <f>IF(RAW_INPUT!A317="","",RAW_INPUT!F317)</f>
        <v/>
      </c>
    </row>
    <row r="317">
      <c r="A317" s="15">
        <f>IF(RAW_INPUT!A318="","",RAW_INPUT!A318)</f>
        <v/>
      </c>
      <c r="B317" s="16">
        <f>IF(RAW_INPUT!A318="","",RAW_INPUT!E318)</f>
        <v/>
      </c>
      <c r="C317" s="17">
        <f>IF(RAW_INPUT!A318="","",RAW_INPUT!F318)</f>
        <v/>
      </c>
    </row>
    <row r="318">
      <c r="A318" s="15">
        <f>IF(RAW_INPUT!A319="","",RAW_INPUT!A319)</f>
        <v/>
      </c>
      <c r="B318" s="16">
        <f>IF(RAW_INPUT!A319="","",RAW_INPUT!E319)</f>
        <v/>
      </c>
      <c r="C318" s="17">
        <f>IF(RAW_INPUT!A319="","",RAW_INPUT!F319)</f>
        <v/>
      </c>
    </row>
    <row r="319">
      <c r="A319" s="15">
        <f>IF(RAW_INPUT!A320="","",RAW_INPUT!A320)</f>
        <v/>
      </c>
      <c r="B319" s="16">
        <f>IF(RAW_INPUT!A320="","",RAW_INPUT!E320)</f>
        <v/>
      </c>
      <c r="C319" s="17">
        <f>IF(RAW_INPUT!A320="","",RAW_INPUT!F320)</f>
        <v/>
      </c>
    </row>
    <row r="320">
      <c r="A320" s="15">
        <f>IF(RAW_INPUT!A321="","",RAW_INPUT!A321)</f>
        <v/>
      </c>
      <c r="B320" s="16">
        <f>IF(RAW_INPUT!A321="","",RAW_INPUT!E321)</f>
        <v/>
      </c>
      <c r="C320" s="17">
        <f>IF(RAW_INPUT!A321="","",RAW_INPUT!F321)</f>
        <v/>
      </c>
    </row>
    <row r="321">
      <c r="A321" s="15">
        <f>IF(RAW_INPUT!A322="","",RAW_INPUT!A322)</f>
        <v/>
      </c>
      <c r="B321" s="16">
        <f>IF(RAW_INPUT!A322="","",RAW_INPUT!E322)</f>
        <v/>
      </c>
      <c r="C321" s="17">
        <f>IF(RAW_INPUT!A322="","",RAW_INPUT!F322)</f>
        <v/>
      </c>
    </row>
    <row r="322">
      <c r="A322" s="15">
        <f>IF(RAW_INPUT!A323="","",RAW_INPUT!A323)</f>
        <v/>
      </c>
      <c r="B322" s="16">
        <f>IF(RAW_INPUT!A323="","",RAW_INPUT!E323)</f>
        <v/>
      </c>
      <c r="C322" s="17">
        <f>IF(RAW_INPUT!A323="","",RAW_INPUT!F323)</f>
        <v/>
      </c>
    </row>
    <row r="323">
      <c r="A323" s="15">
        <f>IF(RAW_INPUT!A324="","",RAW_INPUT!A324)</f>
        <v/>
      </c>
      <c r="B323" s="16">
        <f>IF(RAW_INPUT!A324="","",RAW_INPUT!E324)</f>
        <v/>
      </c>
      <c r="C323" s="17">
        <f>IF(RAW_INPUT!A324="","",RAW_INPUT!F324)</f>
        <v/>
      </c>
    </row>
    <row r="324">
      <c r="A324" s="15">
        <f>IF(RAW_INPUT!A325="","",RAW_INPUT!A325)</f>
        <v/>
      </c>
      <c r="B324" s="16">
        <f>IF(RAW_INPUT!A325="","",RAW_INPUT!E325)</f>
        <v/>
      </c>
      <c r="C324" s="17">
        <f>IF(RAW_INPUT!A325="","",RAW_INPUT!F325)</f>
        <v/>
      </c>
    </row>
    <row r="325">
      <c r="A325" s="15">
        <f>IF(RAW_INPUT!A326="","",RAW_INPUT!A326)</f>
        <v/>
      </c>
      <c r="B325" s="16">
        <f>IF(RAW_INPUT!A326="","",RAW_INPUT!E326)</f>
        <v/>
      </c>
      <c r="C325" s="17">
        <f>IF(RAW_INPUT!A326="","",RAW_INPUT!F326)</f>
        <v/>
      </c>
    </row>
    <row r="326">
      <c r="A326" s="15">
        <f>IF(RAW_INPUT!A327="","",RAW_INPUT!A327)</f>
        <v/>
      </c>
      <c r="B326" s="16">
        <f>IF(RAW_INPUT!A327="","",RAW_INPUT!E327)</f>
        <v/>
      </c>
      <c r="C326" s="17">
        <f>IF(RAW_INPUT!A327="","",RAW_INPUT!F327)</f>
        <v/>
      </c>
    </row>
    <row r="327">
      <c r="A327" s="15">
        <f>IF(RAW_INPUT!A328="","",RAW_INPUT!A328)</f>
        <v/>
      </c>
      <c r="B327" s="16">
        <f>IF(RAW_INPUT!A328="","",RAW_INPUT!E328)</f>
        <v/>
      </c>
      <c r="C327" s="17">
        <f>IF(RAW_INPUT!A328="","",RAW_INPUT!F328)</f>
        <v/>
      </c>
    </row>
    <row r="328">
      <c r="A328" s="15">
        <f>IF(RAW_INPUT!A329="","",RAW_INPUT!A329)</f>
        <v/>
      </c>
      <c r="B328" s="16">
        <f>IF(RAW_INPUT!A329="","",RAW_INPUT!E329)</f>
        <v/>
      </c>
      <c r="C328" s="17">
        <f>IF(RAW_INPUT!A329="","",RAW_INPUT!F329)</f>
        <v/>
      </c>
    </row>
    <row r="329">
      <c r="A329" s="15">
        <f>IF(RAW_INPUT!A330="","",RAW_INPUT!A330)</f>
        <v/>
      </c>
      <c r="B329" s="16">
        <f>IF(RAW_INPUT!A330="","",RAW_INPUT!E330)</f>
        <v/>
      </c>
      <c r="C329" s="17">
        <f>IF(RAW_INPUT!A330="","",RAW_INPUT!F330)</f>
        <v/>
      </c>
    </row>
    <row r="330">
      <c r="A330" s="15">
        <f>IF(RAW_INPUT!A331="","",RAW_INPUT!A331)</f>
        <v/>
      </c>
      <c r="B330" s="16">
        <f>IF(RAW_INPUT!A331="","",RAW_INPUT!E331)</f>
        <v/>
      </c>
      <c r="C330" s="17">
        <f>IF(RAW_INPUT!A331="","",RAW_INPUT!F331)</f>
        <v/>
      </c>
    </row>
    <row r="331">
      <c r="A331" s="15">
        <f>IF(RAW_INPUT!A332="","",RAW_INPUT!A332)</f>
        <v/>
      </c>
      <c r="B331" s="16">
        <f>IF(RAW_INPUT!A332="","",RAW_INPUT!E332)</f>
        <v/>
      </c>
      <c r="C331" s="17">
        <f>IF(RAW_INPUT!A332="","",RAW_INPUT!F332)</f>
        <v/>
      </c>
    </row>
    <row r="332">
      <c r="A332" s="15">
        <f>IF(RAW_INPUT!A333="","",RAW_INPUT!A333)</f>
        <v/>
      </c>
      <c r="B332" s="16">
        <f>IF(RAW_INPUT!A333="","",RAW_INPUT!E333)</f>
        <v/>
      </c>
      <c r="C332" s="17">
        <f>IF(RAW_INPUT!A333="","",RAW_INPUT!F333)</f>
        <v/>
      </c>
    </row>
    <row r="333">
      <c r="A333" s="15">
        <f>IF(RAW_INPUT!A334="","",RAW_INPUT!A334)</f>
        <v/>
      </c>
      <c r="B333" s="16">
        <f>IF(RAW_INPUT!A334="","",RAW_INPUT!E334)</f>
        <v/>
      </c>
      <c r="C333" s="17">
        <f>IF(RAW_INPUT!A334="","",RAW_INPUT!F334)</f>
        <v/>
      </c>
    </row>
    <row r="334">
      <c r="A334" s="15">
        <f>IF(RAW_INPUT!A335="","",RAW_INPUT!A335)</f>
        <v/>
      </c>
      <c r="B334" s="16">
        <f>IF(RAW_INPUT!A335="","",RAW_INPUT!E335)</f>
        <v/>
      </c>
      <c r="C334" s="17">
        <f>IF(RAW_INPUT!A335="","",RAW_INPUT!F335)</f>
        <v/>
      </c>
    </row>
    <row r="335">
      <c r="A335" s="15">
        <f>IF(RAW_INPUT!A336="","",RAW_INPUT!A336)</f>
        <v/>
      </c>
      <c r="B335" s="16">
        <f>IF(RAW_INPUT!A336="","",RAW_INPUT!E336)</f>
        <v/>
      </c>
      <c r="C335" s="17">
        <f>IF(RAW_INPUT!A336="","",RAW_INPUT!F336)</f>
        <v/>
      </c>
    </row>
    <row r="336">
      <c r="A336" s="15">
        <f>IF(RAW_INPUT!A337="","",RAW_INPUT!A337)</f>
        <v/>
      </c>
      <c r="B336" s="16">
        <f>IF(RAW_INPUT!A337="","",RAW_INPUT!E337)</f>
        <v/>
      </c>
      <c r="C336" s="17">
        <f>IF(RAW_INPUT!A337="","",RAW_INPUT!F337)</f>
        <v/>
      </c>
    </row>
    <row r="337">
      <c r="A337" s="15">
        <f>IF(RAW_INPUT!A338="","",RAW_INPUT!A338)</f>
        <v/>
      </c>
      <c r="B337" s="16">
        <f>IF(RAW_INPUT!A338="","",RAW_INPUT!E338)</f>
        <v/>
      </c>
      <c r="C337" s="17">
        <f>IF(RAW_INPUT!A338="","",RAW_INPUT!F338)</f>
        <v/>
      </c>
    </row>
    <row r="338">
      <c r="A338" s="15">
        <f>IF(RAW_INPUT!A339="","",RAW_INPUT!A339)</f>
        <v/>
      </c>
      <c r="B338" s="16">
        <f>IF(RAW_INPUT!A339="","",RAW_INPUT!E339)</f>
        <v/>
      </c>
      <c r="C338" s="17">
        <f>IF(RAW_INPUT!A339="","",RAW_INPUT!F339)</f>
        <v/>
      </c>
    </row>
    <row r="339">
      <c r="A339" s="15">
        <f>IF(RAW_INPUT!A340="","",RAW_INPUT!A340)</f>
        <v/>
      </c>
      <c r="B339" s="16">
        <f>IF(RAW_INPUT!A340="","",RAW_INPUT!E340)</f>
        <v/>
      </c>
      <c r="C339" s="17">
        <f>IF(RAW_INPUT!A340="","",RAW_INPUT!F340)</f>
        <v/>
      </c>
    </row>
    <row r="340">
      <c r="A340" s="15">
        <f>IF(RAW_INPUT!A341="","",RAW_INPUT!A341)</f>
        <v/>
      </c>
      <c r="B340" s="16">
        <f>IF(RAW_INPUT!A341="","",RAW_INPUT!E341)</f>
        <v/>
      </c>
      <c r="C340" s="17">
        <f>IF(RAW_INPUT!A341="","",RAW_INPUT!F341)</f>
        <v/>
      </c>
    </row>
    <row r="341">
      <c r="A341" s="15">
        <f>IF(RAW_INPUT!A342="","",RAW_INPUT!A342)</f>
        <v/>
      </c>
      <c r="B341" s="16">
        <f>IF(RAW_INPUT!A342="","",RAW_INPUT!E342)</f>
        <v/>
      </c>
      <c r="C341" s="17">
        <f>IF(RAW_INPUT!A342="","",RAW_INPUT!F342)</f>
        <v/>
      </c>
    </row>
    <row r="342">
      <c r="A342" s="15">
        <f>IF(RAW_INPUT!A343="","",RAW_INPUT!A343)</f>
        <v/>
      </c>
      <c r="B342" s="16">
        <f>IF(RAW_INPUT!A343="","",RAW_INPUT!E343)</f>
        <v/>
      </c>
      <c r="C342" s="17">
        <f>IF(RAW_INPUT!A343="","",RAW_INPUT!F343)</f>
        <v/>
      </c>
    </row>
    <row r="343">
      <c r="A343" s="15">
        <f>IF(RAW_INPUT!A344="","",RAW_INPUT!A344)</f>
        <v/>
      </c>
      <c r="B343" s="16">
        <f>IF(RAW_INPUT!A344="","",RAW_INPUT!E344)</f>
        <v/>
      </c>
      <c r="C343" s="17">
        <f>IF(RAW_INPUT!A344="","",RAW_INPUT!F344)</f>
        <v/>
      </c>
    </row>
    <row r="344">
      <c r="A344" s="15">
        <f>IF(RAW_INPUT!A345="","",RAW_INPUT!A345)</f>
        <v/>
      </c>
      <c r="B344" s="16">
        <f>IF(RAW_INPUT!A345="","",RAW_INPUT!E345)</f>
        <v/>
      </c>
      <c r="C344" s="17">
        <f>IF(RAW_INPUT!A345="","",RAW_INPUT!F345)</f>
        <v/>
      </c>
    </row>
    <row r="345">
      <c r="A345" s="15">
        <f>IF(RAW_INPUT!A346="","",RAW_INPUT!A346)</f>
        <v/>
      </c>
      <c r="B345" s="16">
        <f>IF(RAW_INPUT!A346="","",RAW_INPUT!E346)</f>
        <v/>
      </c>
      <c r="C345" s="17">
        <f>IF(RAW_INPUT!A346="","",RAW_INPUT!F346)</f>
        <v/>
      </c>
    </row>
    <row r="346">
      <c r="A346" s="15">
        <f>IF(RAW_INPUT!A347="","",RAW_INPUT!A347)</f>
        <v/>
      </c>
      <c r="B346" s="16">
        <f>IF(RAW_INPUT!A347="","",RAW_INPUT!E347)</f>
        <v/>
      </c>
      <c r="C346" s="17">
        <f>IF(RAW_INPUT!A347="","",RAW_INPUT!F347)</f>
        <v/>
      </c>
    </row>
    <row r="347">
      <c r="A347" s="15">
        <f>IF(RAW_INPUT!A348="","",RAW_INPUT!A348)</f>
        <v/>
      </c>
      <c r="B347" s="16">
        <f>IF(RAW_INPUT!A348="","",RAW_INPUT!E348)</f>
        <v/>
      </c>
      <c r="C347" s="17">
        <f>IF(RAW_INPUT!A348="","",RAW_INPUT!F348)</f>
        <v/>
      </c>
    </row>
    <row r="348">
      <c r="A348" s="15">
        <f>IF(RAW_INPUT!A349="","",RAW_INPUT!A349)</f>
        <v/>
      </c>
      <c r="B348" s="16">
        <f>IF(RAW_INPUT!A349="","",RAW_INPUT!E349)</f>
        <v/>
      </c>
      <c r="C348" s="17">
        <f>IF(RAW_INPUT!A349="","",RAW_INPUT!F349)</f>
        <v/>
      </c>
    </row>
    <row r="349">
      <c r="A349" s="15">
        <f>IF(RAW_INPUT!A350="","",RAW_INPUT!A350)</f>
        <v/>
      </c>
      <c r="B349" s="16">
        <f>IF(RAW_INPUT!A350="","",RAW_INPUT!E350)</f>
        <v/>
      </c>
      <c r="C349" s="17">
        <f>IF(RAW_INPUT!A350="","",RAW_INPUT!F350)</f>
        <v/>
      </c>
    </row>
    <row r="350">
      <c r="A350" s="15">
        <f>IF(RAW_INPUT!A351="","",RAW_INPUT!A351)</f>
        <v/>
      </c>
      <c r="B350" s="16">
        <f>IF(RAW_INPUT!A351="","",RAW_INPUT!E351)</f>
        <v/>
      </c>
      <c r="C350" s="17">
        <f>IF(RAW_INPUT!A351="","",RAW_INPUT!F351)</f>
        <v/>
      </c>
    </row>
    <row r="351">
      <c r="A351" s="15">
        <f>IF(RAW_INPUT!A352="","",RAW_INPUT!A352)</f>
        <v/>
      </c>
      <c r="B351" s="16">
        <f>IF(RAW_INPUT!A352="","",RAW_INPUT!E352)</f>
        <v/>
      </c>
      <c r="C351" s="17">
        <f>IF(RAW_INPUT!A352="","",RAW_INPUT!F352)</f>
        <v/>
      </c>
    </row>
    <row r="352">
      <c r="A352" s="15">
        <f>IF(RAW_INPUT!A353="","",RAW_INPUT!A353)</f>
        <v/>
      </c>
      <c r="B352" s="16">
        <f>IF(RAW_INPUT!A353="","",RAW_INPUT!E353)</f>
        <v/>
      </c>
      <c r="C352" s="17">
        <f>IF(RAW_INPUT!A353="","",RAW_INPUT!F353)</f>
        <v/>
      </c>
    </row>
    <row r="353">
      <c r="A353" s="15">
        <f>IF(RAW_INPUT!A354="","",RAW_INPUT!A354)</f>
        <v/>
      </c>
      <c r="B353" s="16">
        <f>IF(RAW_INPUT!A354="","",RAW_INPUT!E354)</f>
        <v/>
      </c>
      <c r="C353" s="17">
        <f>IF(RAW_INPUT!A354="","",RAW_INPUT!F354)</f>
        <v/>
      </c>
    </row>
    <row r="354">
      <c r="A354" s="15">
        <f>IF(RAW_INPUT!A355="","",RAW_INPUT!A355)</f>
        <v/>
      </c>
      <c r="B354" s="16">
        <f>IF(RAW_INPUT!A355="","",RAW_INPUT!E355)</f>
        <v/>
      </c>
      <c r="C354" s="17">
        <f>IF(RAW_INPUT!A355="","",RAW_INPUT!F355)</f>
        <v/>
      </c>
    </row>
    <row r="355">
      <c r="A355" s="15">
        <f>IF(RAW_INPUT!A356="","",RAW_INPUT!A356)</f>
        <v/>
      </c>
      <c r="B355" s="16">
        <f>IF(RAW_INPUT!A356="","",RAW_INPUT!E356)</f>
        <v/>
      </c>
      <c r="C355" s="17">
        <f>IF(RAW_INPUT!A356="","",RAW_INPUT!F356)</f>
        <v/>
      </c>
    </row>
    <row r="356">
      <c r="A356" s="15">
        <f>IF(RAW_INPUT!A357="","",RAW_INPUT!A357)</f>
        <v/>
      </c>
      <c r="B356" s="16">
        <f>IF(RAW_INPUT!A357="","",RAW_INPUT!E357)</f>
        <v/>
      </c>
      <c r="C356" s="17">
        <f>IF(RAW_INPUT!A357="","",RAW_INPUT!F357)</f>
        <v/>
      </c>
    </row>
    <row r="357">
      <c r="A357" s="15">
        <f>IF(RAW_INPUT!A358="","",RAW_INPUT!A358)</f>
        <v/>
      </c>
      <c r="B357" s="16">
        <f>IF(RAW_INPUT!A358="","",RAW_INPUT!E358)</f>
        <v/>
      </c>
      <c r="C357" s="17">
        <f>IF(RAW_INPUT!A358="","",RAW_INPUT!F358)</f>
        <v/>
      </c>
    </row>
    <row r="358">
      <c r="A358" s="15">
        <f>IF(RAW_INPUT!A359="","",RAW_INPUT!A359)</f>
        <v/>
      </c>
      <c r="B358" s="16">
        <f>IF(RAW_INPUT!A359="","",RAW_INPUT!E359)</f>
        <v/>
      </c>
      <c r="C358" s="17">
        <f>IF(RAW_INPUT!A359="","",RAW_INPUT!F359)</f>
        <v/>
      </c>
    </row>
    <row r="359">
      <c r="A359" s="15">
        <f>IF(RAW_INPUT!A360="","",RAW_INPUT!A360)</f>
        <v/>
      </c>
      <c r="B359" s="16">
        <f>IF(RAW_INPUT!A360="","",RAW_INPUT!E360)</f>
        <v/>
      </c>
      <c r="C359" s="17">
        <f>IF(RAW_INPUT!A360="","",RAW_INPUT!F360)</f>
        <v/>
      </c>
    </row>
    <row r="360">
      <c r="A360" s="15">
        <f>IF(RAW_INPUT!A361="","",RAW_INPUT!A361)</f>
        <v/>
      </c>
      <c r="B360" s="16">
        <f>IF(RAW_INPUT!A361="","",RAW_INPUT!E361)</f>
        <v/>
      </c>
      <c r="C360" s="17">
        <f>IF(RAW_INPUT!A361="","",RAW_INPUT!F361)</f>
        <v/>
      </c>
    </row>
    <row r="361">
      <c r="A361" s="15">
        <f>IF(RAW_INPUT!A362="","",RAW_INPUT!A362)</f>
        <v/>
      </c>
      <c r="B361" s="16">
        <f>IF(RAW_INPUT!A362="","",RAW_INPUT!E362)</f>
        <v/>
      </c>
      <c r="C361" s="17">
        <f>IF(RAW_INPUT!A362="","",RAW_INPUT!F362)</f>
        <v/>
      </c>
    </row>
    <row r="362">
      <c r="A362" s="15">
        <f>IF(RAW_INPUT!A363="","",RAW_INPUT!A363)</f>
        <v/>
      </c>
      <c r="B362" s="16">
        <f>IF(RAW_INPUT!A363="","",RAW_INPUT!E363)</f>
        <v/>
      </c>
      <c r="C362" s="17">
        <f>IF(RAW_INPUT!A363="","",RAW_INPUT!F363)</f>
        <v/>
      </c>
    </row>
    <row r="363">
      <c r="A363" s="15">
        <f>IF(RAW_INPUT!A364="","",RAW_INPUT!A364)</f>
        <v/>
      </c>
      <c r="B363" s="16">
        <f>IF(RAW_INPUT!A364="","",RAW_INPUT!E364)</f>
        <v/>
      </c>
      <c r="C363" s="17">
        <f>IF(RAW_INPUT!A364="","",RAW_INPUT!F364)</f>
        <v/>
      </c>
    </row>
    <row r="364">
      <c r="A364" s="15">
        <f>IF(RAW_INPUT!A365="","",RAW_INPUT!A365)</f>
        <v/>
      </c>
      <c r="B364" s="16">
        <f>IF(RAW_INPUT!A365="","",RAW_INPUT!E365)</f>
        <v/>
      </c>
      <c r="C364" s="17">
        <f>IF(RAW_INPUT!A365="","",RAW_INPUT!F365)</f>
        <v/>
      </c>
    </row>
    <row r="365">
      <c r="A365" s="15">
        <f>IF(RAW_INPUT!A366="","",RAW_INPUT!A366)</f>
        <v/>
      </c>
      <c r="B365" s="16">
        <f>IF(RAW_INPUT!A366="","",RAW_INPUT!E366)</f>
        <v/>
      </c>
      <c r="C365" s="17">
        <f>IF(RAW_INPUT!A366="","",RAW_INPUT!F366)</f>
        <v/>
      </c>
    </row>
    <row r="366">
      <c r="A366" s="15">
        <f>IF(RAW_INPUT!A367="","",RAW_INPUT!A367)</f>
        <v/>
      </c>
      <c r="B366" s="16">
        <f>IF(RAW_INPUT!A367="","",RAW_INPUT!E367)</f>
        <v/>
      </c>
      <c r="C366" s="17">
        <f>IF(RAW_INPUT!A367="","",RAW_INPUT!F367)</f>
        <v/>
      </c>
    </row>
    <row r="367">
      <c r="A367" s="15">
        <f>IF(RAW_INPUT!A368="","",RAW_INPUT!A368)</f>
        <v/>
      </c>
      <c r="B367" s="16">
        <f>IF(RAW_INPUT!A368="","",RAW_INPUT!E368)</f>
        <v/>
      </c>
      <c r="C367" s="17">
        <f>IF(RAW_INPUT!A368="","",RAW_INPUT!F368)</f>
        <v/>
      </c>
    </row>
    <row r="368">
      <c r="A368" s="15">
        <f>IF(RAW_INPUT!A369="","",RAW_INPUT!A369)</f>
        <v/>
      </c>
      <c r="B368" s="16">
        <f>IF(RAW_INPUT!A369="","",RAW_INPUT!E369)</f>
        <v/>
      </c>
      <c r="C368" s="17">
        <f>IF(RAW_INPUT!A369="","",RAW_INPUT!F369)</f>
        <v/>
      </c>
    </row>
    <row r="369">
      <c r="A369" s="15">
        <f>IF(RAW_INPUT!A370="","",RAW_INPUT!A370)</f>
        <v/>
      </c>
      <c r="B369" s="16">
        <f>IF(RAW_INPUT!A370="","",RAW_INPUT!E370)</f>
        <v/>
      </c>
      <c r="C369" s="17">
        <f>IF(RAW_INPUT!A370="","",RAW_INPUT!F370)</f>
        <v/>
      </c>
    </row>
    <row r="370">
      <c r="A370" s="15">
        <f>IF(RAW_INPUT!A371="","",RAW_INPUT!A371)</f>
        <v/>
      </c>
      <c r="B370" s="16">
        <f>IF(RAW_INPUT!A371="","",RAW_INPUT!E371)</f>
        <v/>
      </c>
      <c r="C370" s="17">
        <f>IF(RAW_INPUT!A371="","",RAW_INPUT!F371)</f>
        <v/>
      </c>
    </row>
    <row r="371">
      <c r="A371" s="15">
        <f>IF(RAW_INPUT!A372="","",RAW_INPUT!A372)</f>
        <v/>
      </c>
      <c r="B371" s="16">
        <f>IF(RAW_INPUT!A372="","",RAW_INPUT!E372)</f>
        <v/>
      </c>
      <c r="C371" s="17">
        <f>IF(RAW_INPUT!A372="","",RAW_INPUT!F372)</f>
        <v/>
      </c>
    </row>
    <row r="372">
      <c r="A372" s="15">
        <f>IF(RAW_INPUT!A373="","",RAW_INPUT!A373)</f>
        <v/>
      </c>
      <c r="B372" s="16">
        <f>IF(RAW_INPUT!A373="","",RAW_INPUT!E373)</f>
        <v/>
      </c>
      <c r="C372" s="17">
        <f>IF(RAW_INPUT!A373="","",RAW_INPUT!F373)</f>
        <v/>
      </c>
    </row>
    <row r="373">
      <c r="A373" s="15">
        <f>IF(RAW_INPUT!A374="","",RAW_INPUT!A374)</f>
        <v/>
      </c>
      <c r="B373" s="16">
        <f>IF(RAW_INPUT!A374="","",RAW_INPUT!E374)</f>
        <v/>
      </c>
      <c r="C373" s="17">
        <f>IF(RAW_INPUT!A374="","",RAW_INPUT!F374)</f>
        <v/>
      </c>
    </row>
    <row r="374">
      <c r="A374" s="15">
        <f>IF(RAW_INPUT!A375="","",RAW_INPUT!A375)</f>
        <v/>
      </c>
      <c r="B374" s="16">
        <f>IF(RAW_INPUT!A375="","",RAW_INPUT!E375)</f>
        <v/>
      </c>
      <c r="C374" s="17">
        <f>IF(RAW_INPUT!A375="","",RAW_INPUT!F375)</f>
        <v/>
      </c>
    </row>
    <row r="375">
      <c r="A375" s="15">
        <f>IF(RAW_INPUT!A376="","",RAW_INPUT!A376)</f>
        <v/>
      </c>
      <c r="B375" s="16">
        <f>IF(RAW_INPUT!A376="","",RAW_INPUT!E376)</f>
        <v/>
      </c>
      <c r="C375" s="17">
        <f>IF(RAW_INPUT!A376="","",RAW_INPUT!F376)</f>
        <v/>
      </c>
    </row>
    <row r="376">
      <c r="A376" s="15">
        <f>IF(RAW_INPUT!A377="","",RAW_INPUT!A377)</f>
        <v/>
      </c>
      <c r="B376" s="16">
        <f>IF(RAW_INPUT!A377="","",RAW_INPUT!E377)</f>
        <v/>
      </c>
      <c r="C376" s="17">
        <f>IF(RAW_INPUT!A377="","",RAW_INPUT!F377)</f>
        <v/>
      </c>
    </row>
    <row r="377">
      <c r="A377" s="15">
        <f>IF(RAW_INPUT!A378="","",RAW_INPUT!A378)</f>
        <v/>
      </c>
      <c r="B377" s="16">
        <f>IF(RAW_INPUT!A378="","",RAW_INPUT!E378)</f>
        <v/>
      </c>
      <c r="C377" s="17">
        <f>IF(RAW_INPUT!A378="","",RAW_INPUT!F378)</f>
        <v/>
      </c>
    </row>
    <row r="378">
      <c r="A378" s="15">
        <f>IF(RAW_INPUT!A379="","",RAW_INPUT!A379)</f>
        <v/>
      </c>
      <c r="B378" s="16">
        <f>IF(RAW_INPUT!A379="","",RAW_INPUT!E379)</f>
        <v/>
      </c>
      <c r="C378" s="17">
        <f>IF(RAW_INPUT!A379="","",RAW_INPUT!F379)</f>
        <v/>
      </c>
    </row>
    <row r="379">
      <c r="A379" s="15">
        <f>IF(RAW_INPUT!A380="","",RAW_INPUT!A380)</f>
        <v/>
      </c>
      <c r="B379" s="16">
        <f>IF(RAW_INPUT!A380="","",RAW_INPUT!E380)</f>
        <v/>
      </c>
      <c r="C379" s="17">
        <f>IF(RAW_INPUT!A380="","",RAW_INPUT!F380)</f>
        <v/>
      </c>
    </row>
    <row r="380">
      <c r="A380" s="15">
        <f>IF(RAW_INPUT!A381="","",RAW_INPUT!A381)</f>
        <v/>
      </c>
      <c r="B380" s="16">
        <f>IF(RAW_INPUT!A381="","",RAW_INPUT!E381)</f>
        <v/>
      </c>
      <c r="C380" s="17">
        <f>IF(RAW_INPUT!A381="","",RAW_INPUT!F381)</f>
        <v/>
      </c>
    </row>
    <row r="381">
      <c r="A381" s="15">
        <f>IF(RAW_INPUT!A382="","",RAW_INPUT!A382)</f>
        <v/>
      </c>
      <c r="B381" s="16">
        <f>IF(RAW_INPUT!A382="","",RAW_INPUT!E382)</f>
        <v/>
      </c>
      <c r="C381" s="17">
        <f>IF(RAW_INPUT!A382="","",RAW_INPUT!F382)</f>
        <v/>
      </c>
    </row>
    <row r="382">
      <c r="A382" s="15">
        <f>IF(RAW_INPUT!A383="","",RAW_INPUT!A383)</f>
        <v/>
      </c>
      <c r="B382" s="16">
        <f>IF(RAW_INPUT!A383="","",RAW_INPUT!E383)</f>
        <v/>
      </c>
      <c r="C382" s="17">
        <f>IF(RAW_INPUT!A383="","",RAW_INPUT!F383)</f>
        <v/>
      </c>
    </row>
    <row r="383">
      <c r="A383" s="15">
        <f>IF(RAW_INPUT!A384="","",RAW_INPUT!A384)</f>
        <v/>
      </c>
      <c r="B383" s="16">
        <f>IF(RAW_INPUT!A384="","",RAW_INPUT!E384)</f>
        <v/>
      </c>
      <c r="C383" s="17">
        <f>IF(RAW_INPUT!A384="","",RAW_INPUT!F384)</f>
        <v/>
      </c>
    </row>
    <row r="384">
      <c r="A384" s="15">
        <f>IF(RAW_INPUT!A385="","",RAW_INPUT!A385)</f>
        <v/>
      </c>
      <c r="B384" s="16">
        <f>IF(RAW_INPUT!A385="","",RAW_INPUT!E385)</f>
        <v/>
      </c>
      <c r="C384" s="17">
        <f>IF(RAW_INPUT!A385="","",RAW_INPUT!F385)</f>
        <v/>
      </c>
    </row>
    <row r="385">
      <c r="A385" s="15">
        <f>IF(RAW_INPUT!A386="","",RAW_INPUT!A386)</f>
        <v/>
      </c>
      <c r="B385" s="16">
        <f>IF(RAW_INPUT!A386="","",RAW_INPUT!E386)</f>
        <v/>
      </c>
      <c r="C385" s="17">
        <f>IF(RAW_INPUT!A386="","",RAW_INPUT!F386)</f>
        <v/>
      </c>
    </row>
    <row r="386">
      <c r="A386" s="15">
        <f>IF(RAW_INPUT!A387="","",RAW_INPUT!A387)</f>
        <v/>
      </c>
      <c r="B386" s="16">
        <f>IF(RAW_INPUT!A387="","",RAW_INPUT!E387)</f>
        <v/>
      </c>
      <c r="C386" s="17">
        <f>IF(RAW_INPUT!A387="","",RAW_INPUT!F387)</f>
        <v/>
      </c>
    </row>
    <row r="387">
      <c r="A387" s="15">
        <f>IF(RAW_INPUT!A388="","",RAW_INPUT!A388)</f>
        <v/>
      </c>
      <c r="B387" s="16">
        <f>IF(RAW_INPUT!A388="","",RAW_INPUT!E388)</f>
        <v/>
      </c>
      <c r="C387" s="17">
        <f>IF(RAW_INPUT!A388="","",RAW_INPUT!F388)</f>
        <v/>
      </c>
    </row>
    <row r="388">
      <c r="A388" s="15">
        <f>IF(RAW_INPUT!A389="","",RAW_INPUT!A389)</f>
        <v/>
      </c>
      <c r="B388" s="16">
        <f>IF(RAW_INPUT!A389="","",RAW_INPUT!E389)</f>
        <v/>
      </c>
      <c r="C388" s="17">
        <f>IF(RAW_INPUT!A389="","",RAW_INPUT!F389)</f>
        <v/>
      </c>
    </row>
    <row r="389">
      <c r="A389" s="15">
        <f>IF(RAW_INPUT!A390="","",RAW_INPUT!A390)</f>
        <v/>
      </c>
      <c r="B389" s="16">
        <f>IF(RAW_INPUT!A390="","",RAW_INPUT!E390)</f>
        <v/>
      </c>
      <c r="C389" s="17">
        <f>IF(RAW_INPUT!A390="","",RAW_INPUT!F390)</f>
        <v/>
      </c>
    </row>
    <row r="390">
      <c r="A390" s="15">
        <f>IF(RAW_INPUT!A391="","",RAW_INPUT!A391)</f>
        <v/>
      </c>
      <c r="B390" s="16">
        <f>IF(RAW_INPUT!A391="","",RAW_INPUT!E391)</f>
        <v/>
      </c>
      <c r="C390" s="17">
        <f>IF(RAW_INPUT!A391="","",RAW_INPUT!F391)</f>
        <v/>
      </c>
    </row>
    <row r="391">
      <c r="A391" s="15">
        <f>IF(RAW_INPUT!A392="","",RAW_INPUT!A392)</f>
        <v/>
      </c>
      <c r="B391" s="16">
        <f>IF(RAW_INPUT!A392="","",RAW_INPUT!E392)</f>
        <v/>
      </c>
      <c r="C391" s="17">
        <f>IF(RAW_INPUT!A392="","",RAW_INPUT!F392)</f>
        <v/>
      </c>
    </row>
    <row r="392">
      <c r="A392" s="15">
        <f>IF(RAW_INPUT!A393="","",RAW_INPUT!A393)</f>
        <v/>
      </c>
      <c r="B392" s="16">
        <f>IF(RAW_INPUT!A393="","",RAW_INPUT!E393)</f>
        <v/>
      </c>
      <c r="C392" s="17">
        <f>IF(RAW_INPUT!A393="","",RAW_INPUT!F393)</f>
        <v/>
      </c>
    </row>
    <row r="393">
      <c r="A393" s="15">
        <f>IF(RAW_INPUT!A394="","",RAW_INPUT!A394)</f>
        <v/>
      </c>
      <c r="B393" s="16">
        <f>IF(RAW_INPUT!A394="","",RAW_INPUT!E394)</f>
        <v/>
      </c>
      <c r="C393" s="17">
        <f>IF(RAW_INPUT!A394="","",RAW_INPUT!F394)</f>
        <v/>
      </c>
    </row>
    <row r="394">
      <c r="A394" s="15">
        <f>IF(RAW_INPUT!A395="","",RAW_INPUT!A395)</f>
        <v/>
      </c>
      <c r="B394" s="16">
        <f>IF(RAW_INPUT!A395="","",RAW_INPUT!E395)</f>
        <v/>
      </c>
      <c r="C394" s="17">
        <f>IF(RAW_INPUT!A395="","",RAW_INPUT!F395)</f>
        <v/>
      </c>
    </row>
    <row r="395">
      <c r="A395" s="15">
        <f>IF(RAW_INPUT!A396="","",RAW_INPUT!A396)</f>
        <v/>
      </c>
      <c r="B395" s="16">
        <f>IF(RAW_INPUT!A396="","",RAW_INPUT!E396)</f>
        <v/>
      </c>
      <c r="C395" s="17">
        <f>IF(RAW_INPUT!A396="","",RAW_INPUT!F396)</f>
        <v/>
      </c>
    </row>
    <row r="396">
      <c r="A396" s="15">
        <f>IF(RAW_INPUT!A397="","",RAW_INPUT!A397)</f>
        <v/>
      </c>
      <c r="B396" s="16">
        <f>IF(RAW_INPUT!A397="","",RAW_INPUT!E397)</f>
        <v/>
      </c>
      <c r="C396" s="17">
        <f>IF(RAW_INPUT!A397="","",RAW_INPUT!F397)</f>
        <v/>
      </c>
    </row>
    <row r="397">
      <c r="A397" s="15">
        <f>IF(RAW_INPUT!A398="","",RAW_INPUT!A398)</f>
        <v/>
      </c>
      <c r="B397" s="16">
        <f>IF(RAW_INPUT!A398="","",RAW_INPUT!E398)</f>
        <v/>
      </c>
      <c r="C397" s="17">
        <f>IF(RAW_INPUT!A398="","",RAW_INPUT!F398)</f>
        <v/>
      </c>
    </row>
    <row r="398">
      <c r="A398" s="15">
        <f>IF(RAW_INPUT!A399="","",RAW_INPUT!A399)</f>
        <v/>
      </c>
      <c r="B398" s="16">
        <f>IF(RAW_INPUT!A399="","",RAW_INPUT!E399)</f>
        <v/>
      </c>
      <c r="C398" s="17">
        <f>IF(RAW_INPUT!A399="","",RAW_INPUT!F399)</f>
        <v/>
      </c>
    </row>
    <row r="399">
      <c r="A399" s="15">
        <f>IF(RAW_INPUT!A400="","",RAW_INPUT!A400)</f>
        <v/>
      </c>
      <c r="B399" s="16">
        <f>IF(RAW_INPUT!A400="","",RAW_INPUT!E400)</f>
        <v/>
      </c>
      <c r="C399" s="17">
        <f>IF(RAW_INPUT!A400="","",RAW_INPUT!F400)</f>
        <v/>
      </c>
    </row>
    <row r="400">
      <c r="A400" s="15">
        <f>IF(RAW_INPUT!A401="","",RAW_INPUT!A401)</f>
        <v/>
      </c>
      <c r="B400" s="16">
        <f>IF(RAW_INPUT!A401="","",RAW_INPUT!E401)</f>
        <v/>
      </c>
      <c r="C400" s="17">
        <f>IF(RAW_INPUT!A401="","",RAW_INPUT!F401)</f>
        <v/>
      </c>
    </row>
    <row r="401">
      <c r="A401" s="15">
        <f>IF(RAW_INPUT!A402="","",RAW_INPUT!A402)</f>
        <v/>
      </c>
      <c r="B401" s="16">
        <f>IF(RAW_INPUT!A402="","",RAW_INPUT!E402)</f>
        <v/>
      </c>
      <c r="C401" s="17">
        <f>IF(RAW_INPUT!A402="","",RAW_INPUT!F402)</f>
        <v/>
      </c>
    </row>
    <row r="402">
      <c r="A402" s="15">
        <f>IF(RAW_INPUT!A403="","",RAW_INPUT!A403)</f>
        <v/>
      </c>
      <c r="B402" s="16">
        <f>IF(RAW_INPUT!A403="","",RAW_INPUT!E403)</f>
        <v/>
      </c>
      <c r="C402" s="17">
        <f>IF(RAW_INPUT!A403="","",RAW_INPUT!F403)</f>
        <v/>
      </c>
    </row>
    <row r="403">
      <c r="A403" s="15">
        <f>IF(RAW_INPUT!A404="","",RAW_INPUT!A404)</f>
        <v/>
      </c>
      <c r="B403" s="16">
        <f>IF(RAW_INPUT!A404="","",RAW_INPUT!E404)</f>
        <v/>
      </c>
      <c r="C403" s="17">
        <f>IF(RAW_INPUT!A404="","",RAW_INPUT!F404)</f>
        <v/>
      </c>
    </row>
    <row r="404">
      <c r="A404" s="15">
        <f>IF(RAW_INPUT!A405="","",RAW_INPUT!A405)</f>
        <v/>
      </c>
      <c r="B404" s="16">
        <f>IF(RAW_INPUT!A405="","",RAW_INPUT!E405)</f>
        <v/>
      </c>
      <c r="C404" s="17">
        <f>IF(RAW_INPUT!A405="","",RAW_INPUT!F405)</f>
        <v/>
      </c>
    </row>
    <row r="405">
      <c r="A405" s="15">
        <f>IF(RAW_INPUT!A406="","",RAW_INPUT!A406)</f>
        <v/>
      </c>
      <c r="B405" s="16">
        <f>IF(RAW_INPUT!A406="","",RAW_INPUT!E406)</f>
        <v/>
      </c>
      <c r="C405" s="17">
        <f>IF(RAW_INPUT!A406="","",RAW_INPUT!F406)</f>
        <v/>
      </c>
    </row>
    <row r="406">
      <c r="A406" s="15">
        <f>IF(RAW_INPUT!A407="","",RAW_INPUT!A407)</f>
        <v/>
      </c>
      <c r="B406" s="16">
        <f>IF(RAW_INPUT!A407="","",RAW_INPUT!E407)</f>
        <v/>
      </c>
      <c r="C406" s="17">
        <f>IF(RAW_INPUT!A407="","",RAW_INPUT!F407)</f>
        <v/>
      </c>
    </row>
    <row r="407">
      <c r="A407" s="15">
        <f>IF(RAW_INPUT!A408="","",RAW_INPUT!A408)</f>
        <v/>
      </c>
      <c r="B407" s="16">
        <f>IF(RAW_INPUT!A408="","",RAW_INPUT!E408)</f>
        <v/>
      </c>
      <c r="C407" s="17">
        <f>IF(RAW_INPUT!A408="","",RAW_INPUT!F408)</f>
        <v/>
      </c>
    </row>
    <row r="408">
      <c r="A408" s="15">
        <f>IF(RAW_INPUT!A409="","",RAW_INPUT!A409)</f>
        <v/>
      </c>
      <c r="B408" s="16">
        <f>IF(RAW_INPUT!A409="","",RAW_INPUT!E409)</f>
        <v/>
      </c>
      <c r="C408" s="17">
        <f>IF(RAW_INPUT!A409="","",RAW_INPUT!F409)</f>
        <v/>
      </c>
    </row>
    <row r="409">
      <c r="A409" s="15">
        <f>IF(RAW_INPUT!A410="","",RAW_INPUT!A410)</f>
        <v/>
      </c>
      <c r="B409" s="16">
        <f>IF(RAW_INPUT!A410="","",RAW_INPUT!E410)</f>
        <v/>
      </c>
      <c r="C409" s="17">
        <f>IF(RAW_INPUT!A410="","",RAW_INPUT!F410)</f>
        <v/>
      </c>
    </row>
    <row r="410">
      <c r="A410" s="15">
        <f>IF(RAW_INPUT!A411="","",RAW_INPUT!A411)</f>
        <v/>
      </c>
      <c r="B410" s="16">
        <f>IF(RAW_INPUT!A411="","",RAW_INPUT!E411)</f>
        <v/>
      </c>
      <c r="C410" s="17">
        <f>IF(RAW_INPUT!A411="","",RAW_INPUT!F411)</f>
        <v/>
      </c>
    </row>
    <row r="411">
      <c r="A411" s="15">
        <f>IF(RAW_INPUT!A412="","",RAW_INPUT!A412)</f>
        <v/>
      </c>
      <c r="B411" s="16">
        <f>IF(RAW_INPUT!A412="","",RAW_INPUT!E412)</f>
        <v/>
      </c>
      <c r="C411" s="17">
        <f>IF(RAW_INPUT!A412="","",RAW_INPUT!F412)</f>
        <v/>
      </c>
    </row>
    <row r="412">
      <c r="A412" s="15">
        <f>IF(RAW_INPUT!A413="","",RAW_INPUT!A413)</f>
        <v/>
      </c>
      <c r="B412" s="16">
        <f>IF(RAW_INPUT!A413="","",RAW_INPUT!E413)</f>
        <v/>
      </c>
      <c r="C412" s="17">
        <f>IF(RAW_INPUT!A413="","",RAW_INPUT!F413)</f>
        <v/>
      </c>
    </row>
    <row r="413">
      <c r="A413" s="15">
        <f>IF(RAW_INPUT!A414="","",RAW_INPUT!A414)</f>
        <v/>
      </c>
      <c r="B413" s="16">
        <f>IF(RAW_INPUT!A414="","",RAW_INPUT!E414)</f>
        <v/>
      </c>
      <c r="C413" s="17">
        <f>IF(RAW_INPUT!A414="","",RAW_INPUT!F414)</f>
        <v/>
      </c>
    </row>
    <row r="414">
      <c r="A414" s="15">
        <f>IF(RAW_INPUT!A415="","",RAW_INPUT!A415)</f>
        <v/>
      </c>
      <c r="B414" s="16">
        <f>IF(RAW_INPUT!A415="","",RAW_INPUT!E415)</f>
        <v/>
      </c>
      <c r="C414" s="17">
        <f>IF(RAW_INPUT!A415="","",RAW_INPUT!F415)</f>
        <v/>
      </c>
    </row>
    <row r="415">
      <c r="A415" s="15">
        <f>IF(RAW_INPUT!A416="","",RAW_INPUT!A416)</f>
        <v/>
      </c>
      <c r="B415" s="16">
        <f>IF(RAW_INPUT!A416="","",RAW_INPUT!E416)</f>
        <v/>
      </c>
      <c r="C415" s="17">
        <f>IF(RAW_INPUT!A416="","",RAW_INPUT!F416)</f>
        <v/>
      </c>
    </row>
    <row r="416">
      <c r="A416" s="15">
        <f>IF(RAW_INPUT!A417="","",RAW_INPUT!A417)</f>
        <v/>
      </c>
      <c r="B416" s="16">
        <f>IF(RAW_INPUT!A417="","",RAW_INPUT!E417)</f>
        <v/>
      </c>
      <c r="C416" s="17">
        <f>IF(RAW_INPUT!A417="","",RAW_INPUT!F417)</f>
        <v/>
      </c>
    </row>
    <row r="417">
      <c r="A417" s="15">
        <f>IF(RAW_INPUT!A418="","",RAW_INPUT!A418)</f>
        <v/>
      </c>
      <c r="B417" s="16">
        <f>IF(RAW_INPUT!A418="","",RAW_INPUT!E418)</f>
        <v/>
      </c>
      <c r="C417" s="17">
        <f>IF(RAW_INPUT!A418="","",RAW_INPUT!F418)</f>
        <v/>
      </c>
    </row>
    <row r="418">
      <c r="A418" s="15">
        <f>IF(RAW_INPUT!A419="","",RAW_INPUT!A419)</f>
        <v/>
      </c>
      <c r="B418" s="16">
        <f>IF(RAW_INPUT!A419="","",RAW_INPUT!E419)</f>
        <v/>
      </c>
      <c r="C418" s="17">
        <f>IF(RAW_INPUT!A419="","",RAW_INPUT!F419)</f>
        <v/>
      </c>
    </row>
    <row r="419">
      <c r="A419" s="15">
        <f>IF(RAW_INPUT!A420="","",RAW_INPUT!A420)</f>
        <v/>
      </c>
      <c r="B419" s="16">
        <f>IF(RAW_INPUT!A420="","",RAW_INPUT!E420)</f>
        <v/>
      </c>
      <c r="C419" s="17">
        <f>IF(RAW_INPUT!A420="","",RAW_INPUT!F420)</f>
        <v/>
      </c>
    </row>
    <row r="420">
      <c r="A420" s="15">
        <f>IF(RAW_INPUT!A421="","",RAW_INPUT!A421)</f>
        <v/>
      </c>
      <c r="B420" s="16">
        <f>IF(RAW_INPUT!A421="","",RAW_INPUT!E421)</f>
        <v/>
      </c>
      <c r="C420" s="17">
        <f>IF(RAW_INPUT!A421="","",RAW_INPUT!F421)</f>
        <v/>
      </c>
    </row>
    <row r="421">
      <c r="A421" s="15">
        <f>IF(RAW_INPUT!A422="","",RAW_INPUT!A422)</f>
        <v/>
      </c>
      <c r="B421" s="16">
        <f>IF(RAW_INPUT!A422="","",RAW_INPUT!E422)</f>
        <v/>
      </c>
      <c r="C421" s="17">
        <f>IF(RAW_INPUT!A422="","",RAW_INPUT!F422)</f>
        <v/>
      </c>
    </row>
    <row r="422">
      <c r="A422" s="15">
        <f>IF(RAW_INPUT!A423="","",RAW_INPUT!A423)</f>
        <v/>
      </c>
      <c r="B422" s="16">
        <f>IF(RAW_INPUT!A423="","",RAW_INPUT!E423)</f>
        <v/>
      </c>
      <c r="C422" s="17">
        <f>IF(RAW_INPUT!A423="","",RAW_INPUT!F423)</f>
        <v/>
      </c>
    </row>
    <row r="423">
      <c r="A423" s="15">
        <f>IF(RAW_INPUT!A424="","",RAW_INPUT!A424)</f>
        <v/>
      </c>
      <c r="B423" s="16">
        <f>IF(RAW_INPUT!A424="","",RAW_INPUT!E424)</f>
        <v/>
      </c>
      <c r="C423" s="17">
        <f>IF(RAW_INPUT!A424="","",RAW_INPUT!F424)</f>
        <v/>
      </c>
    </row>
    <row r="424">
      <c r="A424" s="15">
        <f>IF(RAW_INPUT!A425="","",RAW_INPUT!A425)</f>
        <v/>
      </c>
      <c r="B424" s="16">
        <f>IF(RAW_INPUT!A425="","",RAW_INPUT!E425)</f>
        <v/>
      </c>
      <c r="C424" s="17">
        <f>IF(RAW_INPUT!A425="","",RAW_INPUT!F425)</f>
        <v/>
      </c>
    </row>
    <row r="425">
      <c r="A425" s="15">
        <f>IF(RAW_INPUT!A426="","",RAW_INPUT!A426)</f>
        <v/>
      </c>
      <c r="B425" s="16">
        <f>IF(RAW_INPUT!A426="","",RAW_INPUT!E426)</f>
        <v/>
      </c>
      <c r="C425" s="17">
        <f>IF(RAW_INPUT!A426="","",RAW_INPUT!F426)</f>
        <v/>
      </c>
    </row>
    <row r="426">
      <c r="A426" s="15">
        <f>IF(RAW_INPUT!A427="","",RAW_INPUT!A427)</f>
        <v/>
      </c>
      <c r="B426" s="16">
        <f>IF(RAW_INPUT!A427="","",RAW_INPUT!E427)</f>
        <v/>
      </c>
      <c r="C426" s="17">
        <f>IF(RAW_INPUT!A427="","",RAW_INPUT!F427)</f>
        <v/>
      </c>
    </row>
    <row r="427">
      <c r="A427" s="15">
        <f>IF(RAW_INPUT!A428="","",RAW_INPUT!A428)</f>
        <v/>
      </c>
      <c r="B427" s="16">
        <f>IF(RAW_INPUT!A428="","",RAW_INPUT!E428)</f>
        <v/>
      </c>
      <c r="C427" s="17">
        <f>IF(RAW_INPUT!A428="","",RAW_INPUT!F428)</f>
        <v/>
      </c>
    </row>
    <row r="428">
      <c r="A428" s="15">
        <f>IF(RAW_INPUT!A429="","",RAW_INPUT!A429)</f>
        <v/>
      </c>
      <c r="B428" s="16">
        <f>IF(RAW_INPUT!A429="","",RAW_INPUT!E429)</f>
        <v/>
      </c>
      <c r="C428" s="17">
        <f>IF(RAW_INPUT!A429="","",RAW_INPUT!F429)</f>
        <v/>
      </c>
    </row>
    <row r="429">
      <c r="A429" s="15">
        <f>IF(RAW_INPUT!A430="","",RAW_INPUT!A430)</f>
        <v/>
      </c>
      <c r="B429" s="16">
        <f>IF(RAW_INPUT!A430="","",RAW_INPUT!E430)</f>
        <v/>
      </c>
      <c r="C429" s="17">
        <f>IF(RAW_INPUT!A430="","",RAW_INPUT!F430)</f>
        <v/>
      </c>
    </row>
    <row r="430">
      <c r="A430" s="15">
        <f>IF(RAW_INPUT!A431="","",RAW_INPUT!A431)</f>
        <v/>
      </c>
      <c r="B430" s="16">
        <f>IF(RAW_INPUT!A431="","",RAW_INPUT!E431)</f>
        <v/>
      </c>
      <c r="C430" s="17">
        <f>IF(RAW_INPUT!A431="","",RAW_INPUT!F431)</f>
        <v/>
      </c>
    </row>
    <row r="431">
      <c r="A431" s="15">
        <f>IF(RAW_INPUT!A432="","",RAW_INPUT!A432)</f>
        <v/>
      </c>
      <c r="B431" s="16">
        <f>IF(RAW_INPUT!A432="","",RAW_INPUT!E432)</f>
        <v/>
      </c>
      <c r="C431" s="17">
        <f>IF(RAW_INPUT!A432="","",RAW_INPUT!F432)</f>
        <v/>
      </c>
    </row>
    <row r="432">
      <c r="A432" s="15">
        <f>IF(RAW_INPUT!A433="","",RAW_INPUT!A433)</f>
        <v/>
      </c>
      <c r="B432" s="16">
        <f>IF(RAW_INPUT!A433="","",RAW_INPUT!E433)</f>
        <v/>
      </c>
      <c r="C432" s="17">
        <f>IF(RAW_INPUT!A433="","",RAW_INPUT!F433)</f>
        <v/>
      </c>
    </row>
    <row r="433">
      <c r="A433" s="15">
        <f>IF(RAW_INPUT!A434="","",RAW_INPUT!A434)</f>
        <v/>
      </c>
      <c r="B433" s="16">
        <f>IF(RAW_INPUT!A434="","",RAW_INPUT!E434)</f>
        <v/>
      </c>
      <c r="C433" s="17">
        <f>IF(RAW_INPUT!A434="","",RAW_INPUT!F434)</f>
        <v/>
      </c>
    </row>
    <row r="434">
      <c r="A434" s="15">
        <f>IF(RAW_INPUT!A435="","",RAW_INPUT!A435)</f>
        <v/>
      </c>
      <c r="B434" s="16">
        <f>IF(RAW_INPUT!A435="","",RAW_INPUT!E435)</f>
        <v/>
      </c>
      <c r="C434" s="17">
        <f>IF(RAW_INPUT!A435="","",RAW_INPUT!F435)</f>
        <v/>
      </c>
    </row>
    <row r="435">
      <c r="A435" s="15">
        <f>IF(RAW_INPUT!A436="","",RAW_INPUT!A436)</f>
        <v/>
      </c>
      <c r="B435" s="16">
        <f>IF(RAW_INPUT!A436="","",RAW_INPUT!E436)</f>
        <v/>
      </c>
      <c r="C435" s="17">
        <f>IF(RAW_INPUT!A436="","",RAW_INPUT!F436)</f>
        <v/>
      </c>
    </row>
    <row r="436">
      <c r="A436" s="15">
        <f>IF(RAW_INPUT!A437="","",RAW_INPUT!A437)</f>
        <v/>
      </c>
      <c r="B436" s="16">
        <f>IF(RAW_INPUT!A437="","",RAW_INPUT!E437)</f>
        <v/>
      </c>
      <c r="C436" s="17">
        <f>IF(RAW_INPUT!A437="","",RAW_INPUT!F437)</f>
        <v/>
      </c>
    </row>
    <row r="437">
      <c r="A437" s="15">
        <f>IF(RAW_INPUT!A438="","",RAW_INPUT!A438)</f>
        <v/>
      </c>
      <c r="B437" s="16">
        <f>IF(RAW_INPUT!A438="","",RAW_INPUT!E438)</f>
        <v/>
      </c>
      <c r="C437" s="17">
        <f>IF(RAW_INPUT!A438="","",RAW_INPUT!F438)</f>
        <v/>
      </c>
    </row>
    <row r="438">
      <c r="A438" s="15">
        <f>IF(RAW_INPUT!A439="","",RAW_INPUT!A439)</f>
        <v/>
      </c>
      <c r="B438" s="16">
        <f>IF(RAW_INPUT!A439="","",RAW_INPUT!E439)</f>
        <v/>
      </c>
      <c r="C438" s="17">
        <f>IF(RAW_INPUT!A439="","",RAW_INPUT!F439)</f>
        <v/>
      </c>
    </row>
    <row r="439">
      <c r="A439" s="15">
        <f>IF(RAW_INPUT!A440="","",RAW_INPUT!A440)</f>
        <v/>
      </c>
      <c r="B439" s="16">
        <f>IF(RAW_INPUT!A440="","",RAW_INPUT!E440)</f>
        <v/>
      </c>
      <c r="C439" s="17">
        <f>IF(RAW_INPUT!A440="","",RAW_INPUT!F440)</f>
        <v/>
      </c>
    </row>
    <row r="440">
      <c r="A440" s="15">
        <f>IF(RAW_INPUT!A441="","",RAW_INPUT!A441)</f>
        <v/>
      </c>
      <c r="B440" s="16">
        <f>IF(RAW_INPUT!A441="","",RAW_INPUT!E441)</f>
        <v/>
      </c>
      <c r="C440" s="17">
        <f>IF(RAW_INPUT!A441="","",RAW_INPUT!F441)</f>
        <v/>
      </c>
    </row>
    <row r="441">
      <c r="A441" s="15">
        <f>IF(RAW_INPUT!A442="","",RAW_INPUT!A442)</f>
        <v/>
      </c>
      <c r="B441" s="16">
        <f>IF(RAW_INPUT!A442="","",RAW_INPUT!E442)</f>
        <v/>
      </c>
      <c r="C441" s="17">
        <f>IF(RAW_INPUT!A442="","",RAW_INPUT!F442)</f>
        <v/>
      </c>
    </row>
    <row r="442">
      <c r="A442" s="15">
        <f>IF(RAW_INPUT!A443="","",RAW_INPUT!A443)</f>
        <v/>
      </c>
      <c r="B442" s="16">
        <f>IF(RAW_INPUT!A443="","",RAW_INPUT!E443)</f>
        <v/>
      </c>
      <c r="C442" s="17">
        <f>IF(RAW_INPUT!A443="","",RAW_INPUT!F443)</f>
        <v/>
      </c>
    </row>
    <row r="443">
      <c r="A443" s="15">
        <f>IF(RAW_INPUT!A444="","",RAW_INPUT!A444)</f>
        <v/>
      </c>
      <c r="B443" s="16">
        <f>IF(RAW_INPUT!A444="","",RAW_INPUT!E444)</f>
        <v/>
      </c>
      <c r="C443" s="17">
        <f>IF(RAW_INPUT!A444="","",RAW_INPUT!F444)</f>
        <v/>
      </c>
    </row>
    <row r="444">
      <c r="A444" s="15">
        <f>IF(RAW_INPUT!A445="","",RAW_INPUT!A445)</f>
        <v/>
      </c>
      <c r="B444" s="16">
        <f>IF(RAW_INPUT!A445="","",RAW_INPUT!E445)</f>
        <v/>
      </c>
      <c r="C444" s="17">
        <f>IF(RAW_INPUT!A445="","",RAW_INPUT!F445)</f>
        <v/>
      </c>
    </row>
    <row r="445">
      <c r="A445">
        <f>IF(RAW_INPUT!A446="","",RAW_INPUT!A446)</f>
        <v/>
      </c>
      <c r="B445">
        <f>IF(RAW_INPUT!A446="","",RAW_INPUT!E446)</f>
        <v/>
      </c>
      <c r="C445">
        <f>IF(RAW_INPUT!A446="","",RAW_INPUT!F446)</f>
        <v/>
      </c>
    </row>
    <row r="446">
      <c r="A446">
        <f>IF(RAW_INPUT!A447="","",RAW_INPUT!A447)</f>
        <v/>
      </c>
      <c r="B446">
        <f>IF(RAW_INPUT!A447="","",RAW_INPUT!E447)</f>
        <v/>
      </c>
      <c r="C446">
        <f>IF(RAW_INPUT!A447="","",RAW_INPUT!F447)</f>
        <v/>
      </c>
    </row>
    <row r="447">
      <c r="A447">
        <f>IF(RAW_INPUT!A448="","",RAW_INPUT!A448)</f>
        <v/>
      </c>
      <c r="B447">
        <f>IF(RAW_INPUT!A448="","",RAW_INPUT!E448)</f>
        <v/>
      </c>
      <c r="C447">
        <f>IF(RAW_INPUT!A448="","",RAW_INPUT!F448)</f>
        <v/>
      </c>
    </row>
    <row r="448">
      <c r="A448">
        <f>IF(RAW_INPUT!A449="","",RAW_INPUT!A449)</f>
        <v/>
      </c>
      <c r="B448">
        <f>IF(RAW_INPUT!A449="","",RAW_INPUT!E449)</f>
        <v/>
      </c>
      <c r="C448">
        <f>IF(RAW_INPUT!A449="","",RAW_INPUT!F449)</f>
        <v/>
      </c>
    </row>
    <row r="449">
      <c r="A449">
        <f>IF(RAW_INPUT!A450="","",RAW_INPUT!A450)</f>
        <v/>
      </c>
      <c r="B449">
        <f>IF(RAW_INPUT!A450="","",RAW_INPUT!E450)</f>
        <v/>
      </c>
      <c r="C449">
        <f>IF(RAW_INPUT!A450="","",RAW_INPUT!F450)</f>
        <v/>
      </c>
    </row>
    <row r="450">
      <c r="A450">
        <f>IF(RAW_INPUT!A451="","",RAW_INPUT!A451)</f>
        <v/>
      </c>
      <c r="B450">
        <f>IF(RAW_INPUT!A451="","",RAW_INPUT!E451)</f>
        <v/>
      </c>
      <c r="C450">
        <f>IF(RAW_INPUT!A451="","",RAW_INPUT!F451)</f>
        <v/>
      </c>
    </row>
    <row r="451">
      <c r="A451">
        <f>IF(RAW_INPUT!A452="","",RAW_INPUT!A452)</f>
        <v/>
      </c>
      <c r="B451">
        <f>IF(RAW_INPUT!A452="","",RAW_INPUT!E452)</f>
        <v/>
      </c>
      <c r="C451">
        <f>IF(RAW_INPUT!A452="","",RAW_INPUT!F452)</f>
        <v/>
      </c>
    </row>
    <row r="452">
      <c r="A452">
        <f>IF(RAW_INPUT!A453="","",RAW_INPUT!A453)</f>
        <v/>
      </c>
      <c r="B452">
        <f>IF(RAW_INPUT!A453="","",RAW_INPUT!E453)</f>
        <v/>
      </c>
      <c r="C452">
        <f>IF(RAW_INPUT!A453="","",RAW_INPUT!F453)</f>
        <v/>
      </c>
    </row>
    <row r="453">
      <c r="A453">
        <f>IF(RAW_INPUT!A454="","",RAW_INPUT!A454)</f>
        <v/>
      </c>
      <c r="B453">
        <f>IF(RAW_INPUT!A454="","",RAW_INPUT!E454)</f>
        <v/>
      </c>
      <c r="C453">
        <f>IF(RAW_INPUT!A454="","",RAW_INPUT!F454)</f>
        <v/>
      </c>
    </row>
    <row r="454">
      <c r="A454">
        <f>IF(RAW_INPUT!A455="","",RAW_INPUT!A455)</f>
        <v/>
      </c>
      <c r="B454">
        <f>IF(RAW_INPUT!A455="","",RAW_INPUT!E455)</f>
        <v/>
      </c>
      <c r="C454">
        <f>IF(RAW_INPUT!A455="","",RAW_INPUT!F455)</f>
        <v/>
      </c>
    </row>
    <row r="455">
      <c r="A455">
        <f>IF(RAW_INPUT!A456="","",RAW_INPUT!A456)</f>
        <v/>
      </c>
      <c r="B455">
        <f>IF(RAW_INPUT!A456="","",RAW_INPUT!E456)</f>
        <v/>
      </c>
      <c r="C455">
        <f>IF(RAW_INPUT!A456="","",RAW_INPUT!F456)</f>
        <v/>
      </c>
    </row>
    <row r="456">
      <c r="A456">
        <f>IF(RAW_INPUT!A457="","",RAW_INPUT!A457)</f>
        <v/>
      </c>
      <c r="B456">
        <f>IF(RAW_INPUT!A457="","",RAW_INPUT!E457)</f>
        <v/>
      </c>
      <c r="C456">
        <f>IF(RAW_INPUT!A457="","",RAW_INPUT!F457)</f>
        <v/>
      </c>
    </row>
    <row r="457">
      <c r="A457">
        <f>IF(RAW_INPUT!A458="","",RAW_INPUT!A458)</f>
        <v/>
      </c>
      <c r="B457">
        <f>IF(RAW_INPUT!A458="","",RAW_INPUT!E458)</f>
        <v/>
      </c>
      <c r="C457">
        <f>IF(RAW_INPUT!A458="","",RAW_INPUT!F458)</f>
        <v/>
      </c>
    </row>
    <row r="458">
      <c r="A458">
        <f>IF(RAW_INPUT!A459="","",RAW_INPUT!A459)</f>
        <v/>
      </c>
      <c r="B458">
        <f>IF(RAW_INPUT!A459="","",RAW_INPUT!E459)</f>
        <v/>
      </c>
      <c r="C458">
        <f>IF(RAW_INPUT!A459="","",RAW_INPUT!F459)</f>
        <v/>
      </c>
    </row>
    <row r="459">
      <c r="A459">
        <f>IF(RAW_INPUT!A460="","",RAW_INPUT!A460)</f>
        <v/>
      </c>
      <c r="B459">
        <f>IF(RAW_INPUT!A460="","",RAW_INPUT!E460)</f>
        <v/>
      </c>
      <c r="C459">
        <f>IF(RAW_INPUT!A460="","",RAW_INPUT!F460)</f>
        <v/>
      </c>
    </row>
    <row r="460">
      <c r="A460">
        <f>IF(RAW_INPUT!A461="","",RAW_INPUT!A461)</f>
        <v/>
      </c>
      <c r="B460">
        <f>IF(RAW_INPUT!A461="","",RAW_INPUT!E461)</f>
        <v/>
      </c>
      <c r="C460">
        <f>IF(RAW_INPUT!A461="","",RAW_INPUT!F461)</f>
        <v/>
      </c>
    </row>
    <row r="461">
      <c r="A461">
        <f>IF(RAW_INPUT!A462="","",RAW_INPUT!A462)</f>
        <v/>
      </c>
      <c r="B461">
        <f>IF(RAW_INPUT!A462="","",RAW_INPUT!E462)</f>
        <v/>
      </c>
      <c r="C461">
        <f>IF(RAW_INPUT!A462="","",RAW_INPUT!F462)</f>
        <v/>
      </c>
    </row>
    <row r="462">
      <c r="A462">
        <f>IF(RAW_INPUT!A463="","",RAW_INPUT!A463)</f>
        <v/>
      </c>
      <c r="B462">
        <f>IF(RAW_INPUT!A463="","",RAW_INPUT!E463)</f>
        <v/>
      </c>
      <c r="C462">
        <f>IF(RAW_INPUT!A463="","",RAW_INPUT!F463)</f>
        <v/>
      </c>
    </row>
    <row r="463">
      <c r="A463">
        <f>IF(RAW_INPUT!A464="","",RAW_INPUT!A464)</f>
        <v/>
      </c>
      <c r="B463">
        <f>IF(RAW_INPUT!A464="","",RAW_INPUT!E464)</f>
        <v/>
      </c>
      <c r="C463">
        <f>IF(RAW_INPUT!A464="","",RAW_INPUT!F464)</f>
        <v/>
      </c>
    </row>
    <row r="464">
      <c r="A464">
        <f>IF(RAW_INPUT!A465="","",RAW_INPUT!A465)</f>
        <v/>
      </c>
      <c r="B464">
        <f>IF(RAW_INPUT!A465="","",RAW_INPUT!E465)</f>
        <v/>
      </c>
      <c r="C464">
        <f>IF(RAW_INPUT!A465="","",RAW_INPUT!F465)</f>
        <v/>
      </c>
    </row>
    <row r="465">
      <c r="A465">
        <f>IF(RAW_INPUT!A466="","",RAW_INPUT!A466)</f>
        <v/>
      </c>
      <c r="B465">
        <f>IF(RAW_INPUT!A466="","",RAW_INPUT!E466)</f>
        <v/>
      </c>
      <c r="C465">
        <f>IF(RAW_INPUT!A466="","",RAW_INPUT!F466)</f>
        <v/>
      </c>
    </row>
    <row r="466">
      <c r="A466">
        <f>IF(RAW_INPUT!A467="","",RAW_INPUT!A467)</f>
        <v/>
      </c>
      <c r="B466">
        <f>IF(RAW_INPUT!A467="","",RAW_INPUT!E467)</f>
        <v/>
      </c>
      <c r="C466">
        <f>IF(RAW_INPUT!A467="","",RAW_INPUT!F467)</f>
        <v/>
      </c>
    </row>
    <row r="467">
      <c r="A467">
        <f>IF(RAW_INPUT!A468="","",RAW_INPUT!A468)</f>
        <v/>
      </c>
      <c r="B467">
        <f>IF(RAW_INPUT!A468="","",RAW_INPUT!E468)</f>
        <v/>
      </c>
      <c r="C467">
        <f>IF(RAW_INPUT!A468="","",RAW_INPUT!F468)</f>
        <v/>
      </c>
    </row>
    <row r="468">
      <c r="A468">
        <f>IF(RAW_INPUT!A469="","",RAW_INPUT!A469)</f>
        <v/>
      </c>
      <c r="B468">
        <f>IF(RAW_INPUT!A469="","",RAW_INPUT!E469)</f>
        <v/>
      </c>
      <c r="C468">
        <f>IF(RAW_INPUT!A469="","",RAW_INPUT!F469)</f>
        <v/>
      </c>
    </row>
    <row r="469">
      <c r="A469">
        <f>IF(RAW_INPUT!A470="","",RAW_INPUT!A470)</f>
        <v/>
      </c>
      <c r="B469">
        <f>IF(RAW_INPUT!A470="","",RAW_INPUT!E470)</f>
        <v/>
      </c>
      <c r="C469">
        <f>IF(RAW_INPUT!A470="","",RAW_INPUT!F470)</f>
        <v/>
      </c>
    </row>
    <row r="470">
      <c r="A470">
        <f>IF(RAW_INPUT!A471="","",RAW_INPUT!A471)</f>
        <v/>
      </c>
      <c r="B470">
        <f>IF(RAW_INPUT!A471="","",RAW_INPUT!E471)</f>
        <v/>
      </c>
      <c r="C470">
        <f>IF(RAW_INPUT!A471="","",RAW_INPUT!F471)</f>
        <v/>
      </c>
    </row>
    <row r="471">
      <c r="A471">
        <f>IF(RAW_INPUT!A472="","",RAW_INPUT!A472)</f>
        <v/>
      </c>
      <c r="B471">
        <f>IF(RAW_INPUT!A472="","",RAW_INPUT!E472)</f>
        <v/>
      </c>
      <c r="C471">
        <f>IF(RAW_INPUT!A472="","",RAW_INPUT!F472)</f>
        <v/>
      </c>
    </row>
    <row r="472">
      <c r="A472">
        <f>IF(RAW_INPUT!A473="","",RAW_INPUT!A473)</f>
        <v/>
      </c>
      <c r="B472">
        <f>IF(RAW_INPUT!A473="","",RAW_INPUT!E473)</f>
        <v/>
      </c>
      <c r="C472">
        <f>IF(RAW_INPUT!A473="","",RAW_INPUT!F473)</f>
        <v/>
      </c>
    </row>
    <row r="473">
      <c r="A473">
        <f>IF(RAW_INPUT!A474="","",RAW_INPUT!A474)</f>
        <v/>
      </c>
      <c r="B473">
        <f>IF(RAW_INPUT!A474="","",RAW_INPUT!E474)</f>
        <v/>
      </c>
      <c r="C473">
        <f>IF(RAW_INPUT!A474="","",RAW_INPUT!F474)</f>
        <v/>
      </c>
    </row>
    <row r="474">
      <c r="A474">
        <f>IF(RAW_INPUT!A475="","",RAW_INPUT!A475)</f>
        <v/>
      </c>
      <c r="B474">
        <f>IF(RAW_INPUT!A475="","",RAW_INPUT!E475)</f>
        <v/>
      </c>
      <c r="C474">
        <f>IF(RAW_INPUT!A475="","",RAW_INPUT!F475)</f>
        <v/>
      </c>
    </row>
    <row r="475">
      <c r="A475">
        <f>IF(RAW_INPUT!A476="","",RAW_INPUT!A476)</f>
        <v/>
      </c>
      <c r="B475">
        <f>IF(RAW_INPUT!A476="","",RAW_INPUT!E476)</f>
        <v/>
      </c>
      <c r="C475">
        <f>IF(RAW_INPUT!A476="","",RAW_INPUT!F476)</f>
        <v/>
      </c>
    </row>
    <row r="476">
      <c r="A476">
        <f>IF(RAW_INPUT!A477="","",RAW_INPUT!A477)</f>
        <v/>
      </c>
      <c r="B476">
        <f>IF(RAW_INPUT!A477="","",RAW_INPUT!E477)</f>
        <v/>
      </c>
      <c r="C476">
        <f>IF(RAW_INPUT!A477="","",RAW_INPUT!F477)</f>
        <v/>
      </c>
    </row>
    <row r="477">
      <c r="A477">
        <f>IF(RAW_INPUT!A478="","",RAW_INPUT!A478)</f>
        <v/>
      </c>
      <c r="B477">
        <f>IF(RAW_INPUT!A478="","",RAW_INPUT!E478)</f>
        <v/>
      </c>
      <c r="C477">
        <f>IF(RAW_INPUT!A478="","",RAW_INPUT!F478)</f>
        <v/>
      </c>
    </row>
    <row r="478">
      <c r="A478">
        <f>IF(RAW_INPUT!A479="","",RAW_INPUT!A479)</f>
        <v/>
      </c>
      <c r="B478">
        <f>IF(RAW_INPUT!A479="","",RAW_INPUT!E479)</f>
        <v/>
      </c>
      <c r="C478">
        <f>IF(RAW_INPUT!A479="","",RAW_INPUT!F479)</f>
        <v/>
      </c>
    </row>
    <row r="479">
      <c r="A479">
        <f>IF(RAW_INPUT!A480="","",RAW_INPUT!A480)</f>
        <v/>
      </c>
      <c r="B479">
        <f>IF(RAW_INPUT!A480="","",RAW_INPUT!E480)</f>
        <v/>
      </c>
      <c r="C479">
        <f>IF(RAW_INPUT!A480="","",RAW_INPUT!F480)</f>
        <v/>
      </c>
    </row>
    <row r="480">
      <c r="A480">
        <f>IF(RAW_INPUT!A481="","",RAW_INPUT!A481)</f>
        <v/>
      </c>
      <c r="B480">
        <f>IF(RAW_INPUT!A481="","",RAW_INPUT!E481)</f>
        <v/>
      </c>
      <c r="C480">
        <f>IF(RAW_INPUT!A481="","",RAW_INPUT!F481)</f>
        <v/>
      </c>
    </row>
    <row r="481">
      <c r="A481">
        <f>IF(RAW_INPUT!A482="","",RAW_INPUT!A482)</f>
        <v/>
      </c>
      <c r="B481">
        <f>IF(RAW_INPUT!A482="","",RAW_INPUT!E482)</f>
        <v/>
      </c>
      <c r="C481">
        <f>IF(RAW_INPUT!A482="","",RAW_INPUT!F482)</f>
        <v/>
      </c>
    </row>
    <row r="482">
      <c r="A482">
        <f>IF(RAW_INPUT!A483="","",RAW_INPUT!A483)</f>
        <v/>
      </c>
      <c r="B482">
        <f>IF(RAW_INPUT!A483="","",RAW_INPUT!E483)</f>
        <v/>
      </c>
      <c r="C482">
        <f>IF(RAW_INPUT!A483="","",RAW_INPUT!F483)</f>
        <v/>
      </c>
    </row>
    <row r="483">
      <c r="A483">
        <f>IF(RAW_INPUT!A484="","",RAW_INPUT!A484)</f>
        <v/>
      </c>
      <c r="B483">
        <f>IF(RAW_INPUT!A484="","",RAW_INPUT!E484)</f>
        <v/>
      </c>
      <c r="C483">
        <f>IF(RAW_INPUT!A484="","",RAW_INPUT!F484)</f>
        <v/>
      </c>
    </row>
    <row r="484">
      <c r="A484">
        <f>IF(RAW_INPUT!A485="","",RAW_INPUT!A485)</f>
        <v/>
      </c>
      <c r="B484">
        <f>IF(RAW_INPUT!A485="","",RAW_INPUT!E485)</f>
        <v/>
      </c>
      <c r="C484">
        <f>IF(RAW_INPUT!A485="","",RAW_INPUT!F485)</f>
        <v/>
      </c>
    </row>
    <row r="485">
      <c r="A485">
        <f>IF(RAW_INPUT!A486="","",RAW_INPUT!A486)</f>
        <v/>
      </c>
      <c r="B485">
        <f>IF(RAW_INPUT!A486="","",RAW_INPUT!E486)</f>
        <v/>
      </c>
      <c r="C485">
        <f>IF(RAW_INPUT!A486="","",RAW_INPUT!F486)</f>
        <v/>
      </c>
    </row>
    <row r="486">
      <c r="A486">
        <f>IF(RAW_INPUT!A487="","",RAW_INPUT!A487)</f>
        <v/>
      </c>
      <c r="B486">
        <f>IF(RAW_INPUT!A487="","",RAW_INPUT!E487)</f>
        <v/>
      </c>
      <c r="C486">
        <f>IF(RAW_INPUT!A487="","",RAW_INPUT!F487)</f>
        <v/>
      </c>
    </row>
    <row r="487">
      <c r="A487">
        <f>IF(RAW_INPUT!A488="","",RAW_INPUT!A488)</f>
        <v/>
      </c>
      <c r="B487">
        <f>IF(RAW_INPUT!A488="","",RAW_INPUT!E488)</f>
        <v/>
      </c>
      <c r="C487">
        <f>IF(RAW_INPUT!A488="","",RAW_INPUT!F488)</f>
        <v/>
      </c>
    </row>
    <row r="488">
      <c r="A488">
        <f>IF(RAW_INPUT!A489="","",RAW_INPUT!A489)</f>
        <v/>
      </c>
      <c r="B488">
        <f>IF(RAW_INPUT!A489="","",RAW_INPUT!E489)</f>
        <v/>
      </c>
      <c r="C488">
        <f>IF(RAW_INPUT!A489="","",RAW_INPUT!F489)</f>
        <v/>
      </c>
    </row>
    <row r="489">
      <c r="A489">
        <f>IF(RAW_INPUT!A490="","",RAW_INPUT!A490)</f>
        <v/>
      </c>
      <c r="B489">
        <f>IF(RAW_INPUT!A490="","",RAW_INPUT!E490)</f>
        <v/>
      </c>
      <c r="C489">
        <f>IF(RAW_INPUT!A490="","",RAW_INPUT!F490)</f>
        <v/>
      </c>
    </row>
    <row r="490">
      <c r="A490">
        <f>IF(RAW_INPUT!A491="","",RAW_INPUT!A491)</f>
        <v/>
      </c>
      <c r="B490">
        <f>IF(RAW_INPUT!A491="","",RAW_INPUT!E491)</f>
        <v/>
      </c>
      <c r="C490">
        <f>IF(RAW_INPUT!A491="","",RAW_INPUT!F491)</f>
        <v/>
      </c>
    </row>
    <row r="491">
      <c r="A491">
        <f>IF(RAW_INPUT!A492="","",RAW_INPUT!A492)</f>
        <v/>
      </c>
      <c r="B491">
        <f>IF(RAW_INPUT!A492="","",RAW_INPUT!E492)</f>
        <v/>
      </c>
      <c r="C491">
        <f>IF(RAW_INPUT!A492="","",RAW_INPUT!F492)</f>
        <v/>
      </c>
    </row>
    <row r="492">
      <c r="A492">
        <f>IF(RAW_INPUT!A493="","",RAW_INPUT!A493)</f>
        <v/>
      </c>
      <c r="B492">
        <f>IF(RAW_INPUT!A493="","",RAW_INPUT!E493)</f>
        <v/>
      </c>
      <c r="C492">
        <f>IF(RAW_INPUT!A493="","",RAW_INPUT!F493)</f>
        <v/>
      </c>
    </row>
    <row r="493">
      <c r="A493">
        <f>IF(RAW_INPUT!A494="","",RAW_INPUT!A494)</f>
        <v/>
      </c>
      <c r="B493">
        <f>IF(RAW_INPUT!A494="","",RAW_INPUT!E494)</f>
        <v/>
      </c>
      <c r="C493">
        <f>IF(RAW_INPUT!A494="","",RAW_INPUT!F494)</f>
        <v/>
      </c>
    </row>
    <row r="494">
      <c r="A494">
        <f>IF(RAW_INPUT!A495="","",RAW_INPUT!A495)</f>
        <v/>
      </c>
      <c r="B494">
        <f>IF(RAW_INPUT!A495="","",RAW_INPUT!E495)</f>
        <v/>
      </c>
      <c r="C494">
        <f>IF(RAW_INPUT!A495="","",RAW_INPUT!F495)</f>
        <v/>
      </c>
    </row>
    <row r="495">
      <c r="A495">
        <f>IF(RAW_INPUT!A496="","",RAW_INPUT!A496)</f>
        <v/>
      </c>
      <c r="B495">
        <f>IF(RAW_INPUT!A496="","",RAW_INPUT!E496)</f>
        <v/>
      </c>
      <c r="C495">
        <f>IF(RAW_INPUT!A496="","",RAW_INPUT!F496)</f>
        <v/>
      </c>
    </row>
    <row r="496">
      <c r="A496">
        <f>IF(RAW_INPUT!A497="","",RAW_INPUT!A497)</f>
        <v/>
      </c>
      <c r="B496">
        <f>IF(RAW_INPUT!A497="","",RAW_INPUT!E497)</f>
        <v/>
      </c>
      <c r="C496">
        <f>IF(RAW_INPUT!A497="","",RAW_INPUT!F497)</f>
        <v/>
      </c>
    </row>
    <row r="497">
      <c r="A497">
        <f>IF(RAW_INPUT!A498="","",RAW_INPUT!A498)</f>
        <v/>
      </c>
      <c r="B497">
        <f>IF(RAW_INPUT!A498="","",RAW_INPUT!E498)</f>
        <v/>
      </c>
      <c r="C497">
        <f>IF(RAW_INPUT!A498="","",RAW_INPUT!F498)</f>
        <v/>
      </c>
    </row>
    <row r="498">
      <c r="A498">
        <f>IF(RAW_INPUT!A499="","",RAW_INPUT!A499)</f>
        <v/>
      </c>
      <c r="B498">
        <f>IF(RAW_INPUT!A499="","",RAW_INPUT!E499)</f>
        <v/>
      </c>
      <c r="C498">
        <f>IF(RAW_INPUT!A499="","",RAW_INPUT!F499)</f>
        <v/>
      </c>
    </row>
    <row r="499">
      <c r="A499">
        <f>IF(RAW_INPUT!A500="","",RAW_INPUT!A500)</f>
        <v/>
      </c>
      <c r="B499">
        <f>IF(RAW_INPUT!A500="","",RAW_INPUT!E500)</f>
        <v/>
      </c>
      <c r="C499">
        <f>IF(RAW_INPUT!A500="","",RAW_INPUT!F500)</f>
        <v/>
      </c>
    </row>
    <row r="500">
      <c r="A500">
        <f>IF(RAW_INPUT!A501="","",RAW_INPUT!A501)</f>
        <v/>
      </c>
      <c r="B500">
        <f>IF(RAW_INPUT!A501="","",RAW_INPUT!E501)</f>
        <v/>
      </c>
      <c r="C500">
        <f>IF(RAW_INPUT!A501="","",RAW_INPUT!F501)</f>
        <v/>
      </c>
    </row>
    <row r="501">
      <c r="A501">
        <f>IF(RAW_INPUT!A502="","",RAW_INPUT!A502)</f>
        <v/>
      </c>
      <c r="B501">
        <f>IF(RAW_INPUT!A502="","",RAW_INPUT!E502)</f>
        <v/>
      </c>
      <c r="C501">
        <f>IF(RAW_INPUT!A502="","",RAW_INPUT!F502)</f>
        <v/>
      </c>
    </row>
    <row r="502">
      <c r="A502">
        <f>IF(RAW_INPUT!A503="","",RAW_INPUT!A503)</f>
        <v/>
      </c>
      <c r="B502">
        <f>IF(RAW_INPUT!A503="","",RAW_INPUT!E503)</f>
        <v/>
      </c>
      <c r="C502">
        <f>IF(RAW_INPUT!A503="","",RAW_INPUT!F503)</f>
        <v/>
      </c>
    </row>
    <row r="503">
      <c r="A503">
        <f>IF(RAW_INPUT!A504="","",RAW_INPUT!A504)</f>
        <v/>
      </c>
      <c r="B503">
        <f>IF(RAW_INPUT!A504="","",RAW_INPUT!E504)</f>
        <v/>
      </c>
      <c r="C503">
        <f>IF(RAW_INPUT!A504="","",RAW_INPUT!F504)</f>
        <v/>
      </c>
    </row>
    <row r="504">
      <c r="A504">
        <f>IF(RAW_INPUT!A505="","",RAW_INPUT!A505)</f>
        <v/>
      </c>
      <c r="B504">
        <f>IF(RAW_INPUT!A505="","",RAW_INPUT!E505)</f>
        <v/>
      </c>
      <c r="C504">
        <f>IF(RAW_INPUT!A505="","",RAW_INPUT!F505)</f>
        <v/>
      </c>
    </row>
    <row r="505">
      <c r="A505">
        <f>IF(RAW_INPUT!A506="","",RAW_INPUT!A506)</f>
        <v/>
      </c>
      <c r="B505">
        <f>IF(RAW_INPUT!A506="","",RAW_INPUT!E506)</f>
        <v/>
      </c>
      <c r="C505">
        <f>IF(RAW_INPUT!A506="","",RAW_INPUT!F506)</f>
        <v/>
      </c>
    </row>
    <row r="506">
      <c r="A506">
        <f>IF(RAW_INPUT!A507="","",RAW_INPUT!A507)</f>
        <v/>
      </c>
      <c r="B506">
        <f>IF(RAW_INPUT!A507="","",RAW_INPUT!E507)</f>
        <v/>
      </c>
      <c r="C506">
        <f>IF(RAW_INPUT!A507="","",RAW_INPUT!F507)</f>
        <v/>
      </c>
    </row>
    <row r="507">
      <c r="A507">
        <f>IF(RAW_INPUT!A508="","",RAW_INPUT!A508)</f>
        <v/>
      </c>
      <c r="B507">
        <f>IF(RAW_INPUT!A508="","",RAW_INPUT!E508)</f>
        <v/>
      </c>
      <c r="C507">
        <f>IF(RAW_INPUT!A508="","",RAW_INPUT!F508)</f>
        <v/>
      </c>
    </row>
    <row r="508">
      <c r="A508">
        <f>IF(RAW_INPUT!A509="","",RAW_INPUT!A509)</f>
        <v/>
      </c>
      <c r="B508">
        <f>IF(RAW_INPUT!A509="","",RAW_INPUT!E509)</f>
        <v/>
      </c>
      <c r="C508">
        <f>IF(RAW_INPUT!A509="","",RAW_INPUT!F509)</f>
        <v/>
      </c>
    </row>
    <row r="509">
      <c r="A509">
        <f>IF(RAW_INPUT!A510="","",RAW_INPUT!A510)</f>
        <v/>
      </c>
      <c r="B509">
        <f>IF(RAW_INPUT!A510="","",RAW_INPUT!E510)</f>
        <v/>
      </c>
      <c r="C509">
        <f>IF(RAW_INPUT!A510="","",RAW_INPUT!F510)</f>
        <v/>
      </c>
    </row>
    <row r="510">
      <c r="A510">
        <f>IF(RAW_INPUT!A511="","",RAW_INPUT!A511)</f>
        <v/>
      </c>
      <c r="B510">
        <f>IF(RAW_INPUT!A511="","",RAW_INPUT!E511)</f>
        <v/>
      </c>
      <c r="C510">
        <f>IF(RAW_INPUT!A511="","",RAW_INPUT!F511)</f>
        <v/>
      </c>
    </row>
    <row r="511">
      <c r="A511">
        <f>IF(RAW_INPUT!A512="","",RAW_INPUT!A512)</f>
        <v/>
      </c>
      <c r="B511">
        <f>IF(RAW_INPUT!A512="","",RAW_INPUT!E512)</f>
        <v/>
      </c>
      <c r="C511">
        <f>IF(RAW_INPUT!A512="","",RAW_INPUT!F512)</f>
        <v/>
      </c>
    </row>
    <row r="512">
      <c r="A512">
        <f>IF(RAW_INPUT!A513="","",RAW_INPUT!A513)</f>
        <v/>
      </c>
      <c r="B512">
        <f>IF(RAW_INPUT!A513="","",RAW_INPUT!E513)</f>
        <v/>
      </c>
      <c r="C512">
        <f>IF(RAW_INPUT!A513="","",RAW_INPUT!F513)</f>
        <v/>
      </c>
    </row>
    <row r="513">
      <c r="A513">
        <f>IF(RAW_INPUT!A514="","",RAW_INPUT!A514)</f>
        <v/>
      </c>
      <c r="B513">
        <f>IF(RAW_INPUT!A514="","",RAW_INPUT!E514)</f>
        <v/>
      </c>
      <c r="C513">
        <f>IF(RAW_INPUT!A514="","",RAW_INPUT!F514)</f>
        <v/>
      </c>
    </row>
    <row r="514">
      <c r="A514">
        <f>IF(RAW_INPUT!A515="","",RAW_INPUT!A515)</f>
        <v/>
      </c>
      <c r="B514">
        <f>IF(RAW_INPUT!A515="","",RAW_INPUT!E515)</f>
        <v/>
      </c>
      <c r="C514">
        <f>IF(RAW_INPUT!A515="","",RAW_INPUT!F515)</f>
        <v/>
      </c>
    </row>
    <row r="515">
      <c r="A515">
        <f>IF(RAW_INPUT!A516="","",RAW_INPUT!A516)</f>
        <v/>
      </c>
      <c r="B515">
        <f>IF(RAW_INPUT!A516="","",RAW_INPUT!E516)</f>
        <v/>
      </c>
      <c r="C515">
        <f>IF(RAW_INPUT!A516="","",RAW_INPUT!F516)</f>
        <v/>
      </c>
    </row>
    <row r="516">
      <c r="A516">
        <f>IF(RAW_INPUT!A517="","",RAW_INPUT!A517)</f>
        <v/>
      </c>
      <c r="B516">
        <f>IF(RAW_INPUT!A517="","",RAW_INPUT!E517)</f>
        <v/>
      </c>
      <c r="C516">
        <f>IF(RAW_INPUT!A517="","",RAW_INPUT!F517)</f>
        <v/>
      </c>
    </row>
    <row r="517">
      <c r="A517">
        <f>IF(RAW_INPUT!A518="","",RAW_INPUT!A518)</f>
        <v/>
      </c>
      <c r="B517">
        <f>IF(RAW_INPUT!A518="","",RAW_INPUT!E518)</f>
        <v/>
      </c>
      <c r="C517">
        <f>IF(RAW_INPUT!A518="","",RAW_INPUT!F518)</f>
        <v/>
      </c>
    </row>
    <row r="518">
      <c r="A518">
        <f>IF(RAW_INPUT!A519="","",RAW_INPUT!A519)</f>
        <v/>
      </c>
      <c r="B518">
        <f>IF(RAW_INPUT!A519="","",RAW_INPUT!E519)</f>
        <v/>
      </c>
      <c r="C518">
        <f>IF(RAW_INPUT!A519="","",RAW_INPUT!F519)</f>
        <v/>
      </c>
    </row>
    <row r="519">
      <c r="A519">
        <f>IF(RAW_INPUT!A520="","",RAW_INPUT!A520)</f>
        <v/>
      </c>
      <c r="B519">
        <f>IF(RAW_INPUT!A520="","",RAW_INPUT!E520)</f>
        <v/>
      </c>
      <c r="C519">
        <f>IF(RAW_INPUT!A520="","",RAW_INPUT!F520)</f>
        <v/>
      </c>
    </row>
    <row r="520">
      <c r="A520">
        <f>IF(RAW_INPUT!A521="","",RAW_INPUT!A521)</f>
        <v/>
      </c>
      <c r="B520">
        <f>IF(RAW_INPUT!A521="","",RAW_INPUT!E521)</f>
        <v/>
      </c>
      <c r="C520">
        <f>IF(RAW_INPUT!A521="","",RAW_INPUT!F521)</f>
        <v/>
      </c>
    </row>
    <row r="521">
      <c r="A521">
        <f>IF(RAW_INPUT!A522="","",RAW_INPUT!A522)</f>
        <v/>
      </c>
      <c r="B521">
        <f>IF(RAW_INPUT!A522="","",RAW_INPUT!E522)</f>
        <v/>
      </c>
      <c r="C521">
        <f>IF(RAW_INPUT!A522="","",RAW_INPUT!F522)</f>
        <v/>
      </c>
    </row>
    <row r="522">
      <c r="A522">
        <f>IF(RAW_INPUT!A523="","",RAW_INPUT!A523)</f>
        <v/>
      </c>
      <c r="B522">
        <f>IF(RAW_INPUT!A523="","",RAW_INPUT!E523)</f>
        <v/>
      </c>
      <c r="C522">
        <f>IF(RAW_INPUT!A523="","",RAW_INPUT!F523)</f>
        <v/>
      </c>
    </row>
    <row r="523">
      <c r="A523">
        <f>IF(RAW_INPUT!A524="","",RAW_INPUT!A524)</f>
        <v/>
      </c>
      <c r="B523">
        <f>IF(RAW_INPUT!A524="","",RAW_INPUT!E524)</f>
        <v/>
      </c>
      <c r="C523">
        <f>IF(RAW_INPUT!A524="","",RAW_INPUT!F524)</f>
        <v/>
      </c>
    </row>
    <row r="524">
      <c r="A524">
        <f>IF(RAW_INPUT!A525="","",RAW_INPUT!A525)</f>
        <v/>
      </c>
      <c r="B524">
        <f>IF(RAW_INPUT!A525="","",RAW_INPUT!E525)</f>
        <v/>
      </c>
      <c r="C524">
        <f>IF(RAW_INPUT!A525="","",RAW_INPUT!F525)</f>
        <v/>
      </c>
    </row>
    <row r="525">
      <c r="A525">
        <f>IF(RAW_INPUT!A526="","",RAW_INPUT!A526)</f>
        <v/>
      </c>
      <c r="B525">
        <f>IF(RAW_INPUT!A526="","",RAW_INPUT!E526)</f>
        <v/>
      </c>
      <c r="C525">
        <f>IF(RAW_INPUT!A526="","",RAW_INPUT!F526)</f>
        <v/>
      </c>
    </row>
    <row r="526">
      <c r="A526">
        <f>IF(RAW_INPUT!A527="","",RAW_INPUT!A527)</f>
        <v/>
      </c>
      <c r="B526">
        <f>IF(RAW_INPUT!A527="","",RAW_INPUT!E527)</f>
        <v/>
      </c>
      <c r="C526">
        <f>IF(RAW_INPUT!A527="","",RAW_INPUT!F527)</f>
        <v/>
      </c>
    </row>
    <row r="527">
      <c r="A527">
        <f>IF(RAW_INPUT!A528="","",RAW_INPUT!A528)</f>
        <v/>
      </c>
      <c r="B527">
        <f>IF(RAW_INPUT!A528="","",RAW_INPUT!E528)</f>
        <v/>
      </c>
      <c r="C527">
        <f>IF(RAW_INPUT!A528="","",RAW_INPUT!F528)</f>
        <v/>
      </c>
    </row>
    <row r="528">
      <c r="A528">
        <f>IF(RAW_INPUT!A529="","",RAW_INPUT!A529)</f>
        <v/>
      </c>
      <c r="B528">
        <f>IF(RAW_INPUT!A529="","",RAW_INPUT!E529)</f>
        <v/>
      </c>
      <c r="C528">
        <f>IF(RAW_INPUT!A529="","",RAW_INPUT!F529)</f>
        <v/>
      </c>
    </row>
    <row r="529">
      <c r="A529">
        <f>IF(RAW_INPUT!A530="","",RAW_INPUT!A530)</f>
        <v/>
      </c>
      <c r="B529">
        <f>IF(RAW_INPUT!A530="","",RAW_INPUT!E530)</f>
        <v/>
      </c>
      <c r="C529">
        <f>IF(RAW_INPUT!A530="","",RAW_INPUT!F530)</f>
        <v/>
      </c>
    </row>
    <row r="530">
      <c r="A530">
        <f>IF(RAW_INPUT!A531="","",RAW_INPUT!A531)</f>
        <v/>
      </c>
      <c r="B530">
        <f>IF(RAW_INPUT!A531="","",RAW_INPUT!E531)</f>
        <v/>
      </c>
      <c r="C530">
        <f>IF(RAW_INPUT!A531="","",RAW_INPUT!F531)</f>
        <v/>
      </c>
    </row>
    <row r="531">
      <c r="A531">
        <f>IF(RAW_INPUT!A532="","",RAW_INPUT!A532)</f>
        <v/>
      </c>
      <c r="B531">
        <f>IF(RAW_INPUT!A532="","",RAW_INPUT!E532)</f>
        <v/>
      </c>
      <c r="C531">
        <f>IF(RAW_INPUT!A532="","",RAW_INPUT!F532)</f>
        <v/>
      </c>
    </row>
    <row r="532">
      <c r="A532">
        <f>IF(RAW_INPUT!A533="","",RAW_INPUT!A533)</f>
        <v/>
      </c>
      <c r="B532">
        <f>IF(RAW_INPUT!A533="","",RAW_INPUT!E533)</f>
        <v/>
      </c>
      <c r="C532">
        <f>IF(RAW_INPUT!A533="","",RAW_INPUT!F533)</f>
        <v/>
      </c>
    </row>
    <row r="533">
      <c r="A533">
        <f>IF(RAW_INPUT!A534="","",RAW_INPUT!A534)</f>
        <v/>
      </c>
      <c r="B533">
        <f>IF(RAW_INPUT!A534="","",RAW_INPUT!E534)</f>
        <v/>
      </c>
      <c r="C533">
        <f>IF(RAW_INPUT!A534="","",RAW_INPUT!F534)</f>
        <v/>
      </c>
    </row>
    <row r="534">
      <c r="A534">
        <f>IF(RAW_INPUT!A535="","",RAW_INPUT!A535)</f>
        <v/>
      </c>
      <c r="B534">
        <f>IF(RAW_INPUT!A535="","",RAW_INPUT!E535)</f>
        <v/>
      </c>
      <c r="C534">
        <f>IF(RAW_INPUT!A535="","",RAW_INPUT!F535)</f>
        <v/>
      </c>
    </row>
    <row r="535">
      <c r="A535">
        <f>IF(RAW_INPUT!A536="","",RAW_INPUT!A536)</f>
        <v/>
      </c>
      <c r="B535">
        <f>IF(RAW_INPUT!A536="","",RAW_INPUT!E536)</f>
        <v/>
      </c>
      <c r="C535">
        <f>IF(RAW_INPUT!A536="","",RAW_INPUT!F536)</f>
        <v/>
      </c>
    </row>
    <row r="536">
      <c r="A536">
        <f>IF(RAW_INPUT!A537="","",RAW_INPUT!A537)</f>
        <v/>
      </c>
      <c r="B536">
        <f>IF(RAW_INPUT!A537="","",RAW_INPUT!E537)</f>
        <v/>
      </c>
      <c r="C536">
        <f>IF(RAW_INPUT!A537="","",RAW_INPUT!F537)</f>
        <v/>
      </c>
    </row>
    <row r="537">
      <c r="A537">
        <f>IF(RAW_INPUT!A538="","",RAW_INPUT!A538)</f>
        <v/>
      </c>
      <c r="B537">
        <f>IF(RAW_INPUT!A538="","",RAW_INPUT!E538)</f>
        <v/>
      </c>
      <c r="C537">
        <f>IF(RAW_INPUT!A538="","",RAW_INPUT!F538)</f>
        <v/>
      </c>
    </row>
    <row r="538">
      <c r="A538">
        <f>IF(RAW_INPUT!A539="","",RAW_INPUT!A539)</f>
        <v/>
      </c>
      <c r="B538">
        <f>IF(RAW_INPUT!A539="","",RAW_INPUT!E539)</f>
        <v/>
      </c>
      <c r="C538">
        <f>IF(RAW_INPUT!A539="","",RAW_INPUT!F539)</f>
        <v/>
      </c>
    </row>
    <row r="539">
      <c r="A539">
        <f>IF(RAW_INPUT!A540="","",RAW_INPUT!A540)</f>
        <v/>
      </c>
      <c r="B539">
        <f>IF(RAW_INPUT!A540="","",RAW_INPUT!E540)</f>
        <v/>
      </c>
      <c r="C539">
        <f>IF(RAW_INPUT!A540="","",RAW_INPUT!F540)</f>
        <v/>
      </c>
    </row>
    <row r="540">
      <c r="A540">
        <f>IF(RAW_INPUT!A541="","",RAW_INPUT!A541)</f>
        <v/>
      </c>
      <c r="B540">
        <f>IF(RAW_INPUT!A541="","",RAW_INPUT!E541)</f>
        <v/>
      </c>
      <c r="C540">
        <f>IF(RAW_INPUT!A541="","",RAW_INPUT!F541)</f>
        <v/>
      </c>
    </row>
    <row r="541">
      <c r="A541">
        <f>IF(RAW_INPUT!A542="","",RAW_INPUT!A542)</f>
        <v/>
      </c>
      <c r="B541">
        <f>IF(RAW_INPUT!A542="","",RAW_INPUT!E542)</f>
        <v/>
      </c>
      <c r="C541">
        <f>IF(RAW_INPUT!A542="","",RAW_INPUT!F542)</f>
        <v/>
      </c>
    </row>
    <row r="542">
      <c r="A542">
        <f>IF(RAW_INPUT!A543="","",RAW_INPUT!A543)</f>
        <v/>
      </c>
      <c r="B542">
        <f>IF(RAW_INPUT!A543="","",RAW_INPUT!E543)</f>
        <v/>
      </c>
      <c r="C542">
        <f>IF(RAW_INPUT!A543="","",RAW_INPUT!F543)</f>
        <v/>
      </c>
    </row>
    <row r="543">
      <c r="A543">
        <f>IF(RAW_INPUT!A544="","",RAW_INPUT!A544)</f>
        <v/>
      </c>
      <c r="B543">
        <f>IF(RAW_INPUT!A544="","",RAW_INPUT!E544)</f>
        <v/>
      </c>
      <c r="C543">
        <f>IF(RAW_INPUT!A544="","",RAW_INPUT!F544)</f>
        <v/>
      </c>
    </row>
    <row r="544">
      <c r="A544">
        <f>IF(RAW_INPUT!A545="","",RAW_INPUT!A545)</f>
        <v/>
      </c>
      <c r="B544">
        <f>IF(RAW_INPUT!A545="","",RAW_INPUT!E545)</f>
        <v/>
      </c>
      <c r="C544">
        <f>IF(RAW_INPUT!A545="","",RAW_INPUT!F545)</f>
        <v/>
      </c>
    </row>
    <row r="545">
      <c r="A545">
        <f>IF(RAW_INPUT!A546="","",RAW_INPUT!A546)</f>
        <v/>
      </c>
      <c r="B545">
        <f>IF(RAW_INPUT!A546="","",RAW_INPUT!E546)</f>
        <v/>
      </c>
      <c r="C545">
        <f>IF(RAW_INPUT!A546="","",RAW_INPUT!F546)</f>
        <v/>
      </c>
    </row>
    <row r="546">
      <c r="A546">
        <f>IF(RAW_INPUT!A547="","",RAW_INPUT!A547)</f>
        <v/>
      </c>
      <c r="B546">
        <f>IF(RAW_INPUT!A547="","",RAW_INPUT!E547)</f>
        <v/>
      </c>
      <c r="C546">
        <f>IF(RAW_INPUT!A547="","",RAW_INPUT!F547)</f>
        <v/>
      </c>
    </row>
    <row r="547">
      <c r="A547">
        <f>IF(RAW_INPUT!A548="","",RAW_INPUT!A548)</f>
        <v/>
      </c>
      <c r="B547">
        <f>IF(RAW_INPUT!A548="","",RAW_INPUT!E548)</f>
        <v/>
      </c>
      <c r="C547">
        <f>IF(RAW_INPUT!A548="","",RAW_INPUT!F548)</f>
        <v/>
      </c>
    </row>
    <row r="548">
      <c r="A548">
        <f>IF(RAW_INPUT!A549="","",RAW_INPUT!A549)</f>
        <v/>
      </c>
      <c r="B548">
        <f>IF(RAW_INPUT!A549="","",RAW_INPUT!E549)</f>
        <v/>
      </c>
      <c r="C548">
        <f>IF(RAW_INPUT!A549="","",RAW_INPUT!F549)</f>
        <v/>
      </c>
    </row>
    <row r="549">
      <c r="A549">
        <f>IF(RAW_INPUT!A550="","",RAW_INPUT!A550)</f>
        <v/>
      </c>
      <c r="B549">
        <f>IF(RAW_INPUT!A550="","",RAW_INPUT!E550)</f>
        <v/>
      </c>
      <c r="C549">
        <f>IF(RAW_INPUT!A550="","",RAW_INPUT!F550)</f>
        <v/>
      </c>
    </row>
    <row r="550">
      <c r="A550">
        <f>IF(RAW_INPUT!A551="","",RAW_INPUT!A551)</f>
        <v/>
      </c>
      <c r="B550">
        <f>IF(RAW_INPUT!A551="","",RAW_INPUT!E551)</f>
        <v/>
      </c>
      <c r="C550">
        <f>IF(RAW_INPUT!A551="","",RAW_INPUT!F551)</f>
        <v/>
      </c>
    </row>
    <row r="551">
      <c r="A551">
        <f>IF(RAW_INPUT!A552="","",RAW_INPUT!A552)</f>
        <v/>
      </c>
      <c r="B551">
        <f>IF(RAW_INPUT!A552="","",RAW_INPUT!E552)</f>
        <v/>
      </c>
      <c r="C551">
        <f>IF(RAW_INPUT!A552="","",RAW_INPUT!F552)</f>
        <v/>
      </c>
    </row>
    <row r="552">
      <c r="A552">
        <f>IF(RAW_INPUT!A553="","",RAW_INPUT!A553)</f>
        <v/>
      </c>
      <c r="B552">
        <f>IF(RAW_INPUT!A553="","",RAW_INPUT!E553)</f>
        <v/>
      </c>
      <c r="C552">
        <f>IF(RAW_INPUT!A553="","",RAW_INPUT!F553)</f>
        <v/>
      </c>
    </row>
    <row r="553">
      <c r="A553">
        <f>IF(RAW_INPUT!A554="","",RAW_INPUT!A554)</f>
        <v/>
      </c>
      <c r="B553">
        <f>IF(RAW_INPUT!A554="","",RAW_INPUT!E554)</f>
        <v/>
      </c>
      <c r="C553">
        <f>IF(RAW_INPUT!A554="","",RAW_INPUT!F554)</f>
        <v/>
      </c>
    </row>
    <row r="554">
      <c r="A554">
        <f>IF(RAW_INPUT!A555="","",RAW_INPUT!A555)</f>
        <v/>
      </c>
      <c r="B554">
        <f>IF(RAW_INPUT!A555="","",RAW_INPUT!E555)</f>
        <v/>
      </c>
      <c r="C554">
        <f>IF(RAW_INPUT!A555="","",RAW_INPUT!F555)</f>
        <v/>
      </c>
    </row>
    <row r="555">
      <c r="A555">
        <f>IF(RAW_INPUT!A556="","",RAW_INPUT!A556)</f>
        <v/>
      </c>
      <c r="B555">
        <f>IF(RAW_INPUT!A556="","",RAW_INPUT!E556)</f>
        <v/>
      </c>
      <c r="C555">
        <f>IF(RAW_INPUT!A556="","",RAW_INPUT!F556)</f>
        <v/>
      </c>
    </row>
    <row r="556">
      <c r="A556">
        <f>IF(RAW_INPUT!A557="","",RAW_INPUT!A557)</f>
        <v/>
      </c>
      <c r="B556">
        <f>IF(RAW_INPUT!A557="","",RAW_INPUT!E557)</f>
        <v/>
      </c>
      <c r="C556">
        <f>IF(RAW_INPUT!A557="","",RAW_INPUT!F557)</f>
        <v/>
      </c>
    </row>
    <row r="557">
      <c r="A557">
        <f>IF(RAW_INPUT!A558="","",RAW_INPUT!A558)</f>
        <v/>
      </c>
      <c r="B557">
        <f>IF(RAW_INPUT!A558="","",RAW_INPUT!E558)</f>
        <v/>
      </c>
      <c r="C557">
        <f>IF(RAW_INPUT!A558="","",RAW_INPUT!F558)</f>
        <v/>
      </c>
    </row>
    <row r="558">
      <c r="A558">
        <f>IF(RAW_INPUT!A559="","",RAW_INPUT!A559)</f>
        <v/>
      </c>
      <c r="B558">
        <f>IF(RAW_INPUT!A559="","",RAW_INPUT!E559)</f>
        <v/>
      </c>
      <c r="C558">
        <f>IF(RAW_INPUT!A559="","",RAW_INPUT!F559)</f>
        <v/>
      </c>
    </row>
    <row r="559">
      <c r="A559">
        <f>IF(RAW_INPUT!A560="","",RAW_INPUT!A560)</f>
        <v/>
      </c>
      <c r="B559">
        <f>IF(RAW_INPUT!A560="","",RAW_INPUT!E560)</f>
        <v/>
      </c>
      <c r="C559">
        <f>IF(RAW_INPUT!A560="","",RAW_INPUT!F560)</f>
        <v/>
      </c>
    </row>
    <row r="560">
      <c r="A560">
        <f>IF(RAW_INPUT!A561="","",RAW_INPUT!A561)</f>
        <v/>
      </c>
      <c r="B560">
        <f>IF(RAW_INPUT!A561="","",RAW_INPUT!E561)</f>
        <v/>
      </c>
      <c r="C560">
        <f>IF(RAW_INPUT!A561="","",RAW_INPUT!F561)</f>
        <v/>
      </c>
    </row>
    <row r="561">
      <c r="A561">
        <f>IF(RAW_INPUT!A562="","",RAW_INPUT!A562)</f>
        <v/>
      </c>
      <c r="B561">
        <f>IF(RAW_INPUT!A562="","",RAW_INPUT!E562)</f>
        <v/>
      </c>
      <c r="C561">
        <f>IF(RAW_INPUT!A562="","",RAW_INPUT!F562)</f>
        <v/>
      </c>
    </row>
    <row r="562">
      <c r="A562">
        <f>IF(RAW_INPUT!A563="","",RAW_INPUT!A563)</f>
        <v/>
      </c>
      <c r="B562">
        <f>IF(RAW_INPUT!A563="","",RAW_INPUT!E563)</f>
        <v/>
      </c>
      <c r="C562">
        <f>IF(RAW_INPUT!A563="","",RAW_INPUT!F563)</f>
        <v/>
      </c>
    </row>
    <row r="563">
      <c r="A563">
        <f>IF(RAW_INPUT!A564="","",RAW_INPUT!A564)</f>
        <v/>
      </c>
      <c r="B563">
        <f>IF(RAW_INPUT!A564="","",RAW_INPUT!E564)</f>
        <v/>
      </c>
      <c r="C563">
        <f>IF(RAW_INPUT!A564="","",RAW_INPUT!F564)</f>
        <v/>
      </c>
    </row>
    <row r="564">
      <c r="A564">
        <f>IF(RAW_INPUT!A565="","",RAW_INPUT!A565)</f>
        <v/>
      </c>
      <c r="B564">
        <f>IF(RAW_INPUT!A565="","",RAW_INPUT!E565)</f>
        <v/>
      </c>
      <c r="C564">
        <f>IF(RAW_INPUT!A565="","",RAW_INPUT!F565)</f>
        <v/>
      </c>
    </row>
    <row r="565">
      <c r="A565">
        <f>IF(RAW_INPUT!A566="","",RAW_INPUT!A566)</f>
        <v/>
      </c>
      <c r="B565">
        <f>IF(RAW_INPUT!A566="","",RAW_INPUT!E566)</f>
        <v/>
      </c>
      <c r="C565">
        <f>IF(RAW_INPUT!A566="","",RAW_INPUT!F566)</f>
        <v/>
      </c>
    </row>
    <row r="566">
      <c r="A566">
        <f>IF(RAW_INPUT!A567="","",RAW_INPUT!A567)</f>
        <v/>
      </c>
      <c r="B566">
        <f>IF(RAW_INPUT!A567="","",RAW_INPUT!E567)</f>
        <v/>
      </c>
      <c r="C566">
        <f>IF(RAW_INPUT!A567="","",RAW_INPUT!F567)</f>
        <v/>
      </c>
    </row>
    <row r="567">
      <c r="A567">
        <f>IF(RAW_INPUT!A568="","",RAW_INPUT!A568)</f>
        <v/>
      </c>
      <c r="B567">
        <f>IF(RAW_INPUT!A568="","",RAW_INPUT!E568)</f>
        <v/>
      </c>
      <c r="C567">
        <f>IF(RAW_INPUT!A568="","",RAW_INPUT!F568)</f>
        <v/>
      </c>
    </row>
    <row r="568">
      <c r="A568">
        <f>IF(RAW_INPUT!A569="","",RAW_INPUT!A569)</f>
        <v/>
      </c>
      <c r="B568">
        <f>IF(RAW_INPUT!A569="","",RAW_INPUT!E569)</f>
        <v/>
      </c>
      <c r="C568">
        <f>IF(RAW_INPUT!A569="","",RAW_INPUT!F569)</f>
        <v/>
      </c>
    </row>
    <row r="569">
      <c r="A569">
        <f>IF(RAW_INPUT!A570="","",RAW_INPUT!A570)</f>
        <v/>
      </c>
      <c r="B569">
        <f>IF(RAW_INPUT!A570="","",RAW_INPUT!E570)</f>
        <v/>
      </c>
      <c r="C569">
        <f>IF(RAW_INPUT!A570="","",RAW_INPUT!F570)</f>
        <v/>
      </c>
    </row>
    <row r="570">
      <c r="A570">
        <f>IF(RAW_INPUT!A571="","",RAW_INPUT!A571)</f>
        <v/>
      </c>
      <c r="B570">
        <f>IF(RAW_INPUT!A571="","",RAW_INPUT!E571)</f>
        <v/>
      </c>
      <c r="C570">
        <f>IF(RAW_INPUT!A571="","",RAW_INPUT!F571)</f>
        <v/>
      </c>
    </row>
    <row r="571">
      <c r="A571">
        <f>IF(RAW_INPUT!A572="","",RAW_INPUT!A572)</f>
        <v/>
      </c>
      <c r="B571">
        <f>IF(RAW_INPUT!A572="","",RAW_INPUT!E572)</f>
        <v/>
      </c>
      <c r="C571">
        <f>IF(RAW_INPUT!A572="","",RAW_INPUT!F572)</f>
        <v/>
      </c>
    </row>
    <row r="572">
      <c r="A572">
        <f>IF(RAW_INPUT!A573="","",RAW_INPUT!A573)</f>
        <v/>
      </c>
      <c r="B572">
        <f>IF(RAW_INPUT!A573="","",RAW_INPUT!E573)</f>
        <v/>
      </c>
      <c r="C572">
        <f>IF(RAW_INPUT!A573="","",RAW_INPUT!F573)</f>
        <v/>
      </c>
    </row>
    <row r="573">
      <c r="A573">
        <f>IF(RAW_INPUT!A574="","",RAW_INPUT!A574)</f>
        <v/>
      </c>
      <c r="B573">
        <f>IF(RAW_INPUT!A574="","",RAW_INPUT!E574)</f>
        <v/>
      </c>
      <c r="C573">
        <f>IF(RAW_INPUT!A574="","",RAW_INPUT!F574)</f>
        <v/>
      </c>
    </row>
    <row r="574">
      <c r="A574">
        <f>IF(RAW_INPUT!A575="","",RAW_INPUT!A575)</f>
        <v/>
      </c>
      <c r="B574">
        <f>IF(RAW_INPUT!A575="","",RAW_INPUT!E575)</f>
        <v/>
      </c>
      <c r="C574">
        <f>IF(RAW_INPUT!A575="","",RAW_INPUT!F575)</f>
        <v/>
      </c>
    </row>
    <row r="575">
      <c r="A575">
        <f>IF(RAW_INPUT!A576="","",RAW_INPUT!A576)</f>
        <v/>
      </c>
      <c r="B575">
        <f>IF(RAW_INPUT!A576="","",RAW_INPUT!E576)</f>
        <v/>
      </c>
      <c r="C575">
        <f>IF(RAW_INPUT!A576="","",RAW_INPUT!F576)</f>
        <v/>
      </c>
    </row>
    <row r="576">
      <c r="A576">
        <f>IF(RAW_INPUT!A577="","",RAW_INPUT!A577)</f>
        <v/>
      </c>
      <c r="B576">
        <f>IF(RAW_INPUT!A577="","",RAW_INPUT!E577)</f>
        <v/>
      </c>
      <c r="C576">
        <f>IF(RAW_INPUT!A577="","",RAW_INPUT!F577)</f>
        <v/>
      </c>
    </row>
    <row r="577">
      <c r="A577">
        <f>IF(RAW_INPUT!A578="","",RAW_INPUT!A578)</f>
        <v/>
      </c>
      <c r="B577">
        <f>IF(RAW_INPUT!A578="","",RAW_INPUT!E578)</f>
        <v/>
      </c>
      <c r="C577">
        <f>IF(RAW_INPUT!A578="","",RAW_INPUT!F578)</f>
        <v/>
      </c>
    </row>
    <row r="578">
      <c r="A578">
        <f>IF(RAW_INPUT!A579="","",RAW_INPUT!A579)</f>
        <v/>
      </c>
      <c r="B578">
        <f>IF(RAW_INPUT!A579="","",RAW_INPUT!E579)</f>
        <v/>
      </c>
      <c r="C578">
        <f>IF(RAW_INPUT!A579="","",RAW_INPUT!F579)</f>
        <v/>
      </c>
    </row>
    <row r="579">
      <c r="A579">
        <f>IF(RAW_INPUT!A580="","",RAW_INPUT!A580)</f>
        <v/>
      </c>
      <c r="B579">
        <f>IF(RAW_INPUT!A580="","",RAW_INPUT!E580)</f>
        <v/>
      </c>
      <c r="C579">
        <f>IF(RAW_INPUT!A580="","",RAW_INPUT!F580)</f>
        <v/>
      </c>
    </row>
    <row r="580">
      <c r="A580">
        <f>IF(RAW_INPUT!A581="","",RAW_INPUT!A581)</f>
        <v/>
      </c>
      <c r="B580">
        <f>IF(RAW_INPUT!A581="","",RAW_INPUT!E581)</f>
        <v/>
      </c>
      <c r="C580">
        <f>IF(RAW_INPUT!A581="","",RAW_INPUT!F581)</f>
        <v/>
      </c>
    </row>
    <row r="581">
      <c r="A581">
        <f>IF(RAW_INPUT!A582="","",RAW_INPUT!A582)</f>
        <v/>
      </c>
      <c r="B581">
        <f>IF(RAW_INPUT!A582="","",RAW_INPUT!E582)</f>
        <v/>
      </c>
      <c r="C581">
        <f>IF(RAW_INPUT!A582="","",RAW_INPUT!F582)</f>
        <v/>
      </c>
    </row>
    <row r="582">
      <c r="A582">
        <f>IF(RAW_INPUT!A583="","",RAW_INPUT!A583)</f>
        <v/>
      </c>
      <c r="B582">
        <f>IF(RAW_INPUT!A583="","",RAW_INPUT!E583)</f>
        <v/>
      </c>
      <c r="C582">
        <f>IF(RAW_INPUT!A583="","",RAW_INPUT!F583)</f>
        <v/>
      </c>
    </row>
    <row r="583">
      <c r="A583">
        <f>IF(RAW_INPUT!A584="","",RAW_INPUT!A584)</f>
        <v/>
      </c>
      <c r="B583">
        <f>IF(RAW_INPUT!A584="","",RAW_INPUT!E584)</f>
        <v/>
      </c>
      <c r="C583">
        <f>IF(RAW_INPUT!A584="","",RAW_INPUT!F584)</f>
        <v/>
      </c>
    </row>
    <row r="584">
      <c r="A584">
        <f>IF(RAW_INPUT!A585="","",RAW_INPUT!A585)</f>
        <v/>
      </c>
      <c r="B584">
        <f>IF(RAW_INPUT!A585="","",RAW_INPUT!E585)</f>
        <v/>
      </c>
      <c r="C584">
        <f>IF(RAW_INPUT!A585="","",RAW_INPUT!F585)</f>
        <v/>
      </c>
    </row>
    <row r="585">
      <c r="A585">
        <f>IF(RAW_INPUT!A586="","",RAW_INPUT!A586)</f>
        <v/>
      </c>
      <c r="B585">
        <f>IF(RAW_INPUT!A586="","",RAW_INPUT!E586)</f>
        <v/>
      </c>
      <c r="C585">
        <f>IF(RAW_INPUT!A586="","",RAW_INPUT!F586)</f>
        <v/>
      </c>
    </row>
    <row r="586">
      <c r="A586">
        <f>IF(RAW_INPUT!A587="","",RAW_INPUT!A587)</f>
        <v/>
      </c>
      <c r="B586">
        <f>IF(RAW_INPUT!A587="","",RAW_INPUT!E587)</f>
        <v/>
      </c>
      <c r="C586">
        <f>IF(RAW_INPUT!A587="","",RAW_INPUT!F587)</f>
        <v/>
      </c>
    </row>
    <row r="587">
      <c r="A587">
        <f>IF(RAW_INPUT!A588="","",RAW_INPUT!A588)</f>
        <v/>
      </c>
      <c r="B587">
        <f>IF(RAW_INPUT!A588="","",RAW_INPUT!E588)</f>
        <v/>
      </c>
      <c r="C587">
        <f>IF(RAW_INPUT!A588="","",RAW_INPUT!F588)</f>
        <v/>
      </c>
    </row>
    <row r="588">
      <c r="A588">
        <f>IF(RAW_INPUT!A589="","",RAW_INPUT!A589)</f>
        <v/>
      </c>
      <c r="B588">
        <f>IF(RAW_INPUT!A589="","",RAW_INPUT!E589)</f>
        <v/>
      </c>
      <c r="C588">
        <f>IF(RAW_INPUT!A589="","",RAW_INPUT!F589)</f>
        <v/>
      </c>
    </row>
    <row r="589">
      <c r="A589">
        <f>IF(RAW_INPUT!A590="","",RAW_INPUT!A590)</f>
        <v/>
      </c>
      <c r="B589">
        <f>IF(RAW_INPUT!A590="","",RAW_INPUT!E590)</f>
        <v/>
      </c>
      <c r="C589">
        <f>IF(RAW_INPUT!A590="","",RAW_INPUT!F590)</f>
        <v/>
      </c>
    </row>
    <row r="590">
      <c r="A590">
        <f>IF(RAW_INPUT!A591="","",RAW_INPUT!A591)</f>
        <v/>
      </c>
      <c r="B590">
        <f>IF(RAW_INPUT!A591="","",RAW_INPUT!E591)</f>
        <v/>
      </c>
      <c r="C590">
        <f>IF(RAW_INPUT!A591="","",RAW_INPUT!F591)</f>
        <v/>
      </c>
    </row>
    <row r="591">
      <c r="A591">
        <f>IF(RAW_INPUT!A592="","",RAW_INPUT!A592)</f>
        <v/>
      </c>
      <c r="B591">
        <f>IF(RAW_INPUT!A592="","",RAW_INPUT!E592)</f>
        <v/>
      </c>
      <c r="C591">
        <f>IF(RAW_INPUT!A592="","",RAW_INPUT!F592)</f>
        <v/>
      </c>
    </row>
    <row r="592">
      <c r="A592">
        <f>IF(RAW_INPUT!A593="","",RAW_INPUT!A593)</f>
        <v/>
      </c>
      <c r="B592">
        <f>IF(RAW_INPUT!A593="","",RAW_INPUT!E593)</f>
        <v/>
      </c>
      <c r="C592">
        <f>IF(RAW_INPUT!A593="","",RAW_INPUT!F593)</f>
        <v/>
      </c>
    </row>
    <row r="593">
      <c r="A593">
        <f>IF(RAW_INPUT!A594="","",RAW_INPUT!A594)</f>
        <v/>
      </c>
      <c r="B593">
        <f>IF(RAW_INPUT!A594="","",RAW_INPUT!E594)</f>
        <v/>
      </c>
      <c r="C593">
        <f>IF(RAW_INPUT!A594="","",RAW_INPUT!F594)</f>
        <v/>
      </c>
    </row>
    <row r="594">
      <c r="A594">
        <f>IF(RAW_INPUT!A595="","",RAW_INPUT!A595)</f>
        <v/>
      </c>
      <c r="B594">
        <f>IF(RAW_INPUT!A595="","",RAW_INPUT!E595)</f>
        <v/>
      </c>
      <c r="C594">
        <f>IF(RAW_INPUT!A595="","",RAW_INPUT!F595)</f>
        <v/>
      </c>
    </row>
    <row r="595">
      <c r="A595">
        <f>IF(RAW_INPUT!A596="","",RAW_INPUT!A596)</f>
        <v/>
      </c>
      <c r="B595">
        <f>IF(RAW_INPUT!A596="","",RAW_INPUT!E596)</f>
        <v/>
      </c>
      <c r="C595">
        <f>IF(RAW_INPUT!A596="","",RAW_INPUT!F596)</f>
        <v/>
      </c>
    </row>
    <row r="596">
      <c r="A596">
        <f>IF(RAW_INPUT!A597="","",RAW_INPUT!A597)</f>
        <v/>
      </c>
      <c r="B596">
        <f>IF(RAW_INPUT!A597="","",RAW_INPUT!E597)</f>
        <v/>
      </c>
      <c r="C596">
        <f>IF(RAW_INPUT!A597="","",RAW_INPUT!F597)</f>
        <v/>
      </c>
    </row>
    <row r="597">
      <c r="A597">
        <f>IF(RAW_INPUT!A598="","",RAW_INPUT!A598)</f>
        <v/>
      </c>
      <c r="B597">
        <f>IF(RAW_INPUT!A598="","",RAW_INPUT!E598)</f>
        <v/>
      </c>
      <c r="C597">
        <f>IF(RAW_INPUT!A598="","",RAW_INPUT!F598)</f>
        <v/>
      </c>
    </row>
    <row r="598">
      <c r="A598">
        <f>IF(RAW_INPUT!A599="","",RAW_INPUT!A599)</f>
        <v/>
      </c>
      <c r="B598">
        <f>IF(RAW_INPUT!A599="","",RAW_INPUT!E599)</f>
        <v/>
      </c>
      <c r="C598">
        <f>IF(RAW_INPUT!A599="","",RAW_INPUT!F599)</f>
        <v/>
      </c>
    </row>
    <row r="599">
      <c r="A599">
        <f>IF(RAW_INPUT!A600="","",RAW_INPUT!A600)</f>
        <v/>
      </c>
      <c r="B599">
        <f>IF(RAW_INPUT!A600="","",RAW_INPUT!E600)</f>
        <v/>
      </c>
      <c r="C599">
        <f>IF(RAW_INPUT!A600="","",RAW_INPUT!F600)</f>
        <v/>
      </c>
    </row>
    <row r="600">
      <c r="A600">
        <f>IF(RAW_INPUT!A601="","",RAW_INPUT!A601)</f>
        <v/>
      </c>
      <c r="B600">
        <f>IF(RAW_INPUT!A601="","",RAW_INPUT!E601)</f>
        <v/>
      </c>
      <c r="C600">
        <f>IF(RAW_INPUT!A601="","",RAW_INPUT!F601)</f>
        <v/>
      </c>
    </row>
    <row r="601">
      <c r="A601">
        <f>IF(RAW_INPUT!A602="","",RAW_INPUT!A602)</f>
        <v/>
      </c>
      <c r="B601">
        <f>IF(RAW_INPUT!A602="","",RAW_INPUT!E602)</f>
        <v/>
      </c>
      <c r="C601">
        <f>IF(RAW_INPUT!A602="","",RAW_INPUT!F602)</f>
        <v/>
      </c>
    </row>
    <row r="602">
      <c r="A602">
        <f>IF(RAW_INPUT!A603="","",RAW_INPUT!A603)</f>
        <v/>
      </c>
      <c r="B602">
        <f>IF(RAW_INPUT!A603="","",RAW_INPUT!E603)</f>
        <v/>
      </c>
      <c r="C602">
        <f>IF(RAW_INPUT!A603="","",RAW_INPUT!F603)</f>
        <v/>
      </c>
    </row>
    <row r="603">
      <c r="A603">
        <f>IF(RAW_INPUT!A604="","",RAW_INPUT!A604)</f>
        <v/>
      </c>
      <c r="B603">
        <f>IF(RAW_INPUT!A604="","",RAW_INPUT!E604)</f>
        <v/>
      </c>
      <c r="C603">
        <f>IF(RAW_INPUT!A604="","",RAW_INPUT!F604)</f>
        <v/>
      </c>
    </row>
    <row r="604">
      <c r="A604">
        <f>IF(RAW_INPUT!A605="","",RAW_INPUT!A605)</f>
        <v/>
      </c>
      <c r="B604">
        <f>IF(RAW_INPUT!A605="","",RAW_INPUT!E605)</f>
        <v/>
      </c>
      <c r="C604">
        <f>IF(RAW_INPUT!A605="","",RAW_INPUT!F605)</f>
        <v/>
      </c>
    </row>
    <row r="605">
      <c r="A605">
        <f>IF(RAW_INPUT!A606="","",RAW_INPUT!A606)</f>
        <v/>
      </c>
      <c r="B605">
        <f>IF(RAW_INPUT!A606="","",RAW_INPUT!E606)</f>
        <v/>
      </c>
      <c r="C605">
        <f>IF(RAW_INPUT!A606="","",RAW_INPUT!F606)</f>
        <v/>
      </c>
    </row>
    <row r="606">
      <c r="A606">
        <f>IF(RAW_INPUT!A607="","",RAW_INPUT!A607)</f>
        <v/>
      </c>
      <c r="B606">
        <f>IF(RAW_INPUT!A607="","",RAW_INPUT!E607)</f>
        <v/>
      </c>
      <c r="C606">
        <f>IF(RAW_INPUT!A607="","",RAW_INPUT!F607)</f>
        <v/>
      </c>
    </row>
    <row r="607">
      <c r="A607">
        <f>IF(RAW_INPUT!A608="","",RAW_INPUT!A608)</f>
        <v/>
      </c>
      <c r="B607">
        <f>IF(RAW_INPUT!A608="","",RAW_INPUT!E608)</f>
        <v/>
      </c>
      <c r="C607">
        <f>IF(RAW_INPUT!A608="","",RAW_INPUT!F608)</f>
        <v/>
      </c>
    </row>
    <row r="608">
      <c r="A608">
        <f>IF(RAW_INPUT!A609="","",RAW_INPUT!A609)</f>
        <v/>
      </c>
      <c r="B608">
        <f>IF(RAW_INPUT!A609="","",RAW_INPUT!E609)</f>
        <v/>
      </c>
      <c r="C608">
        <f>IF(RAW_INPUT!A609="","",RAW_INPUT!F609)</f>
        <v/>
      </c>
    </row>
    <row r="609">
      <c r="A609">
        <f>IF(RAW_INPUT!A610="","",RAW_INPUT!A610)</f>
        <v/>
      </c>
      <c r="B609">
        <f>IF(RAW_INPUT!A610="","",RAW_INPUT!E610)</f>
        <v/>
      </c>
      <c r="C609">
        <f>IF(RAW_INPUT!A610="","",RAW_INPUT!F610)</f>
        <v/>
      </c>
    </row>
    <row r="610">
      <c r="A610">
        <f>IF(RAW_INPUT!A611="","",RAW_INPUT!A611)</f>
        <v/>
      </c>
      <c r="B610">
        <f>IF(RAW_INPUT!A611="","",RAW_INPUT!E611)</f>
        <v/>
      </c>
      <c r="C610">
        <f>IF(RAW_INPUT!A611="","",RAW_INPUT!F611)</f>
        <v/>
      </c>
    </row>
    <row r="611">
      <c r="A611">
        <f>IF(RAW_INPUT!A612="","",RAW_INPUT!A612)</f>
        <v/>
      </c>
      <c r="B611">
        <f>IF(RAW_INPUT!A612="","",RAW_INPUT!E612)</f>
        <v/>
      </c>
      <c r="C611">
        <f>IF(RAW_INPUT!A612="","",RAW_INPUT!F612)</f>
        <v/>
      </c>
    </row>
    <row r="612">
      <c r="A612">
        <f>IF(RAW_INPUT!A613="","",RAW_INPUT!A613)</f>
        <v/>
      </c>
      <c r="B612">
        <f>IF(RAW_INPUT!A613="","",RAW_INPUT!E613)</f>
        <v/>
      </c>
      <c r="C612">
        <f>IF(RAW_INPUT!A613="","",RAW_INPUT!F613)</f>
        <v/>
      </c>
    </row>
    <row r="613">
      <c r="A613">
        <f>IF(RAW_INPUT!A614="","",RAW_INPUT!A614)</f>
        <v/>
      </c>
      <c r="B613">
        <f>IF(RAW_INPUT!A614="","",RAW_INPUT!E614)</f>
        <v/>
      </c>
      <c r="C613">
        <f>IF(RAW_INPUT!A614="","",RAW_INPUT!F614)</f>
        <v/>
      </c>
    </row>
    <row r="614">
      <c r="A614">
        <f>IF(RAW_INPUT!A615="","",RAW_INPUT!A615)</f>
        <v/>
      </c>
      <c r="B614">
        <f>IF(RAW_INPUT!A615="","",RAW_INPUT!E615)</f>
        <v/>
      </c>
      <c r="C614">
        <f>IF(RAW_INPUT!A615="","",RAW_INPUT!F615)</f>
        <v/>
      </c>
    </row>
    <row r="615">
      <c r="A615">
        <f>IF(RAW_INPUT!A616="","",RAW_INPUT!A616)</f>
        <v/>
      </c>
      <c r="B615">
        <f>IF(RAW_INPUT!A616="","",RAW_INPUT!E616)</f>
        <v/>
      </c>
      <c r="C615">
        <f>IF(RAW_INPUT!A616="","",RAW_INPUT!F616)</f>
        <v/>
      </c>
    </row>
    <row r="616">
      <c r="A616">
        <f>IF(RAW_INPUT!A617="","",RAW_INPUT!A617)</f>
        <v/>
      </c>
      <c r="B616">
        <f>IF(RAW_INPUT!A617="","",RAW_INPUT!E617)</f>
        <v/>
      </c>
      <c r="C616">
        <f>IF(RAW_INPUT!A617="","",RAW_INPUT!F617)</f>
        <v/>
      </c>
    </row>
    <row r="617">
      <c r="A617">
        <f>IF(RAW_INPUT!A618="","",RAW_INPUT!A618)</f>
        <v/>
      </c>
      <c r="B617">
        <f>IF(RAW_INPUT!A618="","",RAW_INPUT!E618)</f>
        <v/>
      </c>
      <c r="C617">
        <f>IF(RAW_INPUT!A618="","",RAW_INPUT!F618)</f>
        <v/>
      </c>
    </row>
    <row r="618">
      <c r="A618">
        <f>IF(RAW_INPUT!A619="","",RAW_INPUT!A619)</f>
        <v/>
      </c>
      <c r="B618">
        <f>IF(RAW_INPUT!A619="","",RAW_INPUT!E619)</f>
        <v/>
      </c>
      <c r="C618">
        <f>IF(RAW_INPUT!A619="","",RAW_INPUT!F619)</f>
        <v/>
      </c>
    </row>
    <row r="619">
      <c r="A619">
        <f>IF(RAW_INPUT!A620="","",RAW_INPUT!A620)</f>
        <v/>
      </c>
      <c r="B619">
        <f>IF(RAW_INPUT!A620="","",RAW_INPUT!E620)</f>
        <v/>
      </c>
      <c r="C619">
        <f>IF(RAW_INPUT!A620="","",RAW_INPUT!F620)</f>
        <v/>
      </c>
    </row>
    <row r="620">
      <c r="A620">
        <f>IF(RAW_INPUT!A621="","",RAW_INPUT!A621)</f>
        <v/>
      </c>
      <c r="B620">
        <f>IF(RAW_INPUT!A621="","",RAW_INPUT!E621)</f>
        <v/>
      </c>
      <c r="C620">
        <f>IF(RAW_INPUT!A621="","",RAW_INPUT!F621)</f>
        <v/>
      </c>
    </row>
    <row r="621">
      <c r="A621">
        <f>IF(RAW_INPUT!A622="","",RAW_INPUT!A622)</f>
        <v/>
      </c>
      <c r="B621">
        <f>IF(RAW_INPUT!A622="","",RAW_INPUT!E622)</f>
        <v/>
      </c>
      <c r="C621">
        <f>IF(RAW_INPUT!A622="","",RAW_INPUT!F622)</f>
        <v/>
      </c>
    </row>
    <row r="622">
      <c r="A622">
        <f>IF(RAW_INPUT!A623="","",RAW_INPUT!A623)</f>
        <v/>
      </c>
      <c r="B622">
        <f>IF(RAW_INPUT!A623="","",RAW_INPUT!E623)</f>
        <v/>
      </c>
      <c r="C622">
        <f>IF(RAW_INPUT!A623="","",RAW_INPUT!F623)</f>
        <v/>
      </c>
    </row>
    <row r="623">
      <c r="A623">
        <f>IF(RAW_INPUT!A624="","",RAW_INPUT!A624)</f>
        <v/>
      </c>
      <c r="B623">
        <f>IF(RAW_INPUT!A624="","",RAW_INPUT!E624)</f>
        <v/>
      </c>
      <c r="C623">
        <f>IF(RAW_INPUT!A624="","",RAW_INPUT!F624)</f>
        <v/>
      </c>
    </row>
    <row r="624">
      <c r="A624">
        <f>IF(RAW_INPUT!A625="","",RAW_INPUT!A625)</f>
        <v/>
      </c>
      <c r="B624">
        <f>IF(RAW_INPUT!A625="","",RAW_INPUT!E625)</f>
        <v/>
      </c>
      <c r="C624">
        <f>IF(RAW_INPUT!A625="","",RAW_INPUT!F625)</f>
        <v/>
      </c>
    </row>
    <row r="625">
      <c r="A625">
        <f>IF(RAW_INPUT!A626="","",RAW_INPUT!A626)</f>
        <v/>
      </c>
      <c r="B625">
        <f>IF(RAW_INPUT!A626="","",RAW_INPUT!E626)</f>
        <v/>
      </c>
      <c r="C625">
        <f>IF(RAW_INPUT!A626="","",RAW_INPUT!F626)</f>
        <v/>
      </c>
    </row>
    <row r="626">
      <c r="A626">
        <f>IF(RAW_INPUT!A627="","",RAW_INPUT!A627)</f>
        <v/>
      </c>
      <c r="B626">
        <f>IF(RAW_INPUT!A627="","",RAW_INPUT!E627)</f>
        <v/>
      </c>
      <c r="C626">
        <f>IF(RAW_INPUT!A627="","",RAW_INPUT!F627)</f>
        <v/>
      </c>
    </row>
    <row r="627">
      <c r="A627">
        <f>IF(RAW_INPUT!A628="","",RAW_INPUT!A628)</f>
        <v/>
      </c>
      <c r="B627">
        <f>IF(RAW_INPUT!A628="","",RAW_INPUT!E628)</f>
        <v/>
      </c>
      <c r="C627">
        <f>IF(RAW_INPUT!A628="","",RAW_INPUT!F628)</f>
        <v/>
      </c>
    </row>
    <row r="628">
      <c r="A628">
        <f>IF(RAW_INPUT!A629="","",RAW_INPUT!A629)</f>
        <v/>
      </c>
      <c r="B628">
        <f>IF(RAW_INPUT!A629="","",RAW_INPUT!E629)</f>
        <v/>
      </c>
      <c r="C628">
        <f>IF(RAW_INPUT!A629="","",RAW_INPUT!F629)</f>
        <v/>
      </c>
    </row>
    <row r="629">
      <c r="A629">
        <f>IF(RAW_INPUT!A630="","",RAW_INPUT!A630)</f>
        <v/>
      </c>
      <c r="B629">
        <f>IF(RAW_INPUT!A630="","",RAW_INPUT!E630)</f>
        <v/>
      </c>
      <c r="C629">
        <f>IF(RAW_INPUT!A630="","",RAW_INPUT!F630)</f>
        <v/>
      </c>
    </row>
    <row r="630">
      <c r="A630">
        <f>IF(RAW_INPUT!A631="","",RAW_INPUT!A631)</f>
        <v/>
      </c>
      <c r="B630">
        <f>IF(RAW_INPUT!A631="","",RAW_INPUT!E631)</f>
        <v/>
      </c>
      <c r="C630">
        <f>IF(RAW_INPUT!A631="","",RAW_INPUT!F631)</f>
        <v/>
      </c>
    </row>
    <row r="631">
      <c r="A631">
        <f>IF(RAW_INPUT!A632="","",RAW_INPUT!A632)</f>
        <v/>
      </c>
      <c r="B631">
        <f>IF(RAW_INPUT!A632="","",RAW_INPUT!E632)</f>
        <v/>
      </c>
      <c r="C631">
        <f>IF(RAW_INPUT!A632="","",RAW_INPUT!F632)</f>
        <v/>
      </c>
    </row>
    <row r="632">
      <c r="A632">
        <f>IF(RAW_INPUT!A633="","",RAW_INPUT!A633)</f>
        <v/>
      </c>
      <c r="B632">
        <f>IF(RAW_INPUT!A633="","",RAW_INPUT!E633)</f>
        <v/>
      </c>
      <c r="C632">
        <f>IF(RAW_INPUT!A633="","",RAW_INPUT!F633)</f>
        <v/>
      </c>
    </row>
    <row r="633">
      <c r="A633">
        <f>IF(RAW_INPUT!A634="","",RAW_INPUT!A634)</f>
        <v/>
      </c>
      <c r="B633">
        <f>IF(RAW_INPUT!A634="","",RAW_INPUT!E634)</f>
        <v/>
      </c>
      <c r="C633">
        <f>IF(RAW_INPUT!A634="","",RAW_INPUT!F634)</f>
        <v/>
      </c>
    </row>
    <row r="634">
      <c r="A634">
        <f>IF(RAW_INPUT!A635="","",RAW_INPUT!A635)</f>
        <v/>
      </c>
      <c r="B634">
        <f>IF(RAW_INPUT!A635="","",RAW_INPUT!E635)</f>
        <v/>
      </c>
      <c r="C634">
        <f>IF(RAW_INPUT!A635="","",RAW_INPUT!F635)</f>
        <v/>
      </c>
    </row>
    <row r="635">
      <c r="A635">
        <f>IF(RAW_INPUT!A636="","",RAW_INPUT!A636)</f>
        <v/>
      </c>
      <c r="B635">
        <f>IF(RAW_INPUT!A636="","",RAW_INPUT!E636)</f>
        <v/>
      </c>
      <c r="C635">
        <f>IF(RAW_INPUT!A636="","",RAW_INPUT!F636)</f>
        <v/>
      </c>
    </row>
    <row r="636">
      <c r="A636">
        <f>IF(RAW_INPUT!A637="","",RAW_INPUT!A637)</f>
        <v/>
      </c>
      <c r="B636">
        <f>IF(RAW_INPUT!A637="","",RAW_INPUT!E637)</f>
        <v/>
      </c>
      <c r="C636">
        <f>IF(RAW_INPUT!A637="","",RAW_INPUT!F637)</f>
        <v/>
      </c>
    </row>
    <row r="637">
      <c r="A637">
        <f>IF(RAW_INPUT!A638="","",RAW_INPUT!A638)</f>
        <v/>
      </c>
      <c r="B637">
        <f>IF(RAW_INPUT!A638="","",RAW_INPUT!E638)</f>
        <v/>
      </c>
      <c r="C637">
        <f>IF(RAW_INPUT!A638="","",RAW_INPUT!F638)</f>
        <v/>
      </c>
    </row>
    <row r="638">
      <c r="A638">
        <f>IF(RAW_INPUT!A639="","",RAW_INPUT!A639)</f>
        <v/>
      </c>
      <c r="B638">
        <f>IF(RAW_INPUT!A639="","",RAW_INPUT!E639)</f>
        <v/>
      </c>
      <c r="C638">
        <f>IF(RAW_INPUT!A639="","",RAW_INPUT!F639)</f>
        <v/>
      </c>
    </row>
    <row r="639">
      <c r="A639">
        <f>IF(RAW_INPUT!A640="","",RAW_INPUT!A640)</f>
        <v/>
      </c>
      <c r="B639">
        <f>IF(RAW_INPUT!A640="","",RAW_INPUT!E640)</f>
        <v/>
      </c>
      <c r="C639">
        <f>IF(RAW_INPUT!A640="","",RAW_INPUT!F640)</f>
        <v/>
      </c>
    </row>
    <row r="640">
      <c r="A640">
        <f>IF(RAW_INPUT!A641="","",RAW_INPUT!A641)</f>
        <v/>
      </c>
      <c r="B640">
        <f>IF(RAW_INPUT!A641="","",RAW_INPUT!E641)</f>
        <v/>
      </c>
      <c r="C640">
        <f>IF(RAW_INPUT!A641="","",RAW_INPUT!F641)</f>
        <v/>
      </c>
    </row>
    <row r="641">
      <c r="A641">
        <f>IF(RAW_INPUT!A642="","",RAW_INPUT!A642)</f>
        <v/>
      </c>
      <c r="B641">
        <f>IF(RAW_INPUT!A642="","",RAW_INPUT!E642)</f>
        <v/>
      </c>
      <c r="C641">
        <f>IF(RAW_INPUT!A642="","",RAW_INPUT!F642)</f>
        <v/>
      </c>
    </row>
    <row r="642">
      <c r="A642">
        <f>IF(RAW_INPUT!A643="","",RAW_INPUT!A643)</f>
        <v/>
      </c>
      <c r="B642">
        <f>IF(RAW_INPUT!A643="","",RAW_INPUT!E643)</f>
        <v/>
      </c>
      <c r="C642">
        <f>IF(RAW_INPUT!A643="","",RAW_INPUT!F643)</f>
        <v/>
      </c>
    </row>
    <row r="643">
      <c r="A643">
        <f>IF(RAW_INPUT!A644="","",RAW_INPUT!A644)</f>
        <v/>
      </c>
      <c r="B643">
        <f>IF(RAW_INPUT!A644="","",RAW_INPUT!E644)</f>
        <v/>
      </c>
      <c r="C643">
        <f>IF(RAW_INPUT!A644="","",RAW_INPUT!F644)</f>
        <v/>
      </c>
    </row>
    <row r="644">
      <c r="A644">
        <f>IF(RAW_INPUT!A645="","",RAW_INPUT!A645)</f>
        <v/>
      </c>
      <c r="B644">
        <f>IF(RAW_INPUT!A645="","",RAW_INPUT!E645)</f>
        <v/>
      </c>
      <c r="C644">
        <f>IF(RAW_INPUT!A645="","",RAW_INPUT!F645)</f>
        <v/>
      </c>
    </row>
    <row r="645">
      <c r="A645">
        <f>IF(RAW_INPUT!A646="","",RAW_INPUT!A646)</f>
        <v/>
      </c>
      <c r="B645">
        <f>IF(RAW_INPUT!A646="","",RAW_INPUT!E646)</f>
        <v/>
      </c>
      <c r="C645">
        <f>IF(RAW_INPUT!A646="","",RAW_INPUT!F646)</f>
        <v/>
      </c>
    </row>
    <row r="646">
      <c r="A646">
        <f>IF(RAW_INPUT!A647="","",RAW_INPUT!A647)</f>
        <v/>
      </c>
      <c r="B646">
        <f>IF(RAW_INPUT!A647="","",RAW_INPUT!E647)</f>
        <v/>
      </c>
      <c r="C646">
        <f>IF(RAW_INPUT!A647="","",RAW_INPUT!F647)</f>
        <v/>
      </c>
    </row>
    <row r="647">
      <c r="A647">
        <f>IF(RAW_INPUT!A648="","",RAW_INPUT!A648)</f>
        <v/>
      </c>
      <c r="B647">
        <f>IF(RAW_INPUT!A648="","",RAW_INPUT!E648)</f>
        <v/>
      </c>
      <c r="C647">
        <f>IF(RAW_INPUT!A648="","",RAW_INPUT!F648)</f>
        <v/>
      </c>
    </row>
    <row r="648">
      <c r="A648">
        <f>IF(RAW_INPUT!A649="","",RAW_INPUT!A649)</f>
        <v/>
      </c>
      <c r="B648">
        <f>IF(RAW_INPUT!A649="","",RAW_INPUT!E649)</f>
        <v/>
      </c>
      <c r="C648">
        <f>IF(RAW_INPUT!A649="","",RAW_INPUT!F649)</f>
        <v/>
      </c>
    </row>
    <row r="649">
      <c r="A649">
        <f>IF(RAW_INPUT!A650="","",RAW_INPUT!A650)</f>
        <v/>
      </c>
      <c r="B649">
        <f>IF(RAW_INPUT!A650="","",RAW_INPUT!E650)</f>
        <v/>
      </c>
      <c r="C649">
        <f>IF(RAW_INPUT!A650="","",RAW_INPUT!F650)</f>
        <v/>
      </c>
    </row>
    <row r="650">
      <c r="A650">
        <f>IF(RAW_INPUT!A651="","",RAW_INPUT!A651)</f>
        <v/>
      </c>
      <c r="B650">
        <f>IF(RAW_INPUT!A651="","",RAW_INPUT!E651)</f>
        <v/>
      </c>
      <c r="C650">
        <f>IF(RAW_INPUT!A651="","",RAW_INPUT!F651)</f>
        <v/>
      </c>
    </row>
    <row r="651">
      <c r="A651">
        <f>IF(RAW_INPUT!A652="","",RAW_INPUT!A652)</f>
        <v/>
      </c>
      <c r="B651">
        <f>IF(RAW_INPUT!A652="","",RAW_INPUT!E652)</f>
        <v/>
      </c>
      <c r="C651">
        <f>IF(RAW_INPUT!A652="","",RAW_INPUT!F652)</f>
        <v/>
      </c>
    </row>
    <row r="652">
      <c r="A652">
        <f>IF(RAW_INPUT!A653="","",RAW_INPUT!A653)</f>
        <v/>
      </c>
      <c r="B652">
        <f>IF(RAW_INPUT!A653="","",RAW_INPUT!E653)</f>
        <v/>
      </c>
      <c r="C652">
        <f>IF(RAW_INPUT!A653="","",RAW_INPUT!F653)</f>
        <v/>
      </c>
    </row>
    <row r="653">
      <c r="A653">
        <f>IF(RAW_INPUT!A654="","",RAW_INPUT!A654)</f>
        <v/>
      </c>
      <c r="B653">
        <f>IF(RAW_INPUT!A654="","",RAW_INPUT!E654)</f>
        <v/>
      </c>
      <c r="C653">
        <f>IF(RAW_INPUT!A654="","",RAW_INPUT!F654)</f>
        <v/>
      </c>
    </row>
    <row r="654">
      <c r="A654">
        <f>IF(RAW_INPUT!A655="","",RAW_INPUT!A655)</f>
        <v/>
      </c>
      <c r="B654">
        <f>IF(RAW_INPUT!A655="","",RAW_INPUT!E655)</f>
        <v/>
      </c>
      <c r="C654">
        <f>IF(RAW_INPUT!A655="","",RAW_INPUT!F655)</f>
        <v/>
      </c>
    </row>
    <row r="655">
      <c r="A655">
        <f>IF(RAW_INPUT!A656="","",RAW_INPUT!A656)</f>
        <v/>
      </c>
      <c r="B655">
        <f>IF(RAW_INPUT!A656="","",RAW_INPUT!E656)</f>
        <v/>
      </c>
      <c r="C655">
        <f>IF(RAW_INPUT!A656="","",RAW_INPUT!F656)</f>
        <v/>
      </c>
    </row>
    <row r="656">
      <c r="A656">
        <f>IF(RAW_INPUT!A657="","",RAW_INPUT!A657)</f>
        <v/>
      </c>
      <c r="B656">
        <f>IF(RAW_INPUT!A657="","",RAW_INPUT!E657)</f>
        <v/>
      </c>
      <c r="C656">
        <f>IF(RAW_INPUT!A657="","",RAW_INPUT!F657)</f>
        <v/>
      </c>
    </row>
    <row r="657">
      <c r="A657">
        <f>IF(RAW_INPUT!A658="","",RAW_INPUT!A658)</f>
        <v/>
      </c>
      <c r="B657">
        <f>IF(RAW_INPUT!A658="","",RAW_INPUT!E658)</f>
        <v/>
      </c>
      <c r="C657">
        <f>IF(RAW_INPUT!A658="","",RAW_INPUT!F658)</f>
        <v/>
      </c>
    </row>
    <row r="658">
      <c r="A658">
        <f>IF(RAW_INPUT!A659="","",RAW_INPUT!A659)</f>
        <v/>
      </c>
      <c r="B658">
        <f>IF(RAW_INPUT!A659="","",RAW_INPUT!E659)</f>
        <v/>
      </c>
      <c r="C658">
        <f>IF(RAW_INPUT!A659="","",RAW_INPUT!F659)</f>
        <v/>
      </c>
    </row>
    <row r="659">
      <c r="A659">
        <f>IF(RAW_INPUT!A660="","",RAW_INPUT!A660)</f>
        <v/>
      </c>
      <c r="B659">
        <f>IF(RAW_INPUT!A660="","",RAW_INPUT!E660)</f>
        <v/>
      </c>
      <c r="C659">
        <f>IF(RAW_INPUT!A660="","",RAW_INPUT!F660)</f>
        <v/>
      </c>
    </row>
    <row r="660">
      <c r="A660">
        <f>IF(RAW_INPUT!A661="","",RAW_INPUT!A661)</f>
        <v/>
      </c>
      <c r="B660">
        <f>IF(RAW_INPUT!A661="","",RAW_INPUT!E661)</f>
        <v/>
      </c>
      <c r="C660">
        <f>IF(RAW_INPUT!A661="","",RAW_INPUT!F661)</f>
        <v/>
      </c>
    </row>
    <row r="661">
      <c r="A661">
        <f>IF(RAW_INPUT!A662="","",RAW_INPUT!A662)</f>
        <v/>
      </c>
      <c r="B661">
        <f>IF(RAW_INPUT!A662="","",RAW_INPUT!E662)</f>
        <v/>
      </c>
      <c r="C661">
        <f>IF(RAW_INPUT!A662="","",RAW_INPUT!F662)</f>
        <v/>
      </c>
    </row>
    <row r="662">
      <c r="A662">
        <f>IF(RAW_INPUT!A663="","",RAW_INPUT!A663)</f>
        <v/>
      </c>
      <c r="B662">
        <f>IF(RAW_INPUT!A663="","",RAW_INPUT!E663)</f>
        <v/>
      </c>
      <c r="C662">
        <f>IF(RAW_INPUT!A663="","",RAW_INPUT!F663)</f>
        <v/>
      </c>
    </row>
    <row r="663">
      <c r="A663">
        <f>IF(RAW_INPUT!A664="","",RAW_INPUT!A664)</f>
        <v/>
      </c>
      <c r="B663">
        <f>IF(RAW_INPUT!A664="","",RAW_INPUT!E664)</f>
        <v/>
      </c>
      <c r="C663">
        <f>IF(RAW_INPUT!A664="","",RAW_INPUT!F664)</f>
        <v/>
      </c>
    </row>
    <row r="664">
      <c r="A664">
        <f>IF(RAW_INPUT!A665="","",RAW_INPUT!A665)</f>
        <v/>
      </c>
      <c r="B664">
        <f>IF(RAW_INPUT!A665="","",RAW_INPUT!E665)</f>
        <v/>
      </c>
      <c r="C664">
        <f>IF(RAW_INPUT!A665="","",RAW_INPUT!F665)</f>
        <v/>
      </c>
    </row>
    <row r="665">
      <c r="A665">
        <f>IF(RAW_INPUT!A666="","",RAW_INPUT!A666)</f>
        <v/>
      </c>
      <c r="B665">
        <f>IF(RAW_INPUT!A666="","",RAW_INPUT!E666)</f>
        <v/>
      </c>
      <c r="C665">
        <f>IF(RAW_INPUT!A666="","",RAW_INPUT!F666)</f>
        <v/>
      </c>
    </row>
    <row r="666">
      <c r="A666">
        <f>IF(RAW_INPUT!A667="","",RAW_INPUT!A667)</f>
        <v/>
      </c>
      <c r="B666">
        <f>IF(RAW_INPUT!A667="","",RAW_INPUT!E667)</f>
        <v/>
      </c>
      <c r="C666">
        <f>IF(RAW_INPUT!A667="","",RAW_INPUT!F667)</f>
        <v/>
      </c>
    </row>
    <row r="667">
      <c r="A667">
        <f>IF(RAW_INPUT!A668="","",RAW_INPUT!A668)</f>
        <v/>
      </c>
      <c r="B667">
        <f>IF(RAW_INPUT!A668="","",RAW_INPUT!E668)</f>
        <v/>
      </c>
      <c r="C667">
        <f>IF(RAW_INPUT!A668="","",RAW_INPUT!F668)</f>
        <v/>
      </c>
    </row>
    <row r="668">
      <c r="A668">
        <f>IF(RAW_INPUT!A669="","",RAW_INPUT!A669)</f>
        <v/>
      </c>
      <c r="B668">
        <f>IF(RAW_INPUT!A669="","",RAW_INPUT!E669)</f>
        <v/>
      </c>
      <c r="C668">
        <f>IF(RAW_INPUT!A669="","",RAW_INPUT!F669)</f>
        <v/>
      </c>
    </row>
    <row r="669">
      <c r="A669">
        <f>IF(RAW_INPUT!A670="","",RAW_INPUT!A670)</f>
        <v/>
      </c>
      <c r="B669">
        <f>IF(RAW_INPUT!A670="","",RAW_INPUT!E670)</f>
        <v/>
      </c>
      <c r="C669">
        <f>IF(RAW_INPUT!A670="","",RAW_INPUT!F670)</f>
        <v/>
      </c>
    </row>
    <row r="670">
      <c r="A670">
        <f>IF(RAW_INPUT!A671="","",RAW_INPUT!A671)</f>
        <v/>
      </c>
      <c r="B670">
        <f>IF(RAW_INPUT!A671="","",RAW_INPUT!E671)</f>
        <v/>
      </c>
      <c r="C670">
        <f>IF(RAW_INPUT!A671="","",RAW_INPUT!F671)</f>
        <v/>
      </c>
    </row>
    <row r="671">
      <c r="A671">
        <f>IF(RAW_INPUT!A672="","",RAW_INPUT!A672)</f>
        <v/>
      </c>
      <c r="B671">
        <f>IF(RAW_INPUT!A672="","",RAW_INPUT!E672)</f>
        <v/>
      </c>
      <c r="C671">
        <f>IF(RAW_INPUT!A672="","",RAW_INPUT!F672)</f>
        <v/>
      </c>
    </row>
    <row r="672">
      <c r="A672">
        <f>IF(RAW_INPUT!A673="","",RAW_INPUT!A673)</f>
        <v/>
      </c>
      <c r="B672">
        <f>IF(RAW_INPUT!A673="","",RAW_INPUT!E673)</f>
        <v/>
      </c>
      <c r="C672">
        <f>IF(RAW_INPUT!A673="","",RAW_INPUT!F673)</f>
        <v/>
      </c>
    </row>
    <row r="673">
      <c r="A673">
        <f>IF(RAW_INPUT!A674="","",RAW_INPUT!A674)</f>
        <v/>
      </c>
      <c r="B673">
        <f>IF(RAW_INPUT!A674="","",RAW_INPUT!E674)</f>
        <v/>
      </c>
      <c r="C673">
        <f>IF(RAW_INPUT!A674="","",RAW_INPUT!F674)</f>
        <v/>
      </c>
    </row>
    <row r="674">
      <c r="A674">
        <f>IF(RAW_INPUT!A675="","",RAW_INPUT!A675)</f>
        <v/>
      </c>
      <c r="B674">
        <f>IF(RAW_INPUT!A675="","",RAW_INPUT!E675)</f>
        <v/>
      </c>
      <c r="C674">
        <f>IF(RAW_INPUT!A675="","",RAW_INPUT!F675)</f>
        <v/>
      </c>
    </row>
    <row r="675">
      <c r="A675">
        <f>IF(RAW_INPUT!A676="","",RAW_INPUT!A676)</f>
        <v/>
      </c>
      <c r="B675">
        <f>IF(RAW_INPUT!A676="","",RAW_INPUT!E676)</f>
        <v/>
      </c>
      <c r="C675">
        <f>IF(RAW_INPUT!A676="","",RAW_INPUT!F676)</f>
        <v/>
      </c>
    </row>
    <row r="676">
      <c r="A676">
        <f>IF(RAW_INPUT!A677="","",RAW_INPUT!A677)</f>
        <v/>
      </c>
      <c r="B676">
        <f>IF(RAW_INPUT!A677="","",RAW_INPUT!E677)</f>
        <v/>
      </c>
      <c r="C676">
        <f>IF(RAW_INPUT!A677="","",RAW_INPUT!F677)</f>
        <v/>
      </c>
    </row>
    <row r="677">
      <c r="A677">
        <f>IF(RAW_INPUT!A678="","",RAW_INPUT!A678)</f>
        <v/>
      </c>
      <c r="B677">
        <f>IF(RAW_INPUT!A678="","",RAW_INPUT!E678)</f>
        <v/>
      </c>
      <c r="C677">
        <f>IF(RAW_INPUT!A678="","",RAW_INPUT!F678)</f>
        <v/>
      </c>
    </row>
    <row r="678">
      <c r="A678">
        <f>IF(RAW_INPUT!A679="","",RAW_INPUT!A679)</f>
        <v/>
      </c>
      <c r="B678">
        <f>IF(RAW_INPUT!A679="","",RAW_INPUT!E679)</f>
        <v/>
      </c>
      <c r="C678">
        <f>IF(RAW_INPUT!A679="","",RAW_INPUT!F679)</f>
        <v/>
      </c>
    </row>
    <row r="679">
      <c r="A679">
        <f>IF(RAW_INPUT!A680="","",RAW_INPUT!A680)</f>
        <v/>
      </c>
      <c r="B679">
        <f>IF(RAW_INPUT!A680="","",RAW_INPUT!E680)</f>
        <v/>
      </c>
      <c r="C679">
        <f>IF(RAW_INPUT!A680="","",RAW_INPUT!F680)</f>
        <v/>
      </c>
    </row>
    <row r="680">
      <c r="A680">
        <f>IF(RAW_INPUT!A681="","",RAW_INPUT!A681)</f>
        <v/>
      </c>
      <c r="B680">
        <f>IF(RAW_INPUT!A681="","",RAW_INPUT!E681)</f>
        <v/>
      </c>
      <c r="C680">
        <f>IF(RAW_INPUT!A681="","",RAW_INPUT!F681)</f>
        <v/>
      </c>
    </row>
    <row r="681">
      <c r="A681">
        <f>IF(RAW_INPUT!A682="","",RAW_INPUT!A682)</f>
        <v/>
      </c>
      <c r="B681">
        <f>IF(RAW_INPUT!A682="","",RAW_INPUT!E682)</f>
        <v/>
      </c>
      <c r="C681">
        <f>IF(RAW_INPUT!A682="","",RAW_INPUT!F682)</f>
        <v/>
      </c>
    </row>
    <row r="682">
      <c r="A682">
        <f>IF(RAW_INPUT!A683="","",RAW_INPUT!A683)</f>
        <v/>
      </c>
      <c r="B682">
        <f>IF(RAW_INPUT!A683="","",RAW_INPUT!E683)</f>
        <v/>
      </c>
      <c r="C682">
        <f>IF(RAW_INPUT!A683="","",RAW_INPUT!F683)</f>
        <v/>
      </c>
    </row>
    <row r="683">
      <c r="A683">
        <f>IF(RAW_INPUT!A684="","",RAW_INPUT!A684)</f>
        <v/>
      </c>
      <c r="B683">
        <f>IF(RAW_INPUT!A684="","",RAW_INPUT!E684)</f>
        <v/>
      </c>
      <c r="C683">
        <f>IF(RAW_INPUT!A684="","",RAW_INPUT!F684)</f>
        <v/>
      </c>
    </row>
    <row r="684">
      <c r="A684">
        <f>IF(RAW_INPUT!A685="","",RAW_INPUT!A685)</f>
        <v/>
      </c>
      <c r="B684">
        <f>IF(RAW_INPUT!A685="","",RAW_INPUT!E685)</f>
        <v/>
      </c>
      <c r="C684">
        <f>IF(RAW_INPUT!A685="","",RAW_INPUT!F685)</f>
        <v/>
      </c>
    </row>
    <row r="685">
      <c r="A685">
        <f>IF(RAW_INPUT!A686="","",RAW_INPUT!A686)</f>
        <v/>
      </c>
      <c r="B685">
        <f>IF(RAW_INPUT!A686="","",RAW_INPUT!E686)</f>
        <v/>
      </c>
      <c r="C685">
        <f>IF(RAW_INPUT!A686="","",RAW_INPUT!F686)</f>
        <v/>
      </c>
    </row>
    <row r="686">
      <c r="A686">
        <f>IF(RAW_INPUT!A687="","",RAW_INPUT!A687)</f>
        <v/>
      </c>
      <c r="B686">
        <f>IF(RAW_INPUT!A687="","",RAW_INPUT!E687)</f>
        <v/>
      </c>
      <c r="C686">
        <f>IF(RAW_INPUT!A687="","",RAW_INPUT!F687)</f>
        <v/>
      </c>
    </row>
    <row r="687">
      <c r="A687">
        <f>IF(RAW_INPUT!A688="","",RAW_INPUT!A688)</f>
        <v/>
      </c>
      <c r="B687">
        <f>IF(RAW_INPUT!A688="","",RAW_INPUT!E688)</f>
        <v/>
      </c>
      <c r="C687">
        <f>IF(RAW_INPUT!A688="","",RAW_INPUT!F688)</f>
        <v/>
      </c>
    </row>
    <row r="688">
      <c r="A688">
        <f>IF(RAW_INPUT!A689="","",RAW_INPUT!A689)</f>
        <v/>
      </c>
      <c r="B688">
        <f>IF(RAW_INPUT!A689="","",RAW_INPUT!E689)</f>
        <v/>
      </c>
      <c r="C688">
        <f>IF(RAW_INPUT!A689="","",RAW_INPUT!F689)</f>
        <v/>
      </c>
    </row>
    <row r="689">
      <c r="A689">
        <f>IF(RAW_INPUT!A690="","",RAW_INPUT!A690)</f>
        <v/>
      </c>
      <c r="B689">
        <f>IF(RAW_INPUT!A690="","",RAW_INPUT!E690)</f>
        <v/>
      </c>
      <c r="C689">
        <f>IF(RAW_INPUT!A690="","",RAW_INPUT!F690)</f>
        <v/>
      </c>
    </row>
    <row r="690">
      <c r="A690">
        <f>IF(RAW_INPUT!A691="","",RAW_INPUT!A691)</f>
        <v/>
      </c>
      <c r="B690">
        <f>IF(RAW_INPUT!A691="","",RAW_INPUT!E691)</f>
        <v/>
      </c>
      <c r="C690">
        <f>IF(RAW_INPUT!A691="","",RAW_INPUT!F691)</f>
        <v/>
      </c>
    </row>
    <row r="691">
      <c r="A691">
        <f>IF(RAW_INPUT!A692="","",RAW_INPUT!A692)</f>
        <v/>
      </c>
      <c r="B691">
        <f>IF(RAW_INPUT!A692="","",RAW_INPUT!E692)</f>
        <v/>
      </c>
      <c r="C691">
        <f>IF(RAW_INPUT!A692="","",RAW_INPUT!F692)</f>
        <v/>
      </c>
    </row>
    <row r="692">
      <c r="A692">
        <f>IF(RAW_INPUT!A693="","",RAW_INPUT!A693)</f>
        <v/>
      </c>
      <c r="B692">
        <f>IF(RAW_INPUT!A693="","",RAW_INPUT!E693)</f>
        <v/>
      </c>
      <c r="C692">
        <f>IF(RAW_INPUT!A693="","",RAW_INPUT!F693)</f>
        <v/>
      </c>
    </row>
    <row r="693">
      <c r="A693">
        <f>IF(RAW_INPUT!A694="","",RAW_INPUT!A694)</f>
        <v/>
      </c>
      <c r="B693">
        <f>IF(RAW_INPUT!A694="","",RAW_INPUT!E694)</f>
        <v/>
      </c>
      <c r="C693">
        <f>IF(RAW_INPUT!A694="","",RAW_INPUT!F694)</f>
        <v/>
      </c>
    </row>
    <row r="694">
      <c r="A694">
        <f>IF(RAW_INPUT!A695="","",RAW_INPUT!A695)</f>
        <v/>
      </c>
      <c r="B694">
        <f>IF(RAW_INPUT!A695="","",RAW_INPUT!E695)</f>
        <v/>
      </c>
      <c r="C694">
        <f>IF(RAW_INPUT!A695="","",RAW_INPUT!F695)</f>
        <v/>
      </c>
    </row>
    <row r="695">
      <c r="A695">
        <f>IF(RAW_INPUT!A696="","",RAW_INPUT!A696)</f>
        <v/>
      </c>
      <c r="B695">
        <f>IF(RAW_INPUT!A696="","",RAW_INPUT!E696)</f>
        <v/>
      </c>
      <c r="C695">
        <f>IF(RAW_INPUT!A696="","",RAW_INPUT!F696)</f>
        <v/>
      </c>
    </row>
    <row r="696">
      <c r="A696">
        <f>IF(RAW_INPUT!A697="","",RAW_INPUT!A697)</f>
        <v/>
      </c>
      <c r="B696">
        <f>IF(RAW_INPUT!A697="","",RAW_INPUT!E697)</f>
        <v/>
      </c>
      <c r="C696">
        <f>IF(RAW_INPUT!A697="","",RAW_INPUT!F697)</f>
        <v/>
      </c>
    </row>
    <row r="697">
      <c r="A697">
        <f>IF(RAW_INPUT!A698="","",RAW_INPUT!A698)</f>
        <v/>
      </c>
      <c r="B697">
        <f>IF(RAW_INPUT!A698="","",RAW_INPUT!E698)</f>
        <v/>
      </c>
      <c r="C697">
        <f>IF(RAW_INPUT!A698="","",RAW_INPUT!F698)</f>
        <v/>
      </c>
    </row>
    <row r="698">
      <c r="A698">
        <f>IF(RAW_INPUT!A699="","",RAW_INPUT!A699)</f>
        <v/>
      </c>
      <c r="B698">
        <f>IF(RAW_INPUT!A699="","",RAW_INPUT!E699)</f>
        <v/>
      </c>
      <c r="C698">
        <f>IF(RAW_INPUT!A699="","",RAW_INPUT!F699)</f>
        <v/>
      </c>
    </row>
    <row r="699">
      <c r="A699">
        <f>IF(RAW_INPUT!A700="","",RAW_INPUT!A700)</f>
        <v/>
      </c>
      <c r="B699">
        <f>IF(RAW_INPUT!A700="","",RAW_INPUT!E700)</f>
        <v/>
      </c>
      <c r="C699">
        <f>IF(RAW_INPUT!A700="","",RAW_INPUT!F700)</f>
        <v/>
      </c>
    </row>
    <row r="700">
      <c r="A700">
        <f>IF(RAW_INPUT!A701="","",RAW_INPUT!A701)</f>
        <v/>
      </c>
      <c r="B700">
        <f>IF(RAW_INPUT!A701="","",RAW_INPUT!E701)</f>
        <v/>
      </c>
      <c r="C700">
        <f>IF(RAW_INPUT!A701="","",RAW_INPUT!F701)</f>
        <v/>
      </c>
    </row>
    <row r="701">
      <c r="A701">
        <f>IF(RAW_INPUT!A702="","",RAW_INPUT!A702)</f>
        <v/>
      </c>
      <c r="B701">
        <f>IF(RAW_INPUT!A702="","",RAW_INPUT!E702)</f>
        <v/>
      </c>
      <c r="C701">
        <f>IF(RAW_INPUT!A702="","",RAW_INPUT!F702)</f>
        <v/>
      </c>
    </row>
    <row r="702">
      <c r="A702">
        <f>IF(RAW_INPUT!A703="","",RAW_INPUT!A703)</f>
        <v/>
      </c>
      <c r="B702">
        <f>IF(RAW_INPUT!A703="","",RAW_INPUT!E703)</f>
        <v/>
      </c>
      <c r="C702">
        <f>IF(RAW_INPUT!A703="","",RAW_INPUT!F703)</f>
        <v/>
      </c>
    </row>
    <row r="703">
      <c r="A703">
        <f>IF(RAW_INPUT!A704="","",RAW_INPUT!A704)</f>
        <v/>
      </c>
      <c r="B703">
        <f>IF(RAW_INPUT!A704="","",RAW_INPUT!E704)</f>
        <v/>
      </c>
      <c r="C703">
        <f>IF(RAW_INPUT!A704="","",RAW_INPUT!F704)</f>
        <v/>
      </c>
    </row>
    <row r="704">
      <c r="A704">
        <f>IF(RAW_INPUT!A705="","",RAW_INPUT!A705)</f>
        <v/>
      </c>
      <c r="B704">
        <f>IF(RAW_INPUT!A705="","",RAW_INPUT!E705)</f>
        <v/>
      </c>
      <c r="C704">
        <f>IF(RAW_INPUT!A705="","",RAW_INPUT!F705)</f>
        <v/>
      </c>
    </row>
    <row r="705">
      <c r="A705">
        <f>IF(RAW_INPUT!A706="","",RAW_INPUT!A706)</f>
        <v/>
      </c>
      <c r="B705">
        <f>IF(RAW_INPUT!A706="","",RAW_INPUT!E706)</f>
        <v/>
      </c>
      <c r="C705">
        <f>IF(RAW_INPUT!A706="","",RAW_INPUT!F706)</f>
        <v/>
      </c>
    </row>
    <row r="706">
      <c r="A706">
        <f>IF(RAW_INPUT!A707="","",RAW_INPUT!A707)</f>
        <v/>
      </c>
      <c r="B706">
        <f>IF(RAW_INPUT!A707="","",RAW_INPUT!E707)</f>
        <v/>
      </c>
      <c r="C706">
        <f>IF(RAW_INPUT!A707="","",RAW_INPUT!F707)</f>
        <v/>
      </c>
    </row>
    <row r="707">
      <c r="A707">
        <f>IF(RAW_INPUT!A708="","",RAW_INPUT!A708)</f>
        <v/>
      </c>
      <c r="B707">
        <f>IF(RAW_INPUT!A708="","",RAW_INPUT!E708)</f>
        <v/>
      </c>
      <c r="C707">
        <f>IF(RAW_INPUT!A708="","",RAW_INPUT!F708)</f>
        <v/>
      </c>
    </row>
    <row r="708">
      <c r="A708">
        <f>IF(RAW_INPUT!A709="","",RAW_INPUT!A709)</f>
        <v/>
      </c>
      <c r="B708">
        <f>IF(RAW_INPUT!A709="","",RAW_INPUT!E709)</f>
        <v/>
      </c>
      <c r="C708">
        <f>IF(RAW_INPUT!A709="","",RAW_INPUT!F709)</f>
        <v/>
      </c>
    </row>
    <row r="709">
      <c r="A709">
        <f>IF(RAW_INPUT!A710="","",RAW_INPUT!A710)</f>
        <v/>
      </c>
      <c r="B709">
        <f>IF(RAW_INPUT!A710="","",RAW_INPUT!E710)</f>
        <v/>
      </c>
      <c r="C709">
        <f>IF(RAW_INPUT!A710="","",RAW_INPUT!F710)</f>
        <v/>
      </c>
    </row>
    <row r="710">
      <c r="A710">
        <f>IF(RAW_INPUT!A711="","",RAW_INPUT!A711)</f>
        <v/>
      </c>
      <c r="B710">
        <f>IF(RAW_INPUT!A711="","",RAW_INPUT!E711)</f>
        <v/>
      </c>
      <c r="C710">
        <f>IF(RAW_INPUT!A711="","",RAW_INPUT!F711)</f>
        <v/>
      </c>
    </row>
    <row r="711">
      <c r="A711">
        <f>IF(RAW_INPUT!A712="","",RAW_INPUT!A712)</f>
        <v/>
      </c>
      <c r="B711">
        <f>IF(RAW_INPUT!A712="","",RAW_INPUT!E712)</f>
        <v/>
      </c>
      <c r="C711">
        <f>IF(RAW_INPUT!A712="","",RAW_INPUT!F712)</f>
        <v/>
      </c>
    </row>
    <row r="712">
      <c r="A712">
        <f>IF(RAW_INPUT!A713="","",RAW_INPUT!A713)</f>
        <v/>
      </c>
      <c r="B712">
        <f>IF(RAW_INPUT!A713="","",RAW_INPUT!E713)</f>
        <v/>
      </c>
      <c r="C712">
        <f>IF(RAW_INPUT!A713="","",RAW_INPUT!F713)</f>
        <v/>
      </c>
    </row>
    <row r="713">
      <c r="A713">
        <f>IF(RAW_INPUT!A714="","",RAW_INPUT!A714)</f>
        <v/>
      </c>
      <c r="B713">
        <f>IF(RAW_INPUT!A714="","",RAW_INPUT!E714)</f>
        <v/>
      </c>
      <c r="C713">
        <f>IF(RAW_INPUT!A714="","",RAW_INPUT!F714)</f>
        <v/>
      </c>
    </row>
    <row r="714">
      <c r="A714">
        <f>IF(RAW_INPUT!A715="","",RAW_INPUT!A715)</f>
        <v/>
      </c>
      <c r="B714">
        <f>IF(RAW_INPUT!A715="","",RAW_INPUT!E715)</f>
        <v/>
      </c>
      <c r="C714">
        <f>IF(RAW_INPUT!A715="","",RAW_INPUT!F715)</f>
        <v/>
      </c>
    </row>
    <row r="715">
      <c r="A715">
        <f>IF(RAW_INPUT!A716="","",RAW_INPUT!A716)</f>
        <v/>
      </c>
      <c r="B715">
        <f>IF(RAW_INPUT!A716="","",RAW_INPUT!E716)</f>
        <v/>
      </c>
      <c r="C715">
        <f>IF(RAW_INPUT!A716="","",RAW_INPUT!F716)</f>
        <v/>
      </c>
    </row>
    <row r="716">
      <c r="A716">
        <f>IF(RAW_INPUT!A717="","",RAW_INPUT!A717)</f>
        <v/>
      </c>
      <c r="B716">
        <f>IF(RAW_INPUT!A717="","",RAW_INPUT!E717)</f>
        <v/>
      </c>
      <c r="C716">
        <f>IF(RAW_INPUT!A717="","",RAW_INPUT!F717)</f>
        <v/>
      </c>
    </row>
    <row r="717">
      <c r="A717">
        <f>IF(RAW_INPUT!A718="","",RAW_INPUT!A718)</f>
        <v/>
      </c>
      <c r="B717">
        <f>IF(RAW_INPUT!A718="","",RAW_INPUT!E718)</f>
        <v/>
      </c>
      <c r="C717">
        <f>IF(RAW_INPUT!A718="","",RAW_INPUT!F718)</f>
        <v/>
      </c>
    </row>
    <row r="718">
      <c r="A718">
        <f>IF(RAW_INPUT!A719="","",RAW_INPUT!A719)</f>
        <v/>
      </c>
      <c r="B718">
        <f>IF(RAW_INPUT!A719="","",RAW_INPUT!E719)</f>
        <v/>
      </c>
      <c r="C718">
        <f>IF(RAW_INPUT!A719="","",RAW_INPUT!F719)</f>
        <v/>
      </c>
    </row>
    <row r="719">
      <c r="A719">
        <f>IF(RAW_INPUT!A720="","",RAW_INPUT!A720)</f>
        <v/>
      </c>
      <c r="B719">
        <f>IF(RAW_INPUT!A720="","",RAW_INPUT!E720)</f>
        <v/>
      </c>
      <c r="C719">
        <f>IF(RAW_INPUT!A720="","",RAW_INPUT!F720)</f>
        <v/>
      </c>
    </row>
    <row r="720">
      <c r="A720">
        <f>IF(RAW_INPUT!A721="","",RAW_INPUT!A721)</f>
        <v/>
      </c>
      <c r="B720">
        <f>IF(RAW_INPUT!A721="","",RAW_INPUT!E721)</f>
        <v/>
      </c>
      <c r="C720">
        <f>IF(RAW_INPUT!A721="","",RAW_INPUT!F721)</f>
        <v/>
      </c>
    </row>
    <row r="721">
      <c r="A721">
        <f>IF(RAW_INPUT!A722="","",RAW_INPUT!A722)</f>
        <v/>
      </c>
      <c r="B721">
        <f>IF(RAW_INPUT!A722="","",RAW_INPUT!E722)</f>
        <v/>
      </c>
      <c r="C721">
        <f>IF(RAW_INPUT!A722="","",RAW_INPUT!F722)</f>
        <v/>
      </c>
    </row>
    <row r="722">
      <c r="A722">
        <f>IF(RAW_INPUT!A723="","",RAW_INPUT!A723)</f>
        <v/>
      </c>
      <c r="B722">
        <f>IF(RAW_INPUT!A723="","",RAW_INPUT!E723)</f>
        <v/>
      </c>
      <c r="C722">
        <f>IF(RAW_INPUT!A723="","",RAW_INPUT!F723)</f>
        <v/>
      </c>
    </row>
    <row r="723">
      <c r="A723">
        <f>IF(RAW_INPUT!A724="","",RAW_INPUT!A724)</f>
        <v/>
      </c>
      <c r="B723">
        <f>IF(RAW_INPUT!A724="","",RAW_INPUT!E724)</f>
        <v/>
      </c>
      <c r="C723">
        <f>IF(RAW_INPUT!A724="","",RAW_INPUT!F724)</f>
        <v/>
      </c>
    </row>
    <row r="724">
      <c r="A724">
        <f>IF(RAW_INPUT!A725="","",RAW_INPUT!A725)</f>
        <v/>
      </c>
      <c r="B724">
        <f>IF(RAW_INPUT!A725="","",RAW_INPUT!E725)</f>
        <v/>
      </c>
      <c r="C724">
        <f>IF(RAW_INPUT!A725="","",RAW_INPUT!F725)</f>
        <v/>
      </c>
    </row>
    <row r="725">
      <c r="A725">
        <f>IF(RAW_INPUT!A726="","",RAW_INPUT!A726)</f>
        <v/>
      </c>
      <c r="B725">
        <f>IF(RAW_INPUT!A726="","",RAW_INPUT!E726)</f>
        <v/>
      </c>
      <c r="C725">
        <f>IF(RAW_INPUT!A726="","",RAW_INPUT!F726)</f>
        <v/>
      </c>
    </row>
    <row r="726">
      <c r="A726">
        <f>IF(RAW_INPUT!A727="","",RAW_INPUT!A727)</f>
        <v/>
      </c>
      <c r="B726">
        <f>IF(RAW_INPUT!A727="","",RAW_INPUT!E727)</f>
        <v/>
      </c>
      <c r="C726">
        <f>IF(RAW_INPUT!A727="","",RAW_INPUT!F727)</f>
        <v/>
      </c>
    </row>
    <row r="727">
      <c r="A727">
        <f>IF(RAW_INPUT!A728="","",RAW_INPUT!A728)</f>
        <v/>
      </c>
      <c r="B727">
        <f>IF(RAW_INPUT!A728="","",RAW_INPUT!E728)</f>
        <v/>
      </c>
      <c r="C727">
        <f>IF(RAW_INPUT!A728="","",RAW_INPUT!F728)</f>
        <v/>
      </c>
    </row>
    <row r="728">
      <c r="A728">
        <f>IF(RAW_INPUT!A729="","",RAW_INPUT!A729)</f>
        <v/>
      </c>
      <c r="B728">
        <f>IF(RAW_INPUT!A729="","",RAW_INPUT!E729)</f>
        <v/>
      </c>
      <c r="C728">
        <f>IF(RAW_INPUT!A729="","",RAW_INPUT!F729)</f>
        <v/>
      </c>
    </row>
    <row r="729">
      <c r="A729">
        <f>IF(RAW_INPUT!A730="","",RAW_INPUT!A730)</f>
        <v/>
      </c>
      <c r="B729">
        <f>IF(RAW_INPUT!A730="","",RAW_INPUT!E730)</f>
        <v/>
      </c>
      <c r="C729">
        <f>IF(RAW_INPUT!A730="","",RAW_INPUT!F730)</f>
        <v/>
      </c>
    </row>
    <row r="730">
      <c r="A730">
        <f>IF(RAW_INPUT!A731="","",RAW_INPUT!A731)</f>
        <v/>
      </c>
      <c r="B730">
        <f>IF(RAW_INPUT!A731="","",RAW_INPUT!E731)</f>
        <v/>
      </c>
      <c r="C730">
        <f>IF(RAW_INPUT!A731="","",RAW_INPUT!F731)</f>
        <v/>
      </c>
    </row>
    <row r="731">
      <c r="A731">
        <f>IF(RAW_INPUT!A732="","",RAW_INPUT!A732)</f>
        <v/>
      </c>
      <c r="B731">
        <f>IF(RAW_INPUT!A732="","",RAW_INPUT!E732)</f>
        <v/>
      </c>
      <c r="C731">
        <f>IF(RAW_INPUT!A732="","",RAW_INPUT!F732)</f>
        <v/>
      </c>
    </row>
    <row r="732">
      <c r="A732">
        <f>IF(RAW_INPUT!A733="","",RAW_INPUT!A733)</f>
        <v/>
      </c>
      <c r="B732">
        <f>IF(RAW_INPUT!A733="","",RAW_INPUT!E733)</f>
        <v/>
      </c>
      <c r="C732">
        <f>IF(RAW_INPUT!A733="","",RAW_INPUT!F733)</f>
        <v/>
      </c>
    </row>
    <row r="733">
      <c r="A733">
        <f>IF(RAW_INPUT!A734="","",RAW_INPUT!A734)</f>
        <v/>
      </c>
      <c r="B733">
        <f>IF(RAW_INPUT!A734="","",RAW_INPUT!E734)</f>
        <v/>
      </c>
      <c r="C733">
        <f>IF(RAW_INPUT!A734="","",RAW_INPUT!F734)</f>
        <v/>
      </c>
    </row>
    <row r="734">
      <c r="A734">
        <f>IF(RAW_INPUT!A735="","",RAW_INPUT!A735)</f>
        <v/>
      </c>
      <c r="B734">
        <f>IF(RAW_INPUT!A735="","",RAW_INPUT!E735)</f>
        <v/>
      </c>
      <c r="C734">
        <f>IF(RAW_INPUT!A735="","",RAW_INPUT!F735)</f>
        <v/>
      </c>
    </row>
    <row r="735">
      <c r="A735">
        <f>IF(RAW_INPUT!A736="","",RAW_INPUT!A736)</f>
        <v/>
      </c>
      <c r="B735">
        <f>IF(RAW_INPUT!A736="","",RAW_INPUT!E736)</f>
        <v/>
      </c>
      <c r="C735">
        <f>IF(RAW_INPUT!A736="","",RAW_INPUT!F736)</f>
        <v/>
      </c>
    </row>
    <row r="736">
      <c r="A736">
        <f>IF(RAW_INPUT!A737="","",RAW_INPUT!A737)</f>
        <v/>
      </c>
      <c r="B736">
        <f>IF(RAW_INPUT!A737="","",RAW_INPUT!E737)</f>
        <v/>
      </c>
      <c r="C736">
        <f>IF(RAW_INPUT!A737="","",RAW_INPUT!F737)</f>
        <v/>
      </c>
    </row>
    <row r="737">
      <c r="A737">
        <f>IF(RAW_INPUT!A738="","",RAW_INPUT!A738)</f>
        <v/>
      </c>
      <c r="B737">
        <f>IF(RAW_INPUT!A738="","",RAW_INPUT!E738)</f>
        <v/>
      </c>
      <c r="C737">
        <f>IF(RAW_INPUT!A738="","",RAW_INPUT!F738)</f>
        <v/>
      </c>
    </row>
    <row r="738">
      <c r="A738">
        <f>IF(RAW_INPUT!A739="","",RAW_INPUT!A739)</f>
        <v/>
      </c>
      <c r="B738">
        <f>IF(RAW_INPUT!A739="","",RAW_INPUT!E739)</f>
        <v/>
      </c>
      <c r="C738">
        <f>IF(RAW_INPUT!A739="","",RAW_INPUT!F739)</f>
        <v/>
      </c>
    </row>
    <row r="739">
      <c r="A739">
        <f>IF(RAW_INPUT!A740="","",RAW_INPUT!A740)</f>
        <v/>
      </c>
      <c r="B739">
        <f>IF(RAW_INPUT!A740="","",RAW_INPUT!E740)</f>
        <v/>
      </c>
      <c r="C739">
        <f>IF(RAW_INPUT!A740="","",RAW_INPUT!F740)</f>
        <v/>
      </c>
    </row>
    <row r="740">
      <c r="A740">
        <f>IF(RAW_INPUT!A741="","",RAW_INPUT!A741)</f>
        <v/>
      </c>
      <c r="B740">
        <f>IF(RAW_INPUT!A741="","",RAW_INPUT!E741)</f>
        <v/>
      </c>
      <c r="C740">
        <f>IF(RAW_INPUT!A741="","",RAW_INPUT!F741)</f>
        <v/>
      </c>
    </row>
    <row r="741">
      <c r="A741">
        <f>IF(RAW_INPUT!A742="","",RAW_INPUT!A742)</f>
        <v/>
      </c>
      <c r="B741">
        <f>IF(RAW_INPUT!A742="","",RAW_INPUT!E742)</f>
        <v/>
      </c>
      <c r="C741">
        <f>IF(RAW_INPUT!A742="","",RAW_INPUT!F742)</f>
        <v/>
      </c>
    </row>
    <row r="742">
      <c r="A742">
        <f>IF(RAW_INPUT!A743="","",RAW_INPUT!A743)</f>
        <v/>
      </c>
      <c r="B742">
        <f>IF(RAW_INPUT!A743="","",RAW_INPUT!E743)</f>
        <v/>
      </c>
      <c r="C742">
        <f>IF(RAW_INPUT!A743="","",RAW_INPUT!F743)</f>
        <v/>
      </c>
    </row>
    <row r="743">
      <c r="A743">
        <f>IF(RAW_INPUT!A744="","",RAW_INPUT!A744)</f>
        <v/>
      </c>
      <c r="B743">
        <f>IF(RAW_INPUT!A744="","",RAW_INPUT!E744)</f>
        <v/>
      </c>
      <c r="C743">
        <f>IF(RAW_INPUT!A744="","",RAW_INPUT!F744)</f>
        <v/>
      </c>
    </row>
    <row r="744">
      <c r="A744">
        <f>IF(RAW_INPUT!A745="","",RAW_INPUT!A745)</f>
        <v/>
      </c>
      <c r="B744">
        <f>IF(RAW_INPUT!A745="","",RAW_INPUT!E745)</f>
        <v/>
      </c>
      <c r="C744">
        <f>IF(RAW_INPUT!A745="","",RAW_INPUT!F745)</f>
        <v/>
      </c>
    </row>
    <row r="745">
      <c r="A745">
        <f>IF(RAW_INPUT!A746="","",RAW_INPUT!A746)</f>
        <v/>
      </c>
      <c r="B745">
        <f>IF(RAW_INPUT!A746="","",RAW_INPUT!E746)</f>
        <v/>
      </c>
      <c r="C745">
        <f>IF(RAW_INPUT!A746="","",RAW_INPUT!F746)</f>
        <v/>
      </c>
    </row>
    <row r="746">
      <c r="A746">
        <f>IF(RAW_INPUT!A747="","",RAW_INPUT!A747)</f>
        <v/>
      </c>
      <c r="B746">
        <f>IF(RAW_INPUT!A747="","",RAW_INPUT!E747)</f>
        <v/>
      </c>
      <c r="C746">
        <f>IF(RAW_INPUT!A747="","",RAW_INPUT!F747)</f>
        <v/>
      </c>
    </row>
    <row r="747">
      <c r="A747">
        <f>IF(RAW_INPUT!A748="","",RAW_INPUT!A748)</f>
        <v/>
      </c>
      <c r="B747">
        <f>IF(RAW_INPUT!A748="","",RAW_INPUT!E748)</f>
        <v/>
      </c>
      <c r="C747">
        <f>IF(RAW_INPUT!A748="","",RAW_INPUT!F748)</f>
        <v/>
      </c>
    </row>
    <row r="748">
      <c r="A748">
        <f>IF(RAW_INPUT!A749="","",RAW_INPUT!A749)</f>
        <v/>
      </c>
      <c r="B748">
        <f>IF(RAW_INPUT!A749="","",RAW_INPUT!E749)</f>
        <v/>
      </c>
      <c r="C748">
        <f>IF(RAW_INPUT!A749="","",RAW_INPUT!F749)</f>
        <v/>
      </c>
    </row>
    <row r="749">
      <c r="A749">
        <f>IF(RAW_INPUT!A750="","",RAW_INPUT!A750)</f>
        <v/>
      </c>
      <c r="B749">
        <f>IF(RAW_INPUT!A750="","",RAW_INPUT!E750)</f>
        <v/>
      </c>
      <c r="C749">
        <f>IF(RAW_INPUT!A750="","",RAW_INPUT!F750)</f>
        <v/>
      </c>
    </row>
    <row r="750">
      <c r="A750">
        <f>IF(RAW_INPUT!A751="","",RAW_INPUT!A751)</f>
        <v/>
      </c>
      <c r="B750">
        <f>IF(RAW_INPUT!A751="","",RAW_INPUT!E751)</f>
        <v/>
      </c>
      <c r="C750">
        <f>IF(RAW_INPUT!A751="","",RAW_INPUT!F751)</f>
        <v/>
      </c>
    </row>
    <row r="751">
      <c r="A751">
        <f>IF(RAW_INPUT!A752="","",RAW_INPUT!A752)</f>
        <v/>
      </c>
      <c r="B751">
        <f>IF(RAW_INPUT!A752="","",RAW_INPUT!E752)</f>
        <v/>
      </c>
      <c r="C751">
        <f>IF(RAW_INPUT!A752="","",RAW_INPUT!F752)</f>
        <v/>
      </c>
    </row>
    <row r="752">
      <c r="A752">
        <f>IF(RAW_INPUT!A753="","",RAW_INPUT!A753)</f>
        <v/>
      </c>
      <c r="B752">
        <f>IF(RAW_INPUT!A753="","",RAW_INPUT!E753)</f>
        <v/>
      </c>
      <c r="C752">
        <f>IF(RAW_INPUT!A753="","",RAW_INPUT!F753)</f>
        <v/>
      </c>
    </row>
    <row r="753">
      <c r="A753">
        <f>IF(RAW_INPUT!A754="","",RAW_INPUT!A754)</f>
        <v/>
      </c>
      <c r="B753">
        <f>IF(RAW_INPUT!A754="","",RAW_INPUT!E754)</f>
        <v/>
      </c>
      <c r="C753">
        <f>IF(RAW_INPUT!A754="","",RAW_INPUT!F754)</f>
        <v/>
      </c>
    </row>
    <row r="754">
      <c r="A754">
        <f>IF(RAW_INPUT!A755="","",RAW_INPUT!A755)</f>
        <v/>
      </c>
      <c r="B754">
        <f>IF(RAW_INPUT!A755="","",RAW_INPUT!E755)</f>
        <v/>
      </c>
      <c r="C754">
        <f>IF(RAW_INPUT!A755="","",RAW_INPUT!F755)</f>
        <v/>
      </c>
    </row>
    <row r="755">
      <c r="A755">
        <f>IF(RAW_INPUT!A756="","",RAW_INPUT!A756)</f>
        <v/>
      </c>
      <c r="B755">
        <f>IF(RAW_INPUT!A756="","",RAW_INPUT!E756)</f>
        <v/>
      </c>
      <c r="C755">
        <f>IF(RAW_INPUT!A756="","",RAW_INPUT!F756)</f>
        <v/>
      </c>
    </row>
    <row r="756">
      <c r="A756">
        <f>IF(RAW_INPUT!A757="","",RAW_INPUT!A757)</f>
        <v/>
      </c>
      <c r="B756">
        <f>IF(RAW_INPUT!A757="","",RAW_INPUT!E757)</f>
        <v/>
      </c>
      <c r="C756">
        <f>IF(RAW_INPUT!A757="","",RAW_INPUT!F757)</f>
        <v/>
      </c>
    </row>
    <row r="757">
      <c r="A757">
        <f>IF(RAW_INPUT!A758="","",RAW_INPUT!A758)</f>
        <v/>
      </c>
      <c r="B757">
        <f>IF(RAW_INPUT!A758="","",RAW_INPUT!E758)</f>
        <v/>
      </c>
      <c r="C757">
        <f>IF(RAW_INPUT!A758="","",RAW_INPUT!F758)</f>
        <v/>
      </c>
    </row>
    <row r="758">
      <c r="A758">
        <f>IF(RAW_INPUT!A759="","",RAW_INPUT!A759)</f>
        <v/>
      </c>
      <c r="B758">
        <f>IF(RAW_INPUT!A759="","",RAW_INPUT!E759)</f>
        <v/>
      </c>
      <c r="C758">
        <f>IF(RAW_INPUT!A759="","",RAW_INPUT!F759)</f>
        <v/>
      </c>
    </row>
    <row r="759">
      <c r="A759">
        <f>IF(RAW_INPUT!A760="","",RAW_INPUT!A760)</f>
        <v/>
      </c>
      <c r="B759">
        <f>IF(RAW_INPUT!A760="","",RAW_INPUT!E760)</f>
        <v/>
      </c>
      <c r="C759">
        <f>IF(RAW_INPUT!A760="","",RAW_INPUT!F760)</f>
        <v/>
      </c>
    </row>
    <row r="760">
      <c r="A760">
        <f>IF(RAW_INPUT!A761="","",RAW_INPUT!A761)</f>
        <v/>
      </c>
      <c r="B760">
        <f>IF(RAW_INPUT!A761="","",RAW_INPUT!E761)</f>
        <v/>
      </c>
      <c r="C760">
        <f>IF(RAW_INPUT!A761="","",RAW_INPUT!F761)</f>
        <v/>
      </c>
    </row>
    <row r="761">
      <c r="A761">
        <f>IF(RAW_INPUT!A762="","",RAW_INPUT!A762)</f>
        <v/>
      </c>
      <c r="B761">
        <f>IF(RAW_INPUT!A762="","",RAW_INPUT!E762)</f>
        <v/>
      </c>
      <c r="C761">
        <f>IF(RAW_INPUT!A762="","",RAW_INPUT!F762)</f>
        <v/>
      </c>
    </row>
    <row r="762">
      <c r="A762">
        <f>IF(RAW_INPUT!A763="","",RAW_INPUT!A763)</f>
        <v/>
      </c>
      <c r="B762">
        <f>IF(RAW_INPUT!A763="","",RAW_INPUT!E763)</f>
        <v/>
      </c>
      <c r="C762">
        <f>IF(RAW_INPUT!A763="","",RAW_INPUT!F763)</f>
        <v/>
      </c>
    </row>
    <row r="763">
      <c r="A763">
        <f>IF(RAW_INPUT!A764="","",RAW_INPUT!A764)</f>
        <v/>
      </c>
      <c r="B763">
        <f>IF(RAW_INPUT!A764="","",RAW_INPUT!E764)</f>
        <v/>
      </c>
      <c r="C763">
        <f>IF(RAW_INPUT!A764="","",RAW_INPUT!F764)</f>
        <v/>
      </c>
    </row>
    <row r="764">
      <c r="A764">
        <f>IF(RAW_INPUT!A765="","",RAW_INPUT!A765)</f>
        <v/>
      </c>
      <c r="B764">
        <f>IF(RAW_INPUT!A765="","",RAW_INPUT!E765)</f>
        <v/>
      </c>
      <c r="C764">
        <f>IF(RAW_INPUT!A765="","",RAW_INPUT!F765)</f>
        <v/>
      </c>
    </row>
    <row r="765">
      <c r="A765">
        <f>IF(RAW_INPUT!A766="","",RAW_INPUT!A766)</f>
        <v/>
      </c>
      <c r="B765">
        <f>IF(RAW_INPUT!A766="","",RAW_INPUT!E766)</f>
        <v/>
      </c>
      <c r="C765">
        <f>IF(RAW_INPUT!A766="","",RAW_INPUT!F766)</f>
        <v/>
      </c>
    </row>
    <row r="766">
      <c r="A766">
        <f>IF(RAW_INPUT!A767="","",RAW_INPUT!A767)</f>
        <v/>
      </c>
      <c r="B766">
        <f>IF(RAW_INPUT!A767="","",RAW_INPUT!E767)</f>
        <v/>
      </c>
      <c r="C766">
        <f>IF(RAW_INPUT!A767="","",RAW_INPUT!F767)</f>
        <v/>
      </c>
    </row>
    <row r="767">
      <c r="A767">
        <f>IF(RAW_INPUT!A768="","",RAW_INPUT!A768)</f>
        <v/>
      </c>
      <c r="B767">
        <f>IF(RAW_INPUT!A768="","",RAW_INPUT!E768)</f>
        <v/>
      </c>
      <c r="C767">
        <f>IF(RAW_INPUT!A768="","",RAW_INPUT!F768)</f>
        <v/>
      </c>
    </row>
    <row r="768">
      <c r="A768">
        <f>IF(RAW_INPUT!A769="","",RAW_INPUT!A769)</f>
        <v/>
      </c>
      <c r="B768">
        <f>IF(RAW_INPUT!A769="","",RAW_INPUT!E769)</f>
        <v/>
      </c>
      <c r="C768">
        <f>IF(RAW_INPUT!A769="","",RAW_INPUT!F769)</f>
        <v/>
      </c>
    </row>
    <row r="769">
      <c r="A769">
        <f>IF(RAW_INPUT!A770="","",RAW_INPUT!A770)</f>
        <v/>
      </c>
      <c r="B769">
        <f>IF(RAW_INPUT!A770="","",RAW_INPUT!E770)</f>
        <v/>
      </c>
      <c r="C769">
        <f>IF(RAW_INPUT!A770="","",RAW_INPUT!F770)</f>
        <v/>
      </c>
    </row>
    <row r="770">
      <c r="A770">
        <f>IF(RAW_INPUT!A771="","",RAW_INPUT!A771)</f>
        <v/>
      </c>
      <c r="B770">
        <f>IF(RAW_INPUT!A771="","",RAW_INPUT!E771)</f>
        <v/>
      </c>
      <c r="C770">
        <f>IF(RAW_INPUT!A771="","",RAW_INPUT!F771)</f>
        <v/>
      </c>
    </row>
    <row r="771">
      <c r="A771">
        <f>IF(RAW_INPUT!A772="","",RAW_INPUT!A772)</f>
        <v/>
      </c>
      <c r="B771">
        <f>IF(RAW_INPUT!A772="","",RAW_INPUT!E772)</f>
        <v/>
      </c>
      <c r="C771">
        <f>IF(RAW_INPUT!A772="","",RAW_INPUT!F772)</f>
        <v/>
      </c>
    </row>
    <row r="772">
      <c r="A772">
        <f>IF(RAW_INPUT!A773="","",RAW_INPUT!A773)</f>
        <v/>
      </c>
      <c r="B772">
        <f>IF(RAW_INPUT!A773="","",RAW_INPUT!E773)</f>
        <v/>
      </c>
      <c r="C772">
        <f>IF(RAW_INPUT!A773="","",RAW_INPUT!F773)</f>
        <v/>
      </c>
    </row>
    <row r="773">
      <c r="A773">
        <f>IF(RAW_INPUT!A774="","",RAW_INPUT!A774)</f>
        <v/>
      </c>
      <c r="B773">
        <f>IF(RAW_INPUT!A774="","",RAW_INPUT!E774)</f>
        <v/>
      </c>
      <c r="C773">
        <f>IF(RAW_INPUT!A774="","",RAW_INPUT!F774)</f>
        <v/>
      </c>
    </row>
    <row r="774">
      <c r="A774">
        <f>IF(RAW_INPUT!A775="","",RAW_INPUT!A775)</f>
        <v/>
      </c>
      <c r="B774">
        <f>IF(RAW_INPUT!A775="","",RAW_INPUT!E775)</f>
        <v/>
      </c>
      <c r="C774">
        <f>IF(RAW_INPUT!A775="","",RAW_INPUT!F775)</f>
        <v/>
      </c>
    </row>
    <row r="775">
      <c r="A775">
        <f>IF(RAW_INPUT!A776="","",RAW_INPUT!A776)</f>
        <v/>
      </c>
      <c r="B775">
        <f>IF(RAW_INPUT!A776="","",RAW_INPUT!E776)</f>
        <v/>
      </c>
      <c r="C775">
        <f>IF(RAW_INPUT!A776="","",RAW_INPUT!F776)</f>
        <v/>
      </c>
    </row>
    <row r="776">
      <c r="A776">
        <f>IF(RAW_INPUT!A777="","",RAW_INPUT!A777)</f>
        <v/>
      </c>
      <c r="B776">
        <f>IF(RAW_INPUT!A777="","",RAW_INPUT!E777)</f>
        <v/>
      </c>
      <c r="C776">
        <f>IF(RAW_INPUT!A777="","",RAW_INPUT!F777)</f>
        <v/>
      </c>
    </row>
    <row r="777">
      <c r="A777">
        <f>IF(RAW_INPUT!A778="","",RAW_INPUT!A778)</f>
        <v/>
      </c>
      <c r="B777">
        <f>IF(RAW_INPUT!A778="","",RAW_INPUT!E778)</f>
        <v/>
      </c>
      <c r="C777">
        <f>IF(RAW_INPUT!A778="","",RAW_INPUT!F778)</f>
        <v/>
      </c>
    </row>
    <row r="778">
      <c r="A778">
        <f>IF(RAW_INPUT!A779="","",RAW_INPUT!A779)</f>
        <v/>
      </c>
      <c r="B778">
        <f>IF(RAW_INPUT!A779="","",RAW_INPUT!E779)</f>
        <v/>
      </c>
      <c r="C778">
        <f>IF(RAW_INPUT!A779="","",RAW_INPUT!F779)</f>
        <v/>
      </c>
    </row>
    <row r="779">
      <c r="A779">
        <f>IF(RAW_INPUT!A780="","",RAW_INPUT!A780)</f>
        <v/>
      </c>
      <c r="B779">
        <f>IF(RAW_INPUT!A780="","",RAW_INPUT!E780)</f>
        <v/>
      </c>
      <c r="C779">
        <f>IF(RAW_INPUT!A780="","",RAW_INPUT!F780)</f>
        <v/>
      </c>
    </row>
    <row r="780">
      <c r="A780">
        <f>IF(RAW_INPUT!A781="","",RAW_INPUT!A781)</f>
        <v/>
      </c>
      <c r="B780">
        <f>IF(RAW_INPUT!A781="","",RAW_INPUT!E781)</f>
        <v/>
      </c>
      <c r="C780">
        <f>IF(RAW_INPUT!A781="","",RAW_INPUT!F781)</f>
        <v/>
      </c>
    </row>
    <row r="781">
      <c r="A781">
        <f>IF(RAW_INPUT!A782="","",RAW_INPUT!A782)</f>
        <v/>
      </c>
      <c r="B781">
        <f>IF(RAW_INPUT!A782="","",RAW_INPUT!E782)</f>
        <v/>
      </c>
      <c r="C781">
        <f>IF(RAW_INPUT!A782="","",RAW_INPUT!F782)</f>
        <v/>
      </c>
    </row>
    <row r="782">
      <c r="A782">
        <f>IF(RAW_INPUT!A783="","",RAW_INPUT!A783)</f>
        <v/>
      </c>
      <c r="B782">
        <f>IF(RAW_INPUT!A783="","",RAW_INPUT!E783)</f>
        <v/>
      </c>
      <c r="C782">
        <f>IF(RAW_INPUT!A783="","",RAW_INPUT!F783)</f>
        <v/>
      </c>
    </row>
    <row r="783">
      <c r="A783">
        <f>IF(RAW_INPUT!A784="","",RAW_INPUT!A784)</f>
        <v/>
      </c>
      <c r="B783">
        <f>IF(RAW_INPUT!A784="","",RAW_INPUT!E784)</f>
        <v/>
      </c>
      <c r="C783">
        <f>IF(RAW_INPUT!A784="","",RAW_INPUT!F784)</f>
        <v/>
      </c>
    </row>
    <row r="784">
      <c r="A784">
        <f>IF(RAW_INPUT!A785="","",RAW_INPUT!A785)</f>
        <v/>
      </c>
      <c r="B784">
        <f>IF(RAW_INPUT!A785="","",RAW_INPUT!E785)</f>
        <v/>
      </c>
      <c r="C784">
        <f>IF(RAW_INPUT!A785="","",RAW_INPUT!F785)</f>
        <v/>
      </c>
    </row>
    <row r="785">
      <c r="A785">
        <f>IF(RAW_INPUT!A786="","",RAW_INPUT!A786)</f>
        <v/>
      </c>
      <c r="B785">
        <f>IF(RAW_INPUT!A786="","",RAW_INPUT!E786)</f>
        <v/>
      </c>
      <c r="C785">
        <f>IF(RAW_INPUT!A786="","",RAW_INPUT!F786)</f>
        <v/>
      </c>
    </row>
    <row r="786">
      <c r="A786">
        <f>IF(RAW_INPUT!A787="","",RAW_INPUT!A787)</f>
        <v/>
      </c>
      <c r="B786">
        <f>IF(RAW_INPUT!A787="","",RAW_INPUT!E787)</f>
        <v/>
      </c>
      <c r="C786">
        <f>IF(RAW_INPUT!A787="","",RAW_INPUT!F787)</f>
        <v/>
      </c>
    </row>
    <row r="787">
      <c r="A787">
        <f>IF(RAW_INPUT!A788="","",RAW_INPUT!A788)</f>
        <v/>
      </c>
      <c r="B787">
        <f>IF(RAW_INPUT!A788="","",RAW_INPUT!E788)</f>
        <v/>
      </c>
      <c r="C787">
        <f>IF(RAW_INPUT!A788="","",RAW_INPUT!F788)</f>
        <v/>
      </c>
    </row>
    <row r="788">
      <c r="A788">
        <f>IF(RAW_INPUT!A789="","",RAW_INPUT!A789)</f>
        <v/>
      </c>
      <c r="B788">
        <f>IF(RAW_INPUT!A789="","",RAW_INPUT!E789)</f>
        <v/>
      </c>
      <c r="C788">
        <f>IF(RAW_INPUT!A789="","",RAW_INPUT!F789)</f>
        <v/>
      </c>
    </row>
    <row r="789">
      <c r="A789">
        <f>IF(RAW_INPUT!A790="","",RAW_INPUT!A790)</f>
        <v/>
      </c>
      <c r="B789">
        <f>IF(RAW_INPUT!A790="","",RAW_INPUT!E790)</f>
        <v/>
      </c>
      <c r="C789">
        <f>IF(RAW_INPUT!A790="","",RAW_INPUT!F790)</f>
        <v/>
      </c>
    </row>
    <row r="790">
      <c r="A790">
        <f>IF(RAW_INPUT!A791="","",RAW_INPUT!A791)</f>
        <v/>
      </c>
      <c r="B790">
        <f>IF(RAW_INPUT!A791="","",RAW_INPUT!E791)</f>
        <v/>
      </c>
      <c r="C790">
        <f>IF(RAW_INPUT!A791="","",RAW_INPUT!F791)</f>
        <v/>
      </c>
    </row>
    <row r="791">
      <c r="A791">
        <f>IF(RAW_INPUT!A792="","",RAW_INPUT!A792)</f>
        <v/>
      </c>
      <c r="B791">
        <f>IF(RAW_INPUT!A792="","",RAW_INPUT!E792)</f>
        <v/>
      </c>
      <c r="C791">
        <f>IF(RAW_INPUT!A792="","",RAW_INPUT!F792)</f>
        <v/>
      </c>
    </row>
    <row r="792">
      <c r="A792">
        <f>IF(RAW_INPUT!A793="","",RAW_INPUT!A793)</f>
        <v/>
      </c>
      <c r="B792">
        <f>IF(RAW_INPUT!A793="","",RAW_INPUT!E793)</f>
        <v/>
      </c>
      <c r="C792">
        <f>IF(RAW_INPUT!A793="","",RAW_INPUT!F793)</f>
        <v/>
      </c>
    </row>
    <row r="793">
      <c r="A793">
        <f>IF(RAW_INPUT!A794="","",RAW_INPUT!A794)</f>
        <v/>
      </c>
      <c r="B793">
        <f>IF(RAW_INPUT!A794="","",RAW_INPUT!E794)</f>
        <v/>
      </c>
      <c r="C793">
        <f>IF(RAW_INPUT!A794="","",RAW_INPUT!F794)</f>
        <v/>
      </c>
    </row>
    <row r="794">
      <c r="A794">
        <f>IF(RAW_INPUT!A795="","",RAW_INPUT!A795)</f>
        <v/>
      </c>
      <c r="B794">
        <f>IF(RAW_INPUT!A795="","",RAW_INPUT!E795)</f>
        <v/>
      </c>
      <c r="C794">
        <f>IF(RAW_INPUT!A795="","",RAW_INPUT!F795)</f>
        <v/>
      </c>
    </row>
    <row r="795">
      <c r="A795">
        <f>IF(RAW_INPUT!A796="","",RAW_INPUT!A796)</f>
        <v/>
      </c>
      <c r="B795">
        <f>IF(RAW_INPUT!A796="","",RAW_INPUT!E796)</f>
        <v/>
      </c>
      <c r="C795">
        <f>IF(RAW_INPUT!A796="","",RAW_INPUT!F796)</f>
        <v/>
      </c>
    </row>
    <row r="796">
      <c r="A796">
        <f>IF(RAW_INPUT!A797="","",RAW_INPUT!A797)</f>
        <v/>
      </c>
      <c r="B796">
        <f>IF(RAW_INPUT!A797="","",RAW_INPUT!E797)</f>
        <v/>
      </c>
      <c r="C796">
        <f>IF(RAW_INPUT!A797="","",RAW_INPUT!F797)</f>
        <v/>
      </c>
    </row>
    <row r="797">
      <c r="A797">
        <f>IF(RAW_INPUT!A798="","",RAW_INPUT!A798)</f>
        <v/>
      </c>
      <c r="B797">
        <f>IF(RAW_INPUT!A798="","",RAW_INPUT!E798)</f>
        <v/>
      </c>
      <c r="C797">
        <f>IF(RAW_INPUT!A798="","",RAW_INPUT!F798)</f>
        <v/>
      </c>
    </row>
    <row r="798">
      <c r="A798">
        <f>IF(RAW_INPUT!A799="","",RAW_INPUT!A799)</f>
        <v/>
      </c>
      <c r="B798">
        <f>IF(RAW_INPUT!A799="","",RAW_INPUT!E799)</f>
        <v/>
      </c>
      <c r="C798">
        <f>IF(RAW_INPUT!A799="","",RAW_INPUT!F799)</f>
        <v/>
      </c>
    </row>
    <row r="799">
      <c r="A799">
        <f>IF(RAW_INPUT!A800="","",RAW_INPUT!A800)</f>
        <v/>
      </c>
      <c r="B799">
        <f>IF(RAW_INPUT!A800="","",RAW_INPUT!E800)</f>
        <v/>
      </c>
      <c r="C799">
        <f>IF(RAW_INPUT!A800="","",RAW_INPUT!F800)</f>
        <v/>
      </c>
    </row>
    <row r="800">
      <c r="A800">
        <f>IF(RAW_INPUT!A801="","",RAW_INPUT!A801)</f>
        <v/>
      </c>
      <c r="B800">
        <f>IF(RAW_INPUT!A801="","",RAW_INPUT!E801)</f>
        <v/>
      </c>
      <c r="C800">
        <f>IF(RAW_INPUT!A801="","",RAW_INPUT!F801)</f>
        <v/>
      </c>
    </row>
    <row r="801">
      <c r="A801">
        <f>IF(RAW_INPUT!A802="","",RAW_INPUT!A802)</f>
        <v/>
      </c>
      <c r="B801">
        <f>IF(RAW_INPUT!A802="","",RAW_INPUT!E802)</f>
        <v/>
      </c>
      <c r="C801">
        <f>IF(RAW_INPUT!A802="","",RAW_INPUT!F802)</f>
        <v/>
      </c>
    </row>
    <row r="802">
      <c r="A802">
        <f>IF(RAW_INPUT!A803="","",RAW_INPUT!A803)</f>
        <v/>
      </c>
      <c r="B802">
        <f>IF(RAW_INPUT!A803="","",RAW_INPUT!E803)</f>
        <v/>
      </c>
      <c r="C802">
        <f>IF(RAW_INPUT!A803="","",RAW_INPUT!F803)</f>
        <v/>
      </c>
    </row>
    <row r="803">
      <c r="A803">
        <f>IF(RAW_INPUT!A804="","",RAW_INPUT!A804)</f>
        <v/>
      </c>
      <c r="B803">
        <f>IF(RAW_INPUT!A804="","",RAW_INPUT!E804)</f>
        <v/>
      </c>
      <c r="C803">
        <f>IF(RAW_INPUT!A804="","",RAW_INPUT!F804)</f>
        <v/>
      </c>
    </row>
    <row r="804">
      <c r="A804">
        <f>IF(RAW_INPUT!A805="","",RAW_INPUT!A805)</f>
        <v/>
      </c>
      <c r="B804">
        <f>IF(RAW_INPUT!A805="","",RAW_INPUT!E805)</f>
        <v/>
      </c>
      <c r="C804">
        <f>IF(RAW_INPUT!A805="","",RAW_INPUT!F805)</f>
        <v/>
      </c>
    </row>
    <row r="805">
      <c r="A805">
        <f>IF(RAW_INPUT!A806="","",RAW_INPUT!A806)</f>
        <v/>
      </c>
      <c r="B805">
        <f>IF(RAW_INPUT!A806="","",RAW_INPUT!E806)</f>
        <v/>
      </c>
      <c r="C805">
        <f>IF(RAW_INPUT!A806="","",RAW_INPUT!F806)</f>
        <v/>
      </c>
    </row>
    <row r="806">
      <c r="A806">
        <f>IF(RAW_INPUT!A807="","",RAW_INPUT!A807)</f>
        <v/>
      </c>
      <c r="B806">
        <f>IF(RAW_INPUT!A807="","",RAW_INPUT!E807)</f>
        <v/>
      </c>
      <c r="C806">
        <f>IF(RAW_INPUT!A807="","",RAW_INPUT!F807)</f>
        <v/>
      </c>
    </row>
    <row r="807">
      <c r="A807">
        <f>IF(RAW_INPUT!A808="","",RAW_INPUT!A808)</f>
        <v/>
      </c>
      <c r="B807">
        <f>IF(RAW_INPUT!A808="","",RAW_INPUT!E808)</f>
        <v/>
      </c>
      <c r="C807">
        <f>IF(RAW_INPUT!A808="","",RAW_INPUT!F808)</f>
        <v/>
      </c>
    </row>
    <row r="808">
      <c r="A808">
        <f>IF(RAW_INPUT!A809="","",RAW_INPUT!A809)</f>
        <v/>
      </c>
      <c r="B808">
        <f>IF(RAW_INPUT!A809="","",RAW_INPUT!E809)</f>
        <v/>
      </c>
      <c r="C808">
        <f>IF(RAW_INPUT!A809="","",RAW_INPUT!F809)</f>
        <v/>
      </c>
    </row>
    <row r="809">
      <c r="A809">
        <f>IF(RAW_INPUT!A810="","",RAW_INPUT!A810)</f>
        <v/>
      </c>
      <c r="B809">
        <f>IF(RAW_INPUT!A810="","",RAW_INPUT!E810)</f>
        <v/>
      </c>
      <c r="C809">
        <f>IF(RAW_INPUT!A810="","",RAW_INPUT!F810)</f>
        <v/>
      </c>
    </row>
    <row r="810">
      <c r="A810">
        <f>IF(RAW_INPUT!A811="","",RAW_INPUT!A811)</f>
        <v/>
      </c>
      <c r="B810">
        <f>IF(RAW_INPUT!A811="","",RAW_INPUT!E811)</f>
        <v/>
      </c>
      <c r="C810">
        <f>IF(RAW_INPUT!A811="","",RAW_INPUT!F811)</f>
        <v/>
      </c>
    </row>
    <row r="811">
      <c r="A811">
        <f>IF(RAW_INPUT!A812="","",RAW_INPUT!A812)</f>
        <v/>
      </c>
      <c r="B811">
        <f>IF(RAW_INPUT!A812="","",RAW_INPUT!E812)</f>
        <v/>
      </c>
      <c r="C811">
        <f>IF(RAW_INPUT!A812="","",RAW_INPUT!F812)</f>
        <v/>
      </c>
    </row>
    <row r="812">
      <c r="A812">
        <f>IF(RAW_INPUT!A813="","",RAW_INPUT!A813)</f>
        <v/>
      </c>
      <c r="B812">
        <f>IF(RAW_INPUT!A813="","",RAW_INPUT!E813)</f>
        <v/>
      </c>
      <c r="C812">
        <f>IF(RAW_INPUT!A813="","",RAW_INPUT!F813)</f>
        <v/>
      </c>
    </row>
    <row r="813">
      <c r="A813">
        <f>IF(RAW_INPUT!A814="","",RAW_INPUT!A814)</f>
        <v/>
      </c>
      <c r="B813">
        <f>IF(RAW_INPUT!A814="","",RAW_INPUT!E814)</f>
        <v/>
      </c>
      <c r="C813">
        <f>IF(RAW_INPUT!A814="","",RAW_INPUT!F814)</f>
        <v/>
      </c>
    </row>
    <row r="814">
      <c r="A814">
        <f>IF(RAW_INPUT!A815="","",RAW_INPUT!A815)</f>
        <v/>
      </c>
      <c r="B814">
        <f>IF(RAW_INPUT!A815="","",RAW_INPUT!E815)</f>
        <v/>
      </c>
      <c r="C814">
        <f>IF(RAW_INPUT!A815="","",RAW_INPUT!F815)</f>
        <v/>
      </c>
    </row>
    <row r="815">
      <c r="A815">
        <f>IF(RAW_INPUT!A816="","",RAW_INPUT!A816)</f>
        <v/>
      </c>
      <c r="B815">
        <f>IF(RAW_INPUT!A816="","",RAW_INPUT!E816)</f>
        <v/>
      </c>
      <c r="C815">
        <f>IF(RAW_INPUT!A816="","",RAW_INPUT!F816)</f>
        <v/>
      </c>
    </row>
    <row r="816">
      <c r="A816">
        <f>IF(RAW_INPUT!A817="","",RAW_INPUT!A817)</f>
        <v/>
      </c>
      <c r="B816">
        <f>IF(RAW_INPUT!A817="","",RAW_INPUT!E817)</f>
        <v/>
      </c>
      <c r="C816">
        <f>IF(RAW_INPUT!A817="","",RAW_INPUT!F817)</f>
        <v/>
      </c>
    </row>
    <row r="817">
      <c r="A817">
        <f>IF(RAW_INPUT!A818="","",RAW_INPUT!A818)</f>
        <v/>
      </c>
      <c r="B817">
        <f>IF(RAW_INPUT!A818="","",RAW_INPUT!E818)</f>
        <v/>
      </c>
      <c r="C817">
        <f>IF(RAW_INPUT!A818="","",RAW_INPUT!F818)</f>
        <v/>
      </c>
    </row>
    <row r="818">
      <c r="A818">
        <f>IF(RAW_INPUT!A819="","",RAW_INPUT!A819)</f>
        <v/>
      </c>
      <c r="B818">
        <f>IF(RAW_INPUT!A819="","",RAW_INPUT!E819)</f>
        <v/>
      </c>
      <c r="C818">
        <f>IF(RAW_INPUT!A819="","",RAW_INPUT!F819)</f>
        <v/>
      </c>
    </row>
    <row r="819">
      <c r="A819">
        <f>IF(RAW_INPUT!A820="","",RAW_INPUT!A820)</f>
        <v/>
      </c>
      <c r="B819">
        <f>IF(RAW_INPUT!A820="","",RAW_INPUT!E820)</f>
        <v/>
      </c>
      <c r="C819">
        <f>IF(RAW_INPUT!A820="","",RAW_INPUT!F820)</f>
        <v/>
      </c>
    </row>
    <row r="820">
      <c r="A820">
        <f>IF(RAW_INPUT!A821="","",RAW_INPUT!A821)</f>
        <v/>
      </c>
      <c r="B820">
        <f>IF(RAW_INPUT!A821="","",RAW_INPUT!E821)</f>
        <v/>
      </c>
      <c r="C820">
        <f>IF(RAW_INPUT!A821="","",RAW_INPUT!F821)</f>
        <v/>
      </c>
    </row>
    <row r="821">
      <c r="A821">
        <f>IF(RAW_INPUT!A822="","",RAW_INPUT!A822)</f>
        <v/>
      </c>
      <c r="B821">
        <f>IF(RAW_INPUT!A822="","",RAW_INPUT!E822)</f>
        <v/>
      </c>
      <c r="C821">
        <f>IF(RAW_INPUT!A822="","",RAW_INPUT!F822)</f>
        <v/>
      </c>
    </row>
    <row r="822">
      <c r="A822">
        <f>IF(RAW_INPUT!A823="","",RAW_INPUT!A823)</f>
        <v/>
      </c>
      <c r="B822">
        <f>IF(RAW_INPUT!A823="","",RAW_INPUT!E823)</f>
        <v/>
      </c>
      <c r="C822">
        <f>IF(RAW_INPUT!A823="","",RAW_INPUT!F823)</f>
        <v/>
      </c>
    </row>
    <row r="823">
      <c r="A823">
        <f>IF(RAW_INPUT!A824="","",RAW_INPUT!A824)</f>
        <v/>
      </c>
      <c r="B823">
        <f>IF(RAW_INPUT!A824="","",RAW_INPUT!E824)</f>
        <v/>
      </c>
      <c r="C823">
        <f>IF(RAW_INPUT!A824="","",RAW_INPUT!F824)</f>
        <v/>
      </c>
    </row>
    <row r="824">
      <c r="A824">
        <f>IF(RAW_INPUT!A825="","",RAW_INPUT!A825)</f>
        <v/>
      </c>
      <c r="B824">
        <f>IF(RAW_INPUT!A825="","",RAW_INPUT!E825)</f>
        <v/>
      </c>
      <c r="C824">
        <f>IF(RAW_INPUT!A825="","",RAW_INPUT!F825)</f>
        <v/>
      </c>
    </row>
    <row r="825">
      <c r="A825">
        <f>IF(RAW_INPUT!A826="","",RAW_INPUT!A826)</f>
        <v/>
      </c>
      <c r="B825">
        <f>IF(RAW_INPUT!A826="","",RAW_INPUT!E826)</f>
        <v/>
      </c>
      <c r="C825">
        <f>IF(RAW_INPUT!A826="","",RAW_INPUT!F826)</f>
        <v/>
      </c>
    </row>
    <row r="826">
      <c r="A826">
        <f>IF(RAW_INPUT!A827="","",RAW_INPUT!A827)</f>
        <v/>
      </c>
      <c r="B826">
        <f>IF(RAW_INPUT!A827="","",RAW_INPUT!E827)</f>
        <v/>
      </c>
      <c r="C826">
        <f>IF(RAW_INPUT!A827="","",RAW_INPUT!F827)</f>
        <v/>
      </c>
    </row>
    <row r="827">
      <c r="A827">
        <f>IF(RAW_INPUT!A828="","",RAW_INPUT!A828)</f>
        <v/>
      </c>
      <c r="B827">
        <f>IF(RAW_INPUT!A828="","",RAW_INPUT!E828)</f>
        <v/>
      </c>
      <c r="C827">
        <f>IF(RAW_INPUT!A828="","",RAW_INPUT!F828)</f>
        <v/>
      </c>
    </row>
    <row r="828">
      <c r="A828">
        <f>IF(RAW_INPUT!A829="","",RAW_INPUT!A829)</f>
        <v/>
      </c>
      <c r="B828">
        <f>IF(RAW_INPUT!A829="","",RAW_INPUT!E829)</f>
        <v/>
      </c>
      <c r="C828">
        <f>IF(RAW_INPUT!A829="","",RAW_INPUT!F829)</f>
        <v/>
      </c>
    </row>
    <row r="829">
      <c r="A829">
        <f>IF(RAW_INPUT!A830="","",RAW_INPUT!A830)</f>
        <v/>
      </c>
      <c r="B829">
        <f>IF(RAW_INPUT!A830="","",RAW_INPUT!E830)</f>
        <v/>
      </c>
      <c r="C829">
        <f>IF(RAW_INPUT!A830="","",RAW_INPUT!F830)</f>
        <v/>
      </c>
    </row>
    <row r="830">
      <c r="A830">
        <f>IF(RAW_INPUT!A831="","",RAW_INPUT!A831)</f>
        <v/>
      </c>
      <c r="B830">
        <f>IF(RAW_INPUT!A831="","",RAW_INPUT!E831)</f>
        <v/>
      </c>
      <c r="C830">
        <f>IF(RAW_INPUT!A831="","",RAW_INPUT!F831)</f>
        <v/>
      </c>
    </row>
    <row r="831">
      <c r="A831">
        <f>IF(RAW_INPUT!A832="","",RAW_INPUT!A832)</f>
        <v/>
      </c>
      <c r="B831">
        <f>IF(RAW_INPUT!A832="","",RAW_INPUT!E832)</f>
        <v/>
      </c>
      <c r="C831">
        <f>IF(RAW_INPUT!A832="","",RAW_INPUT!F832)</f>
        <v/>
      </c>
    </row>
    <row r="832">
      <c r="A832">
        <f>IF(RAW_INPUT!A833="","",RAW_INPUT!A833)</f>
        <v/>
      </c>
      <c r="B832">
        <f>IF(RAW_INPUT!A833="","",RAW_INPUT!E833)</f>
        <v/>
      </c>
      <c r="C832">
        <f>IF(RAW_INPUT!A833="","",RAW_INPUT!F833)</f>
        <v/>
      </c>
    </row>
    <row r="833">
      <c r="A833">
        <f>IF(RAW_INPUT!A834="","",RAW_INPUT!A834)</f>
        <v/>
      </c>
      <c r="B833">
        <f>IF(RAW_INPUT!A834="","",RAW_INPUT!E834)</f>
        <v/>
      </c>
      <c r="C833">
        <f>IF(RAW_INPUT!A834="","",RAW_INPUT!F834)</f>
        <v/>
      </c>
    </row>
    <row r="834">
      <c r="A834">
        <f>IF(RAW_INPUT!A835="","",RAW_INPUT!A835)</f>
        <v/>
      </c>
      <c r="B834">
        <f>IF(RAW_INPUT!A835="","",RAW_INPUT!E835)</f>
        <v/>
      </c>
      <c r="C834">
        <f>IF(RAW_INPUT!A835="","",RAW_INPUT!F835)</f>
        <v/>
      </c>
    </row>
    <row r="835">
      <c r="A835">
        <f>IF(RAW_INPUT!A836="","",RAW_INPUT!A836)</f>
        <v/>
      </c>
      <c r="B835">
        <f>IF(RAW_INPUT!A836="","",RAW_INPUT!E836)</f>
        <v/>
      </c>
      <c r="C835">
        <f>IF(RAW_INPUT!A836="","",RAW_INPUT!F836)</f>
        <v/>
      </c>
    </row>
    <row r="836">
      <c r="A836">
        <f>IF(RAW_INPUT!A837="","",RAW_INPUT!A837)</f>
        <v/>
      </c>
      <c r="B836">
        <f>IF(RAW_INPUT!A837="","",RAW_INPUT!E837)</f>
        <v/>
      </c>
      <c r="C836">
        <f>IF(RAW_INPUT!A837="","",RAW_INPUT!F837)</f>
        <v/>
      </c>
    </row>
    <row r="837">
      <c r="A837">
        <f>IF(RAW_INPUT!A838="","",RAW_INPUT!A838)</f>
        <v/>
      </c>
      <c r="B837">
        <f>IF(RAW_INPUT!A838="","",RAW_INPUT!E838)</f>
        <v/>
      </c>
      <c r="C837">
        <f>IF(RAW_INPUT!A838="","",RAW_INPUT!F838)</f>
        <v/>
      </c>
    </row>
    <row r="838">
      <c r="A838">
        <f>IF(RAW_INPUT!A839="","",RAW_INPUT!A839)</f>
        <v/>
      </c>
      <c r="B838">
        <f>IF(RAW_INPUT!A839="","",RAW_INPUT!E839)</f>
        <v/>
      </c>
      <c r="C838">
        <f>IF(RAW_INPUT!A839="","",RAW_INPUT!F839)</f>
        <v/>
      </c>
    </row>
    <row r="839">
      <c r="A839">
        <f>IF(RAW_INPUT!A840="","",RAW_INPUT!A840)</f>
        <v/>
      </c>
      <c r="B839">
        <f>IF(RAW_INPUT!A840="","",RAW_INPUT!E840)</f>
        <v/>
      </c>
      <c r="C839">
        <f>IF(RAW_INPUT!A840="","",RAW_INPUT!F840)</f>
        <v/>
      </c>
    </row>
    <row r="840">
      <c r="A840">
        <f>IF(RAW_INPUT!A841="","",RAW_INPUT!A841)</f>
        <v/>
      </c>
      <c r="B840">
        <f>IF(RAW_INPUT!A841="","",RAW_INPUT!E841)</f>
        <v/>
      </c>
      <c r="C840">
        <f>IF(RAW_INPUT!A841="","",RAW_INPUT!F841)</f>
        <v/>
      </c>
    </row>
    <row r="841">
      <c r="A841">
        <f>IF(RAW_INPUT!A842="","",RAW_INPUT!A842)</f>
        <v/>
      </c>
      <c r="B841">
        <f>IF(RAW_INPUT!A842="","",RAW_INPUT!E842)</f>
        <v/>
      </c>
      <c r="C841">
        <f>IF(RAW_INPUT!A842="","",RAW_INPUT!F842)</f>
        <v/>
      </c>
    </row>
    <row r="842">
      <c r="A842">
        <f>IF(RAW_INPUT!A843="","",RAW_INPUT!A843)</f>
        <v/>
      </c>
      <c r="B842">
        <f>IF(RAW_INPUT!A843="","",RAW_INPUT!E843)</f>
        <v/>
      </c>
      <c r="C842">
        <f>IF(RAW_INPUT!A843="","",RAW_INPUT!F843)</f>
        <v/>
      </c>
    </row>
    <row r="843">
      <c r="A843">
        <f>IF(RAW_INPUT!A844="","",RAW_INPUT!A844)</f>
        <v/>
      </c>
      <c r="B843">
        <f>IF(RAW_INPUT!A844="","",RAW_INPUT!E844)</f>
        <v/>
      </c>
      <c r="C843">
        <f>IF(RAW_INPUT!A844="","",RAW_INPUT!F844)</f>
        <v/>
      </c>
    </row>
    <row r="844">
      <c r="A844">
        <f>IF(RAW_INPUT!A845="","",RAW_INPUT!A845)</f>
        <v/>
      </c>
      <c r="B844">
        <f>IF(RAW_INPUT!A845="","",RAW_INPUT!E845)</f>
        <v/>
      </c>
      <c r="C844">
        <f>IF(RAW_INPUT!A845="","",RAW_INPUT!F845)</f>
        <v/>
      </c>
    </row>
    <row r="845">
      <c r="A845">
        <f>IF(RAW_INPUT!A846="","",RAW_INPUT!A846)</f>
        <v/>
      </c>
      <c r="B845">
        <f>IF(RAW_INPUT!A846="","",RAW_INPUT!E846)</f>
        <v/>
      </c>
      <c r="C845">
        <f>IF(RAW_INPUT!A846="","",RAW_INPUT!F846)</f>
        <v/>
      </c>
    </row>
    <row r="846">
      <c r="A846">
        <f>IF(RAW_INPUT!A847="","",RAW_INPUT!A847)</f>
        <v/>
      </c>
      <c r="B846">
        <f>IF(RAW_INPUT!A847="","",RAW_INPUT!E847)</f>
        <v/>
      </c>
      <c r="C846">
        <f>IF(RAW_INPUT!A847="","",RAW_INPUT!F847)</f>
        <v/>
      </c>
    </row>
    <row r="847">
      <c r="A847">
        <f>IF(RAW_INPUT!A848="","",RAW_INPUT!A848)</f>
        <v/>
      </c>
      <c r="B847">
        <f>IF(RAW_INPUT!A848="","",RAW_INPUT!E848)</f>
        <v/>
      </c>
      <c r="C847">
        <f>IF(RAW_INPUT!A848="","",RAW_INPUT!F848)</f>
        <v/>
      </c>
    </row>
    <row r="848">
      <c r="A848">
        <f>IF(RAW_INPUT!A849="","",RAW_INPUT!A849)</f>
        <v/>
      </c>
      <c r="B848">
        <f>IF(RAW_INPUT!A849="","",RAW_INPUT!E849)</f>
        <v/>
      </c>
      <c r="C848">
        <f>IF(RAW_INPUT!A849="","",RAW_INPUT!F849)</f>
        <v/>
      </c>
    </row>
    <row r="849">
      <c r="A849">
        <f>IF(RAW_INPUT!A850="","",RAW_INPUT!A850)</f>
        <v/>
      </c>
      <c r="B849">
        <f>IF(RAW_INPUT!A850="","",RAW_INPUT!E850)</f>
        <v/>
      </c>
      <c r="C849">
        <f>IF(RAW_INPUT!A850="","",RAW_INPUT!F850)</f>
        <v/>
      </c>
    </row>
    <row r="850">
      <c r="A850">
        <f>IF(RAW_INPUT!A851="","",RAW_INPUT!A851)</f>
        <v/>
      </c>
      <c r="B850">
        <f>IF(RAW_INPUT!A851="","",RAW_INPUT!E851)</f>
        <v/>
      </c>
      <c r="C850">
        <f>IF(RAW_INPUT!A851="","",RAW_INPUT!F851)</f>
        <v/>
      </c>
    </row>
    <row r="851">
      <c r="A851">
        <f>IF(RAW_INPUT!A852="","",RAW_INPUT!A852)</f>
        <v/>
      </c>
      <c r="B851">
        <f>IF(RAW_INPUT!A852="","",RAW_INPUT!E852)</f>
        <v/>
      </c>
      <c r="C851">
        <f>IF(RAW_INPUT!A852="","",RAW_INPUT!F852)</f>
        <v/>
      </c>
    </row>
    <row r="852">
      <c r="A852">
        <f>IF(RAW_INPUT!A853="","",RAW_INPUT!A853)</f>
        <v/>
      </c>
      <c r="B852">
        <f>IF(RAW_INPUT!A853="","",RAW_INPUT!E853)</f>
        <v/>
      </c>
      <c r="C852">
        <f>IF(RAW_INPUT!A853="","",RAW_INPUT!F853)</f>
        <v/>
      </c>
    </row>
    <row r="853">
      <c r="A853">
        <f>IF(RAW_INPUT!A854="","",RAW_INPUT!A854)</f>
        <v/>
      </c>
      <c r="B853">
        <f>IF(RAW_INPUT!A854="","",RAW_INPUT!E854)</f>
        <v/>
      </c>
      <c r="C853">
        <f>IF(RAW_INPUT!A854="","",RAW_INPUT!F854)</f>
        <v/>
      </c>
    </row>
    <row r="854">
      <c r="A854">
        <f>IF(RAW_INPUT!A855="","",RAW_INPUT!A855)</f>
        <v/>
      </c>
      <c r="B854">
        <f>IF(RAW_INPUT!A855="","",RAW_INPUT!E855)</f>
        <v/>
      </c>
      <c r="C854">
        <f>IF(RAW_INPUT!A855="","",RAW_INPUT!F855)</f>
        <v/>
      </c>
    </row>
    <row r="855">
      <c r="A855">
        <f>IF(RAW_INPUT!A856="","",RAW_INPUT!A856)</f>
        <v/>
      </c>
      <c r="B855">
        <f>IF(RAW_INPUT!A856="","",RAW_INPUT!E856)</f>
        <v/>
      </c>
      <c r="C855">
        <f>IF(RAW_INPUT!A856="","",RAW_INPUT!F856)</f>
        <v/>
      </c>
    </row>
    <row r="856">
      <c r="A856">
        <f>IF(RAW_INPUT!A857="","",RAW_INPUT!A857)</f>
        <v/>
      </c>
      <c r="B856">
        <f>IF(RAW_INPUT!A857="","",RAW_INPUT!E857)</f>
        <v/>
      </c>
      <c r="C856">
        <f>IF(RAW_INPUT!A857="","",RAW_INPUT!F857)</f>
        <v/>
      </c>
    </row>
    <row r="857">
      <c r="A857">
        <f>IF(RAW_INPUT!A858="","",RAW_INPUT!A858)</f>
        <v/>
      </c>
      <c r="B857">
        <f>IF(RAW_INPUT!A858="","",RAW_INPUT!E858)</f>
        <v/>
      </c>
      <c r="C857">
        <f>IF(RAW_INPUT!A858="","",RAW_INPUT!F858)</f>
        <v/>
      </c>
    </row>
    <row r="858">
      <c r="A858">
        <f>IF(RAW_INPUT!A859="","",RAW_INPUT!A859)</f>
        <v/>
      </c>
      <c r="B858">
        <f>IF(RAW_INPUT!A859="","",RAW_INPUT!E859)</f>
        <v/>
      </c>
      <c r="C858">
        <f>IF(RAW_INPUT!A859="","",RAW_INPUT!F859)</f>
        <v/>
      </c>
    </row>
    <row r="859">
      <c r="A859">
        <f>IF(RAW_INPUT!A860="","",RAW_INPUT!A860)</f>
        <v/>
      </c>
      <c r="B859">
        <f>IF(RAW_INPUT!A860="","",RAW_INPUT!E860)</f>
        <v/>
      </c>
      <c r="C859">
        <f>IF(RAW_INPUT!A860="","",RAW_INPUT!F860)</f>
        <v/>
      </c>
    </row>
    <row r="860">
      <c r="A860">
        <f>IF(RAW_INPUT!A861="","",RAW_INPUT!A861)</f>
        <v/>
      </c>
      <c r="B860">
        <f>IF(RAW_INPUT!A861="","",RAW_INPUT!E861)</f>
        <v/>
      </c>
      <c r="C860">
        <f>IF(RAW_INPUT!A861="","",RAW_INPUT!F861)</f>
        <v/>
      </c>
    </row>
    <row r="861">
      <c r="A861">
        <f>IF(RAW_INPUT!A862="","",RAW_INPUT!A862)</f>
        <v/>
      </c>
      <c r="B861">
        <f>IF(RAW_INPUT!A862="","",RAW_INPUT!E862)</f>
        <v/>
      </c>
      <c r="C861">
        <f>IF(RAW_INPUT!A862="","",RAW_INPUT!F862)</f>
        <v/>
      </c>
    </row>
    <row r="862">
      <c r="A862">
        <f>IF(RAW_INPUT!A863="","",RAW_INPUT!A863)</f>
        <v/>
      </c>
      <c r="B862">
        <f>IF(RAW_INPUT!A863="","",RAW_INPUT!E863)</f>
        <v/>
      </c>
      <c r="C862">
        <f>IF(RAW_INPUT!A863="","",RAW_INPUT!F863)</f>
        <v/>
      </c>
    </row>
    <row r="863">
      <c r="A863">
        <f>IF(RAW_INPUT!A864="","",RAW_INPUT!A864)</f>
        <v/>
      </c>
      <c r="B863">
        <f>IF(RAW_INPUT!A864="","",RAW_INPUT!E864)</f>
        <v/>
      </c>
      <c r="C863">
        <f>IF(RAW_INPUT!A864="","",RAW_INPUT!F864)</f>
        <v/>
      </c>
    </row>
    <row r="864">
      <c r="A864">
        <f>IF(RAW_INPUT!A865="","",RAW_INPUT!A865)</f>
        <v/>
      </c>
      <c r="B864">
        <f>IF(RAW_INPUT!A865="","",RAW_INPUT!E865)</f>
        <v/>
      </c>
      <c r="C864">
        <f>IF(RAW_INPUT!A865="","",RAW_INPUT!F865)</f>
        <v/>
      </c>
    </row>
    <row r="865">
      <c r="A865">
        <f>IF(RAW_INPUT!A866="","",RAW_INPUT!A866)</f>
        <v/>
      </c>
      <c r="B865">
        <f>IF(RAW_INPUT!A866="","",RAW_INPUT!E866)</f>
        <v/>
      </c>
      <c r="C865">
        <f>IF(RAW_INPUT!A866="","",RAW_INPUT!F866)</f>
        <v/>
      </c>
    </row>
    <row r="866">
      <c r="A866">
        <f>IF(RAW_INPUT!A867="","",RAW_INPUT!A867)</f>
        <v/>
      </c>
      <c r="B866">
        <f>IF(RAW_INPUT!A867="","",RAW_INPUT!E867)</f>
        <v/>
      </c>
      <c r="C866">
        <f>IF(RAW_INPUT!A867="","",RAW_INPUT!F867)</f>
        <v/>
      </c>
    </row>
    <row r="867">
      <c r="A867">
        <f>IF(RAW_INPUT!A868="","",RAW_INPUT!A868)</f>
        <v/>
      </c>
      <c r="B867">
        <f>IF(RAW_INPUT!A868="","",RAW_INPUT!E868)</f>
        <v/>
      </c>
      <c r="C867">
        <f>IF(RAW_INPUT!A868="","",RAW_INPUT!F868)</f>
        <v/>
      </c>
    </row>
    <row r="868">
      <c r="A868">
        <f>IF(RAW_INPUT!A869="","",RAW_INPUT!A869)</f>
        <v/>
      </c>
      <c r="B868">
        <f>IF(RAW_INPUT!A869="","",RAW_INPUT!E869)</f>
        <v/>
      </c>
      <c r="C868">
        <f>IF(RAW_INPUT!A869="","",RAW_INPUT!F869)</f>
        <v/>
      </c>
    </row>
    <row r="869">
      <c r="A869">
        <f>IF(RAW_INPUT!A870="","",RAW_INPUT!A870)</f>
        <v/>
      </c>
      <c r="B869">
        <f>IF(RAW_INPUT!A870="","",RAW_INPUT!E870)</f>
        <v/>
      </c>
      <c r="C869">
        <f>IF(RAW_INPUT!A870="","",RAW_INPUT!F870)</f>
        <v/>
      </c>
    </row>
    <row r="870">
      <c r="A870">
        <f>IF(RAW_INPUT!A871="","",RAW_INPUT!A871)</f>
        <v/>
      </c>
      <c r="B870">
        <f>IF(RAW_INPUT!A871="","",RAW_INPUT!E871)</f>
        <v/>
      </c>
      <c r="C870">
        <f>IF(RAW_INPUT!A871="","",RAW_INPUT!F871)</f>
        <v/>
      </c>
    </row>
    <row r="871">
      <c r="A871">
        <f>IF(RAW_INPUT!A872="","",RAW_INPUT!A872)</f>
        <v/>
      </c>
      <c r="B871">
        <f>IF(RAW_INPUT!A872="","",RAW_INPUT!E872)</f>
        <v/>
      </c>
      <c r="C871">
        <f>IF(RAW_INPUT!A872="","",RAW_INPUT!F872)</f>
        <v/>
      </c>
    </row>
    <row r="872">
      <c r="A872">
        <f>IF(RAW_INPUT!A873="","",RAW_INPUT!A873)</f>
        <v/>
      </c>
      <c r="B872">
        <f>IF(RAW_INPUT!A873="","",RAW_INPUT!E873)</f>
        <v/>
      </c>
      <c r="C872">
        <f>IF(RAW_INPUT!A873="","",RAW_INPUT!F873)</f>
        <v/>
      </c>
    </row>
    <row r="873">
      <c r="A873">
        <f>IF(RAW_INPUT!A874="","",RAW_INPUT!A874)</f>
        <v/>
      </c>
      <c r="B873">
        <f>IF(RAW_INPUT!A874="","",RAW_INPUT!E874)</f>
        <v/>
      </c>
      <c r="C873">
        <f>IF(RAW_INPUT!A874="","",RAW_INPUT!F874)</f>
        <v/>
      </c>
    </row>
    <row r="874">
      <c r="A874">
        <f>IF(RAW_INPUT!A875="","",RAW_INPUT!A875)</f>
        <v/>
      </c>
      <c r="B874">
        <f>IF(RAW_INPUT!A875="","",RAW_INPUT!E875)</f>
        <v/>
      </c>
      <c r="C874">
        <f>IF(RAW_INPUT!A875="","",RAW_INPUT!F875)</f>
        <v/>
      </c>
    </row>
    <row r="875">
      <c r="A875">
        <f>IF(RAW_INPUT!A876="","",RAW_INPUT!A876)</f>
        <v/>
      </c>
      <c r="B875">
        <f>IF(RAW_INPUT!A876="","",RAW_INPUT!E876)</f>
        <v/>
      </c>
      <c r="C875">
        <f>IF(RAW_INPUT!A876="","",RAW_INPUT!F876)</f>
        <v/>
      </c>
    </row>
    <row r="876">
      <c r="A876">
        <f>IF(RAW_INPUT!A877="","",RAW_INPUT!A877)</f>
        <v/>
      </c>
      <c r="B876">
        <f>IF(RAW_INPUT!A877="","",RAW_INPUT!E877)</f>
        <v/>
      </c>
      <c r="C876">
        <f>IF(RAW_INPUT!A877="","",RAW_INPUT!F877)</f>
        <v/>
      </c>
    </row>
    <row r="877">
      <c r="A877">
        <f>IF(RAW_INPUT!A878="","",RAW_INPUT!A878)</f>
        <v/>
      </c>
      <c r="B877">
        <f>IF(RAW_INPUT!A878="","",RAW_INPUT!E878)</f>
        <v/>
      </c>
      <c r="C877">
        <f>IF(RAW_INPUT!A878="","",RAW_INPUT!F878)</f>
        <v/>
      </c>
    </row>
    <row r="878">
      <c r="A878">
        <f>IF(RAW_INPUT!A879="","",RAW_INPUT!A879)</f>
        <v/>
      </c>
      <c r="B878">
        <f>IF(RAW_INPUT!A879="","",RAW_INPUT!E879)</f>
        <v/>
      </c>
      <c r="C878">
        <f>IF(RAW_INPUT!A879="","",RAW_INPUT!F879)</f>
        <v/>
      </c>
    </row>
    <row r="879">
      <c r="A879">
        <f>IF(RAW_INPUT!A880="","",RAW_INPUT!A880)</f>
        <v/>
      </c>
      <c r="B879">
        <f>IF(RAW_INPUT!A880="","",RAW_INPUT!E880)</f>
        <v/>
      </c>
      <c r="C879">
        <f>IF(RAW_INPUT!A880="","",RAW_INPUT!F880)</f>
        <v/>
      </c>
    </row>
    <row r="880">
      <c r="A880">
        <f>IF(RAW_INPUT!A881="","",RAW_INPUT!A881)</f>
        <v/>
      </c>
      <c r="B880">
        <f>IF(RAW_INPUT!A881="","",RAW_INPUT!E881)</f>
        <v/>
      </c>
      <c r="C880">
        <f>IF(RAW_INPUT!A881="","",RAW_INPUT!F881)</f>
        <v/>
      </c>
    </row>
    <row r="881">
      <c r="A881">
        <f>IF(RAW_INPUT!A882="","",RAW_INPUT!A882)</f>
        <v/>
      </c>
      <c r="B881">
        <f>IF(RAW_INPUT!A882="","",RAW_INPUT!E882)</f>
        <v/>
      </c>
      <c r="C881">
        <f>IF(RAW_INPUT!A882="","",RAW_INPUT!F882)</f>
        <v/>
      </c>
    </row>
    <row r="882">
      <c r="A882">
        <f>IF(RAW_INPUT!A883="","",RAW_INPUT!A883)</f>
        <v/>
      </c>
      <c r="B882">
        <f>IF(RAW_INPUT!A883="","",RAW_INPUT!E883)</f>
        <v/>
      </c>
      <c r="C882">
        <f>IF(RAW_INPUT!A883="","",RAW_INPUT!F883)</f>
        <v/>
      </c>
    </row>
    <row r="883">
      <c r="A883">
        <f>IF(RAW_INPUT!A884="","",RAW_INPUT!A884)</f>
        <v/>
      </c>
      <c r="B883">
        <f>IF(RAW_INPUT!A884="","",RAW_INPUT!E884)</f>
        <v/>
      </c>
      <c r="C883">
        <f>IF(RAW_INPUT!A884="","",RAW_INPUT!F884)</f>
        <v/>
      </c>
    </row>
    <row r="884">
      <c r="A884">
        <f>IF(RAW_INPUT!A885="","",RAW_INPUT!A885)</f>
        <v/>
      </c>
      <c r="B884">
        <f>IF(RAW_INPUT!A885="","",RAW_INPUT!E885)</f>
        <v/>
      </c>
      <c r="C884">
        <f>IF(RAW_INPUT!A885="","",RAW_INPUT!F885)</f>
        <v/>
      </c>
    </row>
    <row r="885">
      <c r="A885">
        <f>IF(RAW_INPUT!A886="","",RAW_INPUT!A886)</f>
        <v/>
      </c>
      <c r="B885">
        <f>IF(RAW_INPUT!A886="","",RAW_INPUT!E886)</f>
        <v/>
      </c>
      <c r="C885">
        <f>IF(RAW_INPUT!A886="","",RAW_INPUT!F886)</f>
        <v/>
      </c>
    </row>
    <row r="886">
      <c r="A886">
        <f>IF(RAW_INPUT!A887="","",RAW_INPUT!A887)</f>
        <v/>
      </c>
      <c r="B886">
        <f>IF(RAW_INPUT!A887="","",RAW_INPUT!E887)</f>
        <v/>
      </c>
      <c r="C886">
        <f>IF(RAW_INPUT!A887="","",RAW_INPUT!F887)</f>
        <v/>
      </c>
    </row>
    <row r="887">
      <c r="A887">
        <f>IF(RAW_INPUT!A888="","",RAW_INPUT!A888)</f>
        <v/>
      </c>
      <c r="B887">
        <f>IF(RAW_INPUT!A888="","",RAW_INPUT!E888)</f>
        <v/>
      </c>
      <c r="C887">
        <f>IF(RAW_INPUT!A888="","",RAW_INPUT!F888)</f>
        <v/>
      </c>
    </row>
    <row r="888">
      <c r="A888">
        <f>IF(RAW_INPUT!A889="","",RAW_INPUT!A889)</f>
        <v/>
      </c>
      <c r="B888">
        <f>IF(RAW_INPUT!A889="","",RAW_INPUT!E889)</f>
        <v/>
      </c>
      <c r="C888">
        <f>IF(RAW_INPUT!A889="","",RAW_INPUT!F889)</f>
        <v/>
      </c>
    </row>
    <row r="889">
      <c r="A889">
        <f>IF(RAW_INPUT!A890="","",RAW_INPUT!A890)</f>
        <v/>
      </c>
      <c r="B889">
        <f>IF(RAW_INPUT!A890="","",RAW_INPUT!E890)</f>
        <v/>
      </c>
      <c r="C889">
        <f>IF(RAW_INPUT!A890="","",RAW_INPUT!F890)</f>
        <v/>
      </c>
    </row>
    <row r="890">
      <c r="A890">
        <f>IF(RAW_INPUT!A891="","",RAW_INPUT!A891)</f>
        <v/>
      </c>
      <c r="B890">
        <f>IF(RAW_INPUT!A891="","",RAW_INPUT!E891)</f>
        <v/>
      </c>
      <c r="C890">
        <f>IF(RAW_INPUT!A891="","",RAW_INPUT!F891)</f>
        <v/>
      </c>
    </row>
    <row r="891">
      <c r="A891">
        <f>IF(RAW_INPUT!A892="","",RAW_INPUT!A892)</f>
        <v/>
      </c>
      <c r="B891">
        <f>IF(RAW_INPUT!A892="","",RAW_INPUT!E892)</f>
        <v/>
      </c>
      <c r="C891">
        <f>IF(RAW_INPUT!A892="","",RAW_INPUT!F892)</f>
        <v/>
      </c>
    </row>
    <row r="892">
      <c r="A892">
        <f>IF(RAW_INPUT!A893="","",RAW_INPUT!A893)</f>
        <v/>
      </c>
      <c r="B892">
        <f>IF(RAW_INPUT!A893="","",RAW_INPUT!E893)</f>
        <v/>
      </c>
      <c r="C892">
        <f>IF(RAW_INPUT!A893="","",RAW_INPUT!F893)</f>
        <v/>
      </c>
    </row>
    <row r="893">
      <c r="A893">
        <f>IF(RAW_INPUT!A894="","",RAW_INPUT!A894)</f>
        <v/>
      </c>
      <c r="B893">
        <f>IF(RAW_INPUT!A894="","",RAW_INPUT!E894)</f>
        <v/>
      </c>
      <c r="C893">
        <f>IF(RAW_INPUT!A894="","",RAW_INPUT!F894)</f>
        <v/>
      </c>
    </row>
    <row r="894">
      <c r="A894">
        <f>IF(RAW_INPUT!A895="","",RAW_INPUT!A895)</f>
        <v/>
      </c>
      <c r="B894">
        <f>IF(RAW_INPUT!A895="","",RAW_INPUT!E895)</f>
        <v/>
      </c>
      <c r="C894">
        <f>IF(RAW_INPUT!A895="","",RAW_INPUT!F895)</f>
        <v/>
      </c>
    </row>
    <row r="895">
      <c r="A895">
        <f>IF(RAW_INPUT!A896="","",RAW_INPUT!A896)</f>
        <v/>
      </c>
      <c r="B895">
        <f>IF(RAW_INPUT!A896="","",RAW_INPUT!E896)</f>
        <v/>
      </c>
      <c r="C895">
        <f>IF(RAW_INPUT!A896="","",RAW_INPUT!F896)</f>
        <v/>
      </c>
    </row>
    <row r="896">
      <c r="A896">
        <f>IF(RAW_INPUT!A897="","",RAW_INPUT!A897)</f>
        <v/>
      </c>
      <c r="B896">
        <f>IF(RAW_INPUT!A897="","",RAW_INPUT!E897)</f>
        <v/>
      </c>
      <c r="C896">
        <f>IF(RAW_INPUT!A897="","",RAW_INPUT!F897)</f>
        <v/>
      </c>
    </row>
    <row r="897">
      <c r="A897">
        <f>IF(RAW_INPUT!A898="","",RAW_INPUT!A898)</f>
        <v/>
      </c>
      <c r="B897">
        <f>IF(RAW_INPUT!A898="","",RAW_INPUT!E898)</f>
        <v/>
      </c>
      <c r="C897">
        <f>IF(RAW_INPUT!A898="","",RAW_INPUT!F898)</f>
        <v/>
      </c>
    </row>
    <row r="898">
      <c r="A898">
        <f>IF(RAW_INPUT!A899="","",RAW_INPUT!A899)</f>
        <v/>
      </c>
      <c r="B898">
        <f>IF(RAW_INPUT!A899="","",RAW_INPUT!E899)</f>
        <v/>
      </c>
      <c r="C898">
        <f>IF(RAW_INPUT!A899="","",RAW_INPUT!F899)</f>
        <v/>
      </c>
    </row>
    <row r="899">
      <c r="A899">
        <f>IF(RAW_INPUT!A900="","",RAW_INPUT!A900)</f>
        <v/>
      </c>
      <c r="B899">
        <f>IF(RAW_INPUT!A900="","",RAW_INPUT!E900)</f>
        <v/>
      </c>
      <c r="C899">
        <f>IF(RAW_INPUT!A900="","",RAW_INPUT!F900)</f>
        <v/>
      </c>
    </row>
    <row r="900">
      <c r="A900">
        <f>IF(RAW_INPUT!A901="","",RAW_INPUT!A901)</f>
        <v/>
      </c>
      <c r="B900">
        <f>IF(RAW_INPUT!A901="","",RAW_INPUT!E901)</f>
        <v/>
      </c>
      <c r="C900">
        <f>IF(RAW_INPUT!A901="","",RAW_INPUT!F901)</f>
        <v/>
      </c>
    </row>
    <row r="901">
      <c r="A901">
        <f>IF(RAW_INPUT!A902="","",RAW_INPUT!A902)</f>
        <v/>
      </c>
      <c r="B901">
        <f>IF(RAW_INPUT!A902="","",RAW_INPUT!E902)</f>
        <v/>
      </c>
      <c r="C901">
        <f>IF(RAW_INPUT!A902="","",RAW_INPUT!F902)</f>
        <v/>
      </c>
    </row>
    <row r="902">
      <c r="A902">
        <f>IF(RAW_INPUT!A903="","",RAW_INPUT!A903)</f>
        <v/>
      </c>
      <c r="B902">
        <f>IF(RAW_INPUT!A903="","",RAW_INPUT!E903)</f>
        <v/>
      </c>
      <c r="C902">
        <f>IF(RAW_INPUT!A903="","",RAW_INPUT!F903)</f>
        <v/>
      </c>
    </row>
    <row r="903">
      <c r="A903">
        <f>IF(RAW_INPUT!A904="","",RAW_INPUT!A904)</f>
        <v/>
      </c>
      <c r="B903">
        <f>IF(RAW_INPUT!A904="","",RAW_INPUT!E904)</f>
        <v/>
      </c>
      <c r="C903">
        <f>IF(RAW_INPUT!A904="","",RAW_INPUT!F904)</f>
        <v/>
      </c>
    </row>
    <row r="904">
      <c r="A904">
        <f>IF(RAW_INPUT!A905="","",RAW_INPUT!A905)</f>
        <v/>
      </c>
      <c r="B904">
        <f>IF(RAW_INPUT!A905="","",RAW_INPUT!E905)</f>
        <v/>
      </c>
      <c r="C904">
        <f>IF(RAW_INPUT!A905="","",RAW_INPUT!F905)</f>
        <v/>
      </c>
    </row>
    <row r="905">
      <c r="A905">
        <f>IF(RAW_INPUT!A906="","",RAW_INPUT!A906)</f>
        <v/>
      </c>
      <c r="B905">
        <f>IF(RAW_INPUT!A906="","",RAW_INPUT!E906)</f>
        <v/>
      </c>
      <c r="C905">
        <f>IF(RAW_INPUT!A906="","",RAW_INPUT!F906)</f>
        <v/>
      </c>
    </row>
    <row r="906">
      <c r="A906">
        <f>IF(RAW_INPUT!A907="","",RAW_INPUT!A907)</f>
        <v/>
      </c>
      <c r="B906">
        <f>IF(RAW_INPUT!A907="","",RAW_INPUT!E907)</f>
        <v/>
      </c>
      <c r="C906">
        <f>IF(RAW_INPUT!A907="","",RAW_INPUT!F907)</f>
        <v/>
      </c>
    </row>
    <row r="907">
      <c r="A907">
        <f>IF(RAW_INPUT!A908="","",RAW_INPUT!A908)</f>
        <v/>
      </c>
      <c r="B907">
        <f>IF(RAW_INPUT!A908="","",RAW_INPUT!E908)</f>
        <v/>
      </c>
      <c r="C907">
        <f>IF(RAW_INPUT!A908="","",RAW_INPUT!F908)</f>
        <v/>
      </c>
    </row>
    <row r="908">
      <c r="A908">
        <f>IF(RAW_INPUT!A909="","",RAW_INPUT!A909)</f>
        <v/>
      </c>
      <c r="B908">
        <f>IF(RAW_INPUT!A909="","",RAW_INPUT!E909)</f>
        <v/>
      </c>
      <c r="C908">
        <f>IF(RAW_INPUT!A909="","",RAW_INPUT!F909)</f>
        <v/>
      </c>
    </row>
    <row r="909">
      <c r="A909">
        <f>IF(RAW_INPUT!A910="","",RAW_INPUT!A910)</f>
        <v/>
      </c>
      <c r="B909">
        <f>IF(RAW_INPUT!A910="","",RAW_INPUT!E910)</f>
        <v/>
      </c>
      <c r="C909">
        <f>IF(RAW_INPUT!A910="","",RAW_INPUT!F910)</f>
        <v/>
      </c>
    </row>
    <row r="910">
      <c r="A910">
        <f>IF(RAW_INPUT!A911="","",RAW_INPUT!A911)</f>
        <v/>
      </c>
      <c r="B910">
        <f>IF(RAW_INPUT!A911="","",RAW_INPUT!E911)</f>
        <v/>
      </c>
      <c r="C910">
        <f>IF(RAW_INPUT!A911="","",RAW_INPUT!F911)</f>
        <v/>
      </c>
    </row>
    <row r="911">
      <c r="A911">
        <f>IF(RAW_INPUT!A912="","",RAW_INPUT!A912)</f>
        <v/>
      </c>
      <c r="B911">
        <f>IF(RAW_INPUT!A912="","",RAW_INPUT!E912)</f>
        <v/>
      </c>
      <c r="C911">
        <f>IF(RAW_INPUT!A912="","",RAW_INPUT!F912)</f>
        <v/>
      </c>
    </row>
    <row r="912">
      <c r="A912">
        <f>IF(RAW_INPUT!A913="","",RAW_INPUT!A913)</f>
        <v/>
      </c>
      <c r="B912">
        <f>IF(RAW_INPUT!A913="","",RAW_INPUT!E913)</f>
        <v/>
      </c>
      <c r="C912">
        <f>IF(RAW_INPUT!A913="","",RAW_INPUT!F913)</f>
        <v/>
      </c>
    </row>
    <row r="913">
      <c r="A913">
        <f>IF(RAW_INPUT!A914="","",RAW_INPUT!A914)</f>
        <v/>
      </c>
      <c r="B913">
        <f>IF(RAW_INPUT!A914="","",RAW_INPUT!E914)</f>
        <v/>
      </c>
      <c r="C913">
        <f>IF(RAW_INPUT!A914="","",RAW_INPUT!F914)</f>
        <v/>
      </c>
    </row>
    <row r="914">
      <c r="A914">
        <f>IF(RAW_INPUT!A915="","",RAW_INPUT!A915)</f>
        <v/>
      </c>
      <c r="B914">
        <f>IF(RAW_INPUT!A915="","",RAW_INPUT!E915)</f>
        <v/>
      </c>
      <c r="C914">
        <f>IF(RAW_INPUT!A915="","",RAW_INPUT!F915)</f>
        <v/>
      </c>
    </row>
    <row r="915">
      <c r="A915">
        <f>IF(RAW_INPUT!A916="","",RAW_INPUT!A916)</f>
        <v/>
      </c>
      <c r="B915">
        <f>IF(RAW_INPUT!A916="","",RAW_INPUT!E916)</f>
        <v/>
      </c>
      <c r="C915">
        <f>IF(RAW_INPUT!A916="","",RAW_INPUT!F916)</f>
        <v/>
      </c>
    </row>
    <row r="916">
      <c r="A916">
        <f>IF(RAW_INPUT!A917="","",RAW_INPUT!A917)</f>
        <v/>
      </c>
      <c r="B916">
        <f>IF(RAW_INPUT!A917="","",RAW_INPUT!E917)</f>
        <v/>
      </c>
      <c r="C916">
        <f>IF(RAW_INPUT!A917="","",RAW_INPUT!F917)</f>
        <v/>
      </c>
    </row>
    <row r="917">
      <c r="A917">
        <f>IF(RAW_INPUT!A918="","",RAW_INPUT!A918)</f>
        <v/>
      </c>
      <c r="B917">
        <f>IF(RAW_INPUT!A918="","",RAW_INPUT!E918)</f>
        <v/>
      </c>
      <c r="C917">
        <f>IF(RAW_INPUT!A918="","",RAW_INPUT!F918)</f>
        <v/>
      </c>
    </row>
    <row r="918">
      <c r="A918">
        <f>IF(RAW_INPUT!A919="","",RAW_INPUT!A919)</f>
        <v/>
      </c>
      <c r="B918">
        <f>IF(RAW_INPUT!A919="","",RAW_INPUT!E919)</f>
        <v/>
      </c>
      <c r="C918">
        <f>IF(RAW_INPUT!A919="","",RAW_INPUT!F919)</f>
        <v/>
      </c>
    </row>
    <row r="919">
      <c r="A919">
        <f>IF(RAW_INPUT!A920="","",RAW_INPUT!A920)</f>
        <v/>
      </c>
      <c r="B919">
        <f>IF(RAW_INPUT!A920="","",RAW_INPUT!E920)</f>
        <v/>
      </c>
      <c r="C919">
        <f>IF(RAW_INPUT!A920="","",RAW_INPUT!F920)</f>
        <v/>
      </c>
    </row>
    <row r="920">
      <c r="A920">
        <f>IF(RAW_INPUT!A921="","",RAW_INPUT!A921)</f>
        <v/>
      </c>
      <c r="B920">
        <f>IF(RAW_INPUT!A921="","",RAW_INPUT!E921)</f>
        <v/>
      </c>
      <c r="C920">
        <f>IF(RAW_INPUT!A921="","",RAW_INPUT!F921)</f>
        <v/>
      </c>
    </row>
    <row r="921">
      <c r="A921">
        <f>IF(RAW_INPUT!A922="","",RAW_INPUT!A922)</f>
        <v/>
      </c>
      <c r="B921">
        <f>IF(RAW_INPUT!A922="","",RAW_INPUT!E922)</f>
        <v/>
      </c>
      <c r="C921">
        <f>IF(RAW_INPUT!A922="","",RAW_INPUT!F922)</f>
        <v/>
      </c>
    </row>
    <row r="922">
      <c r="A922">
        <f>IF(RAW_INPUT!A923="","",RAW_INPUT!A923)</f>
        <v/>
      </c>
      <c r="B922">
        <f>IF(RAW_INPUT!A923="","",RAW_INPUT!E923)</f>
        <v/>
      </c>
      <c r="C922">
        <f>IF(RAW_INPUT!A923="","",RAW_INPUT!F923)</f>
        <v/>
      </c>
    </row>
    <row r="923">
      <c r="A923">
        <f>IF(RAW_INPUT!A924="","",RAW_INPUT!A924)</f>
        <v/>
      </c>
      <c r="B923">
        <f>IF(RAW_INPUT!A924="","",RAW_INPUT!E924)</f>
        <v/>
      </c>
      <c r="C923">
        <f>IF(RAW_INPUT!A924="","",RAW_INPUT!F924)</f>
        <v/>
      </c>
    </row>
    <row r="924">
      <c r="A924">
        <f>IF(RAW_INPUT!A925="","",RAW_INPUT!A925)</f>
        <v/>
      </c>
      <c r="B924">
        <f>IF(RAW_INPUT!A925="","",RAW_INPUT!E925)</f>
        <v/>
      </c>
      <c r="C924">
        <f>IF(RAW_INPUT!A925="","",RAW_INPUT!F925)</f>
        <v/>
      </c>
    </row>
    <row r="925">
      <c r="A925">
        <f>IF(RAW_INPUT!A926="","",RAW_INPUT!A926)</f>
        <v/>
      </c>
      <c r="B925">
        <f>IF(RAW_INPUT!A926="","",RAW_INPUT!E926)</f>
        <v/>
      </c>
      <c r="C925">
        <f>IF(RAW_INPUT!A926="","",RAW_INPUT!F926)</f>
        <v/>
      </c>
    </row>
    <row r="926">
      <c r="A926">
        <f>IF(RAW_INPUT!A927="","",RAW_INPUT!A927)</f>
        <v/>
      </c>
      <c r="B926">
        <f>IF(RAW_INPUT!A927="","",RAW_INPUT!E927)</f>
        <v/>
      </c>
      <c r="C926">
        <f>IF(RAW_INPUT!A927="","",RAW_INPUT!F927)</f>
        <v/>
      </c>
    </row>
    <row r="927">
      <c r="A927">
        <f>IF(RAW_INPUT!A928="","",RAW_INPUT!A928)</f>
        <v/>
      </c>
      <c r="B927">
        <f>IF(RAW_INPUT!A928="","",RAW_INPUT!E928)</f>
        <v/>
      </c>
      <c r="C927">
        <f>IF(RAW_INPUT!A928="","",RAW_INPUT!F928)</f>
        <v/>
      </c>
    </row>
    <row r="928">
      <c r="A928">
        <f>IF(RAW_INPUT!A929="","",RAW_INPUT!A929)</f>
        <v/>
      </c>
      <c r="B928">
        <f>IF(RAW_INPUT!A929="","",RAW_INPUT!E929)</f>
        <v/>
      </c>
      <c r="C928">
        <f>IF(RAW_INPUT!A929="","",RAW_INPUT!F929)</f>
        <v/>
      </c>
    </row>
    <row r="929">
      <c r="A929">
        <f>IF(RAW_INPUT!A930="","",RAW_INPUT!A930)</f>
        <v/>
      </c>
      <c r="B929">
        <f>IF(RAW_INPUT!A930="","",RAW_INPUT!E930)</f>
        <v/>
      </c>
      <c r="C929">
        <f>IF(RAW_INPUT!A930="","",RAW_INPUT!F930)</f>
        <v/>
      </c>
    </row>
    <row r="930">
      <c r="A930">
        <f>IF(RAW_INPUT!A931="","",RAW_INPUT!A931)</f>
        <v/>
      </c>
      <c r="B930">
        <f>IF(RAW_INPUT!A931="","",RAW_INPUT!E931)</f>
        <v/>
      </c>
      <c r="C930">
        <f>IF(RAW_INPUT!A931="","",RAW_INPUT!F931)</f>
        <v/>
      </c>
    </row>
    <row r="931">
      <c r="A931">
        <f>IF(RAW_INPUT!A932="","",RAW_INPUT!A932)</f>
        <v/>
      </c>
      <c r="B931">
        <f>IF(RAW_INPUT!A932="","",RAW_INPUT!E932)</f>
        <v/>
      </c>
      <c r="C931">
        <f>IF(RAW_INPUT!A932="","",RAW_INPUT!F932)</f>
        <v/>
      </c>
    </row>
    <row r="932">
      <c r="A932">
        <f>IF(RAW_INPUT!A933="","",RAW_INPUT!A933)</f>
        <v/>
      </c>
      <c r="B932">
        <f>IF(RAW_INPUT!A933="","",RAW_INPUT!E933)</f>
        <v/>
      </c>
      <c r="C932">
        <f>IF(RAW_INPUT!A933="","",RAW_INPUT!F933)</f>
        <v/>
      </c>
    </row>
    <row r="933">
      <c r="A933">
        <f>IF(RAW_INPUT!A934="","",RAW_INPUT!A934)</f>
        <v/>
      </c>
      <c r="B933">
        <f>IF(RAW_INPUT!A934="","",RAW_INPUT!E934)</f>
        <v/>
      </c>
      <c r="C933">
        <f>IF(RAW_INPUT!A934="","",RAW_INPUT!F934)</f>
        <v/>
      </c>
    </row>
    <row r="934">
      <c r="A934">
        <f>IF(RAW_INPUT!A935="","",RAW_INPUT!A935)</f>
        <v/>
      </c>
      <c r="B934">
        <f>IF(RAW_INPUT!A935="","",RAW_INPUT!E935)</f>
        <v/>
      </c>
      <c r="C934">
        <f>IF(RAW_INPUT!A935="","",RAW_INPUT!F935)</f>
        <v/>
      </c>
    </row>
    <row r="935">
      <c r="A935">
        <f>IF(RAW_INPUT!A936="","",RAW_INPUT!A936)</f>
        <v/>
      </c>
      <c r="B935">
        <f>IF(RAW_INPUT!A936="","",RAW_INPUT!E936)</f>
        <v/>
      </c>
      <c r="C935">
        <f>IF(RAW_INPUT!A936="","",RAW_INPUT!F936)</f>
        <v/>
      </c>
    </row>
    <row r="936">
      <c r="A936">
        <f>IF(RAW_INPUT!A937="","",RAW_INPUT!A937)</f>
        <v/>
      </c>
      <c r="B936">
        <f>IF(RAW_INPUT!A937="","",RAW_INPUT!E937)</f>
        <v/>
      </c>
      <c r="C936">
        <f>IF(RAW_INPUT!A937="","",RAW_INPUT!F937)</f>
        <v/>
      </c>
    </row>
    <row r="937">
      <c r="A937">
        <f>IF(RAW_INPUT!A938="","",RAW_INPUT!A938)</f>
        <v/>
      </c>
      <c r="B937">
        <f>IF(RAW_INPUT!A938="","",RAW_INPUT!E938)</f>
        <v/>
      </c>
      <c r="C937">
        <f>IF(RAW_INPUT!A938="","",RAW_INPUT!F938)</f>
        <v/>
      </c>
    </row>
    <row r="938">
      <c r="A938">
        <f>IF(RAW_INPUT!A939="","",RAW_INPUT!A939)</f>
        <v/>
      </c>
      <c r="B938">
        <f>IF(RAW_INPUT!A939="","",RAW_INPUT!E939)</f>
        <v/>
      </c>
      <c r="C938">
        <f>IF(RAW_INPUT!A939="","",RAW_INPUT!F939)</f>
        <v/>
      </c>
    </row>
    <row r="939">
      <c r="A939">
        <f>IF(RAW_INPUT!A940="","",RAW_INPUT!A940)</f>
        <v/>
      </c>
      <c r="B939">
        <f>IF(RAW_INPUT!A940="","",RAW_INPUT!E940)</f>
        <v/>
      </c>
      <c r="C939">
        <f>IF(RAW_INPUT!A940="","",RAW_INPUT!F940)</f>
        <v/>
      </c>
    </row>
    <row r="940">
      <c r="A940">
        <f>IF(RAW_INPUT!A941="","",RAW_INPUT!A941)</f>
        <v/>
      </c>
      <c r="B940">
        <f>IF(RAW_INPUT!A941="","",RAW_INPUT!E941)</f>
        <v/>
      </c>
      <c r="C940">
        <f>IF(RAW_INPUT!A941="","",RAW_INPUT!F941)</f>
        <v/>
      </c>
    </row>
    <row r="941">
      <c r="A941">
        <f>IF(RAW_INPUT!A942="","",RAW_INPUT!A942)</f>
        <v/>
      </c>
      <c r="B941">
        <f>IF(RAW_INPUT!A942="","",RAW_INPUT!E942)</f>
        <v/>
      </c>
      <c r="C941">
        <f>IF(RAW_INPUT!A942="","",RAW_INPUT!F942)</f>
        <v/>
      </c>
    </row>
    <row r="942">
      <c r="A942">
        <f>IF(RAW_INPUT!A943="","",RAW_INPUT!A943)</f>
        <v/>
      </c>
      <c r="B942">
        <f>IF(RAW_INPUT!A943="","",RAW_INPUT!E943)</f>
        <v/>
      </c>
      <c r="C942">
        <f>IF(RAW_INPUT!A943="","",RAW_INPUT!F943)</f>
        <v/>
      </c>
    </row>
    <row r="943">
      <c r="A943">
        <f>IF(RAW_INPUT!A944="","",RAW_INPUT!A944)</f>
        <v/>
      </c>
      <c r="B943">
        <f>IF(RAW_INPUT!A944="","",RAW_INPUT!E944)</f>
        <v/>
      </c>
      <c r="C943">
        <f>IF(RAW_INPUT!A944="","",RAW_INPUT!F944)</f>
        <v/>
      </c>
    </row>
    <row r="944">
      <c r="A944">
        <f>IF(RAW_INPUT!A945="","",RAW_INPUT!A945)</f>
        <v/>
      </c>
      <c r="B944">
        <f>IF(RAW_INPUT!A945="","",RAW_INPUT!E945)</f>
        <v/>
      </c>
      <c r="C944">
        <f>IF(RAW_INPUT!A945="","",RAW_INPUT!F945)</f>
        <v/>
      </c>
    </row>
    <row r="945">
      <c r="A945">
        <f>IF(RAW_INPUT!A946="","",RAW_INPUT!A946)</f>
        <v/>
      </c>
      <c r="B945">
        <f>IF(RAW_INPUT!A946="","",RAW_INPUT!E946)</f>
        <v/>
      </c>
      <c r="C945">
        <f>IF(RAW_INPUT!A946="","",RAW_INPUT!F946)</f>
        <v/>
      </c>
    </row>
    <row r="946">
      <c r="A946">
        <f>IF(RAW_INPUT!A947="","",RAW_INPUT!A947)</f>
        <v/>
      </c>
      <c r="B946">
        <f>IF(RAW_INPUT!A947="","",RAW_INPUT!E947)</f>
        <v/>
      </c>
      <c r="C946">
        <f>IF(RAW_INPUT!A947="","",RAW_INPUT!F947)</f>
        <v/>
      </c>
    </row>
    <row r="947">
      <c r="A947">
        <f>IF(RAW_INPUT!A948="","",RAW_INPUT!A948)</f>
        <v/>
      </c>
      <c r="B947">
        <f>IF(RAW_INPUT!A948="","",RAW_INPUT!E948)</f>
        <v/>
      </c>
      <c r="C947">
        <f>IF(RAW_INPUT!A948="","",RAW_INPUT!F948)</f>
        <v/>
      </c>
    </row>
    <row r="948">
      <c r="A948">
        <f>IF(RAW_INPUT!A949="","",RAW_INPUT!A949)</f>
        <v/>
      </c>
      <c r="B948">
        <f>IF(RAW_INPUT!A949="","",RAW_INPUT!E949)</f>
        <v/>
      </c>
      <c r="C948">
        <f>IF(RAW_INPUT!A949="","",RAW_INPUT!F949)</f>
        <v/>
      </c>
    </row>
    <row r="949">
      <c r="A949">
        <f>IF(RAW_INPUT!A950="","",RAW_INPUT!A950)</f>
        <v/>
      </c>
      <c r="B949">
        <f>IF(RAW_INPUT!A950="","",RAW_INPUT!E950)</f>
        <v/>
      </c>
      <c r="C949">
        <f>IF(RAW_INPUT!A950="","",RAW_INPUT!F950)</f>
        <v/>
      </c>
    </row>
    <row r="950">
      <c r="A950">
        <f>IF(RAW_INPUT!A951="","",RAW_INPUT!A951)</f>
        <v/>
      </c>
      <c r="B950">
        <f>IF(RAW_INPUT!A951="","",RAW_INPUT!E951)</f>
        <v/>
      </c>
      <c r="C950">
        <f>IF(RAW_INPUT!A951="","",RAW_INPUT!F951)</f>
        <v/>
      </c>
    </row>
    <row r="951">
      <c r="A951">
        <f>IF(RAW_INPUT!A952="","",RAW_INPUT!A952)</f>
        <v/>
      </c>
      <c r="B951">
        <f>IF(RAW_INPUT!A952="","",RAW_INPUT!E952)</f>
        <v/>
      </c>
      <c r="C951">
        <f>IF(RAW_INPUT!A952="","",RAW_INPUT!F952)</f>
        <v/>
      </c>
    </row>
    <row r="952">
      <c r="A952">
        <f>IF(RAW_INPUT!A953="","",RAW_INPUT!A953)</f>
        <v/>
      </c>
      <c r="B952">
        <f>IF(RAW_INPUT!A953="","",RAW_INPUT!E953)</f>
        <v/>
      </c>
      <c r="C952">
        <f>IF(RAW_INPUT!A953="","",RAW_INPUT!F953)</f>
        <v/>
      </c>
    </row>
    <row r="953">
      <c r="A953">
        <f>IF(RAW_INPUT!A954="","",RAW_INPUT!A954)</f>
        <v/>
      </c>
      <c r="B953">
        <f>IF(RAW_INPUT!A954="","",RAW_INPUT!E954)</f>
        <v/>
      </c>
      <c r="C953">
        <f>IF(RAW_INPUT!A954="","",RAW_INPUT!F954)</f>
        <v/>
      </c>
    </row>
    <row r="954">
      <c r="A954">
        <f>IF(RAW_INPUT!A955="","",RAW_INPUT!A955)</f>
        <v/>
      </c>
      <c r="B954">
        <f>IF(RAW_INPUT!A955="","",RAW_INPUT!E955)</f>
        <v/>
      </c>
      <c r="C954">
        <f>IF(RAW_INPUT!A955="","",RAW_INPUT!F955)</f>
        <v/>
      </c>
    </row>
    <row r="955">
      <c r="A955">
        <f>IF(RAW_INPUT!A956="","",RAW_INPUT!A956)</f>
        <v/>
      </c>
      <c r="B955">
        <f>IF(RAW_INPUT!A956="","",RAW_INPUT!E956)</f>
        <v/>
      </c>
      <c r="C955">
        <f>IF(RAW_INPUT!A956="","",RAW_INPUT!F956)</f>
        <v/>
      </c>
    </row>
    <row r="956">
      <c r="A956">
        <f>IF(RAW_INPUT!A957="","",RAW_INPUT!A957)</f>
        <v/>
      </c>
      <c r="B956">
        <f>IF(RAW_INPUT!A957="","",RAW_INPUT!E957)</f>
        <v/>
      </c>
      <c r="C956">
        <f>IF(RAW_INPUT!A957="","",RAW_INPUT!F957)</f>
        <v/>
      </c>
    </row>
    <row r="957">
      <c r="A957">
        <f>IF(RAW_INPUT!A958="","",RAW_INPUT!A958)</f>
        <v/>
      </c>
      <c r="B957">
        <f>IF(RAW_INPUT!A958="","",RAW_INPUT!E958)</f>
        <v/>
      </c>
      <c r="C957">
        <f>IF(RAW_INPUT!A958="","",RAW_INPUT!F958)</f>
        <v/>
      </c>
    </row>
    <row r="958">
      <c r="A958">
        <f>IF(RAW_INPUT!A959="","",RAW_INPUT!A959)</f>
        <v/>
      </c>
      <c r="B958">
        <f>IF(RAW_INPUT!A959="","",RAW_INPUT!E959)</f>
        <v/>
      </c>
      <c r="C958">
        <f>IF(RAW_INPUT!A959="","",RAW_INPUT!F959)</f>
        <v/>
      </c>
    </row>
    <row r="959">
      <c r="A959">
        <f>IF(RAW_INPUT!A960="","",RAW_INPUT!A960)</f>
        <v/>
      </c>
      <c r="B959">
        <f>IF(RAW_INPUT!A960="","",RAW_INPUT!E960)</f>
        <v/>
      </c>
      <c r="C959">
        <f>IF(RAW_INPUT!A960="","",RAW_INPUT!F960)</f>
        <v/>
      </c>
    </row>
    <row r="960">
      <c r="A960">
        <f>IF(RAW_INPUT!A961="","",RAW_INPUT!A961)</f>
        <v/>
      </c>
      <c r="B960">
        <f>IF(RAW_INPUT!A961="","",RAW_INPUT!E961)</f>
        <v/>
      </c>
      <c r="C960">
        <f>IF(RAW_INPUT!A961="","",RAW_INPUT!F961)</f>
        <v/>
      </c>
    </row>
    <row r="961">
      <c r="A961">
        <f>IF(RAW_INPUT!A962="","",RAW_INPUT!A962)</f>
        <v/>
      </c>
      <c r="B961">
        <f>IF(RAW_INPUT!A962="","",RAW_INPUT!E962)</f>
        <v/>
      </c>
      <c r="C961">
        <f>IF(RAW_INPUT!A962="","",RAW_INPUT!F962)</f>
        <v/>
      </c>
    </row>
    <row r="962">
      <c r="A962">
        <f>IF(RAW_INPUT!A963="","",RAW_INPUT!A963)</f>
        <v/>
      </c>
      <c r="B962">
        <f>IF(RAW_INPUT!A963="","",RAW_INPUT!E963)</f>
        <v/>
      </c>
      <c r="C962">
        <f>IF(RAW_INPUT!A963="","",RAW_INPUT!F963)</f>
        <v/>
      </c>
    </row>
    <row r="963">
      <c r="A963">
        <f>IF(RAW_INPUT!A964="","",RAW_INPUT!A964)</f>
        <v/>
      </c>
      <c r="B963">
        <f>IF(RAW_INPUT!A964="","",RAW_INPUT!E964)</f>
        <v/>
      </c>
      <c r="C963">
        <f>IF(RAW_INPUT!A964="","",RAW_INPUT!F964)</f>
        <v/>
      </c>
    </row>
    <row r="964">
      <c r="A964">
        <f>IF(RAW_INPUT!A965="","",RAW_INPUT!A965)</f>
        <v/>
      </c>
      <c r="B964">
        <f>IF(RAW_INPUT!A965="","",RAW_INPUT!E965)</f>
        <v/>
      </c>
      <c r="C964">
        <f>IF(RAW_INPUT!A965="","",RAW_INPUT!F965)</f>
        <v/>
      </c>
    </row>
    <row r="965">
      <c r="A965">
        <f>IF(RAW_INPUT!A966="","",RAW_INPUT!A966)</f>
        <v/>
      </c>
      <c r="B965">
        <f>IF(RAW_INPUT!A966="","",RAW_INPUT!E966)</f>
        <v/>
      </c>
      <c r="C965">
        <f>IF(RAW_INPUT!A966="","",RAW_INPUT!F966)</f>
        <v/>
      </c>
    </row>
    <row r="966">
      <c r="A966">
        <f>IF(RAW_INPUT!A967="","",RAW_INPUT!A967)</f>
        <v/>
      </c>
      <c r="B966">
        <f>IF(RAW_INPUT!A967="","",RAW_INPUT!E967)</f>
        <v/>
      </c>
      <c r="C966">
        <f>IF(RAW_INPUT!A967="","",RAW_INPUT!F967)</f>
        <v/>
      </c>
    </row>
    <row r="967">
      <c r="A967">
        <f>IF(RAW_INPUT!A968="","",RAW_INPUT!A968)</f>
        <v/>
      </c>
      <c r="B967">
        <f>IF(RAW_INPUT!A968="","",RAW_INPUT!E968)</f>
        <v/>
      </c>
      <c r="C967">
        <f>IF(RAW_INPUT!A968="","",RAW_INPUT!F968)</f>
        <v/>
      </c>
    </row>
    <row r="968">
      <c r="A968">
        <f>IF(RAW_INPUT!A969="","",RAW_INPUT!A969)</f>
        <v/>
      </c>
      <c r="B968">
        <f>IF(RAW_INPUT!A969="","",RAW_INPUT!E969)</f>
        <v/>
      </c>
      <c r="C968">
        <f>IF(RAW_INPUT!A969="","",RAW_INPUT!F969)</f>
        <v/>
      </c>
    </row>
    <row r="969">
      <c r="A969">
        <f>IF(RAW_INPUT!A970="","",RAW_INPUT!A970)</f>
        <v/>
      </c>
      <c r="B969">
        <f>IF(RAW_INPUT!A970="","",RAW_INPUT!E970)</f>
        <v/>
      </c>
      <c r="C969">
        <f>IF(RAW_INPUT!A970="","",RAW_INPUT!F970)</f>
        <v/>
      </c>
    </row>
    <row r="970">
      <c r="A970">
        <f>IF(RAW_INPUT!A971="","",RAW_INPUT!A971)</f>
        <v/>
      </c>
      <c r="B970">
        <f>IF(RAW_INPUT!A971="","",RAW_INPUT!E971)</f>
        <v/>
      </c>
      <c r="C970">
        <f>IF(RAW_INPUT!A971="","",RAW_INPUT!F971)</f>
        <v/>
      </c>
    </row>
    <row r="971">
      <c r="A971">
        <f>IF(RAW_INPUT!A972="","",RAW_INPUT!A972)</f>
        <v/>
      </c>
      <c r="B971">
        <f>IF(RAW_INPUT!A972="","",RAW_INPUT!E972)</f>
        <v/>
      </c>
      <c r="C971">
        <f>IF(RAW_INPUT!A972="","",RAW_INPUT!F972)</f>
        <v/>
      </c>
    </row>
    <row r="972">
      <c r="A972">
        <f>IF(RAW_INPUT!A973="","",RAW_INPUT!A973)</f>
        <v/>
      </c>
      <c r="B972">
        <f>IF(RAW_INPUT!A973="","",RAW_INPUT!E973)</f>
        <v/>
      </c>
      <c r="C972">
        <f>IF(RAW_INPUT!A973="","",RAW_INPUT!F973)</f>
        <v/>
      </c>
    </row>
    <row r="973">
      <c r="A973">
        <f>IF(RAW_INPUT!A974="","",RAW_INPUT!A974)</f>
        <v/>
      </c>
      <c r="B973">
        <f>IF(RAW_INPUT!A974="","",RAW_INPUT!E974)</f>
        <v/>
      </c>
      <c r="C973">
        <f>IF(RAW_INPUT!A974="","",RAW_INPUT!F974)</f>
        <v/>
      </c>
    </row>
    <row r="974">
      <c r="A974">
        <f>IF(RAW_INPUT!A975="","",RAW_INPUT!A975)</f>
        <v/>
      </c>
      <c r="B974">
        <f>IF(RAW_INPUT!A975="","",RAW_INPUT!E975)</f>
        <v/>
      </c>
      <c r="C974">
        <f>IF(RAW_INPUT!A975="","",RAW_INPUT!F975)</f>
        <v/>
      </c>
    </row>
    <row r="975">
      <c r="A975">
        <f>IF(RAW_INPUT!A976="","",RAW_INPUT!A976)</f>
        <v/>
      </c>
      <c r="B975">
        <f>IF(RAW_INPUT!A976="","",RAW_INPUT!E976)</f>
        <v/>
      </c>
      <c r="C975">
        <f>IF(RAW_INPUT!A976="","",RAW_INPUT!F976)</f>
        <v/>
      </c>
    </row>
    <row r="976">
      <c r="A976">
        <f>IF(RAW_INPUT!A977="","",RAW_INPUT!A977)</f>
        <v/>
      </c>
      <c r="B976">
        <f>IF(RAW_INPUT!A977="","",RAW_INPUT!E977)</f>
        <v/>
      </c>
      <c r="C976">
        <f>IF(RAW_INPUT!A977="","",RAW_INPUT!F977)</f>
        <v/>
      </c>
    </row>
    <row r="977">
      <c r="A977">
        <f>IF(RAW_INPUT!A978="","",RAW_INPUT!A978)</f>
        <v/>
      </c>
      <c r="B977">
        <f>IF(RAW_INPUT!A978="","",RAW_INPUT!E978)</f>
        <v/>
      </c>
      <c r="C977">
        <f>IF(RAW_INPUT!A978="","",RAW_INPUT!F978)</f>
        <v/>
      </c>
    </row>
    <row r="978">
      <c r="A978">
        <f>IF(RAW_INPUT!A979="","",RAW_INPUT!A979)</f>
        <v/>
      </c>
      <c r="B978">
        <f>IF(RAW_INPUT!A979="","",RAW_INPUT!E979)</f>
        <v/>
      </c>
      <c r="C978">
        <f>IF(RAW_INPUT!A979="","",RAW_INPUT!F979)</f>
        <v/>
      </c>
    </row>
    <row r="979">
      <c r="A979">
        <f>IF(RAW_INPUT!A980="","",RAW_INPUT!A980)</f>
        <v/>
      </c>
      <c r="B979">
        <f>IF(RAW_INPUT!A980="","",RAW_INPUT!E980)</f>
        <v/>
      </c>
      <c r="C979">
        <f>IF(RAW_INPUT!A980="","",RAW_INPUT!F980)</f>
        <v/>
      </c>
    </row>
    <row r="980">
      <c r="A980">
        <f>IF(RAW_INPUT!A981="","",RAW_INPUT!A981)</f>
        <v/>
      </c>
      <c r="B980">
        <f>IF(RAW_INPUT!A981="","",RAW_INPUT!E981)</f>
        <v/>
      </c>
      <c r="C980">
        <f>IF(RAW_INPUT!A981="","",RAW_INPUT!F981)</f>
        <v/>
      </c>
    </row>
    <row r="981">
      <c r="A981">
        <f>IF(RAW_INPUT!A982="","",RAW_INPUT!A982)</f>
        <v/>
      </c>
      <c r="B981">
        <f>IF(RAW_INPUT!A982="","",RAW_INPUT!E982)</f>
        <v/>
      </c>
      <c r="C981">
        <f>IF(RAW_INPUT!A982="","",RAW_INPUT!F982)</f>
        <v/>
      </c>
    </row>
    <row r="982">
      <c r="A982">
        <f>IF(RAW_INPUT!A983="","",RAW_INPUT!A983)</f>
        <v/>
      </c>
      <c r="B982">
        <f>IF(RAW_INPUT!A983="","",RAW_INPUT!E983)</f>
        <v/>
      </c>
      <c r="C982">
        <f>IF(RAW_INPUT!A983="","",RAW_INPUT!F983)</f>
        <v/>
      </c>
    </row>
    <row r="983">
      <c r="A983">
        <f>IF(RAW_INPUT!A984="","",RAW_INPUT!A984)</f>
        <v/>
      </c>
      <c r="B983">
        <f>IF(RAW_INPUT!A984="","",RAW_INPUT!E984)</f>
        <v/>
      </c>
      <c r="C983">
        <f>IF(RAW_INPUT!A984="","",RAW_INPUT!F984)</f>
        <v/>
      </c>
    </row>
    <row r="984">
      <c r="A984">
        <f>IF(RAW_INPUT!A985="","",RAW_INPUT!A985)</f>
        <v/>
      </c>
      <c r="B984">
        <f>IF(RAW_INPUT!A985="","",RAW_INPUT!E985)</f>
        <v/>
      </c>
      <c r="C984">
        <f>IF(RAW_INPUT!A985="","",RAW_INPUT!F985)</f>
        <v/>
      </c>
    </row>
    <row r="985">
      <c r="A985">
        <f>IF(RAW_INPUT!A986="","",RAW_INPUT!A986)</f>
        <v/>
      </c>
      <c r="B985">
        <f>IF(RAW_INPUT!A986="","",RAW_INPUT!E986)</f>
        <v/>
      </c>
      <c r="C985">
        <f>IF(RAW_INPUT!A986="","",RAW_INPUT!F986)</f>
        <v/>
      </c>
    </row>
    <row r="986">
      <c r="A986">
        <f>IF(RAW_INPUT!A987="","",RAW_INPUT!A987)</f>
        <v/>
      </c>
      <c r="B986">
        <f>IF(RAW_INPUT!A987="","",RAW_INPUT!E987)</f>
        <v/>
      </c>
      <c r="C986">
        <f>IF(RAW_INPUT!A987="","",RAW_INPUT!F987)</f>
        <v/>
      </c>
    </row>
    <row r="987">
      <c r="A987">
        <f>IF(RAW_INPUT!A988="","",RAW_INPUT!A988)</f>
        <v/>
      </c>
      <c r="B987">
        <f>IF(RAW_INPUT!A988="","",RAW_INPUT!E988)</f>
        <v/>
      </c>
      <c r="C987">
        <f>IF(RAW_INPUT!A988="","",RAW_INPUT!F988)</f>
        <v/>
      </c>
    </row>
    <row r="988">
      <c r="A988">
        <f>IF(RAW_INPUT!A989="","",RAW_INPUT!A989)</f>
        <v/>
      </c>
      <c r="B988">
        <f>IF(RAW_INPUT!A989="","",RAW_INPUT!E989)</f>
        <v/>
      </c>
      <c r="C988">
        <f>IF(RAW_INPUT!A989="","",RAW_INPUT!F989)</f>
        <v/>
      </c>
    </row>
    <row r="989">
      <c r="A989">
        <f>IF(RAW_INPUT!A990="","",RAW_INPUT!A990)</f>
        <v/>
      </c>
      <c r="B989">
        <f>IF(RAW_INPUT!A990="","",RAW_INPUT!E990)</f>
        <v/>
      </c>
      <c r="C989">
        <f>IF(RAW_INPUT!A990="","",RAW_INPUT!F990)</f>
        <v/>
      </c>
    </row>
    <row r="990">
      <c r="A990">
        <f>IF(RAW_INPUT!A991="","",RAW_INPUT!A991)</f>
        <v/>
      </c>
      <c r="B990">
        <f>IF(RAW_INPUT!A991="","",RAW_INPUT!E991)</f>
        <v/>
      </c>
      <c r="C990">
        <f>IF(RAW_INPUT!A991="","",RAW_INPUT!F991)</f>
        <v/>
      </c>
    </row>
    <row r="991">
      <c r="A991">
        <f>IF(RAW_INPUT!A992="","",RAW_INPUT!A992)</f>
        <v/>
      </c>
      <c r="B991">
        <f>IF(RAW_INPUT!A992="","",RAW_INPUT!E992)</f>
        <v/>
      </c>
      <c r="C991">
        <f>IF(RAW_INPUT!A992="","",RAW_INPUT!F992)</f>
        <v/>
      </c>
    </row>
    <row r="992">
      <c r="A992">
        <f>IF(RAW_INPUT!A993="","",RAW_INPUT!A993)</f>
        <v/>
      </c>
      <c r="B992">
        <f>IF(RAW_INPUT!A993="","",RAW_INPUT!E993)</f>
        <v/>
      </c>
      <c r="C992">
        <f>IF(RAW_INPUT!A993="","",RAW_INPUT!F993)</f>
        <v/>
      </c>
    </row>
    <row r="993">
      <c r="A993">
        <f>IF(RAW_INPUT!A994="","",RAW_INPUT!A994)</f>
        <v/>
      </c>
      <c r="B993">
        <f>IF(RAW_INPUT!A994="","",RAW_INPUT!E994)</f>
        <v/>
      </c>
      <c r="C993">
        <f>IF(RAW_INPUT!A994="","",RAW_INPUT!F994)</f>
        <v/>
      </c>
    </row>
    <row r="994">
      <c r="A994">
        <f>IF(RAW_INPUT!A995="","",RAW_INPUT!A995)</f>
        <v/>
      </c>
      <c r="B994">
        <f>IF(RAW_INPUT!A995="","",RAW_INPUT!E995)</f>
        <v/>
      </c>
      <c r="C994">
        <f>IF(RAW_INPUT!A995="","",RAW_INPUT!F995)</f>
        <v/>
      </c>
    </row>
    <row r="995">
      <c r="A995">
        <f>IF(RAW_INPUT!A996="","",RAW_INPUT!A996)</f>
        <v/>
      </c>
      <c r="B995">
        <f>IF(RAW_INPUT!A996="","",RAW_INPUT!E996)</f>
        <v/>
      </c>
      <c r="C995">
        <f>IF(RAW_INPUT!A996="","",RAW_INPUT!F996)</f>
        <v/>
      </c>
    </row>
    <row r="996">
      <c r="A996">
        <f>IF(RAW_INPUT!A997="","",RAW_INPUT!A997)</f>
        <v/>
      </c>
      <c r="B996">
        <f>IF(RAW_INPUT!A997="","",RAW_INPUT!E997)</f>
        <v/>
      </c>
      <c r="C996">
        <f>IF(RAW_INPUT!A997="","",RAW_INPUT!F997)</f>
        <v/>
      </c>
    </row>
    <row r="997">
      <c r="A997">
        <f>IF(RAW_INPUT!A998="","",RAW_INPUT!A998)</f>
        <v/>
      </c>
      <c r="B997">
        <f>IF(RAW_INPUT!A998="","",RAW_INPUT!E998)</f>
        <v/>
      </c>
      <c r="C997">
        <f>IF(RAW_INPUT!A998="","",RAW_INPUT!F998)</f>
        <v/>
      </c>
    </row>
    <row r="998">
      <c r="A998">
        <f>IF(RAW_INPUT!A999="","",RAW_INPUT!A999)</f>
        <v/>
      </c>
      <c r="B998">
        <f>IF(RAW_INPUT!A999="","",RAW_INPUT!E999)</f>
        <v/>
      </c>
      <c r="C998">
        <f>IF(RAW_INPUT!A999="","",RAW_INPUT!F999)</f>
        <v/>
      </c>
    </row>
    <row r="999">
      <c r="A999">
        <f>IF(RAW_INPUT!A1000="","",RAW_INPUT!A1000)</f>
        <v/>
      </c>
      <c r="B999">
        <f>IF(RAW_INPUT!A1000="","",RAW_INPUT!E1000)</f>
        <v/>
      </c>
      <c r="C999">
        <f>IF(RAW_INPUT!A1000="","",RAW_INPUT!F1000)</f>
        <v/>
      </c>
    </row>
    <row r="1000">
      <c r="A1000">
        <f>IF(RAW_INPUT!A1001="","",RAW_INPUT!A1001)</f>
        <v/>
      </c>
      <c r="B1000">
        <f>IF(RAW_INPUT!A1001="","",RAW_INPUT!E1001)</f>
        <v/>
      </c>
      <c r="C1000">
        <f>IF(RAW_INPUT!A1001="","",RAW_INPUT!F1001)</f>
        <v/>
      </c>
    </row>
    <row r="1001">
      <c r="A1001">
        <f>IF(RAW_INPUT!A1002="","",RAW_INPUT!A1002)</f>
        <v/>
      </c>
      <c r="B1001">
        <f>IF(RAW_INPUT!A1002="","",RAW_INPUT!E1002)</f>
        <v/>
      </c>
      <c r="C1001">
        <f>IF(RAW_INPUT!A1002="","",RAW_INPUT!F1002)</f>
        <v/>
      </c>
    </row>
    <row r="1002">
      <c r="A1002">
        <f>IF(RAW_INPUT!A1003="","",RAW_INPUT!A1003)</f>
        <v/>
      </c>
      <c r="B1002">
        <f>IF(RAW_INPUT!A1003="","",RAW_INPUT!E1003)</f>
        <v/>
      </c>
      <c r="C1002">
        <f>IF(RAW_INPUT!A1003="","",RAW_INPUT!F1003)</f>
        <v/>
      </c>
    </row>
    <row r="1003">
      <c r="A1003">
        <f>IF(RAW_INPUT!A1004="","",RAW_INPUT!A1004)</f>
        <v/>
      </c>
      <c r="B1003">
        <f>IF(RAW_INPUT!A1004="","",RAW_INPUT!E1004)</f>
        <v/>
      </c>
      <c r="C1003">
        <f>IF(RAW_INPUT!A1004="","",RAW_INPUT!F1004)</f>
        <v/>
      </c>
    </row>
    <row r="1004">
      <c r="A1004">
        <f>IF(RAW_INPUT!A1005="","",RAW_INPUT!A1005)</f>
        <v/>
      </c>
      <c r="B1004">
        <f>IF(RAW_INPUT!A1005="","",RAW_INPUT!E1005)</f>
        <v/>
      </c>
      <c r="C1004">
        <f>IF(RAW_INPUT!A1005="","",RAW_INPUT!F1005)</f>
        <v/>
      </c>
    </row>
    <row r="1005">
      <c r="A1005">
        <f>IF(RAW_INPUT!A1006="","",RAW_INPUT!A1006)</f>
        <v/>
      </c>
      <c r="B1005">
        <f>IF(RAW_INPUT!A1006="","",RAW_INPUT!E1006)</f>
        <v/>
      </c>
      <c r="C1005">
        <f>IF(RAW_INPUT!A1006="","",RAW_INPUT!F1006)</f>
        <v/>
      </c>
    </row>
    <row r="1006">
      <c r="A1006">
        <f>IF(RAW_INPUT!A1007="","",RAW_INPUT!A1007)</f>
        <v/>
      </c>
      <c r="B1006">
        <f>IF(RAW_INPUT!A1007="","",RAW_INPUT!E1007)</f>
        <v/>
      </c>
      <c r="C1006">
        <f>IF(RAW_INPUT!A1007="","",RAW_INPUT!F1007)</f>
        <v/>
      </c>
    </row>
    <row r="1007">
      <c r="A1007">
        <f>IF(RAW_INPUT!A1008="","",RAW_INPUT!A1008)</f>
        <v/>
      </c>
      <c r="B1007">
        <f>IF(RAW_INPUT!A1008="","",RAW_INPUT!E1008)</f>
        <v/>
      </c>
      <c r="C1007">
        <f>IF(RAW_INPUT!A1008="","",RAW_INPUT!F1008)</f>
        <v/>
      </c>
    </row>
    <row r="1008">
      <c r="A1008">
        <f>IF(RAW_INPUT!A1009="","",RAW_INPUT!A1009)</f>
        <v/>
      </c>
      <c r="B1008">
        <f>IF(RAW_INPUT!A1009="","",RAW_INPUT!E1009)</f>
        <v/>
      </c>
      <c r="C1008">
        <f>IF(RAW_INPUT!A1009="","",RAW_INPUT!F1009)</f>
        <v/>
      </c>
    </row>
    <row r="1009">
      <c r="A1009">
        <f>IF(RAW_INPUT!A1010="","",RAW_INPUT!A1010)</f>
        <v/>
      </c>
      <c r="B1009">
        <f>IF(RAW_INPUT!A1010="","",RAW_INPUT!E1010)</f>
        <v/>
      </c>
      <c r="C1009">
        <f>IF(RAW_INPUT!A1010="","",RAW_INPUT!F1010)</f>
        <v/>
      </c>
    </row>
    <row r="1010">
      <c r="A1010">
        <f>IF(RAW_INPUT!A1011="","",RAW_INPUT!A1011)</f>
        <v/>
      </c>
      <c r="B1010">
        <f>IF(RAW_INPUT!A1011="","",RAW_INPUT!E1011)</f>
        <v/>
      </c>
      <c r="C1010">
        <f>IF(RAW_INPUT!A1011="","",RAW_INPUT!F1011)</f>
        <v/>
      </c>
    </row>
    <row r="1011">
      <c r="A1011">
        <f>IF(RAW_INPUT!A1012="","",RAW_INPUT!A1012)</f>
        <v/>
      </c>
      <c r="B1011">
        <f>IF(RAW_INPUT!A1012="","",RAW_INPUT!E1012)</f>
        <v/>
      </c>
      <c r="C1011">
        <f>IF(RAW_INPUT!A1012="","",RAW_INPUT!F1012)</f>
        <v/>
      </c>
    </row>
    <row r="1012">
      <c r="A1012">
        <f>IF(RAW_INPUT!A1013="","",RAW_INPUT!A1013)</f>
        <v/>
      </c>
      <c r="B1012">
        <f>IF(RAW_INPUT!A1013="","",RAW_INPUT!E1013)</f>
        <v/>
      </c>
      <c r="C1012">
        <f>IF(RAW_INPUT!A1013="","",RAW_INPUT!F1013)</f>
        <v/>
      </c>
    </row>
    <row r="1013">
      <c r="A1013">
        <f>IF(RAW_INPUT!A1014="","",RAW_INPUT!A1014)</f>
        <v/>
      </c>
      <c r="B1013">
        <f>IF(RAW_INPUT!A1014="","",RAW_INPUT!E1014)</f>
        <v/>
      </c>
      <c r="C1013">
        <f>IF(RAW_INPUT!A1014="","",RAW_INPUT!F1014)</f>
        <v/>
      </c>
    </row>
    <row r="1014">
      <c r="A1014">
        <f>IF(RAW_INPUT!A1015="","",RAW_INPUT!A1015)</f>
        <v/>
      </c>
      <c r="B1014">
        <f>IF(RAW_INPUT!A1015="","",RAW_INPUT!E1015)</f>
        <v/>
      </c>
      <c r="C1014">
        <f>IF(RAW_INPUT!A1015="","",RAW_INPUT!F1015)</f>
        <v/>
      </c>
    </row>
    <row r="1015">
      <c r="A1015">
        <f>IF(RAW_INPUT!A1016="","",RAW_INPUT!A1016)</f>
        <v/>
      </c>
      <c r="B1015">
        <f>IF(RAW_INPUT!A1016="","",RAW_INPUT!E1016)</f>
        <v/>
      </c>
      <c r="C1015">
        <f>IF(RAW_INPUT!A1016="","",RAW_INPUT!F1016)</f>
        <v/>
      </c>
    </row>
    <row r="1016">
      <c r="A1016">
        <f>IF(RAW_INPUT!A1017="","",RAW_INPUT!A1017)</f>
        <v/>
      </c>
      <c r="B1016">
        <f>IF(RAW_INPUT!A1017="","",RAW_INPUT!E1017)</f>
        <v/>
      </c>
      <c r="C1016">
        <f>IF(RAW_INPUT!A1017="","",RAW_INPUT!F1017)</f>
        <v/>
      </c>
    </row>
    <row r="1017">
      <c r="A1017">
        <f>IF(RAW_INPUT!A1018="","",RAW_INPUT!A1018)</f>
        <v/>
      </c>
      <c r="B1017">
        <f>IF(RAW_INPUT!A1018="","",RAW_INPUT!E1018)</f>
        <v/>
      </c>
      <c r="C1017">
        <f>IF(RAW_INPUT!A1018="","",RAW_INPUT!F1018)</f>
        <v/>
      </c>
    </row>
    <row r="1018">
      <c r="A1018">
        <f>IF(RAW_INPUT!A1019="","",RAW_INPUT!A1019)</f>
        <v/>
      </c>
      <c r="B1018">
        <f>IF(RAW_INPUT!A1019="","",RAW_INPUT!E1019)</f>
        <v/>
      </c>
      <c r="C1018">
        <f>IF(RAW_INPUT!A1019="","",RAW_INPUT!F1019)</f>
        <v/>
      </c>
    </row>
    <row r="1019">
      <c r="A1019">
        <f>IF(RAW_INPUT!A1020="","",RAW_INPUT!A1020)</f>
        <v/>
      </c>
      <c r="B1019">
        <f>IF(RAW_INPUT!A1020="","",RAW_INPUT!E1020)</f>
        <v/>
      </c>
      <c r="C1019">
        <f>IF(RAW_INPUT!A1020="","",RAW_INPUT!F1020)</f>
        <v/>
      </c>
    </row>
    <row r="1020">
      <c r="A1020">
        <f>IF(RAW_INPUT!A1021="","",RAW_INPUT!A1021)</f>
        <v/>
      </c>
      <c r="B1020">
        <f>IF(RAW_INPUT!A1021="","",RAW_INPUT!E1021)</f>
        <v/>
      </c>
      <c r="C1020">
        <f>IF(RAW_INPUT!A1021="","",RAW_INPUT!F1021)</f>
        <v/>
      </c>
    </row>
    <row r="1021">
      <c r="A1021">
        <f>IF(RAW_INPUT!A1022="","",RAW_INPUT!A1022)</f>
        <v/>
      </c>
      <c r="B1021">
        <f>IF(RAW_INPUT!A1022="","",RAW_INPUT!E1022)</f>
        <v/>
      </c>
      <c r="C1021">
        <f>IF(RAW_INPUT!A1022="","",RAW_INPUT!F1022)</f>
        <v/>
      </c>
    </row>
    <row r="1022">
      <c r="A1022">
        <f>IF(RAW_INPUT!A1023="","",RAW_INPUT!A1023)</f>
        <v/>
      </c>
      <c r="B1022">
        <f>IF(RAW_INPUT!A1023="","",RAW_INPUT!E1023)</f>
        <v/>
      </c>
      <c r="C1022">
        <f>IF(RAW_INPUT!A1023="","",RAW_INPUT!F1023)</f>
        <v/>
      </c>
    </row>
    <row r="1023">
      <c r="A1023">
        <f>IF(RAW_INPUT!A1024="","",RAW_INPUT!A1024)</f>
        <v/>
      </c>
      <c r="B1023">
        <f>IF(RAW_INPUT!A1024="","",RAW_INPUT!E1024)</f>
        <v/>
      </c>
      <c r="C1023">
        <f>IF(RAW_INPUT!A1024="","",RAW_INPUT!F1024)</f>
        <v/>
      </c>
    </row>
    <row r="1024">
      <c r="A1024">
        <f>IF(RAW_INPUT!A1025="","",RAW_INPUT!A1025)</f>
        <v/>
      </c>
      <c r="B1024">
        <f>IF(RAW_INPUT!A1025="","",RAW_INPUT!E1025)</f>
        <v/>
      </c>
      <c r="C1024">
        <f>IF(RAW_INPUT!A1025="","",RAW_INPUT!F1025)</f>
        <v/>
      </c>
    </row>
    <row r="1025">
      <c r="A1025">
        <f>IF(RAW_INPUT!A1026="","",RAW_INPUT!A1026)</f>
        <v/>
      </c>
      <c r="B1025">
        <f>IF(RAW_INPUT!A1026="","",RAW_INPUT!E1026)</f>
        <v/>
      </c>
      <c r="C1025">
        <f>IF(RAW_INPUT!A1026="","",RAW_INPUT!F1026)</f>
        <v/>
      </c>
    </row>
    <row r="1026">
      <c r="A1026">
        <f>IF(RAW_INPUT!A1027="","",RAW_INPUT!A1027)</f>
        <v/>
      </c>
      <c r="B1026">
        <f>IF(RAW_INPUT!A1027="","",RAW_INPUT!E1027)</f>
        <v/>
      </c>
      <c r="C1026">
        <f>IF(RAW_INPUT!A1027="","",RAW_INPUT!F1027)</f>
        <v/>
      </c>
    </row>
    <row r="1027">
      <c r="A1027">
        <f>IF(RAW_INPUT!A1028="","",RAW_INPUT!A1028)</f>
        <v/>
      </c>
      <c r="B1027">
        <f>IF(RAW_INPUT!A1028="","",RAW_INPUT!E1028)</f>
        <v/>
      </c>
      <c r="C1027">
        <f>IF(RAW_INPUT!A1028="","",RAW_INPUT!F1028)</f>
        <v/>
      </c>
    </row>
    <row r="1028">
      <c r="A1028">
        <f>IF(RAW_INPUT!A1029="","",RAW_INPUT!A1029)</f>
        <v/>
      </c>
      <c r="B1028">
        <f>IF(RAW_INPUT!A1029="","",RAW_INPUT!E1029)</f>
        <v/>
      </c>
      <c r="C1028">
        <f>IF(RAW_INPUT!A1029="","",RAW_INPUT!F1029)</f>
        <v/>
      </c>
    </row>
    <row r="1029">
      <c r="A1029">
        <f>IF(RAW_INPUT!A1030="","",RAW_INPUT!A1030)</f>
        <v/>
      </c>
      <c r="B1029">
        <f>IF(RAW_INPUT!A1030="","",RAW_INPUT!E1030)</f>
        <v/>
      </c>
      <c r="C1029">
        <f>IF(RAW_INPUT!A1030="","",RAW_INPUT!F1030)</f>
        <v/>
      </c>
    </row>
    <row r="1030">
      <c r="A1030">
        <f>IF(RAW_INPUT!A1031="","",RAW_INPUT!A1031)</f>
        <v/>
      </c>
      <c r="B1030">
        <f>IF(RAW_INPUT!A1031="","",RAW_INPUT!E1031)</f>
        <v/>
      </c>
      <c r="C1030">
        <f>IF(RAW_INPUT!A1031="","",RAW_INPUT!F1031)</f>
        <v/>
      </c>
    </row>
    <row r="1031">
      <c r="A1031">
        <f>IF(RAW_INPUT!A1032="","",RAW_INPUT!A1032)</f>
        <v/>
      </c>
      <c r="B1031">
        <f>IF(RAW_INPUT!A1032="","",RAW_INPUT!E1032)</f>
        <v/>
      </c>
      <c r="C1031">
        <f>IF(RAW_INPUT!A1032="","",RAW_INPUT!F1032)</f>
        <v/>
      </c>
    </row>
    <row r="1032">
      <c r="A1032">
        <f>IF(RAW_INPUT!A1033="","",RAW_INPUT!A1033)</f>
        <v/>
      </c>
      <c r="B1032">
        <f>IF(RAW_INPUT!A1033="","",RAW_INPUT!E1033)</f>
        <v/>
      </c>
      <c r="C1032">
        <f>IF(RAW_INPUT!A1033="","",RAW_INPUT!F1033)</f>
        <v/>
      </c>
    </row>
    <row r="1033">
      <c r="A1033">
        <f>IF(RAW_INPUT!A1034="","",RAW_INPUT!A1034)</f>
        <v/>
      </c>
      <c r="B1033">
        <f>IF(RAW_INPUT!A1034="","",RAW_INPUT!E1034)</f>
        <v/>
      </c>
      <c r="C1033">
        <f>IF(RAW_INPUT!A1034="","",RAW_INPUT!F1034)</f>
        <v/>
      </c>
    </row>
    <row r="1034">
      <c r="A1034">
        <f>IF(RAW_INPUT!A1035="","",RAW_INPUT!A1035)</f>
        <v/>
      </c>
      <c r="B1034">
        <f>IF(RAW_INPUT!A1035="","",RAW_INPUT!E1035)</f>
        <v/>
      </c>
      <c r="C1034">
        <f>IF(RAW_INPUT!A1035="","",RAW_INPUT!F1035)</f>
        <v/>
      </c>
    </row>
    <row r="1035">
      <c r="A1035">
        <f>IF(RAW_INPUT!A1036="","",RAW_INPUT!A1036)</f>
        <v/>
      </c>
      <c r="B1035">
        <f>IF(RAW_INPUT!A1036="","",RAW_INPUT!E1036)</f>
        <v/>
      </c>
      <c r="C1035">
        <f>IF(RAW_INPUT!A1036="","",RAW_INPUT!F1036)</f>
        <v/>
      </c>
    </row>
    <row r="1036">
      <c r="A1036">
        <f>IF(RAW_INPUT!A1037="","",RAW_INPUT!A1037)</f>
        <v/>
      </c>
      <c r="B1036">
        <f>IF(RAW_INPUT!A1037="","",RAW_INPUT!E1037)</f>
        <v/>
      </c>
      <c r="C1036">
        <f>IF(RAW_INPUT!A1037="","",RAW_INPUT!F1037)</f>
        <v/>
      </c>
    </row>
    <row r="1037">
      <c r="A1037">
        <f>IF(RAW_INPUT!A1038="","",RAW_INPUT!A1038)</f>
        <v/>
      </c>
      <c r="B1037">
        <f>IF(RAW_INPUT!A1038="","",RAW_INPUT!E1038)</f>
        <v/>
      </c>
      <c r="C1037">
        <f>IF(RAW_INPUT!A1038="","",RAW_INPUT!F1038)</f>
        <v/>
      </c>
    </row>
    <row r="1038">
      <c r="A1038">
        <f>IF(RAW_INPUT!A1039="","",RAW_INPUT!A1039)</f>
        <v/>
      </c>
      <c r="B1038">
        <f>IF(RAW_INPUT!A1039="","",RAW_INPUT!E1039)</f>
        <v/>
      </c>
      <c r="C1038">
        <f>IF(RAW_INPUT!A1039="","",RAW_INPUT!F1039)</f>
        <v/>
      </c>
    </row>
    <row r="1039">
      <c r="A1039">
        <f>IF(RAW_INPUT!A1040="","",RAW_INPUT!A1040)</f>
        <v/>
      </c>
      <c r="B1039">
        <f>IF(RAW_INPUT!A1040="","",RAW_INPUT!E1040)</f>
        <v/>
      </c>
      <c r="C1039">
        <f>IF(RAW_INPUT!A1040="","",RAW_INPUT!F1040)</f>
        <v/>
      </c>
    </row>
    <row r="1040">
      <c r="A1040">
        <f>IF(RAW_INPUT!A1041="","",RAW_INPUT!A1041)</f>
        <v/>
      </c>
      <c r="B1040">
        <f>IF(RAW_INPUT!A1041="","",RAW_INPUT!E1041)</f>
        <v/>
      </c>
      <c r="C1040">
        <f>IF(RAW_INPUT!A1041="","",RAW_INPUT!F1041)</f>
        <v/>
      </c>
    </row>
    <row r="1041">
      <c r="A1041">
        <f>IF(RAW_INPUT!A1042="","",RAW_INPUT!A1042)</f>
        <v/>
      </c>
      <c r="B1041">
        <f>IF(RAW_INPUT!A1042="","",RAW_INPUT!E1042)</f>
        <v/>
      </c>
      <c r="C1041">
        <f>IF(RAW_INPUT!A1042="","",RAW_INPUT!F1042)</f>
        <v/>
      </c>
    </row>
    <row r="1042">
      <c r="A1042">
        <f>IF(RAW_INPUT!A1043="","",RAW_INPUT!A1043)</f>
        <v/>
      </c>
      <c r="B1042">
        <f>IF(RAW_INPUT!A1043="","",RAW_INPUT!E1043)</f>
        <v/>
      </c>
      <c r="C1042">
        <f>IF(RAW_INPUT!A1043="","",RAW_INPUT!F1043)</f>
        <v/>
      </c>
    </row>
    <row r="1043">
      <c r="A1043">
        <f>IF(RAW_INPUT!A1044="","",RAW_INPUT!A1044)</f>
        <v/>
      </c>
      <c r="B1043">
        <f>IF(RAW_INPUT!A1044="","",RAW_INPUT!E1044)</f>
        <v/>
      </c>
      <c r="C1043">
        <f>IF(RAW_INPUT!A1044="","",RAW_INPUT!F1044)</f>
        <v/>
      </c>
    </row>
    <row r="1044">
      <c r="A1044">
        <f>IF(RAW_INPUT!A1045="","",RAW_INPUT!A1045)</f>
        <v/>
      </c>
      <c r="B1044">
        <f>IF(RAW_INPUT!A1045="","",RAW_INPUT!E1045)</f>
        <v/>
      </c>
      <c r="C1044">
        <f>IF(RAW_INPUT!A1045="","",RAW_INPUT!F1045)</f>
        <v/>
      </c>
    </row>
    <row r="1045">
      <c r="A1045">
        <f>IF(RAW_INPUT!A1046="","",RAW_INPUT!A1046)</f>
        <v/>
      </c>
      <c r="B1045">
        <f>IF(RAW_INPUT!A1046="","",RAW_INPUT!E1046)</f>
        <v/>
      </c>
      <c r="C1045">
        <f>IF(RAW_INPUT!A1046="","",RAW_INPUT!F1046)</f>
        <v/>
      </c>
    </row>
    <row r="1046">
      <c r="A1046">
        <f>IF(RAW_INPUT!A1047="","",RAW_INPUT!A1047)</f>
        <v/>
      </c>
      <c r="B1046">
        <f>IF(RAW_INPUT!A1047="","",RAW_INPUT!E1047)</f>
        <v/>
      </c>
      <c r="C1046">
        <f>IF(RAW_INPUT!A1047="","",RAW_INPUT!F1047)</f>
        <v/>
      </c>
    </row>
    <row r="1047">
      <c r="A1047">
        <f>IF(RAW_INPUT!A1048="","",RAW_INPUT!A1048)</f>
        <v/>
      </c>
      <c r="B1047">
        <f>IF(RAW_INPUT!A1048="","",RAW_INPUT!E1048)</f>
        <v/>
      </c>
      <c r="C1047">
        <f>IF(RAW_INPUT!A1048="","",RAW_INPUT!F1048)</f>
        <v/>
      </c>
    </row>
    <row r="1048">
      <c r="A1048">
        <f>IF(RAW_INPUT!A1049="","",RAW_INPUT!A1049)</f>
        <v/>
      </c>
      <c r="B1048">
        <f>IF(RAW_INPUT!A1049="","",RAW_INPUT!E1049)</f>
        <v/>
      </c>
      <c r="C1048">
        <f>IF(RAW_INPUT!A1049="","",RAW_INPUT!F1049)</f>
        <v/>
      </c>
    </row>
    <row r="1049">
      <c r="A1049">
        <f>IF(RAW_INPUT!A1050="","",RAW_INPUT!A1050)</f>
        <v/>
      </c>
      <c r="B1049">
        <f>IF(RAW_INPUT!A1050="","",RAW_INPUT!E1050)</f>
        <v/>
      </c>
      <c r="C1049">
        <f>IF(RAW_INPUT!A1050="","",RAW_INPUT!F1050)</f>
        <v/>
      </c>
    </row>
    <row r="1050">
      <c r="A1050">
        <f>IF(RAW_INPUT!A1051="","",RAW_INPUT!A1051)</f>
        <v/>
      </c>
      <c r="B1050">
        <f>IF(RAW_INPUT!A1051="","",RAW_INPUT!E1051)</f>
        <v/>
      </c>
      <c r="C1050">
        <f>IF(RAW_INPUT!A1051="","",RAW_INPUT!F1051)</f>
        <v/>
      </c>
    </row>
    <row r="1051">
      <c r="A1051">
        <f>IF(RAW_INPUT!A1052="","",RAW_INPUT!A1052)</f>
        <v/>
      </c>
      <c r="B1051">
        <f>IF(RAW_INPUT!A1052="","",RAW_INPUT!E1052)</f>
        <v/>
      </c>
      <c r="C1051">
        <f>IF(RAW_INPUT!A1052="","",RAW_INPUT!F1052)</f>
        <v/>
      </c>
    </row>
    <row r="1052">
      <c r="A1052">
        <f>IF(RAW_INPUT!A1053="","",RAW_INPUT!A1053)</f>
        <v/>
      </c>
      <c r="B1052">
        <f>IF(RAW_INPUT!A1053="","",RAW_INPUT!E1053)</f>
        <v/>
      </c>
      <c r="C1052">
        <f>IF(RAW_INPUT!A1053="","",RAW_INPUT!F1053)</f>
        <v/>
      </c>
    </row>
    <row r="1053">
      <c r="A1053">
        <f>IF(RAW_INPUT!A1054="","",RAW_INPUT!A1054)</f>
        <v/>
      </c>
      <c r="B1053">
        <f>IF(RAW_INPUT!A1054="","",RAW_INPUT!E1054)</f>
        <v/>
      </c>
      <c r="C1053">
        <f>IF(RAW_INPUT!A1054="","",RAW_INPUT!F1054)</f>
        <v/>
      </c>
    </row>
    <row r="1054">
      <c r="A1054">
        <f>IF(RAW_INPUT!A1055="","",RAW_INPUT!A1055)</f>
        <v/>
      </c>
      <c r="B1054">
        <f>IF(RAW_INPUT!A1055="","",RAW_INPUT!E1055)</f>
        <v/>
      </c>
      <c r="C1054">
        <f>IF(RAW_INPUT!A1055="","",RAW_INPUT!F1055)</f>
        <v/>
      </c>
    </row>
    <row r="1055">
      <c r="A1055">
        <f>IF(RAW_INPUT!A1056="","",RAW_INPUT!A1056)</f>
        <v/>
      </c>
      <c r="B1055">
        <f>IF(RAW_INPUT!A1056="","",RAW_INPUT!E1056)</f>
        <v/>
      </c>
      <c r="C1055">
        <f>IF(RAW_INPUT!A1056="","",RAW_INPUT!F1056)</f>
        <v/>
      </c>
    </row>
    <row r="1056">
      <c r="A1056">
        <f>IF(RAW_INPUT!A1057="","",RAW_INPUT!A1057)</f>
        <v/>
      </c>
      <c r="B1056">
        <f>IF(RAW_INPUT!A1057="","",RAW_INPUT!E1057)</f>
        <v/>
      </c>
      <c r="C1056">
        <f>IF(RAW_INPUT!A1057="","",RAW_INPUT!F1057)</f>
        <v/>
      </c>
    </row>
    <row r="1057">
      <c r="A1057">
        <f>IF(RAW_INPUT!A1058="","",RAW_INPUT!A1058)</f>
        <v/>
      </c>
      <c r="B1057">
        <f>IF(RAW_INPUT!A1058="","",RAW_INPUT!E1058)</f>
        <v/>
      </c>
      <c r="C1057">
        <f>IF(RAW_INPUT!A1058="","",RAW_INPUT!F1058)</f>
        <v/>
      </c>
    </row>
    <row r="1058">
      <c r="A1058">
        <f>IF(RAW_INPUT!A1059="","",RAW_INPUT!A1059)</f>
        <v/>
      </c>
      <c r="B1058">
        <f>IF(RAW_INPUT!A1059="","",RAW_INPUT!E1059)</f>
        <v/>
      </c>
      <c r="C1058">
        <f>IF(RAW_INPUT!A1059="","",RAW_INPUT!F1059)</f>
        <v/>
      </c>
    </row>
    <row r="1059">
      <c r="A1059">
        <f>IF(RAW_INPUT!A1060="","",RAW_INPUT!A1060)</f>
        <v/>
      </c>
      <c r="B1059">
        <f>IF(RAW_INPUT!A1060="","",RAW_INPUT!E1060)</f>
        <v/>
      </c>
      <c r="C1059">
        <f>IF(RAW_INPUT!A1060="","",RAW_INPUT!F1060)</f>
        <v/>
      </c>
    </row>
    <row r="1060">
      <c r="A1060">
        <f>IF(RAW_INPUT!A1061="","",RAW_INPUT!A1061)</f>
        <v/>
      </c>
      <c r="B1060">
        <f>IF(RAW_INPUT!A1061="","",RAW_INPUT!E1061)</f>
        <v/>
      </c>
      <c r="C1060">
        <f>IF(RAW_INPUT!A1061="","",RAW_INPUT!F1061)</f>
        <v/>
      </c>
    </row>
    <row r="1061">
      <c r="A1061">
        <f>IF(RAW_INPUT!A1062="","",RAW_INPUT!A1062)</f>
        <v/>
      </c>
      <c r="B1061">
        <f>IF(RAW_INPUT!A1062="","",RAW_INPUT!E1062)</f>
        <v/>
      </c>
      <c r="C1061">
        <f>IF(RAW_INPUT!A1062="","",RAW_INPUT!F1062)</f>
        <v/>
      </c>
    </row>
    <row r="1062">
      <c r="A1062">
        <f>IF(RAW_INPUT!A1063="","",RAW_INPUT!A1063)</f>
        <v/>
      </c>
      <c r="B1062">
        <f>IF(RAW_INPUT!A1063="","",RAW_INPUT!E1063)</f>
        <v/>
      </c>
      <c r="C1062">
        <f>IF(RAW_INPUT!A1063="","",RAW_INPUT!F1063)</f>
        <v/>
      </c>
    </row>
    <row r="1063">
      <c r="A1063">
        <f>IF(RAW_INPUT!A1064="","",RAW_INPUT!A1064)</f>
        <v/>
      </c>
      <c r="B1063">
        <f>IF(RAW_INPUT!A1064="","",RAW_INPUT!E1064)</f>
        <v/>
      </c>
      <c r="C1063">
        <f>IF(RAW_INPUT!A1064="","",RAW_INPUT!F1064)</f>
        <v/>
      </c>
    </row>
    <row r="1064">
      <c r="A1064">
        <f>IF(RAW_INPUT!A1065="","",RAW_INPUT!A1065)</f>
        <v/>
      </c>
      <c r="B1064">
        <f>IF(RAW_INPUT!A1065="","",RAW_INPUT!E1065)</f>
        <v/>
      </c>
      <c r="C1064">
        <f>IF(RAW_INPUT!A1065="","",RAW_INPUT!F1065)</f>
        <v/>
      </c>
    </row>
    <row r="1065">
      <c r="A1065">
        <f>IF(RAW_INPUT!A1066="","",RAW_INPUT!A1066)</f>
        <v/>
      </c>
      <c r="B1065">
        <f>IF(RAW_INPUT!A1066="","",RAW_INPUT!E1066)</f>
        <v/>
      </c>
      <c r="C1065">
        <f>IF(RAW_INPUT!A1066="","",RAW_INPUT!F1066)</f>
        <v/>
      </c>
    </row>
    <row r="1066">
      <c r="A1066">
        <f>IF(RAW_INPUT!A1067="","",RAW_INPUT!A1067)</f>
        <v/>
      </c>
      <c r="B1066">
        <f>IF(RAW_INPUT!A1067="","",RAW_INPUT!E1067)</f>
        <v/>
      </c>
      <c r="C1066">
        <f>IF(RAW_INPUT!A1067="","",RAW_INPUT!F1067)</f>
        <v/>
      </c>
    </row>
    <row r="1067">
      <c r="A1067">
        <f>IF(RAW_INPUT!A1068="","",RAW_INPUT!A1068)</f>
        <v/>
      </c>
      <c r="B1067">
        <f>IF(RAW_INPUT!A1068="","",RAW_INPUT!E1068)</f>
        <v/>
      </c>
      <c r="C1067">
        <f>IF(RAW_INPUT!A1068="","",RAW_INPUT!F1068)</f>
        <v/>
      </c>
    </row>
    <row r="1068">
      <c r="A1068">
        <f>IF(RAW_INPUT!A1069="","",RAW_INPUT!A1069)</f>
        <v/>
      </c>
      <c r="B1068">
        <f>IF(RAW_INPUT!A1069="","",RAW_INPUT!E1069)</f>
        <v/>
      </c>
      <c r="C1068">
        <f>IF(RAW_INPUT!A1069="","",RAW_INPUT!F1069)</f>
        <v/>
      </c>
    </row>
    <row r="1069">
      <c r="A1069">
        <f>IF(RAW_INPUT!A1070="","",RAW_INPUT!A1070)</f>
        <v/>
      </c>
      <c r="B1069">
        <f>IF(RAW_INPUT!A1070="","",RAW_INPUT!E1070)</f>
        <v/>
      </c>
      <c r="C1069">
        <f>IF(RAW_INPUT!A1070="","",RAW_INPUT!F1070)</f>
        <v/>
      </c>
    </row>
    <row r="1070">
      <c r="A1070">
        <f>IF(RAW_INPUT!A1071="","",RAW_INPUT!A1071)</f>
        <v/>
      </c>
      <c r="B1070">
        <f>IF(RAW_INPUT!A1071="","",RAW_INPUT!E1071)</f>
        <v/>
      </c>
      <c r="C1070">
        <f>IF(RAW_INPUT!A1071="","",RAW_INPUT!F1071)</f>
        <v/>
      </c>
    </row>
    <row r="1071">
      <c r="A1071">
        <f>IF(RAW_INPUT!A1072="","",RAW_INPUT!A1072)</f>
        <v/>
      </c>
      <c r="B1071">
        <f>IF(RAW_INPUT!A1072="","",RAW_INPUT!E1072)</f>
        <v/>
      </c>
      <c r="C1071">
        <f>IF(RAW_INPUT!A1072="","",RAW_INPUT!F1072)</f>
        <v/>
      </c>
    </row>
    <row r="1072">
      <c r="A1072">
        <f>IF(RAW_INPUT!A1073="","",RAW_INPUT!A1073)</f>
        <v/>
      </c>
      <c r="B1072">
        <f>IF(RAW_INPUT!A1073="","",RAW_INPUT!E1073)</f>
        <v/>
      </c>
      <c r="C1072">
        <f>IF(RAW_INPUT!A1073="","",RAW_INPUT!F1073)</f>
        <v/>
      </c>
    </row>
    <row r="1073">
      <c r="A1073">
        <f>IF(RAW_INPUT!A1074="","",RAW_INPUT!A1074)</f>
        <v/>
      </c>
      <c r="B1073">
        <f>IF(RAW_INPUT!A1074="","",RAW_INPUT!E1074)</f>
        <v/>
      </c>
      <c r="C1073">
        <f>IF(RAW_INPUT!A1074="","",RAW_INPUT!F1074)</f>
        <v/>
      </c>
    </row>
    <row r="1074">
      <c r="A1074">
        <f>IF(RAW_INPUT!A1075="","",RAW_INPUT!A1075)</f>
        <v/>
      </c>
      <c r="B1074">
        <f>IF(RAW_INPUT!A1075="","",RAW_INPUT!E1075)</f>
        <v/>
      </c>
      <c r="C1074">
        <f>IF(RAW_INPUT!A1075="","",RAW_INPUT!F1075)</f>
        <v/>
      </c>
    </row>
    <row r="1075">
      <c r="A1075">
        <f>IF(RAW_INPUT!A1076="","",RAW_INPUT!A1076)</f>
        <v/>
      </c>
      <c r="B1075">
        <f>IF(RAW_INPUT!A1076="","",RAW_INPUT!E1076)</f>
        <v/>
      </c>
      <c r="C1075">
        <f>IF(RAW_INPUT!A1076="","",RAW_INPUT!F1076)</f>
        <v/>
      </c>
    </row>
    <row r="1076">
      <c r="A1076">
        <f>IF(RAW_INPUT!A1077="","",RAW_INPUT!A1077)</f>
        <v/>
      </c>
      <c r="B1076">
        <f>IF(RAW_INPUT!A1077="","",RAW_INPUT!E1077)</f>
        <v/>
      </c>
      <c r="C1076">
        <f>IF(RAW_INPUT!A1077="","",RAW_INPUT!F1077)</f>
        <v/>
      </c>
    </row>
    <row r="1077">
      <c r="A1077">
        <f>IF(RAW_INPUT!A1078="","",RAW_INPUT!A1078)</f>
        <v/>
      </c>
      <c r="B1077">
        <f>IF(RAW_INPUT!A1078="","",RAW_INPUT!E1078)</f>
        <v/>
      </c>
      <c r="C1077">
        <f>IF(RAW_INPUT!A1078="","",RAW_INPUT!F1078)</f>
        <v/>
      </c>
    </row>
    <row r="1078">
      <c r="A1078">
        <f>IF(RAW_INPUT!A1079="","",RAW_INPUT!A1079)</f>
        <v/>
      </c>
      <c r="B1078">
        <f>IF(RAW_INPUT!A1079="","",RAW_INPUT!E1079)</f>
        <v/>
      </c>
      <c r="C1078">
        <f>IF(RAW_INPUT!A1079="","",RAW_INPUT!F1079)</f>
        <v/>
      </c>
    </row>
    <row r="1079">
      <c r="A1079">
        <f>IF(RAW_INPUT!A1080="","",RAW_INPUT!A1080)</f>
        <v/>
      </c>
      <c r="B1079">
        <f>IF(RAW_INPUT!A1080="","",RAW_INPUT!E1080)</f>
        <v/>
      </c>
      <c r="C1079">
        <f>IF(RAW_INPUT!A1080="","",RAW_INPUT!F1080)</f>
        <v/>
      </c>
    </row>
    <row r="1080">
      <c r="A1080">
        <f>IF(RAW_INPUT!A1081="","",RAW_INPUT!A1081)</f>
        <v/>
      </c>
      <c r="B1080">
        <f>IF(RAW_INPUT!A1081="","",RAW_INPUT!E1081)</f>
        <v/>
      </c>
      <c r="C1080">
        <f>IF(RAW_INPUT!A1081="","",RAW_INPUT!F1081)</f>
        <v/>
      </c>
    </row>
    <row r="1081">
      <c r="A1081">
        <f>IF(RAW_INPUT!A1082="","",RAW_INPUT!A1082)</f>
        <v/>
      </c>
      <c r="B1081">
        <f>IF(RAW_INPUT!A1082="","",RAW_INPUT!E1082)</f>
        <v/>
      </c>
      <c r="C1081">
        <f>IF(RAW_INPUT!A1082="","",RAW_INPUT!F1082)</f>
        <v/>
      </c>
    </row>
    <row r="1082">
      <c r="A1082">
        <f>IF(RAW_INPUT!A1083="","",RAW_INPUT!A1083)</f>
        <v/>
      </c>
      <c r="B1082">
        <f>IF(RAW_INPUT!A1083="","",RAW_INPUT!E1083)</f>
        <v/>
      </c>
      <c r="C1082">
        <f>IF(RAW_INPUT!A1083="","",RAW_INPUT!F1083)</f>
        <v/>
      </c>
    </row>
    <row r="1083">
      <c r="A1083">
        <f>IF(RAW_INPUT!A1084="","",RAW_INPUT!A1084)</f>
        <v/>
      </c>
      <c r="B1083">
        <f>IF(RAW_INPUT!A1084="","",RAW_INPUT!E1084)</f>
        <v/>
      </c>
      <c r="C1083">
        <f>IF(RAW_INPUT!A1084="","",RAW_INPUT!F1084)</f>
        <v/>
      </c>
    </row>
    <row r="1084">
      <c r="A1084">
        <f>IF(RAW_INPUT!A1085="","",RAW_INPUT!A1085)</f>
        <v/>
      </c>
      <c r="B1084">
        <f>IF(RAW_INPUT!A1085="","",RAW_INPUT!E1085)</f>
        <v/>
      </c>
      <c r="C1084">
        <f>IF(RAW_INPUT!A1085="","",RAW_INPUT!F1085)</f>
        <v/>
      </c>
    </row>
    <row r="1085">
      <c r="A1085">
        <f>IF(RAW_INPUT!A1086="","",RAW_INPUT!A1086)</f>
        <v/>
      </c>
      <c r="B1085">
        <f>IF(RAW_INPUT!A1086="","",RAW_INPUT!E1086)</f>
        <v/>
      </c>
      <c r="C1085">
        <f>IF(RAW_INPUT!A1086="","",RAW_INPUT!F1086)</f>
        <v/>
      </c>
    </row>
    <row r="1086">
      <c r="A1086">
        <f>IF(RAW_INPUT!A1087="","",RAW_INPUT!A1087)</f>
        <v/>
      </c>
      <c r="B1086">
        <f>IF(RAW_INPUT!A1087="","",RAW_INPUT!E1087)</f>
        <v/>
      </c>
      <c r="C1086">
        <f>IF(RAW_INPUT!A1087="","",RAW_INPUT!F1087)</f>
        <v/>
      </c>
    </row>
    <row r="1087">
      <c r="A1087">
        <f>IF(RAW_INPUT!A1088="","",RAW_INPUT!A1088)</f>
        <v/>
      </c>
      <c r="B1087">
        <f>IF(RAW_INPUT!A1088="","",RAW_INPUT!E1088)</f>
        <v/>
      </c>
      <c r="C1087">
        <f>IF(RAW_INPUT!A1088="","",RAW_INPUT!F1088)</f>
        <v/>
      </c>
    </row>
    <row r="1088">
      <c r="A1088">
        <f>IF(RAW_INPUT!A1089="","",RAW_INPUT!A1089)</f>
        <v/>
      </c>
      <c r="B1088">
        <f>IF(RAW_INPUT!A1089="","",RAW_INPUT!E1089)</f>
        <v/>
      </c>
      <c r="C1088">
        <f>IF(RAW_INPUT!A1089="","",RAW_INPUT!F1089)</f>
        <v/>
      </c>
    </row>
    <row r="1089">
      <c r="A1089">
        <f>IF(RAW_INPUT!A1090="","",RAW_INPUT!A1090)</f>
        <v/>
      </c>
      <c r="B1089">
        <f>IF(RAW_INPUT!A1090="","",RAW_INPUT!E1090)</f>
        <v/>
      </c>
      <c r="C1089">
        <f>IF(RAW_INPUT!A1090="","",RAW_INPUT!F1090)</f>
        <v/>
      </c>
    </row>
    <row r="1090">
      <c r="A1090">
        <f>IF(RAW_INPUT!A1091="","",RAW_INPUT!A1091)</f>
        <v/>
      </c>
      <c r="B1090">
        <f>IF(RAW_INPUT!A1091="","",RAW_INPUT!E1091)</f>
        <v/>
      </c>
      <c r="C1090">
        <f>IF(RAW_INPUT!A1091="","",RAW_INPUT!F1091)</f>
        <v/>
      </c>
    </row>
    <row r="1091">
      <c r="A1091">
        <f>IF(RAW_INPUT!A1092="","",RAW_INPUT!A1092)</f>
        <v/>
      </c>
      <c r="B1091">
        <f>IF(RAW_INPUT!A1092="","",RAW_INPUT!E1092)</f>
        <v/>
      </c>
      <c r="C1091">
        <f>IF(RAW_INPUT!A1092="","",RAW_INPUT!F1092)</f>
        <v/>
      </c>
    </row>
    <row r="1092">
      <c r="A1092">
        <f>IF(RAW_INPUT!A1093="","",RAW_INPUT!A1093)</f>
        <v/>
      </c>
      <c r="B1092">
        <f>IF(RAW_INPUT!A1093="","",RAW_INPUT!E1093)</f>
        <v/>
      </c>
      <c r="C1092">
        <f>IF(RAW_INPUT!A1093="","",RAW_INPUT!F1093)</f>
        <v/>
      </c>
    </row>
    <row r="1093">
      <c r="A1093">
        <f>IF(RAW_INPUT!A1094="","",RAW_INPUT!A1094)</f>
        <v/>
      </c>
      <c r="B1093">
        <f>IF(RAW_INPUT!A1094="","",RAW_INPUT!E1094)</f>
        <v/>
      </c>
      <c r="C1093">
        <f>IF(RAW_INPUT!A1094="","",RAW_INPUT!F1094)</f>
        <v/>
      </c>
    </row>
    <row r="1094">
      <c r="A1094">
        <f>IF(RAW_INPUT!A1095="","",RAW_INPUT!A1095)</f>
        <v/>
      </c>
      <c r="B1094">
        <f>IF(RAW_INPUT!A1095="","",RAW_INPUT!E1095)</f>
        <v/>
      </c>
      <c r="C1094">
        <f>IF(RAW_INPUT!A1095="","",RAW_INPUT!F1095)</f>
        <v/>
      </c>
    </row>
    <row r="1095">
      <c r="A1095">
        <f>IF(RAW_INPUT!A1096="","",RAW_INPUT!A1096)</f>
        <v/>
      </c>
      <c r="B1095">
        <f>IF(RAW_INPUT!A1096="","",RAW_INPUT!E1096)</f>
        <v/>
      </c>
      <c r="C1095">
        <f>IF(RAW_INPUT!A1096="","",RAW_INPUT!F1096)</f>
        <v/>
      </c>
    </row>
    <row r="1096">
      <c r="A1096">
        <f>IF(RAW_INPUT!A1097="","",RAW_INPUT!A1097)</f>
        <v/>
      </c>
      <c r="B1096">
        <f>IF(RAW_INPUT!A1097="","",RAW_INPUT!E1097)</f>
        <v/>
      </c>
      <c r="C1096">
        <f>IF(RAW_INPUT!A1097="","",RAW_INPUT!F1097)</f>
        <v/>
      </c>
    </row>
    <row r="1097">
      <c r="A1097">
        <f>IF(RAW_INPUT!A1098="","",RAW_INPUT!A1098)</f>
        <v/>
      </c>
      <c r="B1097">
        <f>IF(RAW_INPUT!A1098="","",RAW_INPUT!E1098)</f>
        <v/>
      </c>
      <c r="C1097">
        <f>IF(RAW_INPUT!A1098="","",RAW_INPUT!F1098)</f>
        <v/>
      </c>
    </row>
    <row r="1098">
      <c r="A1098">
        <f>IF(RAW_INPUT!A1099="","",RAW_INPUT!A1099)</f>
        <v/>
      </c>
      <c r="B1098">
        <f>IF(RAW_INPUT!A1099="","",RAW_INPUT!E1099)</f>
        <v/>
      </c>
      <c r="C1098">
        <f>IF(RAW_INPUT!A1099="","",RAW_INPUT!F1099)</f>
        <v/>
      </c>
    </row>
    <row r="1099">
      <c r="A1099">
        <f>IF(RAW_INPUT!A1100="","",RAW_INPUT!A1100)</f>
        <v/>
      </c>
      <c r="B1099">
        <f>IF(RAW_INPUT!A1100="","",RAW_INPUT!E1100)</f>
        <v/>
      </c>
      <c r="C1099">
        <f>IF(RAW_INPUT!A1100="","",RAW_INPUT!F1100)</f>
        <v/>
      </c>
    </row>
    <row r="1100">
      <c r="A1100">
        <f>IF(RAW_INPUT!A1101="","",RAW_INPUT!A1101)</f>
        <v/>
      </c>
      <c r="B1100">
        <f>IF(RAW_INPUT!A1101="","",RAW_INPUT!E1101)</f>
        <v/>
      </c>
      <c r="C1100">
        <f>IF(RAW_INPUT!A1101="","",RAW_INPUT!F1101)</f>
        <v/>
      </c>
    </row>
    <row r="1101">
      <c r="A1101">
        <f>IF(RAW_INPUT!A1102="","",RAW_INPUT!A1102)</f>
        <v/>
      </c>
      <c r="B1101">
        <f>IF(RAW_INPUT!A1102="","",RAW_INPUT!E1102)</f>
        <v/>
      </c>
      <c r="C1101">
        <f>IF(RAW_INPUT!A1102="","",RAW_INPUT!F1102)</f>
        <v/>
      </c>
    </row>
    <row r="1102">
      <c r="A1102">
        <f>IF(RAW_INPUT!A1103="","",RAW_INPUT!A1103)</f>
        <v/>
      </c>
      <c r="B1102">
        <f>IF(RAW_INPUT!A1103="","",RAW_INPUT!E1103)</f>
        <v/>
      </c>
      <c r="C1102">
        <f>IF(RAW_INPUT!A1103="","",RAW_INPUT!F1103)</f>
        <v/>
      </c>
    </row>
    <row r="1103">
      <c r="A1103">
        <f>IF(RAW_INPUT!A1104="","",RAW_INPUT!A1104)</f>
        <v/>
      </c>
      <c r="B1103">
        <f>IF(RAW_INPUT!A1104="","",RAW_INPUT!E1104)</f>
        <v/>
      </c>
      <c r="C1103">
        <f>IF(RAW_INPUT!A1104="","",RAW_INPUT!F1104)</f>
        <v/>
      </c>
    </row>
    <row r="1104">
      <c r="A1104">
        <f>IF(RAW_INPUT!A1105="","",RAW_INPUT!A1105)</f>
        <v/>
      </c>
      <c r="B1104">
        <f>IF(RAW_INPUT!A1105="","",RAW_INPUT!E1105)</f>
        <v/>
      </c>
      <c r="C1104">
        <f>IF(RAW_INPUT!A1105="","",RAW_INPUT!F1105)</f>
        <v/>
      </c>
    </row>
    <row r="1105">
      <c r="A1105">
        <f>IF(RAW_INPUT!A1106="","",RAW_INPUT!A1106)</f>
        <v/>
      </c>
      <c r="B1105">
        <f>IF(RAW_INPUT!A1106="","",RAW_INPUT!E1106)</f>
        <v/>
      </c>
      <c r="C1105">
        <f>IF(RAW_INPUT!A1106="","",RAW_INPUT!F1106)</f>
        <v/>
      </c>
    </row>
    <row r="1106">
      <c r="A1106">
        <f>IF(RAW_INPUT!A1107="","",RAW_INPUT!A1107)</f>
        <v/>
      </c>
      <c r="B1106">
        <f>IF(RAW_INPUT!A1107="","",RAW_INPUT!E1107)</f>
        <v/>
      </c>
      <c r="C1106">
        <f>IF(RAW_INPUT!A1107="","",RAW_INPUT!F1107)</f>
        <v/>
      </c>
    </row>
    <row r="1107">
      <c r="A1107">
        <f>IF(RAW_INPUT!A1108="","",RAW_INPUT!A1108)</f>
        <v/>
      </c>
      <c r="B1107">
        <f>IF(RAW_INPUT!A1108="","",RAW_INPUT!E1108)</f>
        <v/>
      </c>
      <c r="C1107">
        <f>IF(RAW_INPUT!A1108="","",RAW_INPUT!F1108)</f>
        <v/>
      </c>
    </row>
    <row r="1108">
      <c r="A1108">
        <f>IF(RAW_INPUT!A1109="","",RAW_INPUT!A1109)</f>
        <v/>
      </c>
      <c r="B1108">
        <f>IF(RAW_INPUT!A1109="","",RAW_INPUT!E1109)</f>
        <v/>
      </c>
      <c r="C1108">
        <f>IF(RAW_INPUT!A1109="","",RAW_INPUT!F1109)</f>
        <v/>
      </c>
    </row>
    <row r="1109">
      <c r="A1109">
        <f>IF(RAW_INPUT!A1110="","",RAW_INPUT!A1110)</f>
        <v/>
      </c>
      <c r="B1109">
        <f>IF(RAW_INPUT!A1110="","",RAW_INPUT!E1110)</f>
        <v/>
      </c>
      <c r="C1109">
        <f>IF(RAW_INPUT!A1110="","",RAW_INPUT!F1110)</f>
        <v/>
      </c>
    </row>
    <row r="1110">
      <c r="A1110">
        <f>IF(RAW_INPUT!A1111="","",RAW_INPUT!A1111)</f>
        <v/>
      </c>
      <c r="B1110">
        <f>IF(RAW_INPUT!A1111="","",RAW_INPUT!E1111)</f>
        <v/>
      </c>
      <c r="C1110">
        <f>IF(RAW_INPUT!A1111="","",RAW_INPUT!F1111)</f>
        <v/>
      </c>
    </row>
    <row r="1111">
      <c r="A1111">
        <f>IF(RAW_INPUT!A1112="","",RAW_INPUT!A1112)</f>
        <v/>
      </c>
      <c r="B1111">
        <f>IF(RAW_INPUT!A1112="","",RAW_INPUT!E1112)</f>
        <v/>
      </c>
      <c r="C1111">
        <f>IF(RAW_INPUT!A1112="","",RAW_INPUT!F1112)</f>
        <v/>
      </c>
    </row>
    <row r="1112">
      <c r="A1112">
        <f>IF(RAW_INPUT!A1113="","",RAW_INPUT!A1113)</f>
        <v/>
      </c>
      <c r="B1112">
        <f>IF(RAW_INPUT!A1113="","",RAW_INPUT!E1113)</f>
        <v/>
      </c>
      <c r="C1112">
        <f>IF(RAW_INPUT!A1113="","",RAW_INPUT!F1113)</f>
        <v/>
      </c>
    </row>
    <row r="1113">
      <c r="A1113">
        <f>IF(RAW_INPUT!A1114="","",RAW_INPUT!A1114)</f>
        <v/>
      </c>
      <c r="B1113">
        <f>IF(RAW_INPUT!A1114="","",RAW_INPUT!E1114)</f>
        <v/>
      </c>
      <c r="C1113">
        <f>IF(RAW_INPUT!A1114="","",RAW_INPUT!F1114)</f>
        <v/>
      </c>
    </row>
    <row r="1114">
      <c r="A1114">
        <f>IF(RAW_INPUT!A1115="","",RAW_INPUT!A1115)</f>
        <v/>
      </c>
      <c r="B1114">
        <f>IF(RAW_INPUT!A1115="","",RAW_INPUT!E1115)</f>
        <v/>
      </c>
      <c r="C1114">
        <f>IF(RAW_INPUT!A1115="","",RAW_INPUT!F1115)</f>
        <v/>
      </c>
    </row>
    <row r="1115">
      <c r="A1115">
        <f>IF(RAW_INPUT!A1116="","",RAW_INPUT!A1116)</f>
        <v/>
      </c>
      <c r="B1115">
        <f>IF(RAW_INPUT!A1116="","",RAW_INPUT!E1116)</f>
        <v/>
      </c>
      <c r="C1115">
        <f>IF(RAW_INPUT!A1116="","",RAW_INPUT!F1116)</f>
        <v/>
      </c>
    </row>
    <row r="1116">
      <c r="A1116">
        <f>IF(RAW_INPUT!A1117="","",RAW_INPUT!A1117)</f>
        <v/>
      </c>
      <c r="B1116">
        <f>IF(RAW_INPUT!A1117="","",RAW_INPUT!E1117)</f>
        <v/>
      </c>
      <c r="C1116">
        <f>IF(RAW_INPUT!A1117="","",RAW_INPUT!F1117)</f>
        <v/>
      </c>
    </row>
    <row r="1117">
      <c r="A1117">
        <f>IF(RAW_INPUT!A1118="","",RAW_INPUT!A1118)</f>
        <v/>
      </c>
      <c r="B1117">
        <f>IF(RAW_INPUT!A1118="","",RAW_INPUT!E1118)</f>
        <v/>
      </c>
      <c r="C1117">
        <f>IF(RAW_INPUT!A1118="","",RAW_INPUT!F1118)</f>
        <v/>
      </c>
    </row>
    <row r="1118">
      <c r="A1118">
        <f>IF(RAW_INPUT!A1119="","",RAW_INPUT!A1119)</f>
        <v/>
      </c>
      <c r="B1118">
        <f>IF(RAW_INPUT!A1119="","",RAW_INPUT!E1119)</f>
        <v/>
      </c>
      <c r="C1118">
        <f>IF(RAW_INPUT!A1119="","",RAW_INPUT!F1119)</f>
        <v/>
      </c>
    </row>
    <row r="1119">
      <c r="A1119">
        <f>IF(RAW_INPUT!A1120="","",RAW_INPUT!A1120)</f>
        <v/>
      </c>
      <c r="B1119">
        <f>IF(RAW_INPUT!A1120="","",RAW_INPUT!E1120)</f>
        <v/>
      </c>
      <c r="C1119">
        <f>IF(RAW_INPUT!A1120="","",RAW_INPUT!F1120)</f>
        <v/>
      </c>
    </row>
    <row r="1120">
      <c r="A1120">
        <f>IF(RAW_INPUT!A1121="","",RAW_INPUT!A1121)</f>
        <v/>
      </c>
      <c r="B1120">
        <f>IF(RAW_INPUT!A1121="","",RAW_INPUT!E1121)</f>
        <v/>
      </c>
      <c r="C1120">
        <f>IF(RAW_INPUT!A1121="","",RAW_INPUT!F1121)</f>
        <v/>
      </c>
    </row>
    <row r="1121">
      <c r="A1121">
        <f>IF(RAW_INPUT!A1122="","",RAW_INPUT!A1122)</f>
        <v/>
      </c>
      <c r="B1121">
        <f>IF(RAW_INPUT!A1122="","",RAW_INPUT!E1122)</f>
        <v/>
      </c>
      <c r="C1121">
        <f>IF(RAW_INPUT!A1122="","",RAW_INPUT!F1122)</f>
        <v/>
      </c>
    </row>
    <row r="1122">
      <c r="A1122">
        <f>IF(RAW_INPUT!A1123="","",RAW_INPUT!A1123)</f>
        <v/>
      </c>
      <c r="B1122">
        <f>IF(RAW_INPUT!A1123="","",RAW_INPUT!E1123)</f>
        <v/>
      </c>
      <c r="C1122">
        <f>IF(RAW_INPUT!A1123="","",RAW_INPUT!F1123)</f>
        <v/>
      </c>
    </row>
    <row r="1123">
      <c r="A1123">
        <f>IF(RAW_INPUT!A1124="","",RAW_INPUT!A1124)</f>
        <v/>
      </c>
      <c r="B1123">
        <f>IF(RAW_INPUT!A1124="","",RAW_INPUT!E1124)</f>
        <v/>
      </c>
      <c r="C1123">
        <f>IF(RAW_INPUT!A1124="","",RAW_INPUT!F1124)</f>
        <v/>
      </c>
    </row>
    <row r="1124">
      <c r="A1124">
        <f>IF(RAW_INPUT!A1125="","",RAW_INPUT!A1125)</f>
        <v/>
      </c>
      <c r="B1124">
        <f>IF(RAW_INPUT!A1125="","",RAW_INPUT!E1125)</f>
        <v/>
      </c>
      <c r="C1124">
        <f>IF(RAW_INPUT!A1125="","",RAW_INPUT!F1125)</f>
        <v/>
      </c>
    </row>
    <row r="1125">
      <c r="A1125">
        <f>IF(RAW_INPUT!A1126="","",RAW_INPUT!A1126)</f>
        <v/>
      </c>
      <c r="B1125">
        <f>IF(RAW_INPUT!A1126="","",RAW_INPUT!E1126)</f>
        <v/>
      </c>
      <c r="C1125">
        <f>IF(RAW_INPUT!A1126="","",RAW_INPUT!F1126)</f>
        <v/>
      </c>
    </row>
    <row r="1126">
      <c r="A1126">
        <f>IF(RAW_INPUT!A1127="","",RAW_INPUT!A1127)</f>
        <v/>
      </c>
      <c r="B1126">
        <f>IF(RAW_INPUT!A1127="","",RAW_INPUT!E1127)</f>
        <v/>
      </c>
      <c r="C1126">
        <f>IF(RAW_INPUT!A1127="","",RAW_INPUT!F1127)</f>
        <v/>
      </c>
    </row>
    <row r="1127">
      <c r="A1127">
        <f>IF(RAW_INPUT!A1128="","",RAW_INPUT!A1128)</f>
        <v/>
      </c>
      <c r="B1127">
        <f>IF(RAW_INPUT!A1128="","",RAW_INPUT!E1128)</f>
        <v/>
      </c>
      <c r="C1127">
        <f>IF(RAW_INPUT!A1128="","",RAW_INPUT!F1128)</f>
        <v/>
      </c>
    </row>
    <row r="1128">
      <c r="A1128">
        <f>IF(RAW_INPUT!A1129="","",RAW_INPUT!A1129)</f>
        <v/>
      </c>
      <c r="B1128">
        <f>IF(RAW_INPUT!A1129="","",RAW_INPUT!E1129)</f>
        <v/>
      </c>
      <c r="C1128">
        <f>IF(RAW_INPUT!A1129="","",RAW_INPUT!F1129)</f>
        <v/>
      </c>
    </row>
    <row r="1129">
      <c r="A1129">
        <f>IF(RAW_INPUT!A1130="","",RAW_INPUT!A1130)</f>
        <v/>
      </c>
      <c r="B1129">
        <f>IF(RAW_INPUT!A1130="","",RAW_INPUT!E1130)</f>
        <v/>
      </c>
      <c r="C1129">
        <f>IF(RAW_INPUT!A1130="","",RAW_INPUT!F1130)</f>
        <v/>
      </c>
    </row>
    <row r="1130">
      <c r="A1130">
        <f>IF(RAW_INPUT!A1131="","",RAW_INPUT!A1131)</f>
        <v/>
      </c>
      <c r="B1130">
        <f>IF(RAW_INPUT!A1131="","",RAW_INPUT!E1131)</f>
        <v/>
      </c>
      <c r="C1130">
        <f>IF(RAW_INPUT!A1131="","",RAW_INPUT!F1131)</f>
        <v/>
      </c>
    </row>
    <row r="1131">
      <c r="A1131">
        <f>IF(RAW_INPUT!A1132="","",RAW_INPUT!A1132)</f>
        <v/>
      </c>
      <c r="B1131">
        <f>IF(RAW_INPUT!A1132="","",RAW_INPUT!E1132)</f>
        <v/>
      </c>
      <c r="C1131">
        <f>IF(RAW_INPUT!A1132="","",RAW_INPUT!F1132)</f>
        <v/>
      </c>
    </row>
    <row r="1132">
      <c r="A1132">
        <f>IF(RAW_INPUT!A1133="","",RAW_INPUT!A1133)</f>
        <v/>
      </c>
      <c r="B1132">
        <f>IF(RAW_INPUT!A1133="","",RAW_INPUT!E1133)</f>
        <v/>
      </c>
      <c r="C1132">
        <f>IF(RAW_INPUT!A1133="","",RAW_INPUT!F1133)</f>
        <v/>
      </c>
    </row>
    <row r="1133">
      <c r="A1133">
        <f>IF(RAW_INPUT!A1134="","",RAW_INPUT!A1134)</f>
        <v/>
      </c>
      <c r="B1133">
        <f>IF(RAW_INPUT!A1134="","",RAW_INPUT!E1134)</f>
        <v/>
      </c>
      <c r="C1133">
        <f>IF(RAW_INPUT!A1134="","",RAW_INPUT!F1134)</f>
        <v/>
      </c>
    </row>
    <row r="1134">
      <c r="A1134">
        <f>IF(RAW_INPUT!A1135="","",RAW_INPUT!A1135)</f>
        <v/>
      </c>
      <c r="B1134">
        <f>IF(RAW_INPUT!A1135="","",RAW_INPUT!E1135)</f>
        <v/>
      </c>
      <c r="C1134">
        <f>IF(RAW_INPUT!A1135="","",RAW_INPUT!F1135)</f>
        <v/>
      </c>
    </row>
    <row r="1135">
      <c r="A1135">
        <f>IF(RAW_INPUT!A1136="","",RAW_INPUT!A1136)</f>
        <v/>
      </c>
      <c r="B1135">
        <f>IF(RAW_INPUT!A1136="","",RAW_INPUT!E1136)</f>
        <v/>
      </c>
      <c r="C1135">
        <f>IF(RAW_INPUT!A1136="","",RAW_INPUT!F1136)</f>
        <v/>
      </c>
    </row>
    <row r="1136">
      <c r="A1136">
        <f>IF(RAW_INPUT!A1137="","",RAW_INPUT!A1137)</f>
        <v/>
      </c>
      <c r="B1136">
        <f>IF(RAW_INPUT!A1137="","",RAW_INPUT!E1137)</f>
        <v/>
      </c>
      <c r="C1136">
        <f>IF(RAW_INPUT!A1137="","",RAW_INPUT!F1137)</f>
        <v/>
      </c>
    </row>
    <row r="1137">
      <c r="A1137">
        <f>IF(RAW_INPUT!A1138="","",RAW_INPUT!A1138)</f>
        <v/>
      </c>
      <c r="B1137">
        <f>IF(RAW_INPUT!A1138="","",RAW_INPUT!E1138)</f>
        <v/>
      </c>
      <c r="C1137">
        <f>IF(RAW_INPUT!A1138="","",RAW_INPUT!F1138)</f>
        <v/>
      </c>
    </row>
    <row r="1138">
      <c r="A1138">
        <f>IF(RAW_INPUT!A1139="","",RAW_INPUT!A1139)</f>
        <v/>
      </c>
      <c r="B1138">
        <f>IF(RAW_INPUT!A1139="","",RAW_INPUT!E1139)</f>
        <v/>
      </c>
      <c r="C1138">
        <f>IF(RAW_INPUT!A1139="","",RAW_INPUT!F1139)</f>
        <v/>
      </c>
    </row>
    <row r="1139">
      <c r="A1139">
        <f>IF(RAW_INPUT!A1140="","",RAW_INPUT!A1140)</f>
        <v/>
      </c>
      <c r="B1139">
        <f>IF(RAW_INPUT!A1140="","",RAW_INPUT!E1140)</f>
        <v/>
      </c>
      <c r="C1139">
        <f>IF(RAW_INPUT!A1140="","",RAW_INPUT!F1140)</f>
        <v/>
      </c>
    </row>
    <row r="1140">
      <c r="A1140">
        <f>IF(RAW_INPUT!A1141="","",RAW_INPUT!A1141)</f>
        <v/>
      </c>
      <c r="B1140">
        <f>IF(RAW_INPUT!A1141="","",RAW_INPUT!E1141)</f>
        <v/>
      </c>
      <c r="C1140">
        <f>IF(RAW_INPUT!A1141="","",RAW_INPUT!F1141)</f>
        <v/>
      </c>
    </row>
    <row r="1141">
      <c r="A1141">
        <f>IF(RAW_INPUT!A1142="","",RAW_INPUT!A1142)</f>
        <v/>
      </c>
      <c r="B1141">
        <f>IF(RAW_INPUT!A1142="","",RAW_INPUT!E1142)</f>
        <v/>
      </c>
      <c r="C1141">
        <f>IF(RAW_INPUT!A1142="","",RAW_INPUT!F1142)</f>
        <v/>
      </c>
    </row>
    <row r="1142">
      <c r="A1142">
        <f>IF(RAW_INPUT!A1143="","",RAW_INPUT!A1143)</f>
        <v/>
      </c>
      <c r="B1142">
        <f>IF(RAW_INPUT!A1143="","",RAW_INPUT!E1143)</f>
        <v/>
      </c>
      <c r="C1142">
        <f>IF(RAW_INPUT!A1143="","",RAW_INPUT!F1143)</f>
        <v/>
      </c>
    </row>
    <row r="1143">
      <c r="A1143">
        <f>IF(RAW_INPUT!A1144="","",RAW_INPUT!A1144)</f>
        <v/>
      </c>
      <c r="B1143">
        <f>IF(RAW_INPUT!A1144="","",RAW_INPUT!E1144)</f>
        <v/>
      </c>
      <c r="C1143">
        <f>IF(RAW_INPUT!A1144="","",RAW_INPUT!F1144)</f>
        <v/>
      </c>
    </row>
    <row r="1144">
      <c r="A1144">
        <f>IF(RAW_INPUT!A1145="","",RAW_INPUT!A1145)</f>
        <v/>
      </c>
      <c r="B1144">
        <f>IF(RAW_INPUT!A1145="","",RAW_INPUT!E1145)</f>
        <v/>
      </c>
      <c r="C1144">
        <f>IF(RAW_INPUT!A1145="","",RAW_INPUT!F1145)</f>
        <v/>
      </c>
    </row>
    <row r="1145">
      <c r="A1145">
        <f>IF(RAW_INPUT!A1146="","",RAW_INPUT!A1146)</f>
        <v/>
      </c>
      <c r="B1145">
        <f>IF(RAW_INPUT!A1146="","",RAW_INPUT!E1146)</f>
        <v/>
      </c>
      <c r="C1145">
        <f>IF(RAW_INPUT!A1146="","",RAW_INPUT!F1146)</f>
        <v/>
      </c>
    </row>
    <row r="1146">
      <c r="A1146">
        <f>IF(RAW_INPUT!A1147="","",RAW_INPUT!A1147)</f>
        <v/>
      </c>
      <c r="B1146">
        <f>IF(RAW_INPUT!A1147="","",RAW_INPUT!E1147)</f>
        <v/>
      </c>
      <c r="C1146">
        <f>IF(RAW_INPUT!A1147="","",RAW_INPUT!F1147)</f>
        <v/>
      </c>
    </row>
    <row r="1147">
      <c r="A1147">
        <f>IF(RAW_INPUT!A1148="","",RAW_INPUT!A1148)</f>
        <v/>
      </c>
      <c r="B1147">
        <f>IF(RAW_INPUT!A1148="","",RAW_INPUT!E1148)</f>
        <v/>
      </c>
      <c r="C1147">
        <f>IF(RAW_INPUT!A1148="","",RAW_INPUT!F1148)</f>
        <v/>
      </c>
    </row>
    <row r="1148">
      <c r="A1148">
        <f>IF(RAW_INPUT!A1149="","",RAW_INPUT!A1149)</f>
        <v/>
      </c>
      <c r="B1148">
        <f>IF(RAW_INPUT!A1149="","",RAW_INPUT!E1149)</f>
        <v/>
      </c>
      <c r="C1148">
        <f>IF(RAW_INPUT!A1149="","",RAW_INPUT!F1149)</f>
        <v/>
      </c>
    </row>
    <row r="1149">
      <c r="A1149">
        <f>IF(RAW_INPUT!A1150="","",RAW_INPUT!A1150)</f>
        <v/>
      </c>
      <c r="B1149">
        <f>IF(RAW_INPUT!A1150="","",RAW_INPUT!E1150)</f>
        <v/>
      </c>
      <c r="C1149">
        <f>IF(RAW_INPUT!A1150="","",RAW_INPUT!F1150)</f>
        <v/>
      </c>
    </row>
    <row r="1150">
      <c r="A1150">
        <f>IF(RAW_INPUT!A1151="","",RAW_INPUT!A1151)</f>
        <v/>
      </c>
      <c r="B1150">
        <f>IF(RAW_INPUT!A1151="","",RAW_INPUT!E1151)</f>
        <v/>
      </c>
      <c r="C1150">
        <f>IF(RAW_INPUT!A1151="","",RAW_INPUT!F1151)</f>
        <v/>
      </c>
    </row>
    <row r="1151">
      <c r="A1151">
        <f>IF(RAW_INPUT!A1152="","",RAW_INPUT!A1152)</f>
        <v/>
      </c>
      <c r="B1151">
        <f>IF(RAW_INPUT!A1152="","",RAW_INPUT!E1152)</f>
        <v/>
      </c>
      <c r="C1151">
        <f>IF(RAW_INPUT!A1152="","",RAW_INPUT!F1152)</f>
        <v/>
      </c>
    </row>
    <row r="1152">
      <c r="A1152">
        <f>IF(RAW_INPUT!A1153="","",RAW_INPUT!A1153)</f>
        <v/>
      </c>
      <c r="B1152">
        <f>IF(RAW_INPUT!A1153="","",RAW_INPUT!E1153)</f>
        <v/>
      </c>
      <c r="C1152">
        <f>IF(RAW_INPUT!A1153="","",RAW_INPUT!F1153)</f>
        <v/>
      </c>
    </row>
    <row r="1153">
      <c r="A1153">
        <f>IF(RAW_INPUT!A1154="","",RAW_INPUT!A1154)</f>
        <v/>
      </c>
      <c r="B1153">
        <f>IF(RAW_INPUT!A1154="","",RAW_INPUT!E1154)</f>
        <v/>
      </c>
      <c r="C1153">
        <f>IF(RAW_INPUT!A1154="","",RAW_INPUT!F1154)</f>
        <v/>
      </c>
    </row>
    <row r="1154">
      <c r="A1154">
        <f>IF(RAW_INPUT!A1155="","",RAW_INPUT!A1155)</f>
        <v/>
      </c>
      <c r="B1154">
        <f>IF(RAW_INPUT!A1155="","",RAW_INPUT!E1155)</f>
        <v/>
      </c>
      <c r="C1154">
        <f>IF(RAW_INPUT!A1155="","",RAW_INPUT!F1155)</f>
        <v/>
      </c>
    </row>
    <row r="1155">
      <c r="A1155">
        <f>IF(RAW_INPUT!A1156="","",RAW_INPUT!A1156)</f>
        <v/>
      </c>
      <c r="B1155">
        <f>IF(RAW_INPUT!A1156="","",RAW_INPUT!E1156)</f>
        <v/>
      </c>
      <c r="C1155">
        <f>IF(RAW_INPUT!A1156="","",RAW_INPUT!F1156)</f>
        <v/>
      </c>
    </row>
    <row r="1156">
      <c r="A1156">
        <f>IF(RAW_INPUT!A1157="","",RAW_INPUT!A1157)</f>
        <v/>
      </c>
      <c r="B1156">
        <f>IF(RAW_INPUT!A1157="","",RAW_INPUT!E1157)</f>
        <v/>
      </c>
      <c r="C1156">
        <f>IF(RAW_INPUT!A1157="","",RAW_INPUT!F1157)</f>
        <v/>
      </c>
    </row>
    <row r="1157">
      <c r="A1157">
        <f>IF(RAW_INPUT!A1158="","",RAW_INPUT!A1158)</f>
        <v/>
      </c>
      <c r="B1157">
        <f>IF(RAW_INPUT!A1158="","",RAW_INPUT!E1158)</f>
        <v/>
      </c>
      <c r="C1157">
        <f>IF(RAW_INPUT!A1158="","",RAW_INPUT!F1158)</f>
        <v/>
      </c>
    </row>
    <row r="1158">
      <c r="A1158">
        <f>IF(RAW_INPUT!A1159="","",RAW_INPUT!A1159)</f>
        <v/>
      </c>
      <c r="B1158">
        <f>IF(RAW_INPUT!A1159="","",RAW_INPUT!E1159)</f>
        <v/>
      </c>
      <c r="C1158">
        <f>IF(RAW_INPUT!A1159="","",RAW_INPUT!F1159)</f>
        <v/>
      </c>
    </row>
    <row r="1159">
      <c r="A1159">
        <f>IF(RAW_INPUT!A1160="","",RAW_INPUT!A1160)</f>
        <v/>
      </c>
      <c r="B1159">
        <f>IF(RAW_INPUT!A1160="","",RAW_INPUT!E1160)</f>
        <v/>
      </c>
      <c r="C1159">
        <f>IF(RAW_INPUT!A1160="","",RAW_INPUT!F1160)</f>
        <v/>
      </c>
    </row>
    <row r="1160">
      <c r="A1160">
        <f>IF(RAW_INPUT!A1161="","",RAW_INPUT!A1161)</f>
        <v/>
      </c>
      <c r="B1160">
        <f>IF(RAW_INPUT!A1161="","",RAW_INPUT!E1161)</f>
        <v/>
      </c>
      <c r="C1160">
        <f>IF(RAW_INPUT!A1161="","",RAW_INPUT!F1161)</f>
        <v/>
      </c>
    </row>
    <row r="1161">
      <c r="A1161">
        <f>IF(RAW_INPUT!A1162="","",RAW_INPUT!A1162)</f>
        <v/>
      </c>
      <c r="B1161">
        <f>IF(RAW_INPUT!A1162="","",RAW_INPUT!E1162)</f>
        <v/>
      </c>
      <c r="C1161">
        <f>IF(RAW_INPUT!A1162="","",RAW_INPUT!F1162)</f>
        <v/>
      </c>
    </row>
    <row r="1162">
      <c r="A1162">
        <f>IF(RAW_INPUT!A1163="","",RAW_INPUT!A1163)</f>
        <v/>
      </c>
      <c r="B1162">
        <f>IF(RAW_INPUT!A1163="","",RAW_INPUT!E1163)</f>
        <v/>
      </c>
      <c r="C1162">
        <f>IF(RAW_INPUT!A1163="","",RAW_INPUT!F1163)</f>
        <v/>
      </c>
    </row>
    <row r="1163">
      <c r="A1163">
        <f>IF(RAW_INPUT!A1164="","",RAW_INPUT!A1164)</f>
        <v/>
      </c>
      <c r="B1163">
        <f>IF(RAW_INPUT!A1164="","",RAW_INPUT!E1164)</f>
        <v/>
      </c>
      <c r="C1163">
        <f>IF(RAW_INPUT!A1164="","",RAW_INPUT!F1164)</f>
        <v/>
      </c>
    </row>
    <row r="1164">
      <c r="A1164">
        <f>IF(RAW_INPUT!A1165="","",RAW_INPUT!A1165)</f>
        <v/>
      </c>
      <c r="B1164">
        <f>IF(RAW_INPUT!A1165="","",RAW_INPUT!E1165)</f>
        <v/>
      </c>
      <c r="C1164">
        <f>IF(RAW_INPUT!A1165="","",RAW_INPUT!F1165)</f>
        <v/>
      </c>
    </row>
    <row r="1165">
      <c r="A1165">
        <f>IF(RAW_INPUT!A1166="","",RAW_INPUT!A1166)</f>
        <v/>
      </c>
      <c r="B1165">
        <f>IF(RAW_INPUT!A1166="","",RAW_INPUT!E1166)</f>
        <v/>
      </c>
      <c r="C1165">
        <f>IF(RAW_INPUT!A1166="","",RAW_INPUT!F1166)</f>
        <v/>
      </c>
    </row>
    <row r="1166">
      <c r="A1166">
        <f>IF(RAW_INPUT!A1167="","",RAW_INPUT!A1167)</f>
        <v/>
      </c>
      <c r="B1166">
        <f>IF(RAW_INPUT!A1167="","",RAW_INPUT!E1167)</f>
        <v/>
      </c>
      <c r="C1166">
        <f>IF(RAW_INPUT!A1167="","",RAW_INPUT!F1167)</f>
        <v/>
      </c>
    </row>
    <row r="1167">
      <c r="A1167">
        <f>IF(RAW_INPUT!A1168="","",RAW_INPUT!A1168)</f>
        <v/>
      </c>
      <c r="B1167">
        <f>IF(RAW_INPUT!A1168="","",RAW_INPUT!E1168)</f>
        <v/>
      </c>
      <c r="C1167">
        <f>IF(RAW_INPUT!A1168="","",RAW_INPUT!F1168)</f>
        <v/>
      </c>
    </row>
    <row r="1168">
      <c r="A1168">
        <f>IF(RAW_INPUT!A1169="","",RAW_INPUT!A1169)</f>
        <v/>
      </c>
      <c r="B1168">
        <f>IF(RAW_INPUT!A1169="","",RAW_INPUT!E1169)</f>
        <v/>
      </c>
      <c r="C1168">
        <f>IF(RAW_INPUT!A1169="","",RAW_INPUT!F1169)</f>
        <v/>
      </c>
    </row>
    <row r="1169">
      <c r="A1169">
        <f>IF(RAW_INPUT!A1170="","",RAW_INPUT!A1170)</f>
        <v/>
      </c>
      <c r="B1169">
        <f>IF(RAW_INPUT!A1170="","",RAW_INPUT!E1170)</f>
        <v/>
      </c>
      <c r="C1169">
        <f>IF(RAW_INPUT!A1170="","",RAW_INPUT!F1170)</f>
        <v/>
      </c>
    </row>
    <row r="1170">
      <c r="A1170">
        <f>IF(RAW_INPUT!A1171="","",RAW_INPUT!A1171)</f>
        <v/>
      </c>
      <c r="B1170">
        <f>IF(RAW_INPUT!A1171="","",RAW_INPUT!E1171)</f>
        <v/>
      </c>
      <c r="C1170">
        <f>IF(RAW_INPUT!A1171="","",RAW_INPUT!F1171)</f>
        <v/>
      </c>
    </row>
    <row r="1171">
      <c r="A1171">
        <f>IF(RAW_INPUT!A1172="","",RAW_INPUT!A1172)</f>
        <v/>
      </c>
      <c r="B1171">
        <f>IF(RAW_INPUT!A1172="","",RAW_INPUT!E1172)</f>
        <v/>
      </c>
      <c r="C1171">
        <f>IF(RAW_INPUT!A1172="","",RAW_INPUT!F1172)</f>
        <v/>
      </c>
    </row>
    <row r="1172">
      <c r="A1172">
        <f>IF(RAW_INPUT!A1173="","",RAW_INPUT!A1173)</f>
        <v/>
      </c>
      <c r="B1172">
        <f>IF(RAW_INPUT!A1173="","",RAW_INPUT!E1173)</f>
        <v/>
      </c>
      <c r="C1172">
        <f>IF(RAW_INPUT!A1173="","",RAW_INPUT!F1173)</f>
        <v/>
      </c>
    </row>
    <row r="1173">
      <c r="A1173">
        <f>IF(RAW_INPUT!A1174="","",RAW_INPUT!A1174)</f>
        <v/>
      </c>
      <c r="B1173">
        <f>IF(RAW_INPUT!A1174="","",RAW_INPUT!E1174)</f>
        <v/>
      </c>
      <c r="C1173">
        <f>IF(RAW_INPUT!A1174="","",RAW_INPUT!F1174)</f>
        <v/>
      </c>
    </row>
    <row r="1174">
      <c r="A1174">
        <f>IF(RAW_INPUT!A1175="","",RAW_INPUT!A1175)</f>
        <v/>
      </c>
      <c r="B1174">
        <f>IF(RAW_INPUT!A1175="","",RAW_INPUT!E1175)</f>
        <v/>
      </c>
      <c r="C1174">
        <f>IF(RAW_INPUT!A1175="","",RAW_INPUT!F1175)</f>
        <v/>
      </c>
    </row>
    <row r="1175">
      <c r="A1175">
        <f>IF(RAW_INPUT!A1176="","",RAW_INPUT!A1176)</f>
        <v/>
      </c>
      <c r="B1175">
        <f>IF(RAW_INPUT!A1176="","",RAW_INPUT!E1176)</f>
        <v/>
      </c>
      <c r="C1175">
        <f>IF(RAW_INPUT!A1176="","",RAW_INPUT!F1176)</f>
        <v/>
      </c>
    </row>
    <row r="1176">
      <c r="A1176">
        <f>IF(RAW_INPUT!A1177="","",RAW_INPUT!A1177)</f>
        <v/>
      </c>
      <c r="B1176">
        <f>IF(RAW_INPUT!A1177="","",RAW_INPUT!E1177)</f>
        <v/>
      </c>
      <c r="C1176">
        <f>IF(RAW_INPUT!A1177="","",RAW_INPUT!F1177)</f>
        <v/>
      </c>
    </row>
    <row r="1177">
      <c r="A1177">
        <f>IF(RAW_INPUT!A1178="","",RAW_INPUT!A1178)</f>
        <v/>
      </c>
      <c r="B1177">
        <f>IF(RAW_INPUT!A1178="","",RAW_INPUT!E1178)</f>
        <v/>
      </c>
      <c r="C1177">
        <f>IF(RAW_INPUT!A1178="","",RAW_INPUT!F1178)</f>
        <v/>
      </c>
    </row>
    <row r="1178">
      <c r="A1178">
        <f>IF(RAW_INPUT!A1179="","",RAW_INPUT!A1179)</f>
        <v/>
      </c>
      <c r="B1178">
        <f>IF(RAW_INPUT!A1179="","",RAW_INPUT!E1179)</f>
        <v/>
      </c>
      <c r="C1178">
        <f>IF(RAW_INPUT!A1179="","",RAW_INPUT!F1179)</f>
        <v/>
      </c>
    </row>
    <row r="1179">
      <c r="A1179">
        <f>IF(RAW_INPUT!A1180="","",RAW_INPUT!A1180)</f>
        <v/>
      </c>
      <c r="B1179">
        <f>IF(RAW_INPUT!A1180="","",RAW_INPUT!E1180)</f>
        <v/>
      </c>
      <c r="C1179">
        <f>IF(RAW_INPUT!A1180="","",RAW_INPUT!F1180)</f>
        <v/>
      </c>
    </row>
    <row r="1180">
      <c r="A1180">
        <f>IF(RAW_INPUT!A1181="","",RAW_INPUT!A1181)</f>
        <v/>
      </c>
      <c r="B1180">
        <f>IF(RAW_INPUT!A1181="","",RAW_INPUT!E1181)</f>
        <v/>
      </c>
      <c r="C1180">
        <f>IF(RAW_INPUT!A1181="","",RAW_INPUT!F1181)</f>
        <v/>
      </c>
    </row>
    <row r="1181">
      <c r="A1181">
        <f>IF(RAW_INPUT!A1182="","",RAW_INPUT!A1182)</f>
        <v/>
      </c>
      <c r="B1181">
        <f>IF(RAW_INPUT!A1182="","",RAW_INPUT!E1182)</f>
        <v/>
      </c>
      <c r="C1181">
        <f>IF(RAW_INPUT!A1182="","",RAW_INPUT!F1182)</f>
        <v/>
      </c>
    </row>
    <row r="1182">
      <c r="A1182">
        <f>IF(RAW_INPUT!A1183="","",RAW_INPUT!A1183)</f>
        <v/>
      </c>
      <c r="B1182">
        <f>IF(RAW_INPUT!A1183="","",RAW_INPUT!E1183)</f>
        <v/>
      </c>
      <c r="C1182">
        <f>IF(RAW_INPUT!A1183="","",RAW_INPUT!F1183)</f>
        <v/>
      </c>
    </row>
    <row r="1183">
      <c r="A1183">
        <f>IF(RAW_INPUT!A1184="","",RAW_INPUT!A1184)</f>
        <v/>
      </c>
      <c r="B1183">
        <f>IF(RAW_INPUT!A1184="","",RAW_INPUT!E1184)</f>
        <v/>
      </c>
      <c r="C1183">
        <f>IF(RAW_INPUT!A1184="","",RAW_INPUT!F1184)</f>
        <v/>
      </c>
    </row>
    <row r="1184">
      <c r="A1184">
        <f>IF(RAW_INPUT!A1185="","",RAW_INPUT!A1185)</f>
        <v/>
      </c>
      <c r="B1184">
        <f>IF(RAW_INPUT!A1185="","",RAW_INPUT!E1185)</f>
        <v/>
      </c>
      <c r="C1184">
        <f>IF(RAW_INPUT!A1185="","",RAW_INPUT!F1185)</f>
        <v/>
      </c>
    </row>
    <row r="1185">
      <c r="A1185">
        <f>IF(RAW_INPUT!A1186="","",RAW_INPUT!A1186)</f>
        <v/>
      </c>
      <c r="B1185">
        <f>IF(RAW_INPUT!A1186="","",RAW_INPUT!E1186)</f>
        <v/>
      </c>
      <c r="C1185">
        <f>IF(RAW_INPUT!A1186="","",RAW_INPUT!F1186)</f>
        <v/>
      </c>
    </row>
    <row r="1186">
      <c r="A1186">
        <f>IF(RAW_INPUT!A1187="","",RAW_INPUT!A1187)</f>
        <v/>
      </c>
      <c r="B1186">
        <f>IF(RAW_INPUT!A1187="","",RAW_INPUT!E1187)</f>
        <v/>
      </c>
      <c r="C1186">
        <f>IF(RAW_INPUT!A1187="","",RAW_INPUT!F1187)</f>
        <v/>
      </c>
    </row>
    <row r="1187">
      <c r="A1187">
        <f>IF(RAW_INPUT!A1188="","",RAW_INPUT!A1188)</f>
        <v/>
      </c>
      <c r="B1187">
        <f>IF(RAW_INPUT!A1188="","",RAW_INPUT!E1188)</f>
        <v/>
      </c>
      <c r="C1187">
        <f>IF(RAW_INPUT!A1188="","",RAW_INPUT!F1188)</f>
        <v/>
      </c>
    </row>
    <row r="1188">
      <c r="A1188">
        <f>IF(RAW_INPUT!A1189="","",RAW_INPUT!A1189)</f>
        <v/>
      </c>
      <c r="B1188">
        <f>IF(RAW_INPUT!A1189="","",RAW_INPUT!E1189)</f>
        <v/>
      </c>
      <c r="C1188">
        <f>IF(RAW_INPUT!A1189="","",RAW_INPUT!F1189)</f>
        <v/>
      </c>
    </row>
    <row r="1189">
      <c r="A1189">
        <f>IF(RAW_INPUT!A1190="","",RAW_INPUT!A1190)</f>
        <v/>
      </c>
      <c r="B1189">
        <f>IF(RAW_INPUT!A1190="","",RAW_INPUT!E1190)</f>
        <v/>
      </c>
      <c r="C1189">
        <f>IF(RAW_INPUT!A1190="","",RAW_INPUT!F1190)</f>
        <v/>
      </c>
    </row>
    <row r="1190">
      <c r="A1190">
        <f>IF(RAW_INPUT!A1191="","",RAW_INPUT!A1191)</f>
        <v/>
      </c>
      <c r="B1190">
        <f>IF(RAW_INPUT!A1191="","",RAW_INPUT!E1191)</f>
        <v/>
      </c>
      <c r="C1190">
        <f>IF(RAW_INPUT!A1191="","",RAW_INPUT!F1191)</f>
        <v/>
      </c>
    </row>
    <row r="1191">
      <c r="A1191">
        <f>IF(RAW_INPUT!A1192="","",RAW_INPUT!A1192)</f>
        <v/>
      </c>
      <c r="B1191">
        <f>IF(RAW_INPUT!A1192="","",RAW_INPUT!E1192)</f>
        <v/>
      </c>
      <c r="C1191">
        <f>IF(RAW_INPUT!A1192="","",RAW_INPUT!F1192)</f>
        <v/>
      </c>
    </row>
    <row r="1192">
      <c r="A1192">
        <f>IF(RAW_INPUT!A1193="","",RAW_INPUT!A1193)</f>
        <v/>
      </c>
      <c r="B1192">
        <f>IF(RAW_INPUT!A1193="","",RAW_INPUT!E1193)</f>
        <v/>
      </c>
      <c r="C1192">
        <f>IF(RAW_INPUT!A1193="","",RAW_INPUT!F1193)</f>
        <v/>
      </c>
    </row>
    <row r="1193">
      <c r="A1193">
        <f>IF(RAW_INPUT!A1194="","",RAW_INPUT!A1194)</f>
        <v/>
      </c>
      <c r="B1193">
        <f>IF(RAW_INPUT!A1194="","",RAW_INPUT!E1194)</f>
        <v/>
      </c>
      <c r="C1193">
        <f>IF(RAW_INPUT!A1194="","",RAW_INPUT!F1194)</f>
        <v/>
      </c>
    </row>
    <row r="1194">
      <c r="A1194">
        <f>IF(RAW_INPUT!A1195="","",RAW_INPUT!A1195)</f>
        <v/>
      </c>
      <c r="B1194">
        <f>IF(RAW_INPUT!A1195="","",RAW_INPUT!E1195)</f>
        <v/>
      </c>
      <c r="C1194">
        <f>IF(RAW_INPUT!A1195="","",RAW_INPUT!F1195)</f>
        <v/>
      </c>
    </row>
    <row r="1195">
      <c r="A1195">
        <f>IF(RAW_INPUT!A1196="","",RAW_INPUT!A1196)</f>
        <v/>
      </c>
      <c r="B1195">
        <f>IF(RAW_INPUT!A1196="","",RAW_INPUT!E1196)</f>
        <v/>
      </c>
      <c r="C1195">
        <f>IF(RAW_INPUT!A1196="","",RAW_INPUT!F1196)</f>
        <v/>
      </c>
    </row>
    <row r="1196">
      <c r="A1196">
        <f>IF(RAW_INPUT!A1197="","",RAW_INPUT!A1197)</f>
        <v/>
      </c>
      <c r="B1196">
        <f>IF(RAW_INPUT!A1197="","",RAW_INPUT!E1197)</f>
        <v/>
      </c>
      <c r="C1196">
        <f>IF(RAW_INPUT!A1197="","",RAW_INPUT!F1197)</f>
        <v/>
      </c>
    </row>
    <row r="1197">
      <c r="A1197">
        <f>IF(RAW_INPUT!A1198="","",RAW_INPUT!A1198)</f>
        <v/>
      </c>
      <c r="B1197">
        <f>IF(RAW_INPUT!A1198="","",RAW_INPUT!E1198)</f>
        <v/>
      </c>
      <c r="C1197">
        <f>IF(RAW_INPUT!A1198="","",RAW_INPUT!F1198)</f>
        <v/>
      </c>
    </row>
    <row r="1198">
      <c r="A1198">
        <f>IF(RAW_INPUT!A1199="","",RAW_INPUT!A1199)</f>
        <v/>
      </c>
      <c r="B1198">
        <f>IF(RAW_INPUT!A1199="","",RAW_INPUT!E1199)</f>
        <v/>
      </c>
      <c r="C1198">
        <f>IF(RAW_INPUT!A1199="","",RAW_INPUT!F1199)</f>
        <v/>
      </c>
    </row>
    <row r="1199">
      <c r="A1199">
        <f>IF(RAW_INPUT!A1200="","",RAW_INPUT!A1200)</f>
        <v/>
      </c>
      <c r="B1199">
        <f>IF(RAW_INPUT!A1200="","",RAW_INPUT!E1200)</f>
        <v/>
      </c>
      <c r="C1199">
        <f>IF(RAW_INPUT!A1200="","",RAW_INPUT!F1200)</f>
        <v/>
      </c>
    </row>
    <row r="1200">
      <c r="A1200">
        <f>IF(RAW_INPUT!A1201="","",RAW_INPUT!A1201)</f>
        <v/>
      </c>
      <c r="B1200">
        <f>IF(RAW_INPUT!A1201="","",RAW_INPUT!E1201)</f>
        <v/>
      </c>
      <c r="C1200">
        <f>IF(RAW_INPUT!A1201="","",RAW_INPUT!F1201)</f>
        <v/>
      </c>
    </row>
    <row r="1201">
      <c r="A1201">
        <f>IF(RAW_INPUT!A1202="","",RAW_INPUT!A1202)</f>
        <v/>
      </c>
      <c r="B1201">
        <f>IF(RAW_INPUT!A1202="","",RAW_INPUT!E1202)</f>
        <v/>
      </c>
      <c r="C1201">
        <f>IF(RAW_INPUT!A1202="","",RAW_INPUT!F1202)</f>
        <v/>
      </c>
    </row>
    <row r="1202">
      <c r="A1202">
        <f>IF(RAW_INPUT!A1203="","",RAW_INPUT!A1203)</f>
        <v/>
      </c>
      <c r="B1202">
        <f>IF(RAW_INPUT!A1203="","",RAW_INPUT!E1203)</f>
        <v/>
      </c>
      <c r="C1202">
        <f>IF(RAW_INPUT!A1203="","",RAW_INPUT!F1203)</f>
        <v/>
      </c>
    </row>
    <row r="1203">
      <c r="A1203">
        <f>IF(RAW_INPUT!A1204="","",RAW_INPUT!A1204)</f>
        <v/>
      </c>
      <c r="B1203">
        <f>IF(RAW_INPUT!A1204="","",RAW_INPUT!E1204)</f>
        <v/>
      </c>
      <c r="C1203">
        <f>IF(RAW_INPUT!A1204="","",RAW_INPUT!F1204)</f>
        <v/>
      </c>
    </row>
    <row r="1204">
      <c r="A1204">
        <f>IF(RAW_INPUT!A1205="","",RAW_INPUT!A1205)</f>
        <v/>
      </c>
      <c r="B1204">
        <f>IF(RAW_INPUT!A1205="","",RAW_INPUT!E1205)</f>
        <v/>
      </c>
      <c r="C1204">
        <f>IF(RAW_INPUT!A1205="","",RAW_INPUT!F1205)</f>
        <v/>
      </c>
    </row>
    <row r="1205">
      <c r="A1205">
        <f>IF(RAW_INPUT!A1206="","",RAW_INPUT!A1206)</f>
        <v/>
      </c>
      <c r="B1205">
        <f>IF(RAW_INPUT!A1206="","",RAW_INPUT!E1206)</f>
        <v/>
      </c>
      <c r="C1205">
        <f>IF(RAW_INPUT!A1206="","",RAW_INPUT!F1206)</f>
        <v/>
      </c>
    </row>
    <row r="1206">
      <c r="A1206">
        <f>IF(RAW_INPUT!A1207="","",RAW_INPUT!A1207)</f>
        <v/>
      </c>
      <c r="B1206">
        <f>IF(RAW_INPUT!A1207="","",RAW_INPUT!E1207)</f>
        <v/>
      </c>
      <c r="C1206">
        <f>IF(RAW_INPUT!A1207="","",RAW_INPUT!F1207)</f>
        <v/>
      </c>
    </row>
    <row r="1207">
      <c r="A1207">
        <f>IF(RAW_INPUT!A1208="","",RAW_INPUT!A1208)</f>
        <v/>
      </c>
      <c r="B1207">
        <f>IF(RAW_INPUT!A1208="","",RAW_INPUT!E1208)</f>
        <v/>
      </c>
      <c r="C1207">
        <f>IF(RAW_INPUT!A1208="","",RAW_INPUT!F1208)</f>
        <v/>
      </c>
    </row>
    <row r="1208">
      <c r="A1208">
        <f>IF(RAW_INPUT!A1209="","",RAW_INPUT!A1209)</f>
        <v/>
      </c>
      <c r="B1208">
        <f>IF(RAW_INPUT!A1209="","",RAW_INPUT!E1209)</f>
        <v/>
      </c>
      <c r="C1208">
        <f>IF(RAW_INPUT!A1209="","",RAW_INPUT!F1209)</f>
        <v/>
      </c>
    </row>
    <row r="1209">
      <c r="A1209">
        <f>IF(RAW_INPUT!A1210="","",RAW_INPUT!A1210)</f>
        <v/>
      </c>
      <c r="B1209">
        <f>IF(RAW_INPUT!A1210="","",RAW_INPUT!E1210)</f>
        <v/>
      </c>
      <c r="C1209">
        <f>IF(RAW_INPUT!A1210="","",RAW_INPUT!F1210)</f>
        <v/>
      </c>
    </row>
    <row r="1210">
      <c r="A1210">
        <f>IF(RAW_INPUT!A1211="","",RAW_INPUT!A1211)</f>
        <v/>
      </c>
      <c r="B1210">
        <f>IF(RAW_INPUT!A1211="","",RAW_INPUT!E1211)</f>
        <v/>
      </c>
      <c r="C1210">
        <f>IF(RAW_INPUT!A1211="","",RAW_INPUT!F1211)</f>
        <v/>
      </c>
    </row>
    <row r="1211">
      <c r="A1211">
        <f>IF(RAW_INPUT!A1212="","",RAW_INPUT!A1212)</f>
        <v/>
      </c>
      <c r="B1211">
        <f>IF(RAW_INPUT!A1212="","",RAW_INPUT!E1212)</f>
        <v/>
      </c>
      <c r="C1211">
        <f>IF(RAW_INPUT!A1212="","",RAW_INPUT!F1212)</f>
        <v/>
      </c>
    </row>
    <row r="1212">
      <c r="A1212">
        <f>IF(RAW_INPUT!A1213="","",RAW_INPUT!A1213)</f>
        <v/>
      </c>
      <c r="B1212">
        <f>IF(RAW_INPUT!A1213="","",RAW_INPUT!E1213)</f>
        <v/>
      </c>
      <c r="C1212">
        <f>IF(RAW_INPUT!A1213="","",RAW_INPUT!F1213)</f>
        <v/>
      </c>
    </row>
    <row r="1213">
      <c r="A1213">
        <f>IF(RAW_INPUT!A1214="","",RAW_INPUT!A1214)</f>
        <v/>
      </c>
      <c r="B1213">
        <f>IF(RAW_INPUT!A1214="","",RAW_INPUT!E1214)</f>
        <v/>
      </c>
      <c r="C1213">
        <f>IF(RAW_INPUT!A1214="","",RAW_INPUT!F1214)</f>
        <v/>
      </c>
    </row>
    <row r="1214">
      <c r="A1214">
        <f>IF(RAW_INPUT!A1215="","",RAW_INPUT!A1215)</f>
        <v/>
      </c>
      <c r="B1214">
        <f>IF(RAW_INPUT!A1215="","",RAW_INPUT!E1215)</f>
        <v/>
      </c>
      <c r="C1214">
        <f>IF(RAW_INPUT!A1215="","",RAW_INPUT!F1215)</f>
        <v/>
      </c>
    </row>
    <row r="1215">
      <c r="A1215">
        <f>IF(RAW_INPUT!A1216="","",RAW_INPUT!A1216)</f>
        <v/>
      </c>
      <c r="B1215">
        <f>IF(RAW_INPUT!A1216="","",RAW_INPUT!E1216)</f>
        <v/>
      </c>
      <c r="C1215">
        <f>IF(RAW_INPUT!A1216="","",RAW_INPUT!F1216)</f>
        <v/>
      </c>
    </row>
    <row r="1216">
      <c r="A1216">
        <f>IF(RAW_INPUT!A1217="","",RAW_INPUT!A1217)</f>
        <v/>
      </c>
      <c r="B1216">
        <f>IF(RAW_INPUT!A1217="","",RAW_INPUT!E1217)</f>
        <v/>
      </c>
      <c r="C1216">
        <f>IF(RAW_INPUT!A1217="","",RAW_INPUT!F1217)</f>
        <v/>
      </c>
    </row>
    <row r="1217">
      <c r="A1217">
        <f>IF(RAW_INPUT!A1218="","",RAW_INPUT!A1218)</f>
        <v/>
      </c>
      <c r="B1217">
        <f>IF(RAW_INPUT!A1218="","",RAW_INPUT!E1218)</f>
        <v/>
      </c>
      <c r="C1217">
        <f>IF(RAW_INPUT!A1218="","",RAW_INPUT!F1218)</f>
        <v/>
      </c>
    </row>
    <row r="1218">
      <c r="A1218">
        <f>IF(RAW_INPUT!A1219="","",RAW_INPUT!A1219)</f>
        <v/>
      </c>
      <c r="B1218">
        <f>IF(RAW_INPUT!A1219="","",RAW_INPUT!E1219)</f>
        <v/>
      </c>
      <c r="C1218">
        <f>IF(RAW_INPUT!A1219="","",RAW_INPUT!F1219)</f>
        <v/>
      </c>
    </row>
    <row r="1219">
      <c r="A1219">
        <f>IF(RAW_INPUT!A1220="","",RAW_INPUT!A1220)</f>
        <v/>
      </c>
      <c r="B1219">
        <f>IF(RAW_INPUT!A1220="","",RAW_INPUT!E1220)</f>
        <v/>
      </c>
      <c r="C1219">
        <f>IF(RAW_INPUT!A1220="","",RAW_INPUT!F1220)</f>
        <v/>
      </c>
    </row>
    <row r="1220">
      <c r="A1220">
        <f>IF(RAW_INPUT!A1221="","",RAW_INPUT!A1221)</f>
        <v/>
      </c>
      <c r="B1220">
        <f>IF(RAW_INPUT!A1221="","",RAW_INPUT!E1221)</f>
        <v/>
      </c>
      <c r="C1220">
        <f>IF(RAW_INPUT!A1221="","",RAW_INPUT!F1221)</f>
        <v/>
      </c>
    </row>
    <row r="1221">
      <c r="A1221">
        <f>IF(RAW_INPUT!A1222="","",RAW_INPUT!A1222)</f>
        <v/>
      </c>
      <c r="B1221">
        <f>IF(RAW_INPUT!A1222="","",RAW_INPUT!E1222)</f>
        <v/>
      </c>
      <c r="C1221">
        <f>IF(RAW_INPUT!A1222="","",RAW_INPUT!F1222)</f>
        <v/>
      </c>
    </row>
    <row r="1222">
      <c r="A1222">
        <f>IF(RAW_INPUT!A1223="","",RAW_INPUT!A1223)</f>
        <v/>
      </c>
      <c r="B1222">
        <f>IF(RAW_INPUT!A1223="","",RAW_INPUT!E1223)</f>
        <v/>
      </c>
      <c r="C1222">
        <f>IF(RAW_INPUT!A1223="","",RAW_INPUT!F1223)</f>
        <v/>
      </c>
    </row>
    <row r="1223">
      <c r="A1223">
        <f>IF(RAW_INPUT!A1224="","",RAW_INPUT!A1224)</f>
        <v/>
      </c>
      <c r="B1223">
        <f>IF(RAW_INPUT!A1224="","",RAW_INPUT!E1224)</f>
        <v/>
      </c>
      <c r="C1223">
        <f>IF(RAW_INPUT!A1224="","",RAW_INPUT!F1224)</f>
        <v/>
      </c>
    </row>
    <row r="1224">
      <c r="A1224">
        <f>IF(RAW_INPUT!A1225="","",RAW_INPUT!A1225)</f>
        <v/>
      </c>
      <c r="B1224">
        <f>IF(RAW_INPUT!A1225="","",RAW_INPUT!E1225)</f>
        <v/>
      </c>
      <c r="C1224">
        <f>IF(RAW_INPUT!A1225="","",RAW_INPUT!F1225)</f>
        <v/>
      </c>
    </row>
    <row r="1225">
      <c r="A1225">
        <f>IF(RAW_INPUT!A1226="","",RAW_INPUT!A1226)</f>
        <v/>
      </c>
      <c r="B1225">
        <f>IF(RAW_INPUT!A1226="","",RAW_INPUT!E1226)</f>
        <v/>
      </c>
      <c r="C1225">
        <f>IF(RAW_INPUT!A1226="","",RAW_INPUT!F1226)</f>
        <v/>
      </c>
    </row>
    <row r="1226">
      <c r="A1226">
        <f>IF(RAW_INPUT!A1227="","",RAW_INPUT!A1227)</f>
        <v/>
      </c>
      <c r="B1226">
        <f>IF(RAW_INPUT!A1227="","",RAW_INPUT!E1227)</f>
        <v/>
      </c>
      <c r="C1226">
        <f>IF(RAW_INPUT!A1227="","",RAW_INPUT!F1227)</f>
        <v/>
      </c>
    </row>
    <row r="1227">
      <c r="A1227">
        <f>IF(RAW_INPUT!A1228="","",RAW_INPUT!A1228)</f>
        <v/>
      </c>
      <c r="B1227">
        <f>IF(RAW_INPUT!A1228="","",RAW_INPUT!E1228)</f>
        <v/>
      </c>
      <c r="C1227">
        <f>IF(RAW_INPUT!A1228="","",RAW_INPUT!F1228)</f>
        <v/>
      </c>
    </row>
    <row r="1228">
      <c r="A1228">
        <f>IF(RAW_INPUT!A1229="","",RAW_INPUT!A1229)</f>
        <v/>
      </c>
      <c r="B1228">
        <f>IF(RAW_INPUT!A1229="","",RAW_INPUT!E1229)</f>
        <v/>
      </c>
      <c r="C1228">
        <f>IF(RAW_INPUT!A1229="","",RAW_INPUT!F1229)</f>
        <v/>
      </c>
    </row>
    <row r="1229">
      <c r="A1229">
        <f>IF(RAW_INPUT!A1230="","",RAW_INPUT!A1230)</f>
        <v/>
      </c>
      <c r="B1229">
        <f>IF(RAW_INPUT!A1230="","",RAW_INPUT!E1230)</f>
        <v/>
      </c>
      <c r="C1229">
        <f>IF(RAW_INPUT!A1230="","",RAW_INPUT!F1230)</f>
        <v/>
      </c>
    </row>
    <row r="1230">
      <c r="A1230">
        <f>IF(RAW_INPUT!A1231="","",RAW_INPUT!A1231)</f>
        <v/>
      </c>
      <c r="B1230">
        <f>IF(RAW_INPUT!A1231="","",RAW_INPUT!E1231)</f>
        <v/>
      </c>
      <c r="C1230">
        <f>IF(RAW_INPUT!A1231="","",RAW_INPUT!F1231)</f>
        <v/>
      </c>
    </row>
    <row r="1231">
      <c r="A1231">
        <f>IF(RAW_INPUT!A1232="","",RAW_INPUT!A1232)</f>
        <v/>
      </c>
      <c r="B1231">
        <f>IF(RAW_INPUT!A1232="","",RAW_INPUT!E1232)</f>
        <v/>
      </c>
      <c r="C1231">
        <f>IF(RAW_INPUT!A1232="","",RAW_INPUT!F1232)</f>
        <v/>
      </c>
    </row>
    <row r="1232">
      <c r="A1232">
        <f>IF(RAW_INPUT!A1233="","",RAW_INPUT!A1233)</f>
        <v/>
      </c>
      <c r="B1232">
        <f>IF(RAW_INPUT!A1233="","",RAW_INPUT!E1233)</f>
        <v/>
      </c>
      <c r="C1232">
        <f>IF(RAW_INPUT!A1233="","",RAW_INPUT!F1233)</f>
        <v/>
      </c>
    </row>
    <row r="1233">
      <c r="A1233">
        <f>IF(RAW_INPUT!A1234="","",RAW_INPUT!A1234)</f>
        <v/>
      </c>
      <c r="B1233">
        <f>IF(RAW_INPUT!A1234="","",RAW_INPUT!E1234)</f>
        <v/>
      </c>
      <c r="C1233">
        <f>IF(RAW_INPUT!A1234="","",RAW_INPUT!F1234)</f>
        <v/>
      </c>
    </row>
    <row r="1234">
      <c r="A1234">
        <f>IF(RAW_INPUT!A1235="","",RAW_INPUT!A1235)</f>
        <v/>
      </c>
      <c r="B1234">
        <f>IF(RAW_INPUT!A1235="","",RAW_INPUT!E1235)</f>
        <v/>
      </c>
      <c r="C1234">
        <f>IF(RAW_INPUT!A1235="","",RAW_INPUT!F1235)</f>
        <v/>
      </c>
    </row>
    <row r="1235">
      <c r="A1235">
        <f>IF(RAW_INPUT!A1236="","",RAW_INPUT!A1236)</f>
        <v/>
      </c>
      <c r="B1235">
        <f>IF(RAW_INPUT!A1236="","",RAW_INPUT!E1236)</f>
        <v/>
      </c>
      <c r="C1235">
        <f>IF(RAW_INPUT!A1236="","",RAW_INPUT!F1236)</f>
        <v/>
      </c>
    </row>
    <row r="1236">
      <c r="A1236">
        <f>IF(RAW_INPUT!A1237="","",RAW_INPUT!A1237)</f>
        <v/>
      </c>
      <c r="B1236">
        <f>IF(RAW_INPUT!A1237="","",RAW_INPUT!E1237)</f>
        <v/>
      </c>
      <c r="C1236">
        <f>IF(RAW_INPUT!A1237="","",RAW_INPUT!F1237)</f>
        <v/>
      </c>
    </row>
    <row r="1237">
      <c r="A1237">
        <f>IF(RAW_INPUT!A1238="","",RAW_INPUT!A1238)</f>
        <v/>
      </c>
      <c r="B1237">
        <f>IF(RAW_INPUT!A1238="","",RAW_INPUT!E1238)</f>
        <v/>
      </c>
      <c r="C1237">
        <f>IF(RAW_INPUT!A1238="","",RAW_INPUT!F1238)</f>
        <v/>
      </c>
    </row>
    <row r="1238">
      <c r="A1238">
        <f>IF(RAW_INPUT!A1239="","",RAW_INPUT!A1239)</f>
        <v/>
      </c>
      <c r="B1238">
        <f>IF(RAW_INPUT!A1239="","",RAW_INPUT!E1239)</f>
        <v/>
      </c>
      <c r="C1238">
        <f>IF(RAW_INPUT!A1239="","",RAW_INPUT!F1239)</f>
        <v/>
      </c>
    </row>
    <row r="1239">
      <c r="A1239">
        <f>IF(RAW_INPUT!A1240="","",RAW_INPUT!A1240)</f>
        <v/>
      </c>
      <c r="B1239">
        <f>IF(RAW_INPUT!A1240="","",RAW_INPUT!E1240)</f>
        <v/>
      </c>
      <c r="C1239">
        <f>IF(RAW_INPUT!A1240="","",RAW_INPUT!F1240)</f>
        <v/>
      </c>
    </row>
    <row r="1240">
      <c r="A1240">
        <f>IF(RAW_INPUT!A1241="","",RAW_INPUT!A1241)</f>
        <v/>
      </c>
      <c r="B1240">
        <f>IF(RAW_INPUT!A1241="","",RAW_INPUT!E1241)</f>
        <v/>
      </c>
      <c r="C1240">
        <f>IF(RAW_INPUT!A1241="","",RAW_INPUT!F1241)</f>
        <v/>
      </c>
    </row>
    <row r="1241">
      <c r="A1241">
        <f>IF(RAW_INPUT!A1242="","",RAW_INPUT!A1242)</f>
        <v/>
      </c>
      <c r="B1241">
        <f>IF(RAW_INPUT!A1242="","",RAW_INPUT!E1242)</f>
        <v/>
      </c>
      <c r="C1241">
        <f>IF(RAW_INPUT!A1242="","",RAW_INPUT!F1242)</f>
        <v/>
      </c>
    </row>
    <row r="1242">
      <c r="A1242">
        <f>IF(RAW_INPUT!A1243="","",RAW_INPUT!A1243)</f>
        <v/>
      </c>
      <c r="B1242">
        <f>IF(RAW_INPUT!A1243="","",RAW_INPUT!E1243)</f>
        <v/>
      </c>
      <c r="C1242">
        <f>IF(RAW_INPUT!A1243="","",RAW_INPUT!F1243)</f>
        <v/>
      </c>
    </row>
    <row r="1243">
      <c r="A1243">
        <f>IF(RAW_INPUT!A1244="","",RAW_INPUT!A1244)</f>
        <v/>
      </c>
      <c r="B1243">
        <f>IF(RAW_INPUT!A1244="","",RAW_INPUT!E1244)</f>
        <v/>
      </c>
      <c r="C1243">
        <f>IF(RAW_INPUT!A1244="","",RAW_INPUT!F1244)</f>
        <v/>
      </c>
    </row>
    <row r="1244">
      <c r="A1244">
        <f>IF(RAW_INPUT!A1245="","",RAW_INPUT!A1245)</f>
        <v/>
      </c>
      <c r="B1244">
        <f>IF(RAW_INPUT!A1245="","",RAW_INPUT!E1245)</f>
        <v/>
      </c>
      <c r="C1244">
        <f>IF(RAW_INPUT!A1245="","",RAW_INPUT!F1245)</f>
        <v/>
      </c>
    </row>
    <row r="1245">
      <c r="A1245">
        <f>IF(RAW_INPUT!A1246="","",RAW_INPUT!A1246)</f>
        <v/>
      </c>
      <c r="B1245">
        <f>IF(RAW_INPUT!A1246="","",RAW_INPUT!E1246)</f>
        <v/>
      </c>
      <c r="C1245">
        <f>IF(RAW_INPUT!A1246="","",RAW_INPUT!F1246)</f>
        <v/>
      </c>
    </row>
    <row r="1246">
      <c r="A1246">
        <f>IF(RAW_INPUT!A1247="","",RAW_INPUT!A1247)</f>
        <v/>
      </c>
      <c r="B1246">
        <f>IF(RAW_INPUT!A1247="","",RAW_INPUT!E1247)</f>
        <v/>
      </c>
      <c r="C1246">
        <f>IF(RAW_INPUT!A1247="","",RAW_INPUT!F1247)</f>
        <v/>
      </c>
    </row>
    <row r="1247">
      <c r="A1247">
        <f>IF(RAW_INPUT!A1248="","",RAW_INPUT!A1248)</f>
        <v/>
      </c>
      <c r="B1247">
        <f>IF(RAW_INPUT!A1248="","",RAW_INPUT!E1248)</f>
        <v/>
      </c>
      <c r="C1247">
        <f>IF(RAW_INPUT!A1248="","",RAW_INPUT!F1248)</f>
        <v/>
      </c>
    </row>
    <row r="1248">
      <c r="A1248">
        <f>IF(RAW_INPUT!A1249="","",RAW_INPUT!A1249)</f>
        <v/>
      </c>
      <c r="B1248">
        <f>IF(RAW_INPUT!A1249="","",RAW_INPUT!E1249)</f>
        <v/>
      </c>
      <c r="C1248">
        <f>IF(RAW_INPUT!A1249="","",RAW_INPUT!F1249)</f>
        <v/>
      </c>
    </row>
    <row r="1249">
      <c r="A1249">
        <f>IF(RAW_INPUT!A1250="","",RAW_INPUT!A1250)</f>
        <v/>
      </c>
      <c r="B1249">
        <f>IF(RAW_INPUT!A1250="","",RAW_INPUT!E1250)</f>
        <v/>
      </c>
      <c r="C1249">
        <f>IF(RAW_INPUT!A1250="","",RAW_INPUT!F1250)</f>
        <v/>
      </c>
    </row>
    <row r="1250">
      <c r="A1250">
        <f>IF(RAW_INPUT!A1251="","",RAW_INPUT!A1251)</f>
        <v/>
      </c>
      <c r="B1250">
        <f>IF(RAW_INPUT!A1251="","",RAW_INPUT!E1251)</f>
        <v/>
      </c>
      <c r="C1250">
        <f>IF(RAW_INPUT!A1251="","",RAW_INPUT!F1251)</f>
        <v/>
      </c>
    </row>
    <row r="1251">
      <c r="A1251">
        <f>IF(RAW_INPUT!A1252="","",RAW_INPUT!A1252)</f>
        <v/>
      </c>
      <c r="B1251">
        <f>IF(RAW_INPUT!A1252="","",RAW_INPUT!E1252)</f>
        <v/>
      </c>
      <c r="C1251">
        <f>IF(RAW_INPUT!A1252="","",RAW_INPUT!F1252)</f>
        <v/>
      </c>
    </row>
    <row r="1252">
      <c r="A1252">
        <f>IF(RAW_INPUT!A1253="","",RAW_INPUT!A1253)</f>
        <v/>
      </c>
      <c r="B1252">
        <f>IF(RAW_INPUT!A1253="","",RAW_INPUT!E1253)</f>
        <v/>
      </c>
      <c r="C1252">
        <f>IF(RAW_INPUT!A1253="","",RAW_INPUT!F1253)</f>
        <v/>
      </c>
    </row>
    <row r="1253">
      <c r="A1253">
        <f>IF(RAW_INPUT!A1254="","",RAW_INPUT!A1254)</f>
        <v/>
      </c>
      <c r="B1253">
        <f>IF(RAW_INPUT!A1254="","",RAW_INPUT!E1254)</f>
        <v/>
      </c>
      <c r="C1253">
        <f>IF(RAW_INPUT!A1254="","",RAW_INPUT!F1254)</f>
        <v/>
      </c>
    </row>
    <row r="1254">
      <c r="A1254">
        <f>IF(RAW_INPUT!A1255="","",RAW_INPUT!A1255)</f>
        <v/>
      </c>
      <c r="B1254">
        <f>IF(RAW_INPUT!A1255="","",RAW_INPUT!E1255)</f>
        <v/>
      </c>
      <c r="C1254">
        <f>IF(RAW_INPUT!A1255="","",RAW_INPUT!F1255)</f>
        <v/>
      </c>
    </row>
    <row r="1255">
      <c r="A1255">
        <f>IF(RAW_INPUT!A1256="","",RAW_INPUT!A1256)</f>
        <v/>
      </c>
      <c r="B1255">
        <f>IF(RAW_INPUT!A1256="","",RAW_INPUT!E1256)</f>
        <v/>
      </c>
      <c r="C1255">
        <f>IF(RAW_INPUT!A1256="","",RAW_INPUT!F1256)</f>
        <v/>
      </c>
    </row>
    <row r="1256">
      <c r="A1256">
        <f>IF(RAW_INPUT!A1257="","",RAW_INPUT!A1257)</f>
        <v/>
      </c>
      <c r="B1256">
        <f>IF(RAW_INPUT!A1257="","",RAW_INPUT!E1257)</f>
        <v/>
      </c>
      <c r="C1256">
        <f>IF(RAW_INPUT!A1257="","",RAW_INPUT!F1257)</f>
        <v/>
      </c>
    </row>
    <row r="1257">
      <c r="A1257">
        <f>IF(RAW_INPUT!A1258="","",RAW_INPUT!A1258)</f>
        <v/>
      </c>
      <c r="B1257">
        <f>IF(RAW_INPUT!A1258="","",RAW_INPUT!E1258)</f>
        <v/>
      </c>
      <c r="C1257">
        <f>IF(RAW_INPUT!A1258="","",RAW_INPUT!F1258)</f>
        <v/>
      </c>
    </row>
    <row r="1258">
      <c r="A1258">
        <f>IF(RAW_INPUT!A1259="","",RAW_INPUT!A1259)</f>
        <v/>
      </c>
      <c r="B1258">
        <f>IF(RAW_INPUT!A1259="","",RAW_INPUT!E1259)</f>
        <v/>
      </c>
      <c r="C1258">
        <f>IF(RAW_INPUT!A1259="","",RAW_INPUT!F1259)</f>
        <v/>
      </c>
    </row>
    <row r="1259">
      <c r="A1259">
        <f>IF(RAW_INPUT!A1260="","",RAW_INPUT!A1260)</f>
        <v/>
      </c>
      <c r="B1259">
        <f>IF(RAW_INPUT!A1260="","",RAW_INPUT!E1260)</f>
        <v/>
      </c>
      <c r="C1259">
        <f>IF(RAW_INPUT!A1260="","",RAW_INPUT!F1260)</f>
        <v/>
      </c>
    </row>
    <row r="1260">
      <c r="A1260">
        <f>IF(RAW_INPUT!A1261="","",RAW_INPUT!A1261)</f>
        <v/>
      </c>
      <c r="B1260">
        <f>IF(RAW_INPUT!A1261="","",RAW_INPUT!E1261)</f>
        <v/>
      </c>
      <c r="C1260">
        <f>IF(RAW_INPUT!A1261="","",RAW_INPUT!F1261)</f>
        <v/>
      </c>
    </row>
    <row r="1261">
      <c r="A1261">
        <f>IF(RAW_INPUT!A1262="","",RAW_INPUT!A1262)</f>
        <v/>
      </c>
      <c r="B1261">
        <f>IF(RAW_INPUT!A1262="","",RAW_INPUT!E1262)</f>
        <v/>
      </c>
      <c r="C1261">
        <f>IF(RAW_INPUT!A1262="","",RAW_INPUT!F1262)</f>
        <v/>
      </c>
    </row>
    <row r="1262">
      <c r="A1262">
        <f>IF(RAW_INPUT!A1263="","",RAW_INPUT!A1263)</f>
        <v/>
      </c>
      <c r="B1262">
        <f>IF(RAW_INPUT!A1263="","",RAW_INPUT!E1263)</f>
        <v/>
      </c>
      <c r="C1262">
        <f>IF(RAW_INPUT!A1263="","",RAW_INPUT!F1263)</f>
        <v/>
      </c>
    </row>
    <row r="1263">
      <c r="A1263">
        <f>IF(RAW_INPUT!A1264="","",RAW_INPUT!A1264)</f>
        <v/>
      </c>
      <c r="B1263">
        <f>IF(RAW_INPUT!A1264="","",RAW_INPUT!E1264)</f>
        <v/>
      </c>
      <c r="C1263">
        <f>IF(RAW_INPUT!A1264="","",RAW_INPUT!F1264)</f>
        <v/>
      </c>
    </row>
    <row r="1264">
      <c r="A1264">
        <f>IF(RAW_INPUT!A1265="","",RAW_INPUT!A1265)</f>
        <v/>
      </c>
      <c r="B1264">
        <f>IF(RAW_INPUT!A1265="","",RAW_INPUT!E1265)</f>
        <v/>
      </c>
      <c r="C1264">
        <f>IF(RAW_INPUT!A1265="","",RAW_INPUT!F1265)</f>
        <v/>
      </c>
    </row>
    <row r="1265">
      <c r="A1265">
        <f>IF(RAW_INPUT!A1266="","",RAW_INPUT!A1266)</f>
        <v/>
      </c>
      <c r="B1265">
        <f>IF(RAW_INPUT!A1266="","",RAW_INPUT!E1266)</f>
        <v/>
      </c>
      <c r="C1265">
        <f>IF(RAW_INPUT!A1266="","",RAW_INPUT!F1266)</f>
        <v/>
      </c>
    </row>
    <row r="1266">
      <c r="A1266">
        <f>IF(RAW_INPUT!A1267="","",RAW_INPUT!A1267)</f>
        <v/>
      </c>
      <c r="B1266">
        <f>IF(RAW_INPUT!A1267="","",RAW_INPUT!E1267)</f>
        <v/>
      </c>
      <c r="C1266">
        <f>IF(RAW_INPUT!A1267="","",RAW_INPUT!F1267)</f>
        <v/>
      </c>
    </row>
    <row r="1267">
      <c r="A1267">
        <f>IF(RAW_INPUT!A1268="","",RAW_INPUT!A1268)</f>
        <v/>
      </c>
      <c r="B1267">
        <f>IF(RAW_INPUT!A1268="","",RAW_INPUT!E1268)</f>
        <v/>
      </c>
      <c r="C1267">
        <f>IF(RAW_INPUT!A1268="","",RAW_INPUT!F1268)</f>
        <v/>
      </c>
    </row>
    <row r="1268">
      <c r="A1268">
        <f>IF(RAW_INPUT!A1269="","",RAW_INPUT!A1269)</f>
        <v/>
      </c>
      <c r="B1268">
        <f>IF(RAW_INPUT!A1269="","",RAW_INPUT!E1269)</f>
        <v/>
      </c>
      <c r="C1268">
        <f>IF(RAW_INPUT!A1269="","",RAW_INPUT!F1269)</f>
        <v/>
      </c>
    </row>
    <row r="1269">
      <c r="A1269">
        <f>IF(RAW_INPUT!A1270="","",RAW_INPUT!A1270)</f>
        <v/>
      </c>
      <c r="B1269">
        <f>IF(RAW_INPUT!A1270="","",RAW_INPUT!E1270)</f>
        <v/>
      </c>
      <c r="C1269">
        <f>IF(RAW_INPUT!A1270="","",RAW_INPUT!F1270)</f>
        <v/>
      </c>
    </row>
    <row r="1270">
      <c r="A1270">
        <f>IF(RAW_INPUT!A1271="","",RAW_INPUT!A1271)</f>
        <v/>
      </c>
      <c r="B1270">
        <f>IF(RAW_INPUT!A1271="","",RAW_INPUT!E1271)</f>
        <v/>
      </c>
      <c r="C1270">
        <f>IF(RAW_INPUT!A1271="","",RAW_INPUT!F1271)</f>
        <v/>
      </c>
    </row>
    <row r="1271">
      <c r="A1271">
        <f>IF(RAW_INPUT!A1272="","",RAW_INPUT!A1272)</f>
        <v/>
      </c>
      <c r="B1271">
        <f>IF(RAW_INPUT!A1272="","",RAW_INPUT!E1272)</f>
        <v/>
      </c>
      <c r="C1271">
        <f>IF(RAW_INPUT!A1272="","",RAW_INPUT!F1272)</f>
        <v/>
      </c>
    </row>
    <row r="1272">
      <c r="A1272">
        <f>IF(RAW_INPUT!A1273="","",RAW_INPUT!A1273)</f>
        <v/>
      </c>
      <c r="B1272">
        <f>IF(RAW_INPUT!A1273="","",RAW_INPUT!E1273)</f>
        <v/>
      </c>
      <c r="C1272">
        <f>IF(RAW_INPUT!A1273="","",RAW_INPUT!F1273)</f>
        <v/>
      </c>
    </row>
    <row r="1273">
      <c r="A1273">
        <f>IF(RAW_INPUT!A1274="","",RAW_INPUT!A1274)</f>
        <v/>
      </c>
      <c r="B1273">
        <f>IF(RAW_INPUT!A1274="","",RAW_INPUT!E1274)</f>
        <v/>
      </c>
      <c r="C1273">
        <f>IF(RAW_INPUT!A1274="","",RAW_INPUT!F1274)</f>
        <v/>
      </c>
    </row>
    <row r="1274">
      <c r="A1274">
        <f>IF(RAW_INPUT!A1275="","",RAW_INPUT!A1275)</f>
        <v/>
      </c>
      <c r="B1274">
        <f>IF(RAW_INPUT!A1275="","",RAW_INPUT!E1275)</f>
        <v/>
      </c>
      <c r="C1274">
        <f>IF(RAW_INPUT!A1275="","",RAW_INPUT!F1275)</f>
        <v/>
      </c>
    </row>
    <row r="1275">
      <c r="A1275">
        <f>IF(RAW_INPUT!A1276="","",RAW_INPUT!A1276)</f>
        <v/>
      </c>
      <c r="B1275">
        <f>IF(RAW_INPUT!A1276="","",RAW_INPUT!E1276)</f>
        <v/>
      </c>
      <c r="C1275">
        <f>IF(RAW_INPUT!A1276="","",RAW_INPUT!F1276)</f>
        <v/>
      </c>
    </row>
    <row r="1276">
      <c r="A1276">
        <f>IF(RAW_INPUT!A1277="","",RAW_INPUT!A1277)</f>
        <v/>
      </c>
      <c r="B1276">
        <f>IF(RAW_INPUT!A1277="","",RAW_INPUT!E1277)</f>
        <v/>
      </c>
      <c r="C1276">
        <f>IF(RAW_INPUT!A1277="","",RAW_INPUT!F1277)</f>
        <v/>
      </c>
    </row>
    <row r="1277">
      <c r="A1277">
        <f>IF(RAW_INPUT!A1278="","",RAW_INPUT!A1278)</f>
        <v/>
      </c>
      <c r="B1277">
        <f>IF(RAW_INPUT!A1278="","",RAW_INPUT!E1278)</f>
        <v/>
      </c>
      <c r="C1277">
        <f>IF(RAW_INPUT!A1278="","",RAW_INPUT!F1278)</f>
        <v/>
      </c>
    </row>
    <row r="1278">
      <c r="A1278">
        <f>IF(RAW_INPUT!A1279="","",RAW_INPUT!A1279)</f>
        <v/>
      </c>
      <c r="B1278">
        <f>IF(RAW_INPUT!A1279="","",RAW_INPUT!E1279)</f>
        <v/>
      </c>
      <c r="C1278">
        <f>IF(RAW_INPUT!A1279="","",RAW_INPUT!F1279)</f>
        <v/>
      </c>
    </row>
    <row r="1279">
      <c r="A1279">
        <f>IF(RAW_INPUT!A1280="","",RAW_INPUT!A1280)</f>
        <v/>
      </c>
      <c r="B1279">
        <f>IF(RAW_INPUT!A1280="","",RAW_INPUT!E1280)</f>
        <v/>
      </c>
      <c r="C1279">
        <f>IF(RAW_INPUT!A1280="","",RAW_INPUT!F1280)</f>
        <v/>
      </c>
    </row>
    <row r="1280">
      <c r="A1280">
        <f>IF(RAW_INPUT!A1281="","",RAW_INPUT!A1281)</f>
        <v/>
      </c>
      <c r="B1280">
        <f>IF(RAW_INPUT!A1281="","",RAW_INPUT!E1281)</f>
        <v/>
      </c>
      <c r="C1280">
        <f>IF(RAW_INPUT!A1281="","",RAW_INPUT!F1281)</f>
        <v/>
      </c>
    </row>
    <row r="1281">
      <c r="A1281">
        <f>IF(RAW_INPUT!A1282="","",RAW_INPUT!A1282)</f>
        <v/>
      </c>
      <c r="B1281">
        <f>IF(RAW_INPUT!A1282="","",RAW_INPUT!E1282)</f>
        <v/>
      </c>
      <c r="C1281">
        <f>IF(RAW_INPUT!A1282="","",RAW_INPUT!F1282)</f>
        <v/>
      </c>
    </row>
    <row r="1282">
      <c r="A1282">
        <f>IF(RAW_INPUT!A1283="","",RAW_INPUT!A1283)</f>
        <v/>
      </c>
      <c r="B1282">
        <f>IF(RAW_INPUT!A1283="","",RAW_INPUT!E1283)</f>
        <v/>
      </c>
      <c r="C1282">
        <f>IF(RAW_INPUT!A1283="","",RAW_INPUT!F1283)</f>
        <v/>
      </c>
    </row>
    <row r="1283">
      <c r="A1283">
        <f>IF(RAW_INPUT!A1284="","",RAW_INPUT!A1284)</f>
        <v/>
      </c>
      <c r="B1283">
        <f>IF(RAW_INPUT!A1284="","",RAW_INPUT!E1284)</f>
        <v/>
      </c>
      <c r="C1283">
        <f>IF(RAW_INPUT!A1284="","",RAW_INPUT!F1284)</f>
        <v/>
      </c>
    </row>
    <row r="1284">
      <c r="A1284">
        <f>IF(RAW_INPUT!A1285="","",RAW_INPUT!A1285)</f>
        <v/>
      </c>
      <c r="B1284">
        <f>IF(RAW_INPUT!A1285="","",RAW_INPUT!E1285)</f>
        <v/>
      </c>
      <c r="C1284">
        <f>IF(RAW_INPUT!A1285="","",RAW_INPUT!F1285)</f>
        <v/>
      </c>
    </row>
    <row r="1285">
      <c r="A1285">
        <f>IF(RAW_INPUT!A1286="","",RAW_INPUT!A1286)</f>
        <v/>
      </c>
      <c r="B1285">
        <f>IF(RAW_INPUT!A1286="","",RAW_INPUT!E1286)</f>
        <v/>
      </c>
      <c r="C1285">
        <f>IF(RAW_INPUT!A1286="","",RAW_INPUT!F1286)</f>
        <v/>
      </c>
    </row>
    <row r="1286">
      <c r="A1286">
        <f>IF(RAW_INPUT!A1287="","",RAW_INPUT!A1287)</f>
        <v/>
      </c>
      <c r="B1286">
        <f>IF(RAW_INPUT!A1287="","",RAW_INPUT!E1287)</f>
        <v/>
      </c>
      <c r="C1286">
        <f>IF(RAW_INPUT!A1287="","",RAW_INPUT!F1287)</f>
        <v/>
      </c>
    </row>
    <row r="1287">
      <c r="A1287">
        <f>IF(RAW_INPUT!A1288="","",RAW_INPUT!A1288)</f>
        <v/>
      </c>
      <c r="B1287">
        <f>IF(RAW_INPUT!A1288="","",RAW_INPUT!E1288)</f>
        <v/>
      </c>
      <c r="C1287">
        <f>IF(RAW_INPUT!A1288="","",RAW_INPUT!F1288)</f>
        <v/>
      </c>
    </row>
    <row r="1288">
      <c r="A1288">
        <f>IF(RAW_INPUT!A1289="","",RAW_INPUT!A1289)</f>
        <v/>
      </c>
      <c r="B1288">
        <f>IF(RAW_INPUT!A1289="","",RAW_INPUT!E1289)</f>
        <v/>
      </c>
      <c r="C1288">
        <f>IF(RAW_INPUT!A1289="","",RAW_INPUT!F1289)</f>
        <v/>
      </c>
    </row>
    <row r="1289">
      <c r="A1289">
        <f>IF(RAW_INPUT!A1290="","",RAW_INPUT!A1290)</f>
        <v/>
      </c>
      <c r="B1289">
        <f>IF(RAW_INPUT!A1290="","",RAW_INPUT!E1290)</f>
        <v/>
      </c>
      <c r="C1289">
        <f>IF(RAW_INPUT!A1290="","",RAW_INPUT!F1290)</f>
        <v/>
      </c>
    </row>
    <row r="1290">
      <c r="A1290">
        <f>IF(RAW_INPUT!A1291="","",RAW_INPUT!A1291)</f>
        <v/>
      </c>
      <c r="B1290">
        <f>IF(RAW_INPUT!A1291="","",RAW_INPUT!E1291)</f>
        <v/>
      </c>
      <c r="C1290">
        <f>IF(RAW_INPUT!A1291="","",RAW_INPUT!F1291)</f>
        <v/>
      </c>
    </row>
    <row r="1291">
      <c r="A1291">
        <f>IF(RAW_INPUT!A1292="","",RAW_INPUT!A1292)</f>
        <v/>
      </c>
      <c r="B1291">
        <f>IF(RAW_INPUT!A1292="","",RAW_INPUT!E1292)</f>
        <v/>
      </c>
      <c r="C1291">
        <f>IF(RAW_INPUT!A1292="","",RAW_INPUT!F1292)</f>
        <v/>
      </c>
    </row>
    <row r="1292">
      <c r="A1292">
        <f>IF(RAW_INPUT!A1293="","",RAW_INPUT!A1293)</f>
        <v/>
      </c>
      <c r="B1292">
        <f>IF(RAW_INPUT!A1293="","",RAW_INPUT!E1293)</f>
        <v/>
      </c>
      <c r="C1292">
        <f>IF(RAW_INPUT!A1293="","",RAW_INPUT!F1293)</f>
        <v/>
      </c>
    </row>
    <row r="1293">
      <c r="A1293">
        <f>IF(RAW_INPUT!A1294="","",RAW_INPUT!A1294)</f>
        <v/>
      </c>
      <c r="B1293">
        <f>IF(RAW_INPUT!A1294="","",RAW_INPUT!E1294)</f>
        <v/>
      </c>
      <c r="C1293">
        <f>IF(RAW_INPUT!A1294="","",RAW_INPUT!F1294)</f>
        <v/>
      </c>
    </row>
    <row r="1294">
      <c r="A1294">
        <f>IF(RAW_INPUT!A1295="","",RAW_INPUT!A1295)</f>
        <v/>
      </c>
      <c r="B1294">
        <f>IF(RAW_INPUT!A1295="","",RAW_INPUT!E1295)</f>
        <v/>
      </c>
      <c r="C1294">
        <f>IF(RAW_INPUT!A1295="","",RAW_INPUT!F1295)</f>
        <v/>
      </c>
    </row>
    <row r="1295">
      <c r="A1295">
        <f>IF(RAW_INPUT!A1296="","",RAW_INPUT!A1296)</f>
        <v/>
      </c>
      <c r="B1295">
        <f>IF(RAW_INPUT!A1296="","",RAW_INPUT!E1296)</f>
        <v/>
      </c>
      <c r="C1295">
        <f>IF(RAW_INPUT!A1296="","",RAW_INPUT!F1296)</f>
        <v/>
      </c>
    </row>
    <row r="1296">
      <c r="A1296">
        <f>IF(RAW_INPUT!A1297="","",RAW_INPUT!A1297)</f>
        <v/>
      </c>
      <c r="B1296">
        <f>IF(RAW_INPUT!A1297="","",RAW_INPUT!E1297)</f>
        <v/>
      </c>
      <c r="C1296">
        <f>IF(RAW_INPUT!A1297="","",RAW_INPUT!F1297)</f>
        <v/>
      </c>
    </row>
    <row r="1297">
      <c r="A1297">
        <f>IF(RAW_INPUT!A1298="","",RAW_INPUT!A1298)</f>
        <v/>
      </c>
      <c r="B1297">
        <f>IF(RAW_INPUT!A1298="","",RAW_INPUT!E1298)</f>
        <v/>
      </c>
      <c r="C1297">
        <f>IF(RAW_INPUT!A1298="","",RAW_INPUT!F1298)</f>
        <v/>
      </c>
    </row>
    <row r="1298">
      <c r="A1298">
        <f>IF(RAW_INPUT!A1299="","",RAW_INPUT!A1299)</f>
        <v/>
      </c>
      <c r="B1298">
        <f>IF(RAW_INPUT!A1299="","",RAW_INPUT!E1299)</f>
        <v/>
      </c>
      <c r="C1298">
        <f>IF(RAW_INPUT!A1299="","",RAW_INPUT!F1299)</f>
        <v/>
      </c>
    </row>
    <row r="1299">
      <c r="A1299">
        <f>IF(RAW_INPUT!A1300="","",RAW_INPUT!A1300)</f>
        <v/>
      </c>
      <c r="B1299">
        <f>IF(RAW_INPUT!A1300="","",RAW_INPUT!E1300)</f>
        <v/>
      </c>
      <c r="C1299">
        <f>IF(RAW_INPUT!A1300="","",RAW_INPUT!F1300)</f>
        <v/>
      </c>
    </row>
    <row r="1300">
      <c r="A1300">
        <f>IF(RAW_INPUT!A1301="","",RAW_INPUT!A1301)</f>
        <v/>
      </c>
      <c r="B1300">
        <f>IF(RAW_INPUT!A1301="","",RAW_INPUT!E1301)</f>
        <v/>
      </c>
      <c r="C1300">
        <f>IF(RAW_INPUT!A1301="","",RAW_INPUT!F1301)</f>
        <v/>
      </c>
    </row>
    <row r="1301">
      <c r="A1301">
        <f>IF(RAW_INPUT!A1302="","",RAW_INPUT!A1302)</f>
        <v/>
      </c>
      <c r="B1301">
        <f>IF(RAW_INPUT!A1302="","",RAW_INPUT!E1302)</f>
        <v/>
      </c>
      <c r="C1301">
        <f>IF(RAW_INPUT!A1302="","",RAW_INPUT!F1302)</f>
        <v/>
      </c>
    </row>
    <row r="1302">
      <c r="A1302">
        <f>IF(RAW_INPUT!A1303="","",RAW_INPUT!A1303)</f>
        <v/>
      </c>
      <c r="B1302">
        <f>IF(RAW_INPUT!A1303="","",RAW_INPUT!E1303)</f>
        <v/>
      </c>
      <c r="C1302">
        <f>IF(RAW_INPUT!A1303="","",RAW_INPUT!F1303)</f>
        <v/>
      </c>
    </row>
    <row r="1303">
      <c r="A1303">
        <f>IF(RAW_INPUT!A1304="","",RAW_INPUT!A1304)</f>
        <v/>
      </c>
      <c r="B1303">
        <f>IF(RAW_INPUT!A1304="","",RAW_INPUT!E1304)</f>
        <v/>
      </c>
      <c r="C1303">
        <f>IF(RAW_INPUT!A1304="","",RAW_INPUT!F1304)</f>
        <v/>
      </c>
    </row>
    <row r="1304">
      <c r="A1304">
        <f>IF(RAW_INPUT!A1305="","",RAW_INPUT!A1305)</f>
        <v/>
      </c>
      <c r="B1304">
        <f>IF(RAW_INPUT!A1305="","",RAW_INPUT!E1305)</f>
        <v/>
      </c>
      <c r="C1304">
        <f>IF(RAW_INPUT!A1305="","",RAW_INPUT!F1305)</f>
        <v/>
      </c>
    </row>
    <row r="1305">
      <c r="A1305">
        <f>IF(RAW_INPUT!A1306="","",RAW_INPUT!A1306)</f>
        <v/>
      </c>
      <c r="B1305">
        <f>IF(RAW_INPUT!A1306="","",RAW_INPUT!E1306)</f>
        <v/>
      </c>
      <c r="C1305">
        <f>IF(RAW_INPUT!A1306="","",RAW_INPUT!F1306)</f>
        <v/>
      </c>
    </row>
    <row r="1306">
      <c r="A1306">
        <f>IF(RAW_INPUT!A1307="","",RAW_INPUT!A1307)</f>
        <v/>
      </c>
      <c r="B1306">
        <f>IF(RAW_INPUT!A1307="","",RAW_INPUT!E1307)</f>
        <v/>
      </c>
      <c r="C1306">
        <f>IF(RAW_INPUT!A1307="","",RAW_INPUT!F1307)</f>
        <v/>
      </c>
    </row>
    <row r="1307">
      <c r="A1307">
        <f>IF(RAW_INPUT!A1308="","",RAW_INPUT!A1308)</f>
        <v/>
      </c>
      <c r="B1307">
        <f>IF(RAW_INPUT!A1308="","",RAW_INPUT!E1308)</f>
        <v/>
      </c>
      <c r="C1307">
        <f>IF(RAW_INPUT!A1308="","",RAW_INPUT!F1308)</f>
        <v/>
      </c>
    </row>
    <row r="1308">
      <c r="A1308">
        <f>IF(RAW_INPUT!A1309="","",RAW_INPUT!A1309)</f>
        <v/>
      </c>
      <c r="B1308">
        <f>IF(RAW_INPUT!A1309="","",RAW_INPUT!E1309)</f>
        <v/>
      </c>
      <c r="C1308">
        <f>IF(RAW_INPUT!A1309="","",RAW_INPUT!F1309)</f>
        <v/>
      </c>
    </row>
    <row r="1309">
      <c r="A1309">
        <f>IF(RAW_INPUT!A1310="","",RAW_INPUT!A1310)</f>
        <v/>
      </c>
      <c r="B1309">
        <f>IF(RAW_INPUT!A1310="","",RAW_INPUT!E1310)</f>
        <v/>
      </c>
      <c r="C1309">
        <f>IF(RAW_INPUT!A1310="","",RAW_INPUT!F1310)</f>
        <v/>
      </c>
    </row>
    <row r="1310">
      <c r="A1310">
        <f>IF(RAW_INPUT!A1311="","",RAW_INPUT!A1311)</f>
        <v/>
      </c>
      <c r="B1310">
        <f>IF(RAW_INPUT!A1311="","",RAW_INPUT!E1311)</f>
        <v/>
      </c>
      <c r="C1310">
        <f>IF(RAW_INPUT!A1311="","",RAW_INPUT!F1311)</f>
        <v/>
      </c>
    </row>
    <row r="1311">
      <c r="A1311">
        <f>IF(RAW_INPUT!A1312="","",RAW_INPUT!A1312)</f>
        <v/>
      </c>
      <c r="B1311">
        <f>IF(RAW_INPUT!A1312="","",RAW_INPUT!E1312)</f>
        <v/>
      </c>
      <c r="C1311">
        <f>IF(RAW_INPUT!A1312="","",RAW_INPUT!F1312)</f>
        <v/>
      </c>
    </row>
    <row r="1312">
      <c r="A1312">
        <f>IF(RAW_INPUT!A1313="","",RAW_INPUT!A1313)</f>
        <v/>
      </c>
      <c r="B1312">
        <f>IF(RAW_INPUT!A1313="","",RAW_INPUT!E1313)</f>
        <v/>
      </c>
      <c r="C1312">
        <f>IF(RAW_INPUT!A1313="","",RAW_INPUT!F1313)</f>
        <v/>
      </c>
    </row>
    <row r="1313">
      <c r="A1313">
        <f>IF(RAW_INPUT!A1314="","",RAW_INPUT!A1314)</f>
        <v/>
      </c>
      <c r="B1313">
        <f>IF(RAW_INPUT!A1314="","",RAW_INPUT!E1314)</f>
        <v/>
      </c>
      <c r="C1313">
        <f>IF(RAW_INPUT!A1314="","",RAW_INPUT!F1314)</f>
        <v/>
      </c>
    </row>
    <row r="1314">
      <c r="A1314">
        <f>IF(RAW_INPUT!A1315="","",RAW_INPUT!A1315)</f>
        <v/>
      </c>
      <c r="B1314">
        <f>IF(RAW_INPUT!A1315="","",RAW_INPUT!E1315)</f>
        <v/>
      </c>
      <c r="C1314">
        <f>IF(RAW_INPUT!A1315="","",RAW_INPUT!F1315)</f>
        <v/>
      </c>
    </row>
    <row r="1315">
      <c r="A1315">
        <f>IF(RAW_INPUT!A1316="","",RAW_INPUT!A1316)</f>
        <v/>
      </c>
      <c r="B1315">
        <f>IF(RAW_INPUT!A1316="","",RAW_INPUT!E1316)</f>
        <v/>
      </c>
      <c r="C1315">
        <f>IF(RAW_INPUT!A1316="","",RAW_INPUT!F1316)</f>
        <v/>
      </c>
    </row>
    <row r="1316">
      <c r="A1316">
        <f>IF(RAW_INPUT!A1317="","",RAW_INPUT!A1317)</f>
        <v/>
      </c>
      <c r="B1316">
        <f>IF(RAW_INPUT!A1317="","",RAW_INPUT!E1317)</f>
        <v/>
      </c>
      <c r="C1316">
        <f>IF(RAW_INPUT!A1317="","",RAW_INPUT!F1317)</f>
        <v/>
      </c>
    </row>
    <row r="1317">
      <c r="A1317">
        <f>IF(RAW_INPUT!A1318="","",RAW_INPUT!A1318)</f>
        <v/>
      </c>
      <c r="B1317">
        <f>IF(RAW_INPUT!A1318="","",RAW_INPUT!E1318)</f>
        <v/>
      </c>
      <c r="C1317">
        <f>IF(RAW_INPUT!A1318="","",RAW_INPUT!F1318)</f>
        <v/>
      </c>
    </row>
    <row r="1318">
      <c r="A1318">
        <f>IF(RAW_INPUT!A1319="","",RAW_INPUT!A1319)</f>
        <v/>
      </c>
      <c r="B1318">
        <f>IF(RAW_INPUT!A1319="","",RAW_INPUT!E1319)</f>
        <v/>
      </c>
      <c r="C1318">
        <f>IF(RAW_INPUT!A1319="","",RAW_INPUT!F1319)</f>
        <v/>
      </c>
    </row>
    <row r="1319">
      <c r="A1319">
        <f>IF(RAW_INPUT!A1320="","",RAW_INPUT!A1320)</f>
        <v/>
      </c>
      <c r="B1319">
        <f>IF(RAW_INPUT!A1320="","",RAW_INPUT!E1320)</f>
        <v/>
      </c>
      <c r="C1319">
        <f>IF(RAW_INPUT!A1320="","",RAW_INPUT!F1320)</f>
        <v/>
      </c>
    </row>
    <row r="1320">
      <c r="A1320">
        <f>IF(RAW_INPUT!A1321="","",RAW_INPUT!A1321)</f>
        <v/>
      </c>
      <c r="B1320">
        <f>IF(RAW_INPUT!A1321="","",RAW_INPUT!E1321)</f>
        <v/>
      </c>
      <c r="C1320">
        <f>IF(RAW_INPUT!A1321="","",RAW_INPUT!F1321)</f>
        <v/>
      </c>
    </row>
    <row r="1321">
      <c r="A1321">
        <f>IF(RAW_INPUT!A1322="","",RAW_INPUT!A1322)</f>
        <v/>
      </c>
      <c r="B1321">
        <f>IF(RAW_INPUT!A1322="","",RAW_INPUT!E1322)</f>
        <v/>
      </c>
      <c r="C1321">
        <f>IF(RAW_INPUT!A1322="","",RAW_INPUT!F1322)</f>
        <v/>
      </c>
    </row>
    <row r="1322">
      <c r="A1322">
        <f>IF(RAW_INPUT!A1323="","",RAW_INPUT!A1323)</f>
        <v/>
      </c>
      <c r="B1322">
        <f>IF(RAW_INPUT!A1323="","",RAW_INPUT!E1323)</f>
        <v/>
      </c>
      <c r="C1322">
        <f>IF(RAW_INPUT!A1323="","",RAW_INPUT!F1323)</f>
        <v/>
      </c>
    </row>
    <row r="1323">
      <c r="A1323">
        <f>IF(RAW_INPUT!A1324="","",RAW_INPUT!A1324)</f>
        <v/>
      </c>
      <c r="B1323">
        <f>IF(RAW_INPUT!A1324="","",RAW_INPUT!E1324)</f>
        <v/>
      </c>
      <c r="C1323">
        <f>IF(RAW_INPUT!A1324="","",RAW_INPUT!F1324)</f>
        <v/>
      </c>
    </row>
    <row r="1324">
      <c r="A1324">
        <f>IF(RAW_INPUT!A1325="","",RAW_INPUT!A1325)</f>
        <v/>
      </c>
      <c r="B1324">
        <f>IF(RAW_INPUT!A1325="","",RAW_INPUT!E1325)</f>
        <v/>
      </c>
      <c r="C1324">
        <f>IF(RAW_INPUT!A1325="","",RAW_INPUT!F1325)</f>
        <v/>
      </c>
    </row>
    <row r="1325">
      <c r="A1325">
        <f>IF(RAW_INPUT!A1326="","",RAW_INPUT!A1326)</f>
        <v/>
      </c>
      <c r="B1325">
        <f>IF(RAW_INPUT!A1326="","",RAW_INPUT!E1326)</f>
        <v/>
      </c>
      <c r="C1325">
        <f>IF(RAW_INPUT!A1326="","",RAW_INPUT!F1326)</f>
        <v/>
      </c>
    </row>
    <row r="1326">
      <c r="A1326">
        <f>IF(RAW_INPUT!A1327="","",RAW_INPUT!A1327)</f>
        <v/>
      </c>
      <c r="B1326">
        <f>IF(RAW_INPUT!A1327="","",RAW_INPUT!E1327)</f>
        <v/>
      </c>
      <c r="C1326">
        <f>IF(RAW_INPUT!A1327="","",RAW_INPUT!F1327)</f>
        <v/>
      </c>
    </row>
    <row r="1327">
      <c r="A1327">
        <f>IF(RAW_INPUT!A1328="","",RAW_INPUT!A1328)</f>
        <v/>
      </c>
      <c r="B1327">
        <f>IF(RAW_INPUT!A1328="","",RAW_INPUT!E1328)</f>
        <v/>
      </c>
      <c r="C1327">
        <f>IF(RAW_INPUT!A1328="","",RAW_INPUT!F1328)</f>
        <v/>
      </c>
    </row>
    <row r="1328">
      <c r="A1328">
        <f>IF(RAW_INPUT!A1329="","",RAW_INPUT!A1329)</f>
        <v/>
      </c>
      <c r="B1328">
        <f>IF(RAW_INPUT!A1329="","",RAW_INPUT!E1329)</f>
        <v/>
      </c>
      <c r="C1328">
        <f>IF(RAW_INPUT!A1329="","",RAW_INPUT!F1329)</f>
        <v/>
      </c>
    </row>
    <row r="1329">
      <c r="A1329">
        <f>IF(RAW_INPUT!A1330="","",RAW_INPUT!A1330)</f>
        <v/>
      </c>
      <c r="B1329">
        <f>IF(RAW_INPUT!A1330="","",RAW_INPUT!E1330)</f>
        <v/>
      </c>
      <c r="C1329">
        <f>IF(RAW_INPUT!A1330="","",RAW_INPUT!F1330)</f>
        <v/>
      </c>
    </row>
    <row r="1330">
      <c r="A1330">
        <f>IF(RAW_INPUT!A1331="","",RAW_INPUT!A1331)</f>
        <v/>
      </c>
      <c r="B1330">
        <f>IF(RAW_INPUT!A1331="","",RAW_INPUT!E1331)</f>
        <v/>
      </c>
      <c r="C1330">
        <f>IF(RAW_INPUT!A1331="","",RAW_INPUT!F1331)</f>
        <v/>
      </c>
    </row>
    <row r="1331">
      <c r="A1331">
        <f>IF(RAW_INPUT!A1332="","",RAW_INPUT!A1332)</f>
        <v/>
      </c>
      <c r="B1331">
        <f>IF(RAW_INPUT!A1332="","",RAW_INPUT!E1332)</f>
        <v/>
      </c>
      <c r="C1331">
        <f>IF(RAW_INPUT!A1332="","",RAW_INPUT!F1332)</f>
        <v/>
      </c>
    </row>
    <row r="1332">
      <c r="A1332">
        <f>IF(RAW_INPUT!A1333="","",RAW_INPUT!A1333)</f>
        <v/>
      </c>
      <c r="B1332">
        <f>IF(RAW_INPUT!A1333="","",RAW_INPUT!E1333)</f>
        <v/>
      </c>
      <c r="C1332">
        <f>IF(RAW_INPUT!A1333="","",RAW_INPUT!F1333)</f>
        <v/>
      </c>
    </row>
    <row r="1333">
      <c r="A1333">
        <f>IF(RAW_INPUT!A1334="","",RAW_INPUT!A1334)</f>
        <v/>
      </c>
      <c r="B1333">
        <f>IF(RAW_INPUT!A1334="","",RAW_INPUT!E1334)</f>
        <v/>
      </c>
      <c r="C1333">
        <f>IF(RAW_INPUT!A1334="","",RAW_INPUT!F1334)</f>
        <v/>
      </c>
    </row>
    <row r="1334">
      <c r="A1334">
        <f>IF(RAW_INPUT!A1335="","",RAW_INPUT!A1335)</f>
        <v/>
      </c>
      <c r="B1334">
        <f>IF(RAW_INPUT!A1335="","",RAW_INPUT!E1335)</f>
        <v/>
      </c>
      <c r="C1334">
        <f>IF(RAW_INPUT!A1335="","",RAW_INPUT!F1335)</f>
        <v/>
      </c>
    </row>
    <row r="1335">
      <c r="A1335">
        <f>IF(RAW_INPUT!A1336="","",RAW_INPUT!A1336)</f>
        <v/>
      </c>
      <c r="B1335">
        <f>IF(RAW_INPUT!A1336="","",RAW_INPUT!E1336)</f>
        <v/>
      </c>
      <c r="C1335">
        <f>IF(RAW_INPUT!A1336="","",RAW_INPUT!F1336)</f>
        <v/>
      </c>
    </row>
    <row r="1336">
      <c r="A1336">
        <f>IF(RAW_INPUT!A1337="","",RAW_INPUT!A1337)</f>
        <v/>
      </c>
      <c r="B1336">
        <f>IF(RAW_INPUT!A1337="","",RAW_INPUT!E1337)</f>
        <v/>
      </c>
      <c r="C1336">
        <f>IF(RAW_INPUT!A1337="","",RAW_INPUT!F1337)</f>
        <v/>
      </c>
    </row>
    <row r="1337">
      <c r="A1337">
        <f>IF(RAW_INPUT!A1338="","",RAW_INPUT!A1338)</f>
        <v/>
      </c>
      <c r="B1337">
        <f>IF(RAW_INPUT!A1338="","",RAW_INPUT!E1338)</f>
        <v/>
      </c>
      <c r="C1337">
        <f>IF(RAW_INPUT!A1338="","",RAW_INPUT!F1338)</f>
        <v/>
      </c>
    </row>
    <row r="1338">
      <c r="A1338">
        <f>IF(RAW_INPUT!A1339="","",RAW_INPUT!A1339)</f>
        <v/>
      </c>
      <c r="B1338">
        <f>IF(RAW_INPUT!A1339="","",RAW_INPUT!E1339)</f>
        <v/>
      </c>
      <c r="C1338">
        <f>IF(RAW_INPUT!A1339="","",RAW_INPUT!F1339)</f>
        <v/>
      </c>
    </row>
    <row r="1339">
      <c r="A1339">
        <f>IF(RAW_INPUT!A1340="","",RAW_INPUT!A1340)</f>
        <v/>
      </c>
      <c r="B1339">
        <f>IF(RAW_INPUT!A1340="","",RAW_INPUT!E1340)</f>
        <v/>
      </c>
      <c r="C1339">
        <f>IF(RAW_INPUT!A1340="","",RAW_INPUT!F1340)</f>
        <v/>
      </c>
    </row>
    <row r="1340">
      <c r="A1340">
        <f>IF(RAW_INPUT!A1341="","",RAW_INPUT!A1341)</f>
        <v/>
      </c>
      <c r="B1340">
        <f>IF(RAW_INPUT!A1341="","",RAW_INPUT!E1341)</f>
        <v/>
      </c>
      <c r="C1340">
        <f>IF(RAW_INPUT!A1341="","",RAW_INPUT!F1341)</f>
        <v/>
      </c>
    </row>
    <row r="1341">
      <c r="A1341">
        <f>IF(RAW_INPUT!A1342="","",RAW_INPUT!A1342)</f>
        <v/>
      </c>
      <c r="B1341">
        <f>IF(RAW_INPUT!A1342="","",RAW_INPUT!E1342)</f>
        <v/>
      </c>
      <c r="C1341">
        <f>IF(RAW_INPUT!A1342="","",RAW_INPUT!F1342)</f>
        <v/>
      </c>
    </row>
    <row r="1342">
      <c r="A1342">
        <f>IF(RAW_INPUT!A1343="","",RAW_INPUT!A1343)</f>
        <v/>
      </c>
      <c r="B1342">
        <f>IF(RAW_INPUT!A1343="","",RAW_INPUT!E1343)</f>
        <v/>
      </c>
      <c r="C1342">
        <f>IF(RAW_INPUT!A1343="","",RAW_INPUT!F1343)</f>
        <v/>
      </c>
    </row>
    <row r="1343">
      <c r="A1343">
        <f>IF(RAW_INPUT!A1344="","",RAW_INPUT!A1344)</f>
        <v/>
      </c>
      <c r="B1343">
        <f>IF(RAW_INPUT!A1344="","",RAW_INPUT!E1344)</f>
        <v/>
      </c>
      <c r="C1343">
        <f>IF(RAW_INPUT!A1344="","",RAW_INPUT!F1344)</f>
        <v/>
      </c>
    </row>
    <row r="1344">
      <c r="A1344">
        <f>IF(RAW_INPUT!A1345="","",RAW_INPUT!A1345)</f>
        <v/>
      </c>
      <c r="B1344">
        <f>IF(RAW_INPUT!A1345="","",RAW_INPUT!E1345)</f>
        <v/>
      </c>
      <c r="C1344">
        <f>IF(RAW_INPUT!A1345="","",RAW_INPUT!F1345)</f>
        <v/>
      </c>
    </row>
    <row r="1345">
      <c r="A1345">
        <f>IF(RAW_INPUT!A1346="","",RAW_INPUT!A1346)</f>
        <v/>
      </c>
      <c r="B1345">
        <f>IF(RAW_INPUT!A1346="","",RAW_INPUT!E1346)</f>
        <v/>
      </c>
      <c r="C1345">
        <f>IF(RAW_INPUT!A1346="","",RAW_INPUT!F1346)</f>
        <v/>
      </c>
    </row>
    <row r="1346">
      <c r="A1346">
        <f>IF(RAW_INPUT!A1347="","",RAW_INPUT!A1347)</f>
        <v/>
      </c>
      <c r="B1346">
        <f>IF(RAW_INPUT!A1347="","",RAW_INPUT!E1347)</f>
        <v/>
      </c>
      <c r="C1346">
        <f>IF(RAW_INPUT!A1347="","",RAW_INPUT!F1347)</f>
        <v/>
      </c>
    </row>
    <row r="1347">
      <c r="A1347">
        <f>IF(RAW_INPUT!A1348="","",RAW_INPUT!A1348)</f>
        <v/>
      </c>
      <c r="B1347">
        <f>IF(RAW_INPUT!A1348="","",RAW_INPUT!E1348)</f>
        <v/>
      </c>
      <c r="C1347">
        <f>IF(RAW_INPUT!A1348="","",RAW_INPUT!F1348)</f>
        <v/>
      </c>
    </row>
    <row r="1348">
      <c r="A1348">
        <f>IF(RAW_INPUT!A1349="","",RAW_INPUT!A1349)</f>
        <v/>
      </c>
      <c r="B1348">
        <f>IF(RAW_INPUT!A1349="","",RAW_INPUT!E1349)</f>
        <v/>
      </c>
      <c r="C1348">
        <f>IF(RAW_INPUT!A1349="","",RAW_INPUT!F1349)</f>
        <v/>
      </c>
    </row>
    <row r="1349">
      <c r="A1349">
        <f>IF(RAW_INPUT!A1350="","",RAW_INPUT!A1350)</f>
        <v/>
      </c>
      <c r="B1349">
        <f>IF(RAW_INPUT!A1350="","",RAW_INPUT!E1350)</f>
        <v/>
      </c>
      <c r="C1349">
        <f>IF(RAW_INPUT!A1350="","",RAW_INPUT!F1350)</f>
        <v/>
      </c>
    </row>
    <row r="1350">
      <c r="A1350">
        <f>IF(RAW_INPUT!A1351="","",RAW_INPUT!A1351)</f>
        <v/>
      </c>
      <c r="B1350">
        <f>IF(RAW_INPUT!A1351="","",RAW_INPUT!E1351)</f>
        <v/>
      </c>
      <c r="C1350">
        <f>IF(RAW_INPUT!A1351="","",RAW_INPUT!F1351)</f>
        <v/>
      </c>
    </row>
    <row r="1351">
      <c r="A1351">
        <f>IF(RAW_INPUT!A1352="","",RAW_INPUT!A1352)</f>
        <v/>
      </c>
      <c r="B1351">
        <f>IF(RAW_INPUT!A1352="","",RAW_INPUT!E1352)</f>
        <v/>
      </c>
      <c r="C1351">
        <f>IF(RAW_INPUT!A1352="","",RAW_INPUT!F1352)</f>
        <v/>
      </c>
    </row>
    <row r="1352">
      <c r="A1352">
        <f>IF(RAW_INPUT!A1353="","",RAW_INPUT!A1353)</f>
        <v/>
      </c>
      <c r="B1352">
        <f>IF(RAW_INPUT!A1353="","",RAW_INPUT!E1353)</f>
        <v/>
      </c>
      <c r="C1352">
        <f>IF(RAW_INPUT!A1353="","",RAW_INPUT!F1353)</f>
        <v/>
      </c>
    </row>
    <row r="1353">
      <c r="A1353">
        <f>IF(RAW_INPUT!A1354="","",RAW_INPUT!A1354)</f>
        <v/>
      </c>
      <c r="B1353">
        <f>IF(RAW_INPUT!A1354="","",RAW_INPUT!E1354)</f>
        <v/>
      </c>
      <c r="C1353">
        <f>IF(RAW_INPUT!A1354="","",RAW_INPUT!F1354)</f>
        <v/>
      </c>
    </row>
    <row r="1354">
      <c r="A1354">
        <f>IF(RAW_INPUT!A1355="","",RAW_INPUT!A1355)</f>
        <v/>
      </c>
      <c r="B1354">
        <f>IF(RAW_INPUT!A1355="","",RAW_INPUT!E1355)</f>
        <v/>
      </c>
      <c r="C1354">
        <f>IF(RAW_INPUT!A1355="","",RAW_INPUT!F1355)</f>
        <v/>
      </c>
    </row>
    <row r="1355">
      <c r="A1355">
        <f>IF(RAW_INPUT!A1356="","",RAW_INPUT!A1356)</f>
        <v/>
      </c>
      <c r="B1355">
        <f>IF(RAW_INPUT!A1356="","",RAW_INPUT!E1356)</f>
        <v/>
      </c>
      <c r="C1355">
        <f>IF(RAW_INPUT!A1356="","",RAW_INPUT!F1356)</f>
        <v/>
      </c>
    </row>
    <row r="1356">
      <c r="A1356">
        <f>IF(RAW_INPUT!A1357="","",RAW_INPUT!A1357)</f>
        <v/>
      </c>
      <c r="B1356">
        <f>IF(RAW_INPUT!A1357="","",RAW_INPUT!E1357)</f>
        <v/>
      </c>
      <c r="C1356">
        <f>IF(RAW_INPUT!A1357="","",RAW_INPUT!F1357)</f>
        <v/>
      </c>
    </row>
    <row r="1357">
      <c r="A1357">
        <f>IF(RAW_INPUT!A1358="","",RAW_INPUT!A1358)</f>
        <v/>
      </c>
      <c r="B1357">
        <f>IF(RAW_INPUT!A1358="","",RAW_INPUT!E1358)</f>
        <v/>
      </c>
      <c r="C1357">
        <f>IF(RAW_INPUT!A1358="","",RAW_INPUT!F1358)</f>
        <v/>
      </c>
    </row>
    <row r="1358">
      <c r="A1358">
        <f>IF(RAW_INPUT!A1359="","",RAW_INPUT!A1359)</f>
        <v/>
      </c>
      <c r="B1358">
        <f>IF(RAW_INPUT!A1359="","",RAW_INPUT!E1359)</f>
        <v/>
      </c>
      <c r="C1358">
        <f>IF(RAW_INPUT!A1359="","",RAW_INPUT!F1359)</f>
        <v/>
      </c>
    </row>
    <row r="1359">
      <c r="A1359">
        <f>IF(RAW_INPUT!A1360="","",RAW_INPUT!A1360)</f>
        <v/>
      </c>
      <c r="B1359">
        <f>IF(RAW_INPUT!A1360="","",RAW_INPUT!E1360)</f>
        <v/>
      </c>
      <c r="C1359">
        <f>IF(RAW_INPUT!A1360="","",RAW_INPUT!F1360)</f>
        <v/>
      </c>
    </row>
    <row r="1360">
      <c r="A1360">
        <f>IF(RAW_INPUT!A1361="","",RAW_INPUT!A1361)</f>
        <v/>
      </c>
      <c r="B1360">
        <f>IF(RAW_INPUT!A1361="","",RAW_INPUT!E1361)</f>
        <v/>
      </c>
      <c r="C1360">
        <f>IF(RAW_INPUT!A1361="","",RAW_INPUT!F1361)</f>
        <v/>
      </c>
    </row>
    <row r="1361">
      <c r="A1361">
        <f>IF(RAW_INPUT!A1362="","",RAW_INPUT!A1362)</f>
        <v/>
      </c>
      <c r="B1361">
        <f>IF(RAW_INPUT!A1362="","",RAW_INPUT!E1362)</f>
        <v/>
      </c>
      <c r="C1361">
        <f>IF(RAW_INPUT!A1362="","",RAW_INPUT!F1362)</f>
        <v/>
      </c>
    </row>
    <row r="1362">
      <c r="A1362">
        <f>IF(RAW_INPUT!A1363="","",RAW_INPUT!A1363)</f>
        <v/>
      </c>
      <c r="B1362">
        <f>IF(RAW_INPUT!A1363="","",RAW_INPUT!E1363)</f>
        <v/>
      </c>
      <c r="C1362">
        <f>IF(RAW_INPUT!A1363="","",RAW_INPUT!F1363)</f>
        <v/>
      </c>
    </row>
    <row r="1363">
      <c r="A1363">
        <f>IF(RAW_INPUT!A1364="","",RAW_INPUT!A1364)</f>
        <v/>
      </c>
      <c r="B1363">
        <f>IF(RAW_INPUT!A1364="","",RAW_INPUT!E1364)</f>
        <v/>
      </c>
      <c r="C1363">
        <f>IF(RAW_INPUT!A1364="","",RAW_INPUT!F1364)</f>
        <v/>
      </c>
    </row>
    <row r="1364">
      <c r="A1364">
        <f>IF(RAW_INPUT!A1365="","",RAW_INPUT!A1365)</f>
        <v/>
      </c>
      <c r="B1364">
        <f>IF(RAW_INPUT!A1365="","",RAW_INPUT!E1365)</f>
        <v/>
      </c>
      <c r="C1364">
        <f>IF(RAW_INPUT!A1365="","",RAW_INPUT!F1365)</f>
        <v/>
      </c>
    </row>
    <row r="1365">
      <c r="A1365">
        <f>IF(RAW_INPUT!A1366="","",RAW_INPUT!A1366)</f>
        <v/>
      </c>
      <c r="B1365">
        <f>IF(RAW_INPUT!A1366="","",RAW_INPUT!E1366)</f>
        <v/>
      </c>
      <c r="C1365">
        <f>IF(RAW_INPUT!A1366="","",RAW_INPUT!F1366)</f>
        <v/>
      </c>
    </row>
    <row r="1366">
      <c r="A1366">
        <f>IF(RAW_INPUT!A1367="","",RAW_INPUT!A1367)</f>
        <v/>
      </c>
      <c r="B1366">
        <f>IF(RAW_INPUT!A1367="","",RAW_INPUT!E1367)</f>
        <v/>
      </c>
      <c r="C1366">
        <f>IF(RAW_INPUT!A1367="","",RAW_INPUT!F1367)</f>
        <v/>
      </c>
    </row>
    <row r="1367">
      <c r="A1367">
        <f>IF(RAW_INPUT!A1368="","",RAW_INPUT!A1368)</f>
        <v/>
      </c>
      <c r="B1367">
        <f>IF(RAW_INPUT!A1368="","",RAW_INPUT!E1368)</f>
        <v/>
      </c>
      <c r="C1367">
        <f>IF(RAW_INPUT!A1368="","",RAW_INPUT!F1368)</f>
        <v/>
      </c>
    </row>
    <row r="1368">
      <c r="A1368">
        <f>IF(RAW_INPUT!A1369="","",RAW_INPUT!A1369)</f>
        <v/>
      </c>
      <c r="B1368">
        <f>IF(RAW_INPUT!A1369="","",RAW_INPUT!E1369)</f>
        <v/>
      </c>
      <c r="C1368">
        <f>IF(RAW_INPUT!A1369="","",RAW_INPUT!F1369)</f>
        <v/>
      </c>
    </row>
    <row r="1369">
      <c r="A1369">
        <f>IF(RAW_INPUT!A1370="","",RAW_INPUT!A1370)</f>
        <v/>
      </c>
      <c r="B1369">
        <f>IF(RAW_INPUT!A1370="","",RAW_INPUT!E1370)</f>
        <v/>
      </c>
      <c r="C1369">
        <f>IF(RAW_INPUT!A1370="","",RAW_INPUT!F1370)</f>
        <v/>
      </c>
    </row>
    <row r="1370">
      <c r="A1370">
        <f>IF(RAW_INPUT!A1371="","",RAW_INPUT!A1371)</f>
        <v/>
      </c>
      <c r="B1370">
        <f>IF(RAW_INPUT!A1371="","",RAW_INPUT!E1371)</f>
        <v/>
      </c>
      <c r="C1370">
        <f>IF(RAW_INPUT!A1371="","",RAW_INPUT!F1371)</f>
        <v/>
      </c>
    </row>
    <row r="1371">
      <c r="A1371">
        <f>IF(RAW_INPUT!A1372="","",RAW_INPUT!A1372)</f>
        <v/>
      </c>
      <c r="B1371">
        <f>IF(RAW_INPUT!A1372="","",RAW_INPUT!E1372)</f>
        <v/>
      </c>
      <c r="C1371">
        <f>IF(RAW_INPUT!A1372="","",RAW_INPUT!F1372)</f>
        <v/>
      </c>
    </row>
    <row r="1372">
      <c r="A1372">
        <f>IF(RAW_INPUT!A1373="","",RAW_INPUT!A1373)</f>
        <v/>
      </c>
      <c r="B1372">
        <f>IF(RAW_INPUT!A1373="","",RAW_INPUT!E1373)</f>
        <v/>
      </c>
      <c r="C1372">
        <f>IF(RAW_INPUT!A1373="","",RAW_INPUT!F1373)</f>
        <v/>
      </c>
    </row>
    <row r="1373">
      <c r="A1373">
        <f>IF(RAW_INPUT!A1374="","",RAW_INPUT!A1374)</f>
        <v/>
      </c>
      <c r="B1373">
        <f>IF(RAW_INPUT!A1374="","",RAW_INPUT!E1374)</f>
        <v/>
      </c>
      <c r="C1373">
        <f>IF(RAW_INPUT!A1374="","",RAW_INPUT!F1374)</f>
        <v/>
      </c>
    </row>
    <row r="1374">
      <c r="A1374">
        <f>IF(RAW_INPUT!A1375="","",RAW_INPUT!A1375)</f>
        <v/>
      </c>
      <c r="B1374">
        <f>IF(RAW_INPUT!A1375="","",RAW_INPUT!E1375)</f>
        <v/>
      </c>
      <c r="C1374">
        <f>IF(RAW_INPUT!A1375="","",RAW_INPUT!F1375)</f>
        <v/>
      </c>
    </row>
    <row r="1375">
      <c r="A1375">
        <f>IF(RAW_INPUT!A1376="","",RAW_INPUT!A1376)</f>
        <v/>
      </c>
      <c r="B1375">
        <f>IF(RAW_INPUT!A1376="","",RAW_INPUT!E1376)</f>
        <v/>
      </c>
      <c r="C1375">
        <f>IF(RAW_INPUT!A1376="","",RAW_INPUT!F1376)</f>
        <v/>
      </c>
    </row>
    <row r="1376">
      <c r="A1376">
        <f>IF(RAW_INPUT!A1377="","",RAW_INPUT!A1377)</f>
        <v/>
      </c>
      <c r="B1376">
        <f>IF(RAW_INPUT!A1377="","",RAW_INPUT!E1377)</f>
        <v/>
      </c>
      <c r="C1376">
        <f>IF(RAW_INPUT!A1377="","",RAW_INPUT!F1377)</f>
        <v/>
      </c>
    </row>
    <row r="1377">
      <c r="A1377">
        <f>IF(RAW_INPUT!A1378="","",RAW_INPUT!A1378)</f>
        <v/>
      </c>
      <c r="B1377">
        <f>IF(RAW_INPUT!A1378="","",RAW_INPUT!E1378)</f>
        <v/>
      </c>
      <c r="C1377">
        <f>IF(RAW_INPUT!A1378="","",RAW_INPUT!F1378)</f>
        <v/>
      </c>
    </row>
    <row r="1378">
      <c r="A1378">
        <f>IF(RAW_INPUT!A1379="","",RAW_INPUT!A1379)</f>
        <v/>
      </c>
      <c r="B1378">
        <f>IF(RAW_INPUT!A1379="","",RAW_INPUT!E1379)</f>
        <v/>
      </c>
      <c r="C1378">
        <f>IF(RAW_INPUT!A1379="","",RAW_INPUT!F1379)</f>
        <v/>
      </c>
    </row>
    <row r="1379">
      <c r="A1379">
        <f>IF(RAW_INPUT!A1380="","",RAW_INPUT!A1380)</f>
        <v/>
      </c>
      <c r="B1379">
        <f>IF(RAW_INPUT!A1380="","",RAW_INPUT!E1380)</f>
        <v/>
      </c>
      <c r="C1379">
        <f>IF(RAW_INPUT!A1380="","",RAW_INPUT!F1380)</f>
        <v/>
      </c>
    </row>
    <row r="1380">
      <c r="A1380">
        <f>IF(RAW_INPUT!A1381="","",RAW_INPUT!A1381)</f>
        <v/>
      </c>
      <c r="B1380">
        <f>IF(RAW_INPUT!A1381="","",RAW_INPUT!E1381)</f>
        <v/>
      </c>
      <c r="C1380">
        <f>IF(RAW_INPUT!A1381="","",RAW_INPUT!F1381)</f>
        <v/>
      </c>
    </row>
    <row r="1381">
      <c r="A1381">
        <f>IF(RAW_INPUT!A1382="","",RAW_INPUT!A1382)</f>
        <v/>
      </c>
      <c r="B1381">
        <f>IF(RAW_INPUT!A1382="","",RAW_INPUT!E1382)</f>
        <v/>
      </c>
      <c r="C1381">
        <f>IF(RAW_INPUT!A1382="","",RAW_INPUT!F1382)</f>
        <v/>
      </c>
    </row>
    <row r="1382">
      <c r="A1382">
        <f>IF(RAW_INPUT!A1383="","",RAW_INPUT!A1383)</f>
        <v/>
      </c>
      <c r="B1382">
        <f>IF(RAW_INPUT!A1383="","",RAW_INPUT!E1383)</f>
        <v/>
      </c>
      <c r="C1382">
        <f>IF(RAW_INPUT!A1383="","",RAW_INPUT!F1383)</f>
        <v/>
      </c>
    </row>
    <row r="1383">
      <c r="A1383">
        <f>IF(RAW_INPUT!A1384="","",RAW_INPUT!A1384)</f>
        <v/>
      </c>
      <c r="B1383">
        <f>IF(RAW_INPUT!A1384="","",RAW_INPUT!E1384)</f>
        <v/>
      </c>
      <c r="C1383">
        <f>IF(RAW_INPUT!A1384="","",RAW_INPUT!F1384)</f>
        <v/>
      </c>
    </row>
    <row r="1384">
      <c r="A1384">
        <f>IF(RAW_INPUT!A1385="","",RAW_INPUT!A1385)</f>
        <v/>
      </c>
      <c r="B1384">
        <f>IF(RAW_INPUT!A1385="","",RAW_INPUT!E1385)</f>
        <v/>
      </c>
      <c r="C1384">
        <f>IF(RAW_INPUT!A1385="","",RAW_INPUT!F1385)</f>
        <v/>
      </c>
    </row>
    <row r="1385">
      <c r="A1385">
        <f>IF(RAW_INPUT!A1386="","",RAW_INPUT!A1386)</f>
        <v/>
      </c>
      <c r="B1385">
        <f>IF(RAW_INPUT!A1386="","",RAW_INPUT!E1386)</f>
        <v/>
      </c>
      <c r="C1385">
        <f>IF(RAW_INPUT!A1386="","",RAW_INPUT!F1386)</f>
        <v/>
      </c>
    </row>
    <row r="1386">
      <c r="A1386">
        <f>IF(RAW_INPUT!A1387="","",RAW_INPUT!A1387)</f>
        <v/>
      </c>
      <c r="B1386">
        <f>IF(RAW_INPUT!A1387="","",RAW_INPUT!E1387)</f>
        <v/>
      </c>
      <c r="C1386">
        <f>IF(RAW_INPUT!A1387="","",RAW_INPUT!F1387)</f>
        <v/>
      </c>
    </row>
    <row r="1387">
      <c r="A1387">
        <f>IF(RAW_INPUT!A1388="","",RAW_INPUT!A1388)</f>
        <v/>
      </c>
      <c r="B1387">
        <f>IF(RAW_INPUT!A1388="","",RAW_INPUT!E1388)</f>
        <v/>
      </c>
      <c r="C1387">
        <f>IF(RAW_INPUT!A1388="","",RAW_INPUT!F1388)</f>
        <v/>
      </c>
    </row>
    <row r="1388">
      <c r="A1388">
        <f>IF(RAW_INPUT!A1389="","",RAW_INPUT!A1389)</f>
        <v/>
      </c>
      <c r="B1388">
        <f>IF(RAW_INPUT!A1389="","",RAW_INPUT!E1389)</f>
        <v/>
      </c>
      <c r="C1388">
        <f>IF(RAW_INPUT!A1389="","",RAW_INPUT!F1389)</f>
        <v/>
      </c>
    </row>
    <row r="1389">
      <c r="A1389">
        <f>IF(RAW_INPUT!A1390="","",RAW_INPUT!A1390)</f>
        <v/>
      </c>
      <c r="B1389">
        <f>IF(RAW_INPUT!A1390="","",RAW_INPUT!E1390)</f>
        <v/>
      </c>
      <c r="C1389">
        <f>IF(RAW_INPUT!A1390="","",RAW_INPUT!F1390)</f>
        <v/>
      </c>
    </row>
    <row r="1390">
      <c r="A1390">
        <f>IF(RAW_INPUT!A1391="","",RAW_INPUT!A1391)</f>
        <v/>
      </c>
      <c r="B1390">
        <f>IF(RAW_INPUT!A1391="","",RAW_INPUT!E1391)</f>
        <v/>
      </c>
      <c r="C1390">
        <f>IF(RAW_INPUT!A1391="","",RAW_INPUT!F1391)</f>
        <v/>
      </c>
    </row>
    <row r="1391">
      <c r="A1391">
        <f>IF(RAW_INPUT!A1392="","",RAW_INPUT!A1392)</f>
        <v/>
      </c>
      <c r="B1391">
        <f>IF(RAW_INPUT!A1392="","",RAW_INPUT!E1392)</f>
        <v/>
      </c>
      <c r="C1391">
        <f>IF(RAW_INPUT!A1392="","",RAW_INPUT!F1392)</f>
        <v/>
      </c>
    </row>
    <row r="1392">
      <c r="A1392">
        <f>IF(RAW_INPUT!A1393="","",RAW_INPUT!A1393)</f>
        <v/>
      </c>
      <c r="B1392">
        <f>IF(RAW_INPUT!A1393="","",RAW_INPUT!E1393)</f>
        <v/>
      </c>
      <c r="C1392">
        <f>IF(RAW_INPUT!A1393="","",RAW_INPUT!F1393)</f>
        <v/>
      </c>
    </row>
    <row r="1393">
      <c r="A1393">
        <f>IF(RAW_INPUT!A1394="","",RAW_INPUT!A1394)</f>
        <v/>
      </c>
      <c r="B1393">
        <f>IF(RAW_INPUT!A1394="","",RAW_INPUT!E1394)</f>
        <v/>
      </c>
      <c r="C1393">
        <f>IF(RAW_INPUT!A1394="","",RAW_INPUT!F1394)</f>
        <v/>
      </c>
    </row>
    <row r="1394">
      <c r="A1394">
        <f>IF(RAW_INPUT!A1395="","",RAW_INPUT!A1395)</f>
        <v/>
      </c>
      <c r="B1394">
        <f>IF(RAW_INPUT!A1395="","",RAW_INPUT!E1395)</f>
        <v/>
      </c>
      <c r="C1394">
        <f>IF(RAW_INPUT!A1395="","",RAW_INPUT!F1395)</f>
        <v/>
      </c>
    </row>
    <row r="1395">
      <c r="A1395">
        <f>IF(RAW_INPUT!A1396="","",RAW_INPUT!A1396)</f>
        <v/>
      </c>
      <c r="B1395">
        <f>IF(RAW_INPUT!A1396="","",RAW_INPUT!E1396)</f>
        <v/>
      </c>
      <c r="C1395">
        <f>IF(RAW_INPUT!A1396="","",RAW_INPUT!F1396)</f>
        <v/>
      </c>
    </row>
    <row r="1396">
      <c r="A1396">
        <f>IF(RAW_INPUT!A1397="","",RAW_INPUT!A1397)</f>
        <v/>
      </c>
      <c r="B1396">
        <f>IF(RAW_INPUT!A1397="","",RAW_INPUT!E1397)</f>
        <v/>
      </c>
      <c r="C1396">
        <f>IF(RAW_INPUT!A1397="","",RAW_INPUT!F1397)</f>
        <v/>
      </c>
    </row>
    <row r="1397">
      <c r="A1397">
        <f>IF(RAW_INPUT!A1398="","",RAW_INPUT!A1398)</f>
        <v/>
      </c>
      <c r="B1397">
        <f>IF(RAW_INPUT!A1398="","",RAW_INPUT!E1398)</f>
        <v/>
      </c>
      <c r="C1397">
        <f>IF(RAW_INPUT!A1398="","",RAW_INPUT!F1398)</f>
        <v/>
      </c>
    </row>
    <row r="1398">
      <c r="A1398">
        <f>IF(RAW_INPUT!A1399="","",RAW_INPUT!A1399)</f>
        <v/>
      </c>
      <c r="B1398">
        <f>IF(RAW_INPUT!A1399="","",RAW_INPUT!E1399)</f>
        <v/>
      </c>
      <c r="C1398">
        <f>IF(RAW_INPUT!A1399="","",RAW_INPUT!F1399)</f>
        <v/>
      </c>
    </row>
    <row r="1399">
      <c r="A1399">
        <f>IF(RAW_INPUT!A1400="","",RAW_INPUT!A1400)</f>
        <v/>
      </c>
      <c r="B1399">
        <f>IF(RAW_INPUT!A1400="","",RAW_INPUT!E1400)</f>
        <v/>
      </c>
      <c r="C1399">
        <f>IF(RAW_INPUT!A1400="","",RAW_INPUT!F1400)</f>
        <v/>
      </c>
    </row>
    <row r="1400">
      <c r="A1400">
        <f>IF(RAW_INPUT!A1401="","",RAW_INPUT!A1401)</f>
        <v/>
      </c>
      <c r="B1400">
        <f>IF(RAW_INPUT!A1401="","",RAW_INPUT!E1401)</f>
        <v/>
      </c>
      <c r="C1400">
        <f>IF(RAW_INPUT!A1401="","",RAW_INPUT!F1401)</f>
        <v/>
      </c>
    </row>
    <row r="1401">
      <c r="A1401">
        <f>IF(RAW_INPUT!A1402="","",RAW_INPUT!A1402)</f>
        <v/>
      </c>
      <c r="B1401">
        <f>IF(RAW_INPUT!A1402="","",RAW_INPUT!E1402)</f>
        <v/>
      </c>
      <c r="C1401">
        <f>IF(RAW_INPUT!A1402="","",RAW_INPUT!F1402)</f>
        <v/>
      </c>
    </row>
    <row r="1402">
      <c r="A1402">
        <f>IF(RAW_INPUT!A1403="","",RAW_INPUT!A1403)</f>
        <v/>
      </c>
      <c r="B1402">
        <f>IF(RAW_INPUT!A1403="","",RAW_INPUT!E1403)</f>
        <v/>
      </c>
      <c r="C1402">
        <f>IF(RAW_INPUT!A1403="","",RAW_INPUT!F1403)</f>
        <v/>
      </c>
    </row>
    <row r="1403">
      <c r="A1403">
        <f>IF(RAW_INPUT!A1404="","",RAW_INPUT!A1404)</f>
        <v/>
      </c>
      <c r="B1403">
        <f>IF(RAW_INPUT!A1404="","",RAW_INPUT!E1404)</f>
        <v/>
      </c>
      <c r="C1403">
        <f>IF(RAW_INPUT!A1404="","",RAW_INPUT!F1404)</f>
        <v/>
      </c>
    </row>
    <row r="1404">
      <c r="A1404">
        <f>IF(RAW_INPUT!A1405="","",RAW_INPUT!A1405)</f>
        <v/>
      </c>
      <c r="B1404">
        <f>IF(RAW_INPUT!A1405="","",RAW_INPUT!E1405)</f>
        <v/>
      </c>
      <c r="C1404">
        <f>IF(RAW_INPUT!A1405="","",RAW_INPUT!F1405)</f>
        <v/>
      </c>
    </row>
    <row r="1405">
      <c r="A1405">
        <f>IF(RAW_INPUT!A1406="","",RAW_INPUT!A1406)</f>
        <v/>
      </c>
      <c r="B1405">
        <f>IF(RAW_INPUT!A1406="","",RAW_INPUT!E1406)</f>
        <v/>
      </c>
      <c r="C1405">
        <f>IF(RAW_INPUT!A1406="","",RAW_INPUT!F1406)</f>
        <v/>
      </c>
    </row>
    <row r="1406">
      <c r="A1406">
        <f>IF(RAW_INPUT!A1407="","",RAW_INPUT!A1407)</f>
        <v/>
      </c>
      <c r="B1406">
        <f>IF(RAW_INPUT!A1407="","",RAW_INPUT!E1407)</f>
        <v/>
      </c>
      <c r="C1406">
        <f>IF(RAW_INPUT!A1407="","",RAW_INPUT!F1407)</f>
        <v/>
      </c>
    </row>
    <row r="1407">
      <c r="A1407">
        <f>IF(RAW_INPUT!A1408="","",RAW_INPUT!A1408)</f>
        <v/>
      </c>
      <c r="B1407">
        <f>IF(RAW_INPUT!A1408="","",RAW_INPUT!E1408)</f>
        <v/>
      </c>
      <c r="C1407">
        <f>IF(RAW_INPUT!A1408="","",RAW_INPUT!F1408)</f>
        <v/>
      </c>
    </row>
    <row r="1408">
      <c r="A1408">
        <f>IF(RAW_INPUT!A1409="","",RAW_INPUT!A1409)</f>
        <v/>
      </c>
      <c r="B1408">
        <f>IF(RAW_INPUT!A1409="","",RAW_INPUT!E1409)</f>
        <v/>
      </c>
      <c r="C1408">
        <f>IF(RAW_INPUT!A1409="","",RAW_INPUT!F1409)</f>
        <v/>
      </c>
    </row>
    <row r="1409">
      <c r="A1409">
        <f>IF(RAW_INPUT!A1410="","",RAW_INPUT!A1410)</f>
        <v/>
      </c>
      <c r="B1409">
        <f>IF(RAW_INPUT!A1410="","",RAW_INPUT!E1410)</f>
        <v/>
      </c>
      <c r="C1409">
        <f>IF(RAW_INPUT!A1410="","",RAW_INPUT!F1410)</f>
        <v/>
      </c>
    </row>
    <row r="1410">
      <c r="A1410">
        <f>IF(RAW_INPUT!A1411="","",RAW_INPUT!A1411)</f>
        <v/>
      </c>
      <c r="B1410">
        <f>IF(RAW_INPUT!A1411="","",RAW_INPUT!E1411)</f>
        <v/>
      </c>
      <c r="C1410">
        <f>IF(RAW_INPUT!A1411="","",RAW_INPUT!F1411)</f>
        <v/>
      </c>
    </row>
    <row r="1411">
      <c r="A1411">
        <f>IF(RAW_INPUT!A1412="","",RAW_INPUT!A1412)</f>
        <v/>
      </c>
      <c r="B1411">
        <f>IF(RAW_INPUT!A1412="","",RAW_INPUT!E1412)</f>
        <v/>
      </c>
      <c r="C1411">
        <f>IF(RAW_INPUT!A1412="","",RAW_INPUT!F1412)</f>
        <v/>
      </c>
    </row>
    <row r="1412">
      <c r="A1412">
        <f>IF(RAW_INPUT!A1413="","",RAW_INPUT!A1413)</f>
        <v/>
      </c>
      <c r="B1412">
        <f>IF(RAW_INPUT!A1413="","",RAW_INPUT!E1413)</f>
        <v/>
      </c>
      <c r="C1412">
        <f>IF(RAW_INPUT!A1413="","",RAW_INPUT!F1413)</f>
        <v/>
      </c>
    </row>
    <row r="1413">
      <c r="A1413">
        <f>IF(RAW_INPUT!A1414="","",RAW_INPUT!A1414)</f>
        <v/>
      </c>
      <c r="B1413">
        <f>IF(RAW_INPUT!A1414="","",RAW_INPUT!E1414)</f>
        <v/>
      </c>
      <c r="C1413">
        <f>IF(RAW_INPUT!A1414="","",RAW_INPUT!F1414)</f>
        <v/>
      </c>
    </row>
    <row r="1414">
      <c r="A1414">
        <f>IF(RAW_INPUT!A1415="","",RAW_INPUT!A1415)</f>
        <v/>
      </c>
      <c r="B1414">
        <f>IF(RAW_INPUT!A1415="","",RAW_INPUT!E1415)</f>
        <v/>
      </c>
      <c r="C1414">
        <f>IF(RAW_INPUT!A1415="","",RAW_INPUT!F1415)</f>
        <v/>
      </c>
    </row>
    <row r="1415">
      <c r="A1415">
        <f>IF(RAW_INPUT!A1416="","",RAW_INPUT!A1416)</f>
        <v/>
      </c>
      <c r="B1415">
        <f>IF(RAW_INPUT!A1416="","",RAW_INPUT!E1416)</f>
        <v/>
      </c>
      <c r="C1415">
        <f>IF(RAW_INPUT!A1416="","",RAW_INPUT!F1416)</f>
        <v/>
      </c>
    </row>
    <row r="1416">
      <c r="A1416">
        <f>IF(RAW_INPUT!A1417="","",RAW_INPUT!A1417)</f>
        <v/>
      </c>
      <c r="B1416">
        <f>IF(RAW_INPUT!A1417="","",RAW_INPUT!E1417)</f>
        <v/>
      </c>
      <c r="C1416">
        <f>IF(RAW_INPUT!A1417="","",RAW_INPUT!F1417)</f>
        <v/>
      </c>
    </row>
    <row r="1417">
      <c r="A1417">
        <f>IF(RAW_INPUT!A1418="","",RAW_INPUT!A1418)</f>
        <v/>
      </c>
      <c r="B1417">
        <f>IF(RAW_INPUT!A1418="","",RAW_INPUT!E1418)</f>
        <v/>
      </c>
      <c r="C1417">
        <f>IF(RAW_INPUT!A1418="","",RAW_INPUT!F1418)</f>
        <v/>
      </c>
    </row>
    <row r="1418">
      <c r="A1418">
        <f>IF(RAW_INPUT!A1419="","",RAW_INPUT!A1419)</f>
        <v/>
      </c>
      <c r="B1418">
        <f>IF(RAW_INPUT!A1419="","",RAW_INPUT!E1419)</f>
        <v/>
      </c>
      <c r="C1418">
        <f>IF(RAW_INPUT!A1419="","",RAW_INPUT!F1419)</f>
        <v/>
      </c>
    </row>
    <row r="1419">
      <c r="A1419">
        <f>IF(RAW_INPUT!A1420="","",RAW_INPUT!A1420)</f>
        <v/>
      </c>
      <c r="B1419">
        <f>IF(RAW_INPUT!A1420="","",RAW_INPUT!E1420)</f>
        <v/>
      </c>
      <c r="C1419">
        <f>IF(RAW_INPUT!A1420="","",RAW_INPUT!F1420)</f>
        <v/>
      </c>
    </row>
    <row r="1420">
      <c r="A1420">
        <f>IF(RAW_INPUT!A1421="","",RAW_INPUT!A1421)</f>
        <v/>
      </c>
      <c r="B1420">
        <f>IF(RAW_INPUT!A1421="","",RAW_INPUT!E1421)</f>
        <v/>
      </c>
      <c r="C1420">
        <f>IF(RAW_INPUT!A1421="","",RAW_INPUT!F1421)</f>
        <v/>
      </c>
    </row>
    <row r="1421">
      <c r="A1421">
        <f>IF(RAW_INPUT!A1422="","",RAW_INPUT!A1422)</f>
        <v/>
      </c>
      <c r="B1421">
        <f>IF(RAW_INPUT!A1422="","",RAW_INPUT!E1422)</f>
        <v/>
      </c>
      <c r="C1421">
        <f>IF(RAW_INPUT!A1422="","",RAW_INPUT!F1422)</f>
        <v/>
      </c>
    </row>
    <row r="1422">
      <c r="A1422">
        <f>IF(RAW_INPUT!A1423="","",RAW_INPUT!A1423)</f>
        <v/>
      </c>
      <c r="B1422">
        <f>IF(RAW_INPUT!A1423="","",RAW_INPUT!E1423)</f>
        <v/>
      </c>
      <c r="C1422">
        <f>IF(RAW_INPUT!A1423="","",RAW_INPUT!F1423)</f>
        <v/>
      </c>
    </row>
    <row r="1423">
      <c r="A1423">
        <f>IF(RAW_INPUT!A1424="","",RAW_INPUT!A1424)</f>
        <v/>
      </c>
      <c r="B1423">
        <f>IF(RAW_INPUT!A1424="","",RAW_INPUT!E1424)</f>
        <v/>
      </c>
      <c r="C1423">
        <f>IF(RAW_INPUT!A1424="","",RAW_INPUT!F1424)</f>
        <v/>
      </c>
    </row>
    <row r="1424">
      <c r="A1424">
        <f>IF(RAW_INPUT!A1425="","",RAW_INPUT!A1425)</f>
        <v/>
      </c>
      <c r="B1424">
        <f>IF(RAW_INPUT!A1425="","",RAW_INPUT!E1425)</f>
        <v/>
      </c>
      <c r="C1424">
        <f>IF(RAW_INPUT!A1425="","",RAW_INPUT!F1425)</f>
        <v/>
      </c>
    </row>
    <row r="1425">
      <c r="A1425">
        <f>IF(RAW_INPUT!A1426="","",RAW_INPUT!A1426)</f>
        <v/>
      </c>
      <c r="B1425">
        <f>IF(RAW_INPUT!A1426="","",RAW_INPUT!E1426)</f>
        <v/>
      </c>
      <c r="C1425">
        <f>IF(RAW_INPUT!A1426="","",RAW_INPUT!F1426)</f>
        <v/>
      </c>
    </row>
    <row r="1426">
      <c r="A1426">
        <f>IF(RAW_INPUT!A1427="","",RAW_INPUT!A1427)</f>
        <v/>
      </c>
      <c r="B1426">
        <f>IF(RAW_INPUT!A1427="","",RAW_INPUT!E1427)</f>
        <v/>
      </c>
      <c r="C1426">
        <f>IF(RAW_INPUT!A1427="","",RAW_INPUT!F1427)</f>
        <v/>
      </c>
    </row>
    <row r="1427">
      <c r="A1427">
        <f>IF(RAW_INPUT!A1428="","",RAW_INPUT!A1428)</f>
        <v/>
      </c>
      <c r="B1427">
        <f>IF(RAW_INPUT!A1428="","",RAW_INPUT!E1428)</f>
        <v/>
      </c>
      <c r="C1427">
        <f>IF(RAW_INPUT!A1428="","",RAW_INPUT!F1428)</f>
        <v/>
      </c>
    </row>
    <row r="1428">
      <c r="A1428">
        <f>IF(RAW_INPUT!A1429="","",RAW_INPUT!A1429)</f>
        <v/>
      </c>
      <c r="B1428">
        <f>IF(RAW_INPUT!A1429="","",RAW_INPUT!E1429)</f>
        <v/>
      </c>
      <c r="C1428">
        <f>IF(RAW_INPUT!A1429="","",RAW_INPUT!F1429)</f>
        <v/>
      </c>
    </row>
    <row r="1429">
      <c r="A1429">
        <f>IF(RAW_INPUT!A1430="","",RAW_INPUT!A1430)</f>
        <v/>
      </c>
      <c r="B1429">
        <f>IF(RAW_INPUT!A1430="","",RAW_INPUT!E1430)</f>
        <v/>
      </c>
      <c r="C1429">
        <f>IF(RAW_INPUT!A1430="","",RAW_INPUT!F1430)</f>
        <v/>
      </c>
    </row>
    <row r="1430">
      <c r="A1430">
        <f>IF(RAW_INPUT!A1431="","",RAW_INPUT!A1431)</f>
        <v/>
      </c>
      <c r="B1430">
        <f>IF(RAW_INPUT!A1431="","",RAW_INPUT!E1431)</f>
        <v/>
      </c>
      <c r="C1430">
        <f>IF(RAW_INPUT!A1431="","",RAW_INPUT!F1431)</f>
        <v/>
      </c>
    </row>
    <row r="1431">
      <c r="A1431">
        <f>IF(RAW_INPUT!A1432="","",RAW_INPUT!A1432)</f>
        <v/>
      </c>
      <c r="B1431">
        <f>IF(RAW_INPUT!A1432="","",RAW_INPUT!E1432)</f>
        <v/>
      </c>
      <c r="C1431">
        <f>IF(RAW_INPUT!A1432="","",RAW_INPUT!F1432)</f>
        <v/>
      </c>
    </row>
    <row r="1432">
      <c r="A1432">
        <f>IF(RAW_INPUT!A1433="","",RAW_INPUT!A1433)</f>
        <v/>
      </c>
      <c r="B1432">
        <f>IF(RAW_INPUT!A1433="","",RAW_INPUT!E1433)</f>
        <v/>
      </c>
      <c r="C1432">
        <f>IF(RAW_INPUT!A1433="","",RAW_INPUT!F1433)</f>
        <v/>
      </c>
    </row>
    <row r="1433">
      <c r="A1433">
        <f>IF(RAW_INPUT!A1434="","",RAW_INPUT!A1434)</f>
        <v/>
      </c>
      <c r="B1433">
        <f>IF(RAW_INPUT!A1434="","",RAW_INPUT!E1434)</f>
        <v/>
      </c>
      <c r="C1433">
        <f>IF(RAW_INPUT!A1434="","",RAW_INPUT!F1434)</f>
        <v/>
      </c>
    </row>
    <row r="1434">
      <c r="A1434">
        <f>IF(RAW_INPUT!A1435="","",RAW_INPUT!A1435)</f>
        <v/>
      </c>
      <c r="B1434">
        <f>IF(RAW_INPUT!A1435="","",RAW_INPUT!E1435)</f>
        <v/>
      </c>
      <c r="C1434">
        <f>IF(RAW_INPUT!A1435="","",RAW_INPUT!F1435)</f>
        <v/>
      </c>
    </row>
    <row r="1435">
      <c r="A1435">
        <f>IF(RAW_INPUT!A1436="","",RAW_INPUT!A1436)</f>
        <v/>
      </c>
      <c r="B1435">
        <f>IF(RAW_INPUT!A1436="","",RAW_INPUT!E1436)</f>
        <v/>
      </c>
      <c r="C1435">
        <f>IF(RAW_INPUT!A1436="","",RAW_INPUT!F1436)</f>
        <v/>
      </c>
    </row>
    <row r="1436">
      <c r="A1436">
        <f>IF(RAW_INPUT!A1437="","",RAW_INPUT!A1437)</f>
        <v/>
      </c>
      <c r="B1436">
        <f>IF(RAW_INPUT!A1437="","",RAW_INPUT!E1437)</f>
        <v/>
      </c>
      <c r="C1436">
        <f>IF(RAW_INPUT!A1437="","",RAW_INPUT!F1437)</f>
        <v/>
      </c>
    </row>
    <row r="1437">
      <c r="A1437">
        <f>IF(RAW_INPUT!A1438="","",RAW_INPUT!A1438)</f>
        <v/>
      </c>
      <c r="B1437">
        <f>IF(RAW_INPUT!A1438="","",RAW_INPUT!E1438)</f>
        <v/>
      </c>
      <c r="C1437">
        <f>IF(RAW_INPUT!A1438="","",RAW_INPUT!F1438)</f>
        <v/>
      </c>
    </row>
    <row r="1438">
      <c r="A1438">
        <f>IF(RAW_INPUT!A1439="","",RAW_INPUT!A1439)</f>
        <v/>
      </c>
      <c r="B1438">
        <f>IF(RAW_INPUT!A1439="","",RAW_INPUT!E1439)</f>
        <v/>
      </c>
      <c r="C1438">
        <f>IF(RAW_INPUT!A1439="","",RAW_INPUT!F1439)</f>
        <v/>
      </c>
    </row>
    <row r="1439">
      <c r="A1439">
        <f>IF(RAW_INPUT!A1440="","",RAW_INPUT!A1440)</f>
        <v/>
      </c>
      <c r="B1439">
        <f>IF(RAW_INPUT!A1440="","",RAW_INPUT!E1440)</f>
        <v/>
      </c>
      <c r="C1439">
        <f>IF(RAW_INPUT!A1440="","",RAW_INPUT!F1440)</f>
        <v/>
      </c>
    </row>
    <row r="1440">
      <c r="A1440">
        <f>IF(RAW_INPUT!A1441="","",RAW_INPUT!A1441)</f>
        <v/>
      </c>
      <c r="B1440">
        <f>IF(RAW_INPUT!A1441="","",RAW_INPUT!E1441)</f>
        <v/>
      </c>
      <c r="C1440">
        <f>IF(RAW_INPUT!A1441="","",RAW_INPUT!F1441)</f>
        <v/>
      </c>
    </row>
    <row r="1441">
      <c r="A1441">
        <f>IF(RAW_INPUT!A1442="","",RAW_INPUT!A1442)</f>
        <v/>
      </c>
      <c r="B1441">
        <f>IF(RAW_INPUT!A1442="","",RAW_INPUT!E1442)</f>
        <v/>
      </c>
      <c r="C1441">
        <f>IF(RAW_INPUT!A1442="","",RAW_INPUT!F1442)</f>
        <v/>
      </c>
    </row>
    <row r="1442">
      <c r="A1442">
        <f>IF(RAW_INPUT!A1443="","",RAW_INPUT!A1443)</f>
        <v/>
      </c>
      <c r="B1442">
        <f>IF(RAW_INPUT!A1443="","",RAW_INPUT!E1443)</f>
        <v/>
      </c>
      <c r="C1442">
        <f>IF(RAW_INPUT!A1443="","",RAW_INPUT!F1443)</f>
        <v/>
      </c>
    </row>
    <row r="1443">
      <c r="A1443">
        <f>IF(RAW_INPUT!A1444="","",RAW_INPUT!A1444)</f>
        <v/>
      </c>
      <c r="B1443">
        <f>IF(RAW_INPUT!A1444="","",RAW_INPUT!E1444)</f>
        <v/>
      </c>
      <c r="C1443">
        <f>IF(RAW_INPUT!A1444="","",RAW_INPUT!F1444)</f>
        <v/>
      </c>
    </row>
    <row r="1444">
      <c r="A1444">
        <f>IF(RAW_INPUT!A1445="","",RAW_INPUT!A1445)</f>
        <v/>
      </c>
      <c r="B1444">
        <f>IF(RAW_INPUT!A1445="","",RAW_INPUT!E1445)</f>
        <v/>
      </c>
      <c r="C1444">
        <f>IF(RAW_INPUT!A1445="","",RAW_INPUT!F1445)</f>
        <v/>
      </c>
    </row>
    <row r="1445">
      <c r="A1445">
        <f>IF(RAW_INPUT!A1446="","",RAW_INPUT!A1446)</f>
        <v/>
      </c>
      <c r="B1445">
        <f>IF(RAW_INPUT!A1446="","",RAW_INPUT!E1446)</f>
        <v/>
      </c>
      <c r="C1445">
        <f>IF(RAW_INPUT!A1446="","",RAW_INPUT!F1446)</f>
        <v/>
      </c>
    </row>
    <row r="1446">
      <c r="A1446">
        <f>IF(RAW_INPUT!A1447="","",RAW_INPUT!A1447)</f>
        <v/>
      </c>
      <c r="B1446">
        <f>IF(RAW_INPUT!A1447="","",RAW_INPUT!E1447)</f>
        <v/>
      </c>
      <c r="C1446">
        <f>IF(RAW_INPUT!A1447="","",RAW_INPUT!F1447)</f>
        <v/>
      </c>
    </row>
    <row r="1447">
      <c r="A1447">
        <f>IF(RAW_INPUT!A1448="","",RAW_INPUT!A1448)</f>
        <v/>
      </c>
      <c r="B1447">
        <f>IF(RAW_INPUT!A1448="","",RAW_INPUT!E1448)</f>
        <v/>
      </c>
      <c r="C1447">
        <f>IF(RAW_INPUT!A1448="","",RAW_INPUT!F1448)</f>
        <v/>
      </c>
    </row>
    <row r="1448">
      <c r="A1448">
        <f>IF(RAW_INPUT!A1449="","",RAW_INPUT!A1449)</f>
        <v/>
      </c>
      <c r="B1448">
        <f>IF(RAW_INPUT!A1449="","",RAW_INPUT!E1449)</f>
        <v/>
      </c>
      <c r="C1448">
        <f>IF(RAW_INPUT!A1449="","",RAW_INPUT!F1449)</f>
        <v/>
      </c>
    </row>
    <row r="1449">
      <c r="A1449">
        <f>IF(RAW_INPUT!A1450="","",RAW_INPUT!A1450)</f>
        <v/>
      </c>
      <c r="B1449">
        <f>IF(RAW_INPUT!A1450="","",RAW_INPUT!E1450)</f>
        <v/>
      </c>
      <c r="C1449">
        <f>IF(RAW_INPUT!A1450="","",RAW_INPUT!F1450)</f>
        <v/>
      </c>
    </row>
    <row r="1450">
      <c r="A1450">
        <f>IF(RAW_INPUT!A1451="","",RAW_INPUT!A1451)</f>
        <v/>
      </c>
      <c r="B1450">
        <f>IF(RAW_INPUT!A1451="","",RAW_INPUT!E1451)</f>
        <v/>
      </c>
      <c r="C1450">
        <f>IF(RAW_INPUT!A1451="","",RAW_INPUT!F1451)</f>
        <v/>
      </c>
    </row>
    <row r="1451">
      <c r="A1451">
        <f>IF(RAW_INPUT!A1452="","",RAW_INPUT!A1452)</f>
        <v/>
      </c>
      <c r="B1451">
        <f>IF(RAW_INPUT!A1452="","",RAW_INPUT!E1452)</f>
        <v/>
      </c>
      <c r="C1451">
        <f>IF(RAW_INPUT!A1452="","",RAW_INPUT!F1452)</f>
        <v/>
      </c>
    </row>
    <row r="1452">
      <c r="A1452">
        <f>IF(RAW_INPUT!A1453="","",RAW_INPUT!A1453)</f>
        <v/>
      </c>
      <c r="B1452">
        <f>IF(RAW_INPUT!A1453="","",RAW_INPUT!E1453)</f>
        <v/>
      </c>
      <c r="C1452">
        <f>IF(RAW_INPUT!A1453="","",RAW_INPUT!F1453)</f>
        <v/>
      </c>
    </row>
    <row r="1453">
      <c r="A1453">
        <f>IF(RAW_INPUT!A1454="","",RAW_INPUT!A1454)</f>
        <v/>
      </c>
      <c r="B1453">
        <f>IF(RAW_INPUT!A1454="","",RAW_INPUT!E1454)</f>
        <v/>
      </c>
      <c r="C1453">
        <f>IF(RAW_INPUT!A1454="","",RAW_INPUT!F1454)</f>
        <v/>
      </c>
    </row>
    <row r="1454">
      <c r="A1454">
        <f>IF(RAW_INPUT!A1455="","",RAW_INPUT!A1455)</f>
        <v/>
      </c>
      <c r="B1454">
        <f>IF(RAW_INPUT!A1455="","",RAW_INPUT!E1455)</f>
        <v/>
      </c>
      <c r="C1454">
        <f>IF(RAW_INPUT!A1455="","",RAW_INPUT!F1455)</f>
        <v/>
      </c>
    </row>
    <row r="1455">
      <c r="A1455">
        <f>IF(RAW_INPUT!A1456="","",RAW_INPUT!A1456)</f>
        <v/>
      </c>
      <c r="B1455">
        <f>IF(RAW_INPUT!A1456="","",RAW_INPUT!E1456)</f>
        <v/>
      </c>
      <c r="C1455">
        <f>IF(RAW_INPUT!A1456="","",RAW_INPUT!F1456)</f>
        <v/>
      </c>
    </row>
    <row r="1456">
      <c r="A1456">
        <f>IF(RAW_INPUT!A1457="","",RAW_INPUT!A1457)</f>
        <v/>
      </c>
      <c r="B1456">
        <f>IF(RAW_INPUT!A1457="","",RAW_INPUT!E1457)</f>
        <v/>
      </c>
      <c r="C1456">
        <f>IF(RAW_INPUT!A1457="","",RAW_INPUT!F1457)</f>
        <v/>
      </c>
    </row>
    <row r="1457">
      <c r="A1457">
        <f>IF(RAW_INPUT!A1458="","",RAW_INPUT!A1458)</f>
        <v/>
      </c>
      <c r="B1457">
        <f>IF(RAW_INPUT!A1458="","",RAW_INPUT!E1458)</f>
        <v/>
      </c>
      <c r="C1457">
        <f>IF(RAW_INPUT!A1458="","",RAW_INPUT!F1458)</f>
        <v/>
      </c>
    </row>
    <row r="1458">
      <c r="A1458">
        <f>IF(RAW_INPUT!A1459="","",RAW_INPUT!A1459)</f>
        <v/>
      </c>
      <c r="B1458">
        <f>IF(RAW_INPUT!A1459="","",RAW_INPUT!E1459)</f>
        <v/>
      </c>
      <c r="C1458">
        <f>IF(RAW_INPUT!A1459="","",RAW_INPUT!F1459)</f>
        <v/>
      </c>
    </row>
    <row r="1459">
      <c r="A1459">
        <f>IF(RAW_INPUT!A1460="","",RAW_INPUT!A1460)</f>
        <v/>
      </c>
      <c r="B1459">
        <f>IF(RAW_INPUT!A1460="","",RAW_INPUT!E1460)</f>
        <v/>
      </c>
      <c r="C1459">
        <f>IF(RAW_INPUT!A1460="","",RAW_INPUT!F1460)</f>
        <v/>
      </c>
    </row>
    <row r="1460">
      <c r="A1460">
        <f>IF(RAW_INPUT!A1461="","",RAW_INPUT!A1461)</f>
        <v/>
      </c>
      <c r="B1460">
        <f>IF(RAW_INPUT!A1461="","",RAW_INPUT!E1461)</f>
        <v/>
      </c>
      <c r="C1460">
        <f>IF(RAW_INPUT!A1461="","",RAW_INPUT!F1461)</f>
        <v/>
      </c>
    </row>
    <row r="1461">
      <c r="A1461">
        <f>IF(RAW_INPUT!A1462="","",RAW_INPUT!A1462)</f>
        <v/>
      </c>
      <c r="B1461">
        <f>IF(RAW_INPUT!A1462="","",RAW_INPUT!E1462)</f>
        <v/>
      </c>
      <c r="C1461">
        <f>IF(RAW_INPUT!A1462="","",RAW_INPUT!F1462)</f>
        <v/>
      </c>
    </row>
    <row r="1462">
      <c r="A1462">
        <f>IF(RAW_INPUT!A1463="","",RAW_INPUT!A1463)</f>
        <v/>
      </c>
      <c r="B1462">
        <f>IF(RAW_INPUT!A1463="","",RAW_INPUT!E1463)</f>
        <v/>
      </c>
      <c r="C1462">
        <f>IF(RAW_INPUT!A1463="","",RAW_INPUT!F1463)</f>
        <v/>
      </c>
    </row>
    <row r="1463">
      <c r="A1463">
        <f>IF(RAW_INPUT!A1464="","",RAW_INPUT!A1464)</f>
        <v/>
      </c>
      <c r="B1463">
        <f>IF(RAW_INPUT!A1464="","",RAW_INPUT!E1464)</f>
        <v/>
      </c>
      <c r="C1463">
        <f>IF(RAW_INPUT!A1464="","",RAW_INPUT!F1464)</f>
        <v/>
      </c>
    </row>
    <row r="1464">
      <c r="A1464">
        <f>IF(RAW_INPUT!A1465="","",RAW_INPUT!A1465)</f>
        <v/>
      </c>
      <c r="B1464">
        <f>IF(RAW_INPUT!A1465="","",RAW_INPUT!E1465)</f>
        <v/>
      </c>
      <c r="C1464">
        <f>IF(RAW_INPUT!A1465="","",RAW_INPUT!F1465)</f>
        <v/>
      </c>
    </row>
    <row r="1465">
      <c r="A1465">
        <f>IF(RAW_INPUT!A1466="","",RAW_INPUT!A1466)</f>
        <v/>
      </c>
      <c r="B1465">
        <f>IF(RAW_INPUT!A1466="","",RAW_INPUT!E1466)</f>
        <v/>
      </c>
      <c r="C1465">
        <f>IF(RAW_INPUT!A1466="","",RAW_INPUT!F1466)</f>
        <v/>
      </c>
    </row>
    <row r="1466">
      <c r="A1466">
        <f>IF(RAW_INPUT!A1467="","",RAW_INPUT!A1467)</f>
        <v/>
      </c>
      <c r="B1466">
        <f>IF(RAW_INPUT!A1467="","",RAW_INPUT!E1467)</f>
        <v/>
      </c>
      <c r="C1466">
        <f>IF(RAW_INPUT!A1467="","",RAW_INPUT!F1467)</f>
        <v/>
      </c>
    </row>
    <row r="1467">
      <c r="A1467">
        <f>IF(RAW_INPUT!A1468="","",RAW_INPUT!A1468)</f>
        <v/>
      </c>
      <c r="B1467">
        <f>IF(RAW_INPUT!A1468="","",RAW_INPUT!E1468)</f>
        <v/>
      </c>
      <c r="C1467">
        <f>IF(RAW_INPUT!A1468="","",RAW_INPUT!F1468)</f>
        <v/>
      </c>
    </row>
    <row r="1468">
      <c r="A1468">
        <f>IF(RAW_INPUT!A1469="","",RAW_INPUT!A1469)</f>
        <v/>
      </c>
      <c r="B1468">
        <f>IF(RAW_INPUT!A1469="","",RAW_INPUT!E1469)</f>
        <v/>
      </c>
      <c r="C1468">
        <f>IF(RAW_INPUT!A1469="","",RAW_INPUT!F1469)</f>
        <v/>
      </c>
    </row>
    <row r="1469">
      <c r="A1469">
        <f>IF(RAW_INPUT!A1470="","",RAW_INPUT!A1470)</f>
        <v/>
      </c>
      <c r="B1469">
        <f>IF(RAW_INPUT!A1470="","",RAW_INPUT!E1470)</f>
        <v/>
      </c>
      <c r="C1469">
        <f>IF(RAW_INPUT!A1470="","",RAW_INPUT!F1470)</f>
        <v/>
      </c>
    </row>
    <row r="1470">
      <c r="A1470">
        <f>IF(RAW_INPUT!A1471="","",RAW_INPUT!A1471)</f>
        <v/>
      </c>
      <c r="B1470">
        <f>IF(RAW_INPUT!A1471="","",RAW_INPUT!E1471)</f>
        <v/>
      </c>
      <c r="C1470">
        <f>IF(RAW_INPUT!A1471="","",RAW_INPUT!F1471)</f>
        <v/>
      </c>
    </row>
    <row r="1471">
      <c r="A1471">
        <f>IF(RAW_INPUT!A1472="","",RAW_INPUT!A1472)</f>
        <v/>
      </c>
      <c r="B1471">
        <f>IF(RAW_INPUT!A1472="","",RAW_INPUT!E1472)</f>
        <v/>
      </c>
      <c r="C1471">
        <f>IF(RAW_INPUT!A1472="","",RAW_INPUT!F1472)</f>
        <v/>
      </c>
    </row>
    <row r="1472">
      <c r="A1472">
        <f>IF(RAW_INPUT!A1473="","",RAW_INPUT!A1473)</f>
        <v/>
      </c>
      <c r="B1472">
        <f>IF(RAW_INPUT!A1473="","",RAW_INPUT!E1473)</f>
        <v/>
      </c>
      <c r="C1472">
        <f>IF(RAW_INPUT!A1473="","",RAW_INPUT!F1473)</f>
        <v/>
      </c>
    </row>
    <row r="1473">
      <c r="A1473">
        <f>IF(RAW_INPUT!A1474="","",RAW_INPUT!A1474)</f>
        <v/>
      </c>
      <c r="B1473">
        <f>IF(RAW_INPUT!A1474="","",RAW_INPUT!E1474)</f>
        <v/>
      </c>
      <c r="C1473">
        <f>IF(RAW_INPUT!A1474="","",RAW_INPUT!F1474)</f>
        <v/>
      </c>
    </row>
    <row r="1474">
      <c r="A1474">
        <f>IF(RAW_INPUT!A1475="","",RAW_INPUT!A1475)</f>
        <v/>
      </c>
      <c r="B1474">
        <f>IF(RAW_INPUT!A1475="","",RAW_INPUT!E1475)</f>
        <v/>
      </c>
      <c r="C1474">
        <f>IF(RAW_INPUT!A1475="","",RAW_INPUT!F1475)</f>
        <v/>
      </c>
    </row>
    <row r="1475">
      <c r="A1475">
        <f>IF(RAW_INPUT!A1476="","",RAW_INPUT!A1476)</f>
        <v/>
      </c>
      <c r="B1475">
        <f>IF(RAW_INPUT!A1476="","",RAW_INPUT!E1476)</f>
        <v/>
      </c>
      <c r="C1475">
        <f>IF(RAW_INPUT!A1476="","",RAW_INPUT!F1476)</f>
        <v/>
      </c>
    </row>
    <row r="1476">
      <c r="A1476">
        <f>IF(RAW_INPUT!A1477="","",RAW_INPUT!A1477)</f>
        <v/>
      </c>
      <c r="B1476">
        <f>IF(RAW_INPUT!A1477="","",RAW_INPUT!E1477)</f>
        <v/>
      </c>
      <c r="C1476">
        <f>IF(RAW_INPUT!A1477="","",RAW_INPUT!F1477)</f>
        <v/>
      </c>
    </row>
    <row r="1477">
      <c r="A1477">
        <f>IF(RAW_INPUT!A1478="","",RAW_INPUT!A1478)</f>
        <v/>
      </c>
      <c r="B1477">
        <f>IF(RAW_INPUT!A1478="","",RAW_INPUT!E1478)</f>
        <v/>
      </c>
      <c r="C1477">
        <f>IF(RAW_INPUT!A1478="","",RAW_INPUT!F1478)</f>
        <v/>
      </c>
    </row>
    <row r="1478">
      <c r="A1478">
        <f>IF(RAW_INPUT!A1479="","",RAW_INPUT!A1479)</f>
        <v/>
      </c>
      <c r="B1478">
        <f>IF(RAW_INPUT!A1479="","",RAW_INPUT!E1479)</f>
        <v/>
      </c>
      <c r="C1478">
        <f>IF(RAW_INPUT!A1479="","",RAW_INPUT!F1479)</f>
        <v/>
      </c>
    </row>
    <row r="1479">
      <c r="A1479">
        <f>IF(RAW_INPUT!A1480="","",RAW_INPUT!A1480)</f>
        <v/>
      </c>
      <c r="B1479">
        <f>IF(RAW_INPUT!A1480="","",RAW_INPUT!E1480)</f>
        <v/>
      </c>
      <c r="C1479">
        <f>IF(RAW_INPUT!A1480="","",RAW_INPUT!F1480)</f>
        <v/>
      </c>
    </row>
    <row r="1480">
      <c r="A1480">
        <f>IF(RAW_INPUT!A1481="","",RAW_INPUT!A1481)</f>
        <v/>
      </c>
      <c r="B1480">
        <f>IF(RAW_INPUT!A1481="","",RAW_INPUT!E1481)</f>
        <v/>
      </c>
      <c r="C1480">
        <f>IF(RAW_INPUT!A1481="","",RAW_INPUT!F1481)</f>
        <v/>
      </c>
    </row>
    <row r="1481">
      <c r="A1481">
        <f>IF(RAW_INPUT!A1482="","",RAW_INPUT!A1482)</f>
        <v/>
      </c>
      <c r="B1481">
        <f>IF(RAW_INPUT!A1482="","",RAW_INPUT!E1482)</f>
        <v/>
      </c>
      <c r="C1481">
        <f>IF(RAW_INPUT!A1482="","",RAW_INPUT!F1482)</f>
        <v/>
      </c>
    </row>
    <row r="1482">
      <c r="A1482">
        <f>IF(RAW_INPUT!A1483="","",RAW_INPUT!A1483)</f>
        <v/>
      </c>
      <c r="B1482">
        <f>IF(RAW_INPUT!A1483="","",RAW_INPUT!E1483)</f>
        <v/>
      </c>
      <c r="C1482">
        <f>IF(RAW_INPUT!A1483="","",RAW_INPUT!F1483)</f>
        <v/>
      </c>
    </row>
    <row r="1483">
      <c r="A1483">
        <f>IF(RAW_INPUT!A1484="","",RAW_INPUT!A1484)</f>
        <v/>
      </c>
      <c r="B1483">
        <f>IF(RAW_INPUT!A1484="","",RAW_INPUT!E1484)</f>
        <v/>
      </c>
      <c r="C1483">
        <f>IF(RAW_INPUT!A1484="","",RAW_INPUT!F1484)</f>
        <v/>
      </c>
    </row>
    <row r="1484">
      <c r="A1484">
        <f>IF(RAW_INPUT!A1485="","",RAW_INPUT!A1485)</f>
        <v/>
      </c>
      <c r="B1484">
        <f>IF(RAW_INPUT!A1485="","",RAW_INPUT!E1485)</f>
        <v/>
      </c>
      <c r="C1484">
        <f>IF(RAW_INPUT!A1485="","",RAW_INPUT!F1485)</f>
        <v/>
      </c>
    </row>
    <row r="1485">
      <c r="A1485">
        <f>IF(RAW_INPUT!A1486="","",RAW_INPUT!A1486)</f>
        <v/>
      </c>
      <c r="B1485">
        <f>IF(RAW_INPUT!A1486="","",RAW_INPUT!E1486)</f>
        <v/>
      </c>
      <c r="C1485">
        <f>IF(RAW_INPUT!A1486="","",RAW_INPUT!F1486)</f>
        <v/>
      </c>
    </row>
    <row r="1486">
      <c r="A1486">
        <f>IF(RAW_INPUT!A1487="","",RAW_INPUT!A1487)</f>
        <v/>
      </c>
      <c r="B1486">
        <f>IF(RAW_INPUT!A1487="","",RAW_INPUT!E1487)</f>
        <v/>
      </c>
      <c r="C1486">
        <f>IF(RAW_INPUT!A1487="","",RAW_INPUT!F1487)</f>
        <v/>
      </c>
    </row>
    <row r="1487">
      <c r="A1487">
        <f>IF(RAW_INPUT!A1488="","",RAW_INPUT!A1488)</f>
        <v/>
      </c>
      <c r="B1487">
        <f>IF(RAW_INPUT!A1488="","",RAW_INPUT!E1488)</f>
        <v/>
      </c>
      <c r="C1487">
        <f>IF(RAW_INPUT!A1488="","",RAW_INPUT!F1488)</f>
        <v/>
      </c>
    </row>
    <row r="1488">
      <c r="A1488">
        <f>IF(RAW_INPUT!A1489="","",RAW_INPUT!A1489)</f>
        <v/>
      </c>
      <c r="B1488">
        <f>IF(RAW_INPUT!A1489="","",RAW_INPUT!E1489)</f>
        <v/>
      </c>
      <c r="C1488">
        <f>IF(RAW_INPUT!A1489="","",RAW_INPUT!F1489)</f>
        <v/>
      </c>
    </row>
    <row r="1489">
      <c r="A1489">
        <f>IF(RAW_INPUT!A1490="","",RAW_INPUT!A1490)</f>
        <v/>
      </c>
      <c r="B1489">
        <f>IF(RAW_INPUT!A1490="","",RAW_INPUT!E1490)</f>
        <v/>
      </c>
      <c r="C1489">
        <f>IF(RAW_INPUT!A1490="","",RAW_INPUT!F1490)</f>
        <v/>
      </c>
    </row>
    <row r="1490">
      <c r="A1490">
        <f>IF(RAW_INPUT!A1491="","",RAW_INPUT!A1491)</f>
        <v/>
      </c>
      <c r="B1490">
        <f>IF(RAW_INPUT!A1491="","",RAW_INPUT!E1491)</f>
        <v/>
      </c>
      <c r="C1490">
        <f>IF(RAW_INPUT!A1491="","",RAW_INPUT!F1491)</f>
        <v/>
      </c>
    </row>
    <row r="1491">
      <c r="A1491">
        <f>IF(RAW_INPUT!A1492="","",RAW_INPUT!A1492)</f>
        <v/>
      </c>
      <c r="B1491">
        <f>IF(RAW_INPUT!A1492="","",RAW_INPUT!E1492)</f>
        <v/>
      </c>
      <c r="C1491">
        <f>IF(RAW_INPUT!A1492="","",RAW_INPUT!F1492)</f>
        <v/>
      </c>
    </row>
    <row r="1492">
      <c r="A1492">
        <f>IF(RAW_INPUT!A1493="","",RAW_INPUT!A1493)</f>
        <v/>
      </c>
      <c r="B1492">
        <f>IF(RAW_INPUT!A1493="","",RAW_INPUT!E1493)</f>
        <v/>
      </c>
      <c r="C1492">
        <f>IF(RAW_INPUT!A1493="","",RAW_INPUT!F1493)</f>
        <v/>
      </c>
    </row>
    <row r="1493">
      <c r="A1493">
        <f>IF(RAW_INPUT!A1494="","",RAW_INPUT!A1494)</f>
        <v/>
      </c>
      <c r="B1493">
        <f>IF(RAW_INPUT!A1494="","",RAW_INPUT!E1494)</f>
        <v/>
      </c>
      <c r="C1493">
        <f>IF(RAW_INPUT!A1494="","",RAW_INPUT!F1494)</f>
        <v/>
      </c>
    </row>
    <row r="1494">
      <c r="A1494">
        <f>IF(RAW_INPUT!A1495="","",RAW_INPUT!A1495)</f>
        <v/>
      </c>
      <c r="B1494">
        <f>IF(RAW_INPUT!A1495="","",RAW_INPUT!E1495)</f>
        <v/>
      </c>
      <c r="C1494">
        <f>IF(RAW_INPUT!A1495="","",RAW_INPUT!F1495)</f>
        <v/>
      </c>
    </row>
    <row r="1495">
      <c r="A1495">
        <f>IF(RAW_INPUT!A1496="","",RAW_INPUT!A1496)</f>
        <v/>
      </c>
      <c r="B1495">
        <f>IF(RAW_INPUT!A1496="","",RAW_INPUT!E1496)</f>
        <v/>
      </c>
      <c r="C1495">
        <f>IF(RAW_INPUT!A1496="","",RAW_INPUT!F1496)</f>
        <v/>
      </c>
    </row>
    <row r="1496">
      <c r="A1496">
        <f>IF(RAW_INPUT!A1497="","",RAW_INPUT!A1497)</f>
        <v/>
      </c>
      <c r="B1496">
        <f>IF(RAW_INPUT!A1497="","",RAW_INPUT!E1497)</f>
        <v/>
      </c>
      <c r="C1496">
        <f>IF(RAW_INPUT!A1497="","",RAW_INPUT!F1497)</f>
        <v/>
      </c>
    </row>
    <row r="1497">
      <c r="A1497">
        <f>IF(RAW_INPUT!A1498="","",RAW_INPUT!A1498)</f>
        <v/>
      </c>
      <c r="B1497">
        <f>IF(RAW_INPUT!A1498="","",RAW_INPUT!E1498)</f>
        <v/>
      </c>
      <c r="C1497">
        <f>IF(RAW_INPUT!A1498="","",RAW_INPUT!F1498)</f>
        <v/>
      </c>
    </row>
    <row r="1498">
      <c r="A1498">
        <f>IF(RAW_INPUT!A1499="","",RAW_INPUT!A1499)</f>
        <v/>
      </c>
      <c r="B1498">
        <f>IF(RAW_INPUT!A1499="","",RAW_INPUT!E1499)</f>
        <v/>
      </c>
      <c r="C1498">
        <f>IF(RAW_INPUT!A1499="","",RAW_INPUT!F1499)</f>
        <v/>
      </c>
    </row>
    <row r="1499">
      <c r="A1499">
        <f>IF(RAW_INPUT!A1500="","",RAW_INPUT!A1500)</f>
        <v/>
      </c>
      <c r="B1499">
        <f>IF(RAW_INPUT!A1500="","",RAW_INPUT!E1500)</f>
        <v/>
      </c>
      <c r="C1499">
        <f>IF(RAW_INPUT!A1500="","",RAW_INPUT!F1500)</f>
        <v/>
      </c>
    </row>
    <row r="1500">
      <c r="A1500">
        <f>IF(RAW_INPUT!A1501="","",RAW_INPUT!A1501)</f>
        <v/>
      </c>
      <c r="B1500">
        <f>IF(RAW_INPUT!A1501="","",RAW_INPUT!E1501)</f>
        <v/>
      </c>
      <c r="C1500">
        <f>IF(RAW_INPUT!A1501="","",RAW_INPUT!F1501)</f>
        <v/>
      </c>
    </row>
    <row r="1501">
      <c r="A1501">
        <f>IF(RAW_INPUT!A1502="","",RAW_INPUT!A1502)</f>
        <v/>
      </c>
      <c r="B1501">
        <f>IF(RAW_INPUT!A1502="","",RAW_INPUT!E1502)</f>
        <v/>
      </c>
      <c r="C1501">
        <f>IF(RAW_INPUT!A1502="","",RAW_INPUT!F1502)</f>
        <v/>
      </c>
    </row>
    <row r="1502">
      <c r="A1502">
        <f>IF(RAW_INPUT!A1503="","",RAW_INPUT!A1503)</f>
        <v/>
      </c>
      <c r="B1502">
        <f>IF(RAW_INPUT!A1503="","",RAW_INPUT!E1503)</f>
        <v/>
      </c>
      <c r="C1502">
        <f>IF(RAW_INPUT!A1503="","",RAW_INPUT!F1503)</f>
        <v/>
      </c>
    </row>
    <row r="1503">
      <c r="A1503">
        <f>IF(RAW_INPUT!A1504="","",RAW_INPUT!A1504)</f>
        <v/>
      </c>
      <c r="B1503">
        <f>IF(RAW_INPUT!A1504="","",RAW_INPUT!E1504)</f>
        <v/>
      </c>
      <c r="C1503">
        <f>IF(RAW_INPUT!A1504="","",RAW_INPUT!F1504)</f>
        <v/>
      </c>
    </row>
    <row r="1504">
      <c r="A1504">
        <f>IF(RAW_INPUT!A1505="","",RAW_INPUT!A1505)</f>
        <v/>
      </c>
      <c r="B1504">
        <f>IF(RAW_INPUT!A1505="","",RAW_INPUT!E1505)</f>
        <v/>
      </c>
      <c r="C1504">
        <f>IF(RAW_INPUT!A1505="","",RAW_INPUT!F1505)</f>
        <v/>
      </c>
    </row>
    <row r="1505">
      <c r="A1505">
        <f>IF(RAW_INPUT!A1506="","",RAW_INPUT!A1506)</f>
        <v/>
      </c>
      <c r="B1505">
        <f>IF(RAW_INPUT!A1506="","",RAW_INPUT!E1506)</f>
        <v/>
      </c>
      <c r="C1505">
        <f>IF(RAW_INPUT!A1506="","",RAW_INPUT!F1506)</f>
        <v/>
      </c>
    </row>
    <row r="1506">
      <c r="A1506">
        <f>IF(RAW_INPUT!A1507="","",RAW_INPUT!A1507)</f>
        <v/>
      </c>
      <c r="B1506">
        <f>IF(RAW_INPUT!A1507="","",RAW_INPUT!E1507)</f>
        <v/>
      </c>
      <c r="C1506">
        <f>IF(RAW_INPUT!A1507="","",RAW_INPUT!F1507)</f>
        <v/>
      </c>
    </row>
    <row r="1507">
      <c r="A1507">
        <f>IF(RAW_INPUT!A1508="","",RAW_INPUT!A1508)</f>
        <v/>
      </c>
      <c r="B1507">
        <f>IF(RAW_INPUT!A1508="","",RAW_INPUT!E1508)</f>
        <v/>
      </c>
      <c r="C1507">
        <f>IF(RAW_INPUT!A1508="","",RAW_INPUT!F1508)</f>
        <v/>
      </c>
    </row>
    <row r="1508">
      <c r="A1508">
        <f>IF(RAW_INPUT!A1509="","",RAW_INPUT!A1509)</f>
        <v/>
      </c>
      <c r="B1508">
        <f>IF(RAW_INPUT!A1509="","",RAW_INPUT!E1509)</f>
        <v/>
      </c>
      <c r="C1508">
        <f>IF(RAW_INPUT!A1509="","",RAW_INPUT!F1509)</f>
        <v/>
      </c>
    </row>
    <row r="1509">
      <c r="A1509">
        <f>IF(RAW_INPUT!A1510="","",RAW_INPUT!A1510)</f>
        <v/>
      </c>
      <c r="B1509">
        <f>IF(RAW_INPUT!A1510="","",RAW_INPUT!E1510)</f>
        <v/>
      </c>
      <c r="C1509">
        <f>IF(RAW_INPUT!A1510="","",RAW_INPUT!F1510)</f>
        <v/>
      </c>
    </row>
    <row r="1510">
      <c r="A1510">
        <f>IF(RAW_INPUT!A1511="","",RAW_INPUT!A1511)</f>
        <v/>
      </c>
      <c r="B1510">
        <f>IF(RAW_INPUT!A1511="","",RAW_INPUT!E1511)</f>
        <v/>
      </c>
      <c r="C1510">
        <f>IF(RAW_INPUT!A1511="","",RAW_INPUT!F1511)</f>
        <v/>
      </c>
    </row>
    <row r="1511">
      <c r="A1511">
        <f>IF(RAW_INPUT!A1512="","",RAW_INPUT!A1512)</f>
        <v/>
      </c>
      <c r="B1511">
        <f>IF(RAW_INPUT!A1512="","",RAW_INPUT!E1512)</f>
        <v/>
      </c>
      <c r="C1511">
        <f>IF(RAW_INPUT!A1512="","",RAW_INPUT!F1512)</f>
        <v/>
      </c>
    </row>
    <row r="1512">
      <c r="A1512">
        <f>IF(RAW_INPUT!A1513="","",RAW_INPUT!A1513)</f>
        <v/>
      </c>
      <c r="B1512">
        <f>IF(RAW_INPUT!A1513="","",RAW_INPUT!E1513)</f>
        <v/>
      </c>
      <c r="C1512">
        <f>IF(RAW_INPUT!A1513="","",RAW_INPUT!F1513)</f>
        <v/>
      </c>
    </row>
    <row r="1513">
      <c r="A1513">
        <f>IF(RAW_INPUT!A1514="","",RAW_INPUT!A1514)</f>
        <v/>
      </c>
      <c r="B1513">
        <f>IF(RAW_INPUT!A1514="","",RAW_INPUT!E1514)</f>
        <v/>
      </c>
      <c r="C1513">
        <f>IF(RAW_INPUT!A1514="","",RAW_INPUT!F1514)</f>
        <v/>
      </c>
    </row>
    <row r="1514">
      <c r="A1514">
        <f>IF(RAW_INPUT!A1515="","",RAW_INPUT!A1515)</f>
        <v/>
      </c>
      <c r="B1514">
        <f>IF(RAW_INPUT!A1515="","",RAW_INPUT!E1515)</f>
        <v/>
      </c>
      <c r="C1514">
        <f>IF(RAW_INPUT!A1515="","",RAW_INPUT!F1515)</f>
        <v/>
      </c>
    </row>
    <row r="1515">
      <c r="A1515">
        <f>IF(RAW_INPUT!A1516="","",RAW_INPUT!A1516)</f>
        <v/>
      </c>
      <c r="B1515">
        <f>IF(RAW_INPUT!A1516="","",RAW_INPUT!E1516)</f>
        <v/>
      </c>
      <c r="C1515">
        <f>IF(RAW_INPUT!A1516="","",RAW_INPUT!F1516)</f>
        <v/>
      </c>
    </row>
    <row r="1516">
      <c r="A1516">
        <f>IF(RAW_INPUT!A1517="","",RAW_INPUT!A1517)</f>
        <v/>
      </c>
      <c r="B1516">
        <f>IF(RAW_INPUT!A1517="","",RAW_INPUT!E1517)</f>
        <v/>
      </c>
      <c r="C1516">
        <f>IF(RAW_INPUT!A1517="","",RAW_INPUT!F1517)</f>
        <v/>
      </c>
    </row>
    <row r="1517">
      <c r="A1517">
        <f>IF(RAW_INPUT!A1518="","",RAW_INPUT!A1518)</f>
        <v/>
      </c>
      <c r="B1517">
        <f>IF(RAW_INPUT!A1518="","",RAW_INPUT!E1518)</f>
        <v/>
      </c>
      <c r="C1517">
        <f>IF(RAW_INPUT!A1518="","",RAW_INPUT!F1518)</f>
        <v/>
      </c>
    </row>
    <row r="1518">
      <c r="A1518">
        <f>IF(RAW_INPUT!A1519="","",RAW_INPUT!A1519)</f>
        <v/>
      </c>
      <c r="B1518">
        <f>IF(RAW_INPUT!A1519="","",RAW_INPUT!E1519)</f>
        <v/>
      </c>
      <c r="C1518">
        <f>IF(RAW_INPUT!A1519="","",RAW_INPUT!F1519)</f>
        <v/>
      </c>
    </row>
    <row r="1519">
      <c r="A1519">
        <f>IF(RAW_INPUT!A1520="","",RAW_INPUT!A1520)</f>
        <v/>
      </c>
      <c r="B1519">
        <f>IF(RAW_INPUT!A1520="","",RAW_INPUT!E1520)</f>
        <v/>
      </c>
      <c r="C1519">
        <f>IF(RAW_INPUT!A1520="","",RAW_INPUT!F1520)</f>
        <v/>
      </c>
    </row>
    <row r="1520">
      <c r="A1520">
        <f>IF(RAW_INPUT!A1521="","",RAW_INPUT!A1521)</f>
        <v/>
      </c>
      <c r="B1520">
        <f>IF(RAW_INPUT!A1521="","",RAW_INPUT!E1521)</f>
        <v/>
      </c>
      <c r="C1520">
        <f>IF(RAW_INPUT!A1521="","",RAW_INPUT!F1521)</f>
        <v/>
      </c>
    </row>
    <row r="1521">
      <c r="A1521">
        <f>IF(RAW_INPUT!A1522="","",RAW_INPUT!A1522)</f>
        <v/>
      </c>
      <c r="B1521">
        <f>IF(RAW_INPUT!A1522="","",RAW_INPUT!E1522)</f>
        <v/>
      </c>
      <c r="C1521">
        <f>IF(RAW_INPUT!A1522="","",RAW_INPUT!F1522)</f>
        <v/>
      </c>
    </row>
    <row r="1522">
      <c r="A1522">
        <f>IF(RAW_INPUT!A1523="","",RAW_INPUT!A1523)</f>
        <v/>
      </c>
      <c r="B1522">
        <f>IF(RAW_INPUT!A1523="","",RAW_INPUT!E1523)</f>
        <v/>
      </c>
      <c r="C1522">
        <f>IF(RAW_INPUT!A1523="","",RAW_INPUT!F1523)</f>
        <v/>
      </c>
    </row>
    <row r="1523">
      <c r="A1523">
        <f>IF(RAW_INPUT!A1524="","",RAW_INPUT!A1524)</f>
        <v/>
      </c>
      <c r="B1523">
        <f>IF(RAW_INPUT!A1524="","",RAW_INPUT!E1524)</f>
        <v/>
      </c>
      <c r="C1523">
        <f>IF(RAW_INPUT!A1524="","",RAW_INPUT!F1524)</f>
        <v/>
      </c>
    </row>
    <row r="1524">
      <c r="A1524">
        <f>IF(RAW_INPUT!A1525="","",RAW_INPUT!A1525)</f>
        <v/>
      </c>
      <c r="B1524">
        <f>IF(RAW_INPUT!A1525="","",RAW_INPUT!E1525)</f>
        <v/>
      </c>
      <c r="C1524">
        <f>IF(RAW_INPUT!A1525="","",RAW_INPUT!F1525)</f>
        <v/>
      </c>
    </row>
    <row r="1525">
      <c r="A1525">
        <f>IF(RAW_INPUT!A1526="","",RAW_INPUT!A1526)</f>
        <v/>
      </c>
      <c r="B1525">
        <f>IF(RAW_INPUT!A1526="","",RAW_INPUT!E1526)</f>
        <v/>
      </c>
      <c r="C1525">
        <f>IF(RAW_INPUT!A1526="","",RAW_INPUT!F1526)</f>
        <v/>
      </c>
    </row>
    <row r="1526">
      <c r="A1526">
        <f>IF(RAW_INPUT!A1527="","",RAW_INPUT!A1527)</f>
        <v/>
      </c>
      <c r="B1526">
        <f>IF(RAW_INPUT!A1527="","",RAW_INPUT!E1527)</f>
        <v/>
      </c>
      <c r="C1526">
        <f>IF(RAW_INPUT!A1527="","",RAW_INPUT!F1527)</f>
        <v/>
      </c>
    </row>
    <row r="1527">
      <c r="A1527">
        <f>IF(RAW_INPUT!A1528="","",RAW_INPUT!A1528)</f>
        <v/>
      </c>
      <c r="B1527">
        <f>IF(RAW_INPUT!A1528="","",RAW_INPUT!E1528)</f>
        <v/>
      </c>
      <c r="C1527">
        <f>IF(RAW_INPUT!A1528="","",RAW_INPUT!F1528)</f>
        <v/>
      </c>
    </row>
    <row r="1528">
      <c r="A1528">
        <f>IF(RAW_INPUT!A1529="","",RAW_INPUT!A1529)</f>
        <v/>
      </c>
      <c r="B1528">
        <f>IF(RAW_INPUT!A1529="","",RAW_INPUT!E1529)</f>
        <v/>
      </c>
      <c r="C1528">
        <f>IF(RAW_INPUT!A1529="","",RAW_INPUT!F1529)</f>
        <v/>
      </c>
    </row>
    <row r="1529">
      <c r="A1529">
        <f>IF(RAW_INPUT!A1530="","",RAW_INPUT!A1530)</f>
        <v/>
      </c>
      <c r="B1529">
        <f>IF(RAW_INPUT!A1530="","",RAW_INPUT!E1530)</f>
        <v/>
      </c>
      <c r="C1529">
        <f>IF(RAW_INPUT!A1530="","",RAW_INPUT!F1530)</f>
        <v/>
      </c>
    </row>
    <row r="1530">
      <c r="A1530">
        <f>IF(RAW_INPUT!A1531="","",RAW_INPUT!A1531)</f>
        <v/>
      </c>
      <c r="B1530">
        <f>IF(RAW_INPUT!A1531="","",RAW_INPUT!E1531)</f>
        <v/>
      </c>
      <c r="C1530">
        <f>IF(RAW_INPUT!A1531="","",RAW_INPUT!F1531)</f>
        <v/>
      </c>
    </row>
    <row r="1531">
      <c r="A1531">
        <f>IF(RAW_INPUT!A1532="","",RAW_INPUT!A1532)</f>
        <v/>
      </c>
      <c r="B1531">
        <f>IF(RAW_INPUT!A1532="","",RAW_INPUT!E1532)</f>
        <v/>
      </c>
      <c r="C1531">
        <f>IF(RAW_INPUT!A1532="","",RAW_INPUT!F1532)</f>
        <v/>
      </c>
    </row>
    <row r="1532">
      <c r="A1532">
        <f>IF(RAW_INPUT!A1533="","",RAW_INPUT!A1533)</f>
        <v/>
      </c>
      <c r="B1532">
        <f>IF(RAW_INPUT!A1533="","",RAW_INPUT!E1533)</f>
        <v/>
      </c>
      <c r="C1532">
        <f>IF(RAW_INPUT!A1533="","",RAW_INPUT!F1533)</f>
        <v/>
      </c>
    </row>
    <row r="1533">
      <c r="A1533">
        <f>IF(RAW_INPUT!A1534="","",RAW_INPUT!A1534)</f>
        <v/>
      </c>
      <c r="B1533">
        <f>IF(RAW_INPUT!A1534="","",RAW_INPUT!E1534)</f>
        <v/>
      </c>
      <c r="C1533">
        <f>IF(RAW_INPUT!A1534="","",RAW_INPUT!F1534)</f>
        <v/>
      </c>
    </row>
    <row r="1534">
      <c r="A1534">
        <f>IF(RAW_INPUT!A1535="","",RAW_INPUT!A1535)</f>
        <v/>
      </c>
      <c r="B1534">
        <f>IF(RAW_INPUT!A1535="","",RAW_INPUT!E1535)</f>
        <v/>
      </c>
      <c r="C1534">
        <f>IF(RAW_INPUT!A1535="","",RAW_INPUT!F1535)</f>
        <v/>
      </c>
    </row>
    <row r="1535">
      <c r="A1535">
        <f>IF(RAW_INPUT!A1536="","",RAW_INPUT!A1536)</f>
        <v/>
      </c>
      <c r="B1535">
        <f>IF(RAW_INPUT!A1536="","",RAW_INPUT!E1536)</f>
        <v/>
      </c>
      <c r="C1535">
        <f>IF(RAW_INPUT!A1536="","",RAW_INPUT!F1536)</f>
        <v/>
      </c>
    </row>
    <row r="1536">
      <c r="A1536">
        <f>IF(RAW_INPUT!A1537="","",RAW_INPUT!A1537)</f>
        <v/>
      </c>
      <c r="B1536">
        <f>IF(RAW_INPUT!A1537="","",RAW_INPUT!E1537)</f>
        <v/>
      </c>
      <c r="C1536">
        <f>IF(RAW_INPUT!A1537="","",RAW_INPUT!F1537)</f>
        <v/>
      </c>
    </row>
    <row r="1537">
      <c r="A1537">
        <f>IF(RAW_INPUT!A1538="","",RAW_INPUT!A1538)</f>
        <v/>
      </c>
      <c r="B1537">
        <f>IF(RAW_INPUT!A1538="","",RAW_INPUT!E1538)</f>
        <v/>
      </c>
      <c r="C1537">
        <f>IF(RAW_INPUT!A1538="","",RAW_INPUT!F1538)</f>
        <v/>
      </c>
    </row>
    <row r="1538">
      <c r="A1538">
        <f>IF(RAW_INPUT!A1539="","",RAW_INPUT!A1539)</f>
        <v/>
      </c>
      <c r="B1538">
        <f>IF(RAW_INPUT!A1539="","",RAW_INPUT!E1539)</f>
        <v/>
      </c>
      <c r="C1538">
        <f>IF(RAW_INPUT!A1539="","",RAW_INPUT!F1539)</f>
        <v/>
      </c>
    </row>
    <row r="1539">
      <c r="A1539">
        <f>IF(RAW_INPUT!A1540="","",RAW_INPUT!A1540)</f>
        <v/>
      </c>
      <c r="B1539">
        <f>IF(RAW_INPUT!A1540="","",RAW_INPUT!E1540)</f>
        <v/>
      </c>
      <c r="C1539">
        <f>IF(RAW_INPUT!A1540="","",RAW_INPUT!F1540)</f>
        <v/>
      </c>
    </row>
    <row r="1540">
      <c r="A1540">
        <f>IF(RAW_INPUT!A1541="","",RAW_INPUT!A1541)</f>
        <v/>
      </c>
      <c r="B1540">
        <f>IF(RAW_INPUT!A1541="","",RAW_INPUT!E1541)</f>
        <v/>
      </c>
      <c r="C1540">
        <f>IF(RAW_INPUT!A1541="","",RAW_INPUT!F1541)</f>
        <v/>
      </c>
    </row>
    <row r="1541">
      <c r="A1541">
        <f>IF(RAW_INPUT!A1542="","",RAW_INPUT!A1542)</f>
        <v/>
      </c>
      <c r="B1541">
        <f>IF(RAW_INPUT!A1542="","",RAW_INPUT!E1542)</f>
        <v/>
      </c>
      <c r="C1541">
        <f>IF(RAW_INPUT!A1542="","",RAW_INPUT!F1542)</f>
        <v/>
      </c>
    </row>
    <row r="1542">
      <c r="A1542">
        <f>IF(RAW_INPUT!A1543="","",RAW_INPUT!A1543)</f>
        <v/>
      </c>
      <c r="B1542">
        <f>IF(RAW_INPUT!A1543="","",RAW_INPUT!E1543)</f>
        <v/>
      </c>
      <c r="C1542">
        <f>IF(RAW_INPUT!A1543="","",RAW_INPUT!F1543)</f>
        <v/>
      </c>
    </row>
    <row r="1543">
      <c r="A1543">
        <f>IF(RAW_INPUT!A1544="","",RAW_INPUT!A1544)</f>
        <v/>
      </c>
      <c r="B1543">
        <f>IF(RAW_INPUT!A1544="","",RAW_INPUT!E1544)</f>
        <v/>
      </c>
      <c r="C1543">
        <f>IF(RAW_INPUT!A1544="","",RAW_INPUT!F1544)</f>
        <v/>
      </c>
    </row>
    <row r="1544">
      <c r="A1544">
        <f>IF(RAW_INPUT!A1545="","",RAW_INPUT!A1545)</f>
        <v/>
      </c>
      <c r="B1544">
        <f>IF(RAW_INPUT!A1545="","",RAW_INPUT!E1545)</f>
        <v/>
      </c>
      <c r="C1544">
        <f>IF(RAW_INPUT!A1545="","",RAW_INPUT!F1545)</f>
        <v/>
      </c>
    </row>
    <row r="1545">
      <c r="A1545">
        <f>IF(RAW_INPUT!A1546="","",RAW_INPUT!A1546)</f>
        <v/>
      </c>
      <c r="B1545">
        <f>IF(RAW_INPUT!A1546="","",RAW_INPUT!E1546)</f>
        <v/>
      </c>
      <c r="C1545">
        <f>IF(RAW_INPUT!A1546="","",RAW_INPUT!F1546)</f>
        <v/>
      </c>
    </row>
    <row r="1546">
      <c r="A1546">
        <f>IF(RAW_INPUT!A1547="","",RAW_INPUT!A1547)</f>
        <v/>
      </c>
      <c r="B1546">
        <f>IF(RAW_INPUT!A1547="","",RAW_INPUT!E1547)</f>
        <v/>
      </c>
      <c r="C1546">
        <f>IF(RAW_INPUT!A1547="","",RAW_INPUT!F1547)</f>
        <v/>
      </c>
    </row>
    <row r="1547">
      <c r="A1547">
        <f>IF(RAW_INPUT!A1548="","",RAW_INPUT!A1548)</f>
        <v/>
      </c>
      <c r="B1547">
        <f>IF(RAW_INPUT!A1548="","",RAW_INPUT!E1548)</f>
        <v/>
      </c>
      <c r="C1547">
        <f>IF(RAW_INPUT!A1548="","",RAW_INPUT!F1548)</f>
        <v/>
      </c>
    </row>
    <row r="1548">
      <c r="A1548">
        <f>IF(RAW_INPUT!A1549="","",RAW_INPUT!A1549)</f>
        <v/>
      </c>
      <c r="B1548">
        <f>IF(RAW_INPUT!A1549="","",RAW_INPUT!E1549)</f>
        <v/>
      </c>
      <c r="C1548">
        <f>IF(RAW_INPUT!A1549="","",RAW_INPUT!F1549)</f>
        <v/>
      </c>
    </row>
    <row r="1549">
      <c r="A1549">
        <f>IF(RAW_INPUT!A1550="","",RAW_INPUT!A1550)</f>
        <v/>
      </c>
      <c r="B1549">
        <f>IF(RAW_INPUT!A1550="","",RAW_INPUT!E1550)</f>
        <v/>
      </c>
      <c r="C1549">
        <f>IF(RAW_INPUT!A1550="","",RAW_INPUT!F1550)</f>
        <v/>
      </c>
    </row>
    <row r="1550">
      <c r="A1550">
        <f>IF(RAW_INPUT!A1551="","",RAW_INPUT!A1551)</f>
        <v/>
      </c>
      <c r="B1550">
        <f>IF(RAW_INPUT!A1551="","",RAW_INPUT!E1551)</f>
        <v/>
      </c>
      <c r="C1550">
        <f>IF(RAW_INPUT!A1551="","",RAW_INPUT!F1551)</f>
        <v/>
      </c>
    </row>
    <row r="1551">
      <c r="A1551">
        <f>IF(RAW_INPUT!A1552="","",RAW_INPUT!A1552)</f>
        <v/>
      </c>
      <c r="B1551">
        <f>IF(RAW_INPUT!A1552="","",RAW_INPUT!E1552)</f>
        <v/>
      </c>
      <c r="C1551">
        <f>IF(RAW_INPUT!A1552="","",RAW_INPUT!F1552)</f>
        <v/>
      </c>
    </row>
    <row r="1552">
      <c r="A1552">
        <f>IF(RAW_INPUT!A1553="","",RAW_INPUT!A1553)</f>
        <v/>
      </c>
      <c r="B1552">
        <f>IF(RAW_INPUT!A1553="","",RAW_INPUT!E1553)</f>
        <v/>
      </c>
      <c r="C1552">
        <f>IF(RAW_INPUT!A1553="","",RAW_INPUT!F1553)</f>
        <v/>
      </c>
    </row>
    <row r="1553">
      <c r="A1553">
        <f>IF(RAW_INPUT!A1554="","",RAW_INPUT!A1554)</f>
        <v/>
      </c>
      <c r="B1553">
        <f>IF(RAW_INPUT!A1554="","",RAW_INPUT!E1554)</f>
        <v/>
      </c>
      <c r="C1553">
        <f>IF(RAW_INPUT!A1554="","",RAW_INPUT!F1554)</f>
        <v/>
      </c>
    </row>
    <row r="1554">
      <c r="A1554">
        <f>IF(RAW_INPUT!A1555="","",RAW_INPUT!A1555)</f>
        <v/>
      </c>
      <c r="B1554">
        <f>IF(RAW_INPUT!A1555="","",RAW_INPUT!E1555)</f>
        <v/>
      </c>
      <c r="C1554">
        <f>IF(RAW_INPUT!A1555="","",RAW_INPUT!F1555)</f>
        <v/>
      </c>
    </row>
    <row r="1555">
      <c r="A1555">
        <f>IF(RAW_INPUT!A1556="","",RAW_INPUT!A1556)</f>
        <v/>
      </c>
      <c r="B1555">
        <f>IF(RAW_INPUT!A1556="","",RAW_INPUT!E1556)</f>
        <v/>
      </c>
      <c r="C1555">
        <f>IF(RAW_INPUT!A1556="","",RAW_INPUT!F1556)</f>
        <v/>
      </c>
    </row>
    <row r="1556">
      <c r="A1556">
        <f>IF(RAW_INPUT!A1557="","",RAW_INPUT!A1557)</f>
        <v/>
      </c>
      <c r="B1556">
        <f>IF(RAW_INPUT!A1557="","",RAW_INPUT!E1557)</f>
        <v/>
      </c>
      <c r="C1556">
        <f>IF(RAW_INPUT!A1557="","",RAW_INPUT!F1557)</f>
        <v/>
      </c>
    </row>
    <row r="1557">
      <c r="A1557">
        <f>IF(RAW_INPUT!A1558="","",RAW_INPUT!A1558)</f>
        <v/>
      </c>
      <c r="B1557">
        <f>IF(RAW_INPUT!A1558="","",RAW_INPUT!E1558)</f>
        <v/>
      </c>
      <c r="C1557">
        <f>IF(RAW_INPUT!A1558="","",RAW_INPUT!F1558)</f>
        <v/>
      </c>
    </row>
    <row r="1558">
      <c r="A1558">
        <f>IF(RAW_INPUT!A1559="","",RAW_INPUT!A1559)</f>
        <v/>
      </c>
      <c r="B1558">
        <f>IF(RAW_INPUT!A1559="","",RAW_INPUT!E1559)</f>
        <v/>
      </c>
      <c r="C1558">
        <f>IF(RAW_INPUT!A1559="","",RAW_INPUT!F1559)</f>
        <v/>
      </c>
    </row>
    <row r="1559">
      <c r="A1559">
        <f>IF(RAW_INPUT!A1560="","",RAW_INPUT!A1560)</f>
        <v/>
      </c>
      <c r="B1559">
        <f>IF(RAW_INPUT!A1560="","",RAW_INPUT!E1560)</f>
        <v/>
      </c>
      <c r="C1559">
        <f>IF(RAW_INPUT!A1560="","",RAW_INPUT!F1560)</f>
        <v/>
      </c>
    </row>
    <row r="1560">
      <c r="A1560">
        <f>IF(RAW_INPUT!A1561="","",RAW_INPUT!A1561)</f>
        <v/>
      </c>
      <c r="B1560">
        <f>IF(RAW_INPUT!A1561="","",RAW_INPUT!E1561)</f>
        <v/>
      </c>
      <c r="C1560">
        <f>IF(RAW_INPUT!A1561="","",RAW_INPUT!F1561)</f>
        <v/>
      </c>
    </row>
    <row r="1561">
      <c r="A1561">
        <f>IF(RAW_INPUT!A1562="","",RAW_INPUT!A1562)</f>
        <v/>
      </c>
      <c r="B1561">
        <f>IF(RAW_INPUT!A1562="","",RAW_INPUT!E1562)</f>
        <v/>
      </c>
      <c r="C1561">
        <f>IF(RAW_INPUT!A1562="","",RAW_INPUT!F1562)</f>
        <v/>
      </c>
    </row>
    <row r="1562">
      <c r="A1562">
        <f>IF(RAW_INPUT!A1563="","",RAW_INPUT!A1563)</f>
        <v/>
      </c>
      <c r="B1562">
        <f>IF(RAW_INPUT!A1563="","",RAW_INPUT!E1563)</f>
        <v/>
      </c>
      <c r="C1562">
        <f>IF(RAW_INPUT!A1563="","",RAW_INPUT!F1563)</f>
        <v/>
      </c>
    </row>
    <row r="1563">
      <c r="A1563">
        <f>IF(RAW_INPUT!A1564="","",RAW_INPUT!A1564)</f>
        <v/>
      </c>
      <c r="B1563">
        <f>IF(RAW_INPUT!A1564="","",RAW_INPUT!E1564)</f>
        <v/>
      </c>
      <c r="C1563">
        <f>IF(RAW_INPUT!A1564="","",RAW_INPUT!F1564)</f>
        <v/>
      </c>
    </row>
    <row r="1564">
      <c r="A1564">
        <f>IF(RAW_INPUT!A1565="","",RAW_INPUT!A1565)</f>
        <v/>
      </c>
      <c r="B1564">
        <f>IF(RAW_INPUT!A1565="","",RAW_INPUT!E1565)</f>
        <v/>
      </c>
      <c r="C1564">
        <f>IF(RAW_INPUT!A1565="","",RAW_INPUT!F1565)</f>
        <v/>
      </c>
    </row>
    <row r="1565">
      <c r="A1565">
        <f>IF(RAW_INPUT!A1566="","",RAW_INPUT!A1566)</f>
        <v/>
      </c>
      <c r="B1565">
        <f>IF(RAW_INPUT!A1566="","",RAW_INPUT!E1566)</f>
        <v/>
      </c>
      <c r="C1565">
        <f>IF(RAW_INPUT!A1566="","",RAW_INPUT!F1566)</f>
        <v/>
      </c>
    </row>
    <row r="1566">
      <c r="A1566">
        <f>IF(RAW_INPUT!A1567="","",RAW_INPUT!A1567)</f>
        <v/>
      </c>
      <c r="B1566">
        <f>IF(RAW_INPUT!A1567="","",RAW_INPUT!E1567)</f>
        <v/>
      </c>
      <c r="C1566">
        <f>IF(RAW_INPUT!A1567="","",RAW_INPUT!F1567)</f>
        <v/>
      </c>
    </row>
    <row r="1567">
      <c r="A1567">
        <f>IF(RAW_INPUT!A1568="","",RAW_INPUT!A1568)</f>
        <v/>
      </c>
      <c r="B1567">
        <f>IF(RAW_INPUT!A1568="","",RAW_INPUT!E1568)</f>
        <v/>
      </c>
      <c r="C1567">
        <f>IF(RAW_INPUT!A1568="","",RAW_INPUT!F1568)</f>
        <v/>
      </c>
    </row>
    <row r="1568">
      <c r="A1568">
        <f>IF(RAW_INPUT!A1569="","",RAW_INPUT!A1569)</f>
        <v/>
      </c>
      <c r="B1568">
        <f>IF(RAW_INPUT!A1569="","",RAW_INPUT!E1569)</f>
        <v/>
      </c>
      <c r="C1568">
        <f>IF(RAW_INPUT!A1569="","",RAW_INPUT!F1569)</f>
        <v/>
      </c>
    </row>
    <row r="1569">
      <c r="A1569">
        <f>IF(RAW_INPUT!A1570="","",RAW_INPUT!A1570)</f>
        <v/>
      </c>
      <c r="B1569">
        <f>IF(RAW_INPUT!A1570="","",RAW_INPUT!E1570)</f>
        <v/>
      </c>
      <c r="C1569">
        <f>IF(RAW_INPUT!A1570="","",RAW_INPUT!F1570)</f>
        <v/>
      </c>
    </row>
    <row r="1570">
      <c r="A1570">
        <f>IF(RAW_INPUT!A1571="","",RAW_INPUT!A1571)</f>
        <v/>
      </c>
      <c r="B1570">
        <f>IF(RAW_INPUT!A1571="","",RAW_INPUT!E1571)</f>
        <v/>
      </c>
      <c r="C1570">
        <f>IF(RAW_INPUT!A1571="","",RAW_INPUT!F1571)</f>
        <v/>
      </c>
    </row>
    <row r="1571">
      <c r="A1571">
        <f>IF(RAW_INPUT!A1572="","",RAW_INPUT!A1572)</f>
        <v/>
      </c>
      <c r="B1571">
        <f>IF(RAW_INPUT!A1572="","",RAW_INPUT!E1572)</f>
        <v/>
      </c>
      <c r="C1571">
        <f>IF(RAW_INPUT!A1572="","",RAW_INPUT!F1572)</f>
        <v/>
      </c>
    </row>
    <row r="1572">
      <c r="A1572">
        <f>IF(RAW_INPUT!A1573="","",RAW_INPUT!A1573)</f>
        <v/>
      </c>
      <c r="B1572">
        <f>IF(RAW_INPUT!A1573="","",RAW_INPUT!E1573)</f>
        <v/>
      </c>
      <c r="C1572">
        <f>IF(RAW_INPUT!A1573="","",RAW_INPUT!F1573)</f>
        <v/>
      </c>
    </row>
    <row r="1573">
      <c r="A1573">
        <f>IF(RAW_INPUT!A1574="","",RAW_INPUT!A1574)</f>
        <v/>
      </c>
      <c r="B1573">
        <f>IF(RAW_INPUT!A1574="","",RAW_INPUT!E1574)</f>
        <v/>
      </c>
      <c r="C1573">
        <f>IF(RAW_INPUT!A1574="","",RAW_INPUT!F1574)</f>
        <v/>
      </c>
    </row>
    <row r="1574">
      <c r="A1574">
        <f>IF(RAW_INPUT!A1575="","",RAW_INPUT!A1575)</f>
        <v/>
      </c>
      <c r="B1574">
        <f>IF(RAW_INPUT!A1575="","",RAW_INPUT!E1575)</f>
        <v/>
      </c>
      <c r="C1574">
        <f>IF(RAW_INPUT!A1575="","",RAW_INPUT!F1575)</f>
        <v/>
      </c>
    </row>
    <row r="1575">
      <c r="A1575">
        <f>IF(RAW_INPUT!A1576="","",RAW_INPUT!A1576)</f>
        <v/>
      </c>
      <c r="B1575">
        <f>IF(RAW_INPUT!A1576="","",RAW_INPUT!E1576)</f>
        <v/>
      </c>
      <c r="C1575">
        <f>IF(RAW_INPUT!A1576="","",RAW_INPUT!F1576)</f>
        <v/>
      </c>
    </row>
    <row r="1576">
      <c r="A1576">
        <f>IF(RAW_INPUT!A1577="","",RAW_INPUT!A1577)</f>
        <v/>
      </c>
      <c r="B1576">
        <f>IF(RAW_INPUT!A1577="","",RAW_INPUT!E1577)</f>
        <v/>
      </c>
      <c r="C1576">
        <f>IF(RAW_INPUT!A1577="","",RAW_INPUT!F1577)</f>
        <v/>
      </c>
    </row>
    <row r="1577">
      <c r="A1577">
        <f>IF(RAW_INPUT!A1578="","",RAW_INPUT!A1578)</f>
        <v/>
      </c>
      <c r="B1577">
        <f>IF(RAW_INPUT!A1578="","",RAW_INPUT!E1578)</f>
        <v/>
      </c>
      <c r="C1577">
        <f>IF(RAW_INPUT!A1578="","",RAW_INPUT!F1578)</f>
        <v/>
      </c>
    </row>
    <row r="1578">
      <c r="A1578">
        <f>IF(RAW_INPUT!A1579="","",RAW_INPUT!A1579)</f>
        <v/>
      </c>
      <c r="B1578">
        <f>IF(RAW_INPUT!A1579="","",RAW_INPUT!E1579)</f>
        <v/>
      </c>
      <c r="C1578">
        <f>IF(RAW_INPUT!A1579="","",RAW_INPUT!F1579)</f>
        <v/>
      </c>
    </row>
    <row r="1579">
      <c r="A1579">
        <f>IF(RAW_INPUT!A1580="","",RAW_INPUT!A1580)</f>
        <v/>
      </c>
      <c r="B1579">
        <f>IF(RAW_INPUT!A1580="","",RAW_INPUT!E1580)</f>
        <v/>
      </c>
      <c r="C1579">
        <f>IF(RAW_INPUT!A1580="","",RAW_INPUT!F1580)</f>
        <v/>
      </c>
    </row>
    <row r="1580">
      <c r="A1580">
        <f>IF(RAW_INPUT!A1581="","",RAW_INPUT!A1581)</f>
        <v/>
      </c>
      <c r="B1580">
        <f>IF(RAW_INPUT!A1581="","",RAW_INPUT!E1581)</f>
        <v/>
      </c>
      <c r="C1580">
        <f>IF(RAW_INPUT!A1581="","",RAW_INPUT!F1581)</f>
        <v/>
      </c>
    </row>
    <row r="1581">
      <c r="A1581">
        <f>IF(RAW_INPUT!A1582="","",RAW_INPUT!A1582)</f>
        <v/>
      </c>
      <c r="B1581">
        <f>IF(RAW_INPUT!A1582="","",RAW_INPUT!E1582)</f>
        <v/>
      </c>
      <c r="C1581">
        <f>IF(RAW_INPUT!A1582="","",RAW_INPUT!F1582)</f>
        <v/>
      </c>
    </row>
    <row r="1582">
      <c r="A1582">
        <f>IF(RAW_INPUT!A1583="","",RAW_INPUT!A1583)</f>
        <v/>
      </c>
      <c r="B1582">
        <f>IF(RAW_INPUT!A1583="","",RAW_INPUT!E1583)</f>
        <v/>
      </c>
      <c r="C1582">
        <f>IF(RAW_INPUT!A1583="","",RAW_INPUT!F1583)</f>
        <v/>
      </c>
    </row>
    <row r="1583">
      <c r="A1583">
        <f>IF(RAW_INPUT!A1584="","",RAW_INPUT!A1584)</f>
        <v/>
      </c>
      <c r="B1583">
        <f>IF(RAW_INPUT!A1584="","",RAW_INPUT!E1584)</f>
        <v/>
      </c>
      <c r="C1583">
        <f>IF(RAW_INPUT!A1584="","",RAW_INPUT!F1584)</f>
        <v/>
      </c>
    </row>
    <row r="1584">
      <c r="A1584">
        <f>IF(RAW_INPUT!A1585="","",RAW_INPUT!A1585)</f>
        <v/>
      </c>
      <c r="B1584">
        <f>IF(RAW_INPUT!A1585="","",RAW_INPUT!E1585)</f>
        <v/>
      </c>
      <c r="C1584">
        <f>IF(RAW_INPUT!A1585="","",RAW_INPUT!F1585)</f>
        <v/>
      </c>
    </row>
    <row r="1585">
      <c r="A1585">
        <f>IF(RAW_INPUT!A1586="","",RAW_INPUT!A1586)</f>
        <v/>
      </c>
      <c r="B1585">
        <f>IF(RAW_INPUT!A1586="","",RAW_INPUT!E1586)</f>
        <v/>
      </c>
      <c r="C1585">
        <f>IF(RAW_INPUT!A1586="","",RAW_INPUT!F1586)</f>
        <v/>
      </c>
    </row>
    <row r="1586">
      <c r="A1586">
        <f>IF(RAW_INPUT!A1587="","",RAW_INPUT!A1587)</f>
        <v/>
      </c>
      <c r="B1586">
        <f>IF(RAW_INPUT!A1587="","",RAW_INPUT!E1587)</f>
        <v/>
      </c>
      <c r="C1586">
        <f>IF(RAW_INPUT!A1587="","",RAW_INPUT!F1587)</f>
        <v/>
      </c>
    </row>
    <row r="1587">
      <c r="A1587">
        <f>IF(RAW_INPUT!A1588="","",RAW_INPUT!A1588)</f>
        <v/>
      </c>
      <c r="B1587">
        <f>IF(RAW_INPUT!A1588="","",RAW_INPUT!E1588)</f>
        <v/>
      </c>
      <c r="C1587">
        <f>IF(RAW_INPUT!A1588="","",RAW_INPUT!F1588)</f>
        <v/>
      </c>
    </row>
    <row r="1588">
      <c r="A1588">
        <f>IF(RAW_INPUT!A1589="","",RAW_INPUT!A1589)</f>
        <v/>
      </c>
      <c r="B1588">
        <f>IF(RAW_INPUT!A1589="","",RAW_INPUT!E1589)</f>
        <v/>
      </c>
      <c r="C1588">
        <f>IF(RAW_INPUT!A1589="","",RAW_INPUT!F1589)</f>
        <v/>
      </c>
    </row>
    <row r="1589">
      <c r="A1589">
        <f>IF(RAW_INPUT!A1590="","",RAW_INPUT!A1590)</f>
        <v/>
      </c>
      <c r="B1589">
        <f>IF(RAW_INPUT!A1590="","",RAW_INPUT!E1590)</f>
        <v/>
      </c>
      <c r="C1589">
        <f>IF(RAW_INPUT!A1590="","",RAW_INPUT!F1590)</f>
        <v/>
      </c>
    </row>
    <row r="1590">
      <c r="A1590">
        <f>IF(RAW_INPUT!A1591="","",RAW_INPUT!A1591)</f>
        <v/>
      </c>
      <c r="B1590">
        <f>IF(RAW_INPUT!A1591="","",RAW_INPUT!E1591)</f>
        <v/>
      </c>
      <c r="C1590">
        <f>IF(RAW_INPUT!A1591="","",RAW_INPUT!F1591)</f>
        <v/>
      </c>
    </row>
    <row r="1591">
      <c r="A1591">
        <f>IF(RAW_INPUT!A1592="","",RAW_INPUT!A1592)</f>
        <v/>
      </c>
      <c r="B1591">
        <f>IF(RAW_INPUT!A1592="","",RAW_INPUT!E1592)</f>
        <v/>
      </c>
      <c r="C1591">
        <f>IF(RAW_INPUT!A1592="","",RAW_INPUT!F1592)</f>
        <v/>
      </c>
    </row>
    <row r="1592">
      <c r="A1592">
        <f>IF(RAW_INPUT!A1593="","",RAW_INPUT!A1593)</f>
        <v/>
      </c>
      <c r="B1592">
        <f>IF(RAW_INPUT!A1593="","",RAW_INPUT!E1593)</f>
        <v/>
      </c>
      <c r="C1592">
        <f>IF(RAW_INPUT!A1593="","",RAW_INPUT!F1593)</f>
        <v/>
      </c>
    </row>
    <row r="1593">
      <c r="A1593">
        <f>IF(RAW_INPUT!A1594="","",RAW_INPUT!A1594)</f>
        <v/>
      </c>
      <c r="B1593">
        <f>IF(RAW_INPUT!A1594="","",RAW_INPUT!E1594)</f>
        <v/>
      </c>
      <c r="C1593">
        <f>IF(RAW_INPUT!A1594="","",RAW_INPUT!F1594)</f>
        <v/>
      </c>
    </row>
    <row r="1594">
      <c r="A1594">
        <f>IF(RAW_INPUT!A1595="","",RAW_INPUT!A1595)</f>
        <v/>
      </c>
      <c r="B1594">
        <f>IF(RAW_INPUT!A1595="","",RAW_INPUT!E1595)</f>
        <v/>
      </c>
      <c r="C1594">
        <f>IF(RAW_INPUT!A1595="","",RAW_INPUT!F1595)</f>
        <v/>
      </c>
    </row>
    <row r="1595">
      <c r="A1595">
        <f>IF(RAW_INPUT!A1596="","",RAW_INPUT!A1596)</f>
        <v/>
      </c>
      <c r="B1595">
        <f>IF(RAW_INPUT!A1596="","",RAW_INPUT!E1596)</f>
        <v/>
      </c>
      <c r="C1595">
        <f>IF(RAW_INPUT!A1596="","",RAW_INPUT!F1596)</f>
        <v/>
      </c>
    </row>
    <row r="1596">
      <c r="A1596">
        <f>IF(RAW_INPUT!A1597="","",RAW_INPUT!A1597)</f>
        <v/>
      </c>
      <c r="B1596">
        <f>IF(RAW_INPUT!A1597="","",RAW_INPUT!E1597)</f>
        <v/>
      </c>
      <c r="C1596">
        <f>IF(RAW_INPUT!A1597="","",RAW_INPUT!F1597)</f>
        <v/>
      </c>
    </row>
    <row r="1597">
      <c r="A1597">
        <f>IF(RAW_INPUT!A1598="","",RAW_INPUT!A1598)</f>
        <v/>
      </c>
      <c r="B1597">
        <f>IF(RAW_INPUT!A1598="","",RAW_INPUT!E1598)</f>
        <v/>
      </c>
      <c r="C1597">
        <f>IF(RAW_INPUT!A1598="","",RAW_INPUT!F1598)</f>
        <v/>
      </c>
    </row>
    <row r="1598">
      <c r="A1598">
        <f>IF(RAW_INPUT!A1599="","",RAW_INPUT!A1599)</f>
        <v/>
      </c>
      <c r="B1598">
        <f>IF(RAW_INPUT!A1599="","",RAW_INPUT!E1599)</f>
        <v/>
      </c>
      <c r="C1598">
        <f>IF(RAW_INPUT!A1599="","",RAW_INPUT!F1599)</f>
        <v/>
      </c>
    </row>
    <row r="1599">
      <c r="A1599">
        <f>IF(RAW_INPUT!A1600="","",RAW_INPUT!A1600)</f>
        <v/>
      </c>
      <c r="B1599">
        <f>IF(RAW_INPUT!A1600="","",RAW_INPUT!E1600)</f>
        <v/>
      </c>
      <c r="C1599">
        <f>IF(RAW_INPUT!A1600="","",RAW_INPUT!F1600)</f>
        <v/>
      </c>
    </row>
    <row r="1600">
      <c r="A1600">
        <f>IF(RAW_INPUT!A1601="","",RAW_INPUT!A1601)</f>
        <v/>
      </c>
      <c r="B1600">
        <f>IF(RAW_INPUT!A1601="","",RAW_INPUT!E1601)</f>
        <v/>
      </c>
      <c r="C1600">
        <f>IF(RAW_INPUT!A1601="","",RAW_INPUT!F1601)</f>
        <v/>
      </c>
    </row>
    <row r="1601">
      <c r="A1601">
        <f>IF(RAW_INPUT!A1602="","",RAW_INPUT!A1602)</f>
        <v/>
      </c>
      <c r="B1601">
        <f>IF(RAW_INPUT!A1602="","",RAW_INPUT!E1602)</f>
        <v/>
      </c>
      <c r="C1601">
        <f>IF(RAW_INPUT!A1602="","",RAW_INPUT!F1602)</f>
        <v/>
      </c>
    </row>
    <row r="1602">
      <c r="A1602">
        <f>IF(RAW_INPUT!A1603="","",RAW_INPUT!A1603)</f>
        <v/>
      </c>
      <c r="B1602">
        <f>IF(RAW_INPUT!A1603="","",RAW_INPUT!E1603)</f>
        <v/>
      </c>
      <c r="C1602">
        <f>IF(RAW_INPUT!A1603="","",RAW_INPUT!F1603)</f>
        <v/>
      </c>
    </row>
    <row r="1603">
      <c r="A1603">
        <f>IF(RAW_INPUT!A1604="","",RAW_INPUT!A1604)</f>
        <v/>
      </c>
      <c r="B1603">
        <f>IF(RAW_INPUT!A1604="","",RAW_INPUT!E1604)</f>
        <v/>
      </c>
      <c r="C1603">
        <f>IF(RAW_INPUT!A1604="","",RAW_INPUT!F1604)</f>
        <v/>
      </c>
    </row>
    <row r="1604">
      <c r="A1604">
        <f>IF(RAW_INPUT!A1605="","",RAW_INPUT!A1605)</f>
        <v/>
      </c>
      <c r="B1604">
        <f>IF(RAW_INPUT!A1605="","",RAW_INPUT!E1605)</f>
        <v/>
      </c>
      <c r="C1604">
        <f>IF(RAW_INPUT!A1605="","",RAW_INPUT!F1605)</f>
        <v/>
      </c>
    </row>
    <row r="1605">
      <c r="A1605">
        <f>IF(RAW_INPUT!A1606="","",RAW_INPUT!A1606)</f>
        <v/>
      </c>
      <c r="B1605">
        <f>IF(RAW_INPUT!A1606="","",RAW_INPUT!E1606)</f>
        <v/>
      </c>
      <c r="C1605">
        <f>IF(RAW_INPUT!A1606="","",RAW_INPUT!F1606)</f>
        <v/>
      </c>
    </row>
    <row r="1606">
      <c r="A1606">
        <f>IF(RAW_INPUT!A1607="","",RAW_INPUT!A1607)</f>
        <v/>
      </c>
      <c r="B1606">
        <f>IF(RAW_INPUT!A1607="","",RAW_INPUT!E1607)</f>
        <v/>
      </c>
      <c r="C1606">
        <f>IF(RAW_INPUT!A1607="","",RAW_INPUT!F1607)</f>
        <v/>
      </c>
    </row>
    <row r="1607">
      <c r="A1607">
        <f>IF(RAW_INPUT!A1608="","",RAW_INPUT!A1608)</f>
        <v/>
      </c>
      <c r="B1607">
        <f>IF(RAW_INPUT!A1608="","",RAW_INPUT!E1608)</f>
        <v/>
      </c>
      <c r="C1607">
        <f>IF(RAW_INPUT!A1608="","",RAW_INPUT!F1608)</f>
        <v/>
      </c>
    </row>
    <row r="1608">
      <c r="A1608">
        <f>IF(RAW_INPUT!A1609="","",RAW_INPUT!A1609)</f>
        <v/>
      </c>
      <c r="B1608">
        <f>IF(RAW_INPUT!A1609="","",RAW_INPUT!E1609)</f>
        <v/>
      </c>
      <c r="C1608">
        <f>IF(RAW_INPUT!A1609="","",RAW_INPUT!F1609)</f>
        <v/>
      </c>
    </row>
    <row r="1609">
      <c r="A1609">
        <f>IF(RAW_INPUT!A1610="","",RAW_INPUT!A1610)</f>
        <v/>
      </c>
      <c r="B1609">
        <f>IF(RAW_INPUT!A1610="","",RAW_INPUT!E1610)</f>
        <v/>
      </c>
      <c r="C1609">
        <f>IF(RAW_INPUT!A1610="","",RAW_INPUT!F1610)</f>
        <v/>
      </c>
    </row>
    <row r="1610">
      <c r="A1610">
        <f>IF(RAW_INPUT!A1611="","",RAW_INPUT!A1611)</f>
        <v/>
      </c>
      <c r="B1610">
        <f>IF(RAW_INPUT!A1611="","",RAW_INPUT!E1611)</f>
        <v/>
      </c>
      <c r="C1610">
        <f>IF(RAW_INPUT!A1611="","",RAW_INPUT!F1611)</f>
        <v/>
      </c>
    </row>
    <row r="1611">
      <c r="A1611">
        <f>IF(RAW_INPUT!A1612="","",RAW_INPUT!A1612)</f>
        <v/>
      </c>
      <c r="B1611">
        <f>IF(RAW_INPUT!A1612="","",RAW_INPUT!E1612)</f>
        <v/>
      </c>
      <c r="C1611">
        <f>IF(RAW_INPUT!A1612="","",RAW_INPUT!F1612)</f>
        <v/>
      </c>
    </row>
    <row r="1612">
      <c r="A1612">
        <f>IF(RAW_INPUT!A1613="","",RAW_INPUT!A1613)</f>
        <v/>
      </c>
      <c r="B1612">
        <f>IF(RAW_INPUT!A1613="","",RAW_INPUT!E1613)</f>
        <v/>
      </c>
      <c r="C1612">
        <f>IF(RAW_INPUT!A1613="","",RAW_INPUT!F1613)</f>
        <v/>
      </c>
    </row>
    <row r="1613">
      <c r="A1613">
        <f>IF(RAW_INPUT!A1614="","",RAW_INPUT!A1614)</f>
        <v/>
      </c>
      <c r="B1613">
        <f>IF(RAW_INPUT!A1614="","",RAW_INPUT!E1614)</f>
        <v/>
      </c>
      <c r="C1613">
        <f>IF(RAW_INPUT!A1614="","",RAW_INPUT!F1614)</f>
        <v/>
      </c>
    </row>
    <row r="1614">
      <c r="A1614">
        <f>IF(RAW_INPUT!A1615="","",RAW_INPUT!A1615)</f>
        <v/>
      </c>
      <c r="B1614">
        <f>IF(RAW_INPUT!A1615="","",RAW_INPUT!E1615)</f>
        <v/>
      </c>
      <c r="C1614">
        <f>IF(RAW_INPUT!A1615="","",RAW_INPUT!F1615)</f>
        <v/>
      </c>
    </row>
    <row r="1615">
      <c r="A1615">
        <f>IF(RAW_INPUT!A1616="","",RAW_INPUT!A1616)</f>
        <v/>
      </c>
      <c r="B1615">
        <f>IF(RAW_INPUT!A1616="","",RAW_INPUT!E1616)</f>
        <v/>
      </c>
      <c r="C1615">
        <f>IF(RAW_INPUT!A1616="","",RAW_INPUT!F1616)</f>
        <v/>
      </c>
    </row>
    <row r="1616">
      <c r="A1616">
        <f>IF(RAW_INPUT!A1617="","",RAW_INPUT!A1617)</f>
        <v/>
      </c>
      <c r="B1616">
        <f>IF(RAW_INPUT!A1617="","",RAW_INPUT!E1617)</f>
        <v/>
      </c>
      <c r="C1616">
        <f>IF(RAW_INPUT!A1617="","",RAW_INPUT!F1617)</f>
        <v/>
      </c>
    </row>
    <row r="1617">
      <c r="A1617">
        <f>IF(RAW_INPUT!A1618="","",RAW_INPUT!A1618)</f>
        <v/>
      </c>
      <c r="B1617">
        <f>IF(RAW_INPUT!A1618="","",RAW_INPUT!E1618)</f>
        <v/>
      </c>
      <c r="C1617">
        <f>IF(RAW_INPUT!A1618="","",RAW_INPUT!F1618)</f>
        <v/>
      </c>
    </row>
    <row r="1618">
      <c r="A1618">
        <f>IF(RAW_INPUT!A1619="","",RAW_INPUT!A1619)</f>
        <v/>
      </c>
      <c r="B1618">
        <f>IF(RAW_INPUT!A1619="","",RAW_INPUT!E1619)</f>
        <v/>
      </c>
      <c r="C1618">
        <f>IF(RAW_INPUT!A1619="","",RAW_INPUT!F1619)</f>
        <v/>
      </c>
    </row>
    <row r="1619">
      <c r="A1619">
        <f>IF(RAW_INPUT!A1620="","",RAW_INPUT!A1620)</f>
        <v/>
      </c>
      <c r="B1619">
        <f>IF(RAW_INPUT!A1620="","",RAW_INPUT!E1620)</f>
        <v/>
      </c>
      <c r="C1619">
        <f>IF(RAW_INPUT!A1620="","",RAW_INPUT!F1620)</f>
        <v/>
      </c>
    </row>
    <row r="1620">
      <c r="A1620">
        <f>IF(RAW_INPUT!A1621="","",RAW_INPUT!A1621)</f>
        <v/>
      </c>
      <c r="B1620">
        <f>IF(RAW_INPUT!A1621="","",RAW_INPUT!E1621)</f>
        <v/>
      </c>
      <c r="C1620">
        <f>IF(RAW_INPUT!A1621="","",RAW_INPUT!F1621)</f>
        <v/>
      </c>
    </row>
    <row r="1621">
      <c r="A1621">
        <f>IF(RAW_INPUT!A1622="","",RAW_INPUT!A1622)</f>
        <v/>
      </c>
      <c r="B1621">
        <f>IF(RAW_INPUT!A1622="","",RAW_INPUT!E1622)</f>
        <v/>
      </c>
      <c r="C1621">
        <f>IF(RAW_INPUT!A1622="","",RAW_INPUT!F1622)</f>
        <v/>
      </c>
    </row>
    <row r="1622">
      <c r="A1622">
        <f>IF(RAW_INPUT!A1623="","",RAW_INPUT!A1623)</f>
        <v/>
      </c>
      <c r="B1622">
        <f>IF(RAW_INPUT!A1623="","",RAW_INPUT!E1623)</f>
        <v/>
      </c>
      <c r="C1622">
        <f>IF(RAW_INPUT!A1623="","",RAW_INPUT!F1623)</f>
        <v/>
      </c>
    </row>
    <row r="1623">
      <c r="A1623">
        <f>IF(RAW_INPUT!A1624="","",RAW_INPUT!A1624)</f>
        <v/>
      </c>
      <c r="B1623">
        <f>IF(RAW_INPUT!A1624="","",RAW_INPUT!E1624)</f>
        <v/>
      </c>
      <c r="C1623">
        <f>IF(RAW_INPUT!A1624="","",RAW_INPUT!F1624)</f>
        <v/>
      </c>
    </row>
    <row r="1624">
      <c r="A1624">
        <f>IF(RAW_INPUT!A1625="","",RAW_INPUT!A1625)</f>
        <v/>
      </c>
      <c r="B1624">
        <f>IF(RAW_INPUT!A1625="","",RAW_INPUT!E1625)</f>
        <v/>
      </c>
      <c r="C1624">
        <f>IF(RAW_INPUT!A1625="","",RAW_INPUT!F1625)</f>
        <v/>
      </c>
    </row>
    <row r="1625">
      <c r="A1625">
        <f>IF(RAW_INPUT!A1626="","",RAW_INPUT!A1626)</f>
        <v/>
      </c>
      <c r="B1625">
        <f>IF(RAW_INPUT!A1626="","",RAW_INPUT!E1626)</f>
        <v/>
      </c>
      <c r="C1625">
        <f>IF(RAW_INPUT!A1626="","",RAW_INPUT!F1626)</f>
        <v/>
      </c>
    </row>
    <row r="1626">
      <c r="A1626">
        <f>IF(RAW_INPUT!A1627="","",RAW_INPUT!A1627)</f>
        <v/>
      </c>
      <c r="B1626">
        <f>IF(RAW_INPUT!A1627="","",RAW_INPUT!E1627)</f>
        <v/>
      </c>
      <c r="C1626">
        <f>IF(RAW_INPUT!A1627="","",RAW_INPUT!F1627)</f>
        <v/>
      </c>
    </row>
    <row r="1627">
      <c r="A1627">
        <f>IF(RAW_INPUT!A1628="","",RAW_INPUT!A1628)</f>
        <v/>
      </c>
      <c r="B1627">
        <f>IF(RAW_INPUT!A1628="","",RAW_INPUT!E1628)</f>
        <v/>
      </c>
      <c r="C1627">
        <f>IF(RAW_INPUT!A1628="","",RAW_INPUT!F1628)</f>
        <v/>
      </c>
    </row>
    <row r="1628">
      <c r="A1628">
        <f>IF(RAW_INPUT!A1629="","",RAW_INPUT!A1629)</f>
        <v/>
      </c>
      <c r="B1628">
        <f>IF(RAW_INPUT!A1629="","",RAW_INPUT!E1629)</f>
        <v/>
      </c>
      <c r="C1628">
        <f>IF(RAW_INPUT!A1629="","",RAW_INPUT!F1629)</f>
        <v/>
      </c>
    </row>
    <row r="1629">
      <c r="A1629">
        <f>IF(RAW_INPUT!A1630="","",RAW_INPUT!A1630)</f>
        <v/>
      </c>
      <c r="B1629">
        <f>IF(RAW_INPUT!A1630="","",RAW_INPUT!E1630)</f>
        <v/>
      </c>
      <c r="C1629">
        <f>IF(RAW_INPUT!A1630="","",RAW_INPUT!F1630)</f>
        <v/>
      </c>
    </row>
    <row r="1630">
      <c r="A1630">
        <f>IF(RAW_INPUT!A1631="","",RAW_INPUT!A1631)</f>
        <v/>
      </c>
      <c r="B1630">
        <f>IF(RAW_INPUT!A1631="","",RAW_INPUT!E1631)</f>
        <v/>
      </c>
      <c r="C1630">
        <f>IF(RAW_INPUT!A1631="","",RAW_INPUT!F1631)</f>
        <v/>
      </c>
    </row>
    <row r="1631">
      <c r="A1631">
        <f>IF(RAW_INPUT!A1632="","",RAW_INPUT!A1632)</f>
        <v/>
      </c>
      <c r="B1631">
        <f>IF(RAW_INPUT!A1632="","",RAW_INPUT!E1632)</f>
        <v/>
      </c>
      <c r="C1631">
        <f>IF(RAW_INPUT!A1632="","",RAW_INPUT!F1632)</f>
        <v/>
      </c>
    </row>
    <row r="1632">
      <c r="A1632">
        <f>IF(RAW_INPUT!A1633="","",RAW_INPUT!A1633)</f>
        <v/>
      </c>
      <c r="B1632">
        <f>IF(RAW_INPUT!A1633="","",RAW_INPUT!E1633)</f>
        <v/>
      </c>
      <c r="C1632">
        <f>IF(RAW_INPUT!A1633="","",RAW_INPUT!F1633)</f>
        <v/>
      </c>
    </row>
    <row r="1633">
      <c r="A1633">
        <f>IF(RAW_INPUT!A1634="","",RAW_INPUT!A1634)</f>
        <v/>
      </c>
      <c r="B1633">
        <f>IF(RAW_INPUT!A1634="","",RAW_INPUT!E1634)</f>
        <v/>
      </c>
      <c r="C1633">
        <f>IF(RAW_INPUT!A1634="","",RAW_INPUT!F1634)</f>
        <v/>
      </c>
    </row>
    <row r="1634">
      <c r="A1634">
        <f>IF(RAW_INPUT!A1635="","",RAW_INPUT!A1635)</f>
        <v/>
      </c>
      <c r="B1634">
        <f>IF(RAW_INPUT!A1635="","",RAW_INPUT!E1635)</f>
        <v/>
      </c>
      <c r="C1634">
        <f>IF(RAW_INPUT!A1635="","",RAW_INPUT!F1635)</f>
        <v/>
      </c>
    </row>
    <row r="1635">
      <c r="A1635">
        <f>IF(RAW_INPUT!A1636="","",RAW_INPUT!A1636)</f>
        <v/>
      </c>
      <c r="B1635">
        <f>IF(RAW_INPUT!A1636="","",RAW_INPUT!E1636)</f>
        <v/>
      </c>
      <c r="C1635">
        <f>IF(RAW_INPUT!A1636="","",RAW_INPUT!F1636)</f>
        <v/>
      </c>
    </row>
    <row r="1636">
      <c r="A1636">
        <f>IF(RAW_INPUT!A1637="","",RAW_INPUT!A1637)</f>
        <v/>
      </c>
      <c r="B1636">
        <f>IF(RAW_INPUT!A1637="","",RAW_INPUT!E1637)</f>
        <v/>
      </c>
      <c r="C1636">
        <f>IF(RAW_INPUT!A1637="","",RAW_INPUT!F1637)</f>
        <v/>
      </c>
    </row>
    <row r="1637">
      <c r="A1637">
        <f>IF(RAW_INPUT!A1638="","",RAW_INPUT!A1638)</f>
        <v/>
      </c>
      <c r="B1637">
        <f>IF(RAW_INPUT!A1638="","",RAW_INPUT!E1638)</f>
        <v/>
      </c>
      <c r="C1637">
        <f>IF(RAW_INPUT!A1638="","",RAW_INPUT!F1638)</f>
        <v/>
      </c>
    </row>
    <row r="1638">
      <c r="A1638">
        <f>IF(RAW_INPUT!A1639="","",RAW_INPUT!A1639)</f>
        <v/>
      </c>
      <c r="B1638">
        <f>IF(RAW_INPUT!A1639="","",RAW_INPUT!E1639)</f>
        <v/>
      </c>
      <c r="C1638">
        <f>IF(RAW_INPUT!A1639="","",RAW_INPUT!F1639)</f>
        <v/>
      </c>
    </row>
    <row r="1639">
      <c r="A1639">
        <f>IF(RAW_INPUT!A1640="","",RAW_INPUT!A1640)</f>
        <v/>
      </c>
      <c r="B1639">
        <f>IF(RAW_INPUT!A1640="","",RAW_INPUT!E1640)</f>
        <v/>
      </c>
      <c r="C1639">
        <f>IF(RAW_INPUT!A1640="","",RAW_INPUT!F1640)</f>
        <v/>
      </c>
    </row>
    <row r="1640">
      <c r="A1640">
        <f>IF(RAW_INPUT!A1641="","",RAW_INPUT!A1641)</f>
        <v/>
      </c>
      <c r="B1640">
        <f>IF(RAW_INPUT!A1641="","",RAW_INPUT!E1641)</f>
        <v/>
      </c>
      <c r="C1640">
        <f>IF(RAW_INPUT!A1641="","",RAW_INPUT!F1641)</f>
        <v/>
      </c>
    </row>
    <row r="1641">
      <c r="A1641">
        <f>IF(RAW_INPUT!A1642="","",RAW_INPUT!A1642)</f>
        <v/>
      </c>
      <c r="B1641">
        <f>IF(RAW_INPUT!A1642="","",RAW_INPUT!E1642)</f>
        <v/>
      </c>
      <c r="C1641">
        <f>IF(RAW_INPUT!A1642="","",RAW_INPUT!F1642)</f>
        <v/>
      </c>
    </row>
    <row r="1642">
      <c r="A1642">
        <f>IF(RAW_INPUT!A1643="","",RAW_INPUT!A1643)</f>
        <v/>
      </c>
      <c r="B1642">
        <f>IF(RAW_INPUT!A1643="","",RAW_INPUT!E1643)</f>
        <v/>
      </c>
      <c r="C1642">
        <f>IF(RAW_INPUT!A1643="","",RAW_INPUT!F1643)</f>
        <v/>
      </c>
    </row>
    <row r="1643">
      <c r="A1643">
        <f>IF(RAW_INPUT!A1644="","",RAW_INPUT!A1644)</f>
        <v/>
      </c>
      <c r="B1643">
        <f>IF(RAW_INPUT!A1644="","",RAW_INPUT!E1644)</f>
        <v/>
      </c>
      <c r="C1643">
        <f>IF(RAW_INPUT!A1644="","",RAW_INPUT!F1644)</f>
        <v/>
      </c>
    </row>
    <row r="1644">
      <c r="A1644">
        <f>IF(RAW_INPUT!A1645="","",RAW_INPUT!A1645)</f>
        <v/>
      </c>
      <c r="B1644">
        <f>IF(RAW_INPUT!A1645="","",RAW_INPUT!E1645)</f>
        <v/>
      </c>
      <c r="C1644">
        <f>IF(RAW_INPUT!A1645="","",RAW_INPUT!F1645)</f>
        <v/>
      </c>
    </row>
    <row r="1645">
      <c r="A1645">
        <f>IF(RAW_INPUT!A1646="","",RAW_INPUT!A1646)</f>
        <v/>
      </c>
      <c r="B1645">
        <f>IF(RAW_INPUT!A1646="","",RAW_INPUT!E1646)</f>
        <v/>
      </c>
      <c r="C1645">
        <f>IF(RAW_INPUT!A1646="","",RAW_INPUT!F1646)</f>
        <v/>
      </c>
    </row>
    <row r="1646">
      <c r="A1646">
        <f>IF(RAW_INPUT!A1647="","",RAW_INPUT!A1647)</f>
        <v/>
      </c>
      <c r="B1646">
        <f>IF(RAW_INPUT!A1647="","",RAW_INPUT!E1647)</f>
        <v/>
      </c>
      <c r="C1646">
        <f>IF(RAW_INPUT!A1647="","",RAW_INPUT!F1647)</f>
        <v/>
      </c>
    </row>
    <row r="1647">
      <c r="A1647">
        <f>IF(RAW_INPUT!A1648="","",RAW_INPUT!A1648)</f>
        <v/>
      </c>
      <c r="B1647">
        <f>IF(RAW_INPUT!A1648="","",RAW_INPUT!E1648)</f>
        <v/>
      </c>
      <c r="C1647">
        <f>IF(RAW_INPUT!A1648="","",RAW_INPUT!F1648)</f>
        <v/>
      </c>
    </row>
    <row r="1648">
      <c r="A1648">
        <f>IF(RAW_INPUT!A1649="","",RAW_INPUT!A1649)</f>
        <v/>
      </c>
      <c r="B1648">
        <f>IF(RAW_INPUT!A1649="","",RAW_INPUT!E1649)</f>
        <v/>
      </c>
      <c r="C1648">
        <f>IF(RAW_INPUT!A1649="","",RAW_INPUT!F1649)</f>
        <v/>
      </c>
    </row>
    <row r="1649">
      <c r="A1649">
        <f>IF(RAW_INPUT!A1650="","",RAW_INPUT!A1650)</f>
        <v/>
      </c>
      <c r="B1649">
        <f>IF(RAW_INPUT!A1650="","",RAW_INPUT!E1650)</f>
        <v/>
      </c>
      <c r="C1649">
        <f>IF(RAW_INPUT!A1650="","",RAW_INPUT!F1650)</f>
        <v/>
      </c>
    </row>
    <row r="1650">
      <c r="A1650">
        <f>IF(RAW_INPUT!A1651="","",RAW_INPUT!A1651)</f>
        <v/>
      </c>
      <c r="B1650">
        <f>IF(RAW_INPUT!A1651="","",RAW_INPUT!E1651)</f>
        <v/>
      </c>
      <c r="C1650">
        <f>IF(RAW_INPUT!A1651="","",RAW_INPUT!F1651)</f>
        <v/>
      </c>
    </row>
    <row r="1651">
      <c r="A1651">
        <f>IF(RAW_INPUT!A1652="","",RAW_INPUT!A1652)</f>
        <v/>
      </c>
      <c r="B1651">
        <f>IF(RAW_INPUT!A1652="","",RAW_INPUT!E1652)</f>
        <v/>
      </c>
      <c r="C1651">
        <f>IF(RAW_INPUT!A1652="","",RAW_INPUT!F1652)</f>
        <v/>
      </c>
    </row>
    <row r="1652">
      <c r="A1652">
        <f>IF(RAW_INPUT!A1653="","",RAW_INPUT!A1653)</f>
        <v/>
      </c>
      <c r="B1652">
        <f>IF(RAW_INPUT!A1653="","",RAW_INPUT!E1653)</f>
        <v/>
      </c>
      <c r="C1652">
        <f>IF(RAW_INPUT!A1653="","",RAW_INPUT!F1653)</f>
        <v/>
      </c>
    </row>
    <row r="1653">
      <c r="A1653">
        <f>IF(RAW_INPUT!A1654="","",RAW_INPUT!A1654)</f>
        <v/>
      </c>
      <c r="B1653">
        <f>IF(RAW_INPUT!A1654="","",RAW_INPUT!E1654)</f>
        <v/>
      </c>
      <c r="C1653">
        <f>IF(RAW_INPUT!A1654="","",RAW_INPUT!F1654)</f>
        <v/>
      </c>
    </row>
    <row r="1654">
      <c r="A1654">
        <f>IF(RAW_INPUT!A1655="","",RAW_INPUT!A1655)</f>
        <v/>
      </c>
      <c r="B1654">
        <f>IF(RAW_INPUT!A1655="","",RAW_INPUT!E1655)</f>
        <v/>
      </c>
      <c r="C1654">
        <f>IF(RAW_INPUT!A1655="","",RAW_INPUT!F1655)</f>
        <v/>
      </c>
    </row>
    <row r="1655">
      <c r="A1655">
        <f>IF(RAW_INPUT!A1656="","",RAW_INPUT!A1656)</f>
        <v/>
      </c>
      <c r="B1655">
        <f>IF(RAW_INPUT!A1656="","",RAW_INPUT!E1656)</f>
        <v/>
      </c>
      <c r="C1655">
        <f>IF(RAW_INPUT!A1656="","",RAW_INPUT!F1656)</f>
        <v/>
      </c>
    </row>
    <row r="1656">
      <c r="A1656">
        <f>IF(RAW_INPUT!A1657="","",RAW_INPUT!A1657)</f>
        <v/>
      </c>
      <c r="B1656">
        <f>IF(RAW_INPUT!A1657="","",RAW_INPUT!E1657)</f>
        <v/>
      </c>
      <c r="C1656">
        <f>IF(RAW_INPUT!A1657="","",RAW_INPUT!F1657)</f>
        <v/>
      </c>
    </row>
    <row r="1657">
      <c r="A1657">
        <f>IF(RAW_INPUT!A1658="","",RAW_INPUT!A1658)</f>
        <v/>
      </c>
      <c r="B1657">
        <f>IF(RAW_INPUT!A1658="","",RAW_INPUT!E1658)</f>
        <v/>
      </c>
      <c r="C1657">
        <f>IF(RAW_INPUT!A1658="","",RAW_INPUT!F1658)</f>
        <v/>
      </c>
    </row>
    <row r="1658">
      <c r="A1658">
        <f>IF(RAW_INPUT!A1659="","",RAW_INPUT!A1659)</f>
        <v/>
      </c>
      <c r="B1658">
        <f>IF(RAW_INPUT!A1659="","",RAW_INPUT!E1659)</f>
        <v/>
      </c>
      <c r="C1658">
        <f>IF(RAW_INPUT!A1659="","",RAW_INPUT!F1659)</f>
        <v/>
      </c>
    </row>
    <row r="1659">
      <c r="A1659">
        <f>IF(RAW_INPUT!A1660="","",RAW_INPUT!A1660)</f>
        <v/>
      </c>
      <c r="B1659">
        <f>IF(RAW_INPUT!A1660="","",RAW_INPUT!E1660)</f>
        <v/>
      </c>
      <c r="C1659">
        <f>IF(RAW_INPUT!A1660="","",RAW_INPUT!F1660)</f>
        <v/>
      </c>
    </row>
    <row r="1660">
      <c r="A1660">
        <f>IF(RAW_INPUT!A1661="","",RAW_INPUT!A1661)</f>
        <v/>
      </c>
      <c r="B1660">
        <f>IF(RAW_INPUT!A1661="","",RAW_INPUT!E1661)</f>
        <v/>
      </c>
      <c r="C1660">
        <f>IF(RAW_INPUT!A1661="","",RAW_INPUT!F1661)</f>
        <v/>
      </c>
    </row>
    <row r="1661">
      <c r="A1661">
        <f>IF(RAW_INPUT!A1662="","",RAW_INPUT!A1662)</f>
        <v/>
      </c>
      <c r="B1661">
        <f>IF(RAW_INPUT!A1662="","",RAW_INPUT!E1662)</f>
        <v/>
      </c>
      <c r="C1661">
        <f>IF(RAW_INPUT!A1662="","",RAW_INPUT!F1662)</f>
        <v/>
      </c>
    </row>
    <row r="1662">
      <c r="A1662">
        <f>IF(RAW_INPUT!A1663="","",RAW_INPUT!A1663)</f>
        <v/>
      </c>
      <c r="B1662">
        <f>IF(RAW_INPUT!A1663="","",RAW_INPUT!E1663)</f>
        <v/>
      </c>
      <c r="C1662">
        <f>IF(RAW_INPUT!A1663="","",RAW_INPUT!F1663)</f>
        <v/>
      </c>
    </row>
    <row r="1663">
      <c r="A1663">
        <f>IF(RAW_INPUT!A1664="","",RAW_INPUT!A1664)</f>
        <v/>
      </c>
      <c r="B1663">
        <f>IF(RAW_INPUT!A1664="","",RAW_INPUT!E1664)</f>
        <v/>
      </c>
      <c r="C1663">
        <f>IF(RAW_INPUT!A1664="","",RAW_INPUT!F1664)</f>
        <v/>
      </c>
    </row>
    <row r="1664">
      <c r="A1664">
        <f>IF(RAW_INPUT!A1665="","",RAW_INPUT!A1665)</f>
        <v/>
      </c>
      <c r="B1664">
        <f>IF(RAW_INPUT!A1665="","",RAW_INPUT!E1665)</f>
        <v/>
      </c>
      <c r="C1664">
        <f>IF(RAW_INPUT!A1665="","",RAW_INPUT!F1665)</f>
        <v/>
      </c>
    </row>
    <row r="1665">
      <c r="A1665">
        <f>IF(RAW_INPUT!A1666="","",RAW_INPUT!A1666)</f>
        <v/>
      </c>
      <c r="B1665">
        <f>IF(RAW_INPUT!A1666="","",RAW_INPUT!E1666)</f>
        <v/>
      </c>
      <c r="C1665">
        <f>IF(RAW_INPUT!A1666="","",RAW_INPUT!F1666)</f>
        <v/>
      </c>
    </row>
    <row r="1666">
      <c r="A1666">
        <f>IF(RAW_INPUT!A1667="","",RAW_INPUT!A1667)</f>
        <v/>
      </c>
      <c r="B1666">
        <f>IF(RAW_INPUT!A1667="","",RAW_INPUT!E1667)</f>
        <v/>
      </c>
      <c r="C1666">
        <f>IF(RAW_INPUT!A1667="","",RAW_INPUT!F1667)</f>
        <v/>
      </c>
    </row>
    <row r="1667">
      <c r="A1667">
        <f>IF(RAW_INPUT!A1668="","",RAW_INPUT!A1668)</f>
        <v/>
      </c>
      <c r="B1667">
        <f>IF(RAW_INPUT!A1668="","",RAW_INPUT!E1668)</f>
        <v/>
      </c>
      <c r="C1667">
        <f>IF(RAW_INPUT!A1668="","",RAW_INPUT!F1668)</f>
        <v/>
      </c>
    </row>
    <row r="1668">
      <c r="A1668">
        <f>IF(RAW_INPUT!A1669="","",RAW_INPUT!A1669)</f>
        <v/>
      </c>
      <c r="B1668">
        <f>IF(RAW_INPUT!A1669="","",RAW_INPUT!E1669)</f>
        <v/>
      </c>
      <c r="C1668">
        <f>IF(RAW_INPUT!A1669="","",RAW_INPUT!F1669)</f>
        <v/>
      </c>
    </row>
    <row r="1669">
      <c r="A1669">
        <f>IF(RAW_INPUT!A1670="","",RAW_INPUT!A1670)</f>
        <v/>
      </c>
      <c r="B1669">
        <f>IF(RAW_INPUT!A1670="","",RAW_INPUT!E1670)</f>
        <v/>
      </c>
      <c r="C1669">
        <f>IF(RAW_INPUT!A1670="","",RAW_INPUT!F1670)</f>
        <v/>
      </c>
    </row>
    <row r="1670">
      <c r="A1670">
        <f>IF(RAW_INPUT!A1671="","",RAW_INPUT!A1671)</f>
        <v/>
      </c>
      <c r="B1670">
        <f>IF(RAW_INPUT!A1671="","",RAW_INPUT!E1671)</f>
        <v/>
      </c>
      <c r="C1670">
        <f>IF(RAW_INPUT!A1671="","",RAW_INPUT!F1671)</f>
        <v/>
      </c>
    </row>
    <row r="1671">
      <c r="A1671">
        <f>IF(RAW_INPUT!A1672="","",RAW_INPUT!A1672)</f>
        <v/>
      </c>
      <c r="B1671">
        <f>IF(RAW_INPUT!A1672="","",RAW_INPUT!E1672)</f>
        <v/>
      </c>
      <c r="C1671">
        <f>IF(RAW_INPUT!A1672="","",RAW_INPUT!F1672)</f>
        <v/>
      </c>
    </row>
    <row r="1672">
      <c r="A1672">
        <f>IF(RAW_INPUT!A1673="","",RAW_INPUT!A1673)</f>
        <v/>
      </c>
      <c r="B1672">
        <f>IF(RAW_INPUT!A1673="","",RAW_INPUT!E1673)</f>
        <v/>
      </c>
      <c r="C1672">
        <f>IF(RAW_INPUT!A1673="","",RAW_INPUT!F1673)</f>
        <v/>
      </c>
    </row>
    <row r="1673">
      <c r="A1673">
        <f>IF(RAW_INPUT!A1674="","",RAW_INPUT!A1674)</f>
        <v/>
      </c>
      <c r="B1673">
        <f>IF(RAW_INPUT!A1674="","",RAW_INPUT!E1674)</f>
        <v/>
      </c>
      <c r="C1673">
        <f>IF(RAW_INPUT!A1674="","",RAW_INPUT!F1674)</f>
        <v/>
      </c>
    </row>
    <row r="1674">
      <c r="A1674">
        <f>IF(RAW_INPUT!A1675="","",RAW_INPUT!A1675)</f>
        <v/>
      </c>
      <c r="B1674">
        <f>IF(RAW_INPUT!A1675="","",RAW_INPUT!E1675)</f>
        <v/>
      </c>
      <c r="C1674">
        <f>IF(RAW_INPUT!A1675="","",RAW_INPUT!F1675)</f>
        <v/>
      </c>
    </row>
    <row r="1675">
      <c r="A1675">
        <f>IF(RAW_INPUT!A1676="","",RAW_INPUT!A1676)</f>
        <v/>
      </c>
      <c r="B1675">
        <f>IF(RAW_INPUT!A1676="","",RAW_INPUT!E1676)</f>
        <v/>
      </c>
      <c r="C1675">
        <f>IF(RAW_INPUT!A1676="","",RAW_INPUT!F1676)</f>
        <v/>
      </c>
    </row>
    <row r="1676">
      <c r="A1676">
        <f>IF(RAW_INPUT!A1677="","",RAW_INPUT!A1677)</f>
        <v/>
      </c>
      <c r="B1676">
        <f>IF(RAW_INPUT!A1677="","",RAW_INPUT!E1677)</f>
        <v/>
      </c>
      <c r="C1676">
        <f>IF(RAW_INPUT!A1677="","",RAW_INPUT!F1677)</f>
        <v/>
      </c>
    </row>
    <row r="1677">
      <c r="A1677">
        <f>IF(RAW_INPUT!A1678="","",RAW_INPUT!A1678)</f>
        <v/>
      </c>
      <c r="B1677">
        <f>IF(RAW_INPUT!A1678="","",RAW_INPUT!E1678)</f>
        <v/>
      </c>
      <c r="C1677">
        <f>IF(RAW_INPUT!A1678="","",RAW_INPUT!F1678)</f>
        <v/>
      </c>
    </row>
    <row r="1678">
      <c r="A1678">
        <f>IF(RAW_INPUT!A1679="","",RAW_INPUT!A1679)</f>
        <v/>
      </c>
      <c r="B1678">
        <f>IF(RAW_INPUT!A1679="","",RAW_INPUT!E1679)</f>
        <v/>
      </c>
      <c r="C1678">
        <f>IF(RAW_INPUT!A1679="","",RAW_INPUT!F1679)</f>
        <v/>
      </c>
    </row>
    <row r="1679">
      <c r="A1679">
        <f>IF(RAW_INPUT!A1680="","",RAW_INPUT!A1680)</f>
        <v/>
      </c>
      <c r="B1679">
        <f>IF(RAW_INPUT!A1680="","",RAW_INPUT!E1680)</f>
        <v/>
      </c>
      <c r="C1679">
        <f>IF(RAW_INPUT!A1680="","",RAW_INPUT!F1680)</f>
        <v/>
      </c>
    </row>
    <row r="1680">
      <c r="A1680">
        <f>IF(RAW_INPUT!A1681="","",RAW_INPUT!A1681)</f>
        <v/>
      </c>
      <c r="B1680">
        <f>IF(RAW_INPUT!A1681="","",RAW_INPUT!E1681)</f>
        <v/>
      </c>
      <c r="C1680">
        <f>IF(RAW_INPUT!A1681="","",RAW_INPUT!F1681)</f>
        <v/>
      </c>
    </row>
    <row r="1681">
      <c r="A1681">
        <f>IF(RAW_INPUT!A1682="","",RAW_INPUT!A1682)</f>
        <v/>
      </c>
      <c r="B1681">
        <f>IF(RAW_INPUT!A1682="","",RAW_INPUT!E1682)</f>
        <v/>
      </c>
      <c r="C1681">
        <f>IF(RAW_INPUT!A1682="","",RAW_INPUT!F1682)</f>
        <v/>
      </c>
    </row>
    <row r="1682">
      <c r="A1682">
        <f>IF(RAW_INPUT!A1683="","",RAW_INPUT!A1683)</f>
        <v/>
      </c>
      <c r="B1682">
        <f>IF(RAW_INPUT!A1683="","",RAW_INPUT!E1683)</f>
        <v/>
      </c>
      <c r="C1682">
        <f>IF(RAW_INPUT!A1683="","",RAW_INPUT!F1683)</f>
        <v/>
      </c>
    </row>
    <row r="1683">
      <c r="A1683">
        <f>IF(RAW_INPUT!A1684="","",RAW_INPUT!A1684)</f>
        <v/>
      </c>
      <c r="B1683">
        <f>IF(RAW_INPUT!A1684="","",RAW_INPUT!E1684)</f>
        <v/>
      </c>
      <c r="C1683">
        <f>IF(RAW_INPUT!A1684="","",RAW_INPUT!F1684)</f>
        <v/>
      </c>
    </row>
    <row r="1684">
      <c r="A1684">
        <f>IF(RAW_INPUT!A1685="","",RAW_INPUT!A1685)</f>
        <v/>
      </c>
      <c r="B1684">
        <f>IF(RAW_INPUT!A1685="","",RAW_INPUT!E1685)</f>
        <v/>
      </c>
      <c r="C1684">
        <f>IF(RAW_INPUT!A1685="","",RAW_INPUT!F1685)</f>
        <v/>
      </c>
    </row>
    <row r="1685">
      <c r="A1685">
        <f>IF(RAW_INPUT!A1686="","",RAW_INPUT!A1686)</f>
        <v/>
      </c>
      <c r="B1685">
        <f>IF(RAW_INPUT!A1686="","",RAW_INPUT!E1686)</f>
        <v/>
      </c>
      <c r="C1685">
        <f>IF(RAW_INPUT!A1686="","",RAW_INPUT!F1686)</f>
        <v/>
      </c>
    </row>
    <row r="1686">
      <c r="A1686">
        <f>IF(RAW_INPUT!A1687="","",RAW_INPUT!A1687)</f>
        <v/>
      </c>
      <c r="B1686">
        <f>IF(RAW_INPUT!A1687="","",RAW_INPUT!E1687)</f>
        <v/>
      </c>
      <c r="C1686">
        <f>IF(RAW_INPUT!A1687="","",RAW_INPUT!F1687)</f>
        <v/>
      </c>
    </row>
    <row r="1687">
      <c r="A1687">
        <f>IF(RAW_INPUT!A1688="","",RAW_INPUT!A1688)</f>
        <v/>
      </c>
      <c r="B1687">
        <f>IF(RAW_INPUT!A1688="","",RAW_INPUT!E1688)</f>
        <v/>
      </c>
      <c r="C1687">
        <f>IF(RAW_INPUT!A1688="","",RAW_INPUT!F1688)</f>
        <v/>
      </c>
    </row>
    <row r="1688">
      <c r="A1688">
        <f>IF(RAW_INPUT!A1689="","",RAW_INPUT!A1689)</f>
        <v/>
      </c>
      <c r="B1688">
        <f>IF(RAW_INPUT!A1689="","",RAW_INPUT!E1689)</f>
        <v/>
      </c>
      <c r="C1688">
        <f>IF(RAW_INPUT!A1689="","",RAW_INPUT!F1689)</f>
        <v/>
      </c>
    </row>
    <row r="1689">
      <c r="A1689">
        <f>IF(RAW_INPUT!A1690="","",RAW_INPUT!A1690)</f>
        <v/>
      </c>
      <c r="B1689">
        <f>IF(RAW_INPUT!A1690="","",RAW_INPUT!E1690)</f>
        <v/>
      </c>
      <c r="C1689">
        <f>IF(RAW_INPUT!A1690="","",RAW_INPUT!F1690)</f>
        <v/>
      </c>
    </row>
    <row r="1690">
      <c r="A1690">
        <f>IF(RAW_INPUT!A1691="","",RAW_INPUT!A1691)</f>
        <v/>
      </c>
      <c r="B1690">
        <f>IF(RAW_INPUT!A1691="","",RAW_INPUT!E1691)</f>
        <v/>
      </c>
      <c r="C1690">
        <f>IF(RAW_INPUT!A1691="","",RAW_INPUT!F1691)</f>
        <v/>
      </c>
    </row>
    <row r="1691">
      <c r="A1691">
        <f>IF(RAW_INPUT!A1692="","",RAW_INPUT!A1692)</f>
        <v/>
      </c>
      <c r="B1691">
        <f>IF(RAW_INPUT!A1692="","",RAW_INPUT!E1692)</f>
        <v/>
      </c>
      <c r="C1691">
        <f>IF(RAW_INPUT!A1692="","",RAW_INPUT!F1692)</f>
        <v/>
      </c>
    </row>
    <row r="1692">
      <c r="A1692">
        <f>IF(RAW_INPUT!A1693="","",RAW_INPUT!A1693)</f>
        <v/>
      </c>
      <c r="B1692">
        <f>IF(RAW_INPUT!A1693="","",RAW_INPUT!E1693)</f>
        <v/>
      </c>
      <c r="C1692">
        <f>IF(RAW_INPUT!A1693="","",RAW_INPUT!F1693)</f>
        <v/>
      </c>
    </row>
    <row r="1693">
      <c r="A1693">
        <f>IF(RAW_INPUT!A1694="","",RAW_INPUT!A1694)</f>
        <v/>
      </c>
      <c r="B1693">
        <f>IF(RAW_INPUT!A1694="","",RAW_INPUT!E1694)</f>
        <v/>
      </c>
      <c r="C1693">
        <f>IF(RAW_INPUT!A1694="","",RAW_INPUT!F1694)</f>
        <v/>
      </c>
    </row>
    <row r="1694">
      <c r="A1694">
        <f>IF(RAW_INPUT!A1695="","",RAW_INPUT!A1695)</f>
        <v/>
      </c>
      <c r="B1694">
        <f>IF(RAW_INPUT!A1695="","",RAW_INPUT!E1695)</f>
        <v/>
      </c>
      <c r="C1694">
        <f>IF(RAW_INPUT!A1695="","",RAW_INPUT!F1695)</f>
        <v/>
      </c>
    </row>
    <row r="1695">
      <c r="A1695">
        <f>IF(RAW_INPUT!A1696="","",RAW_INPUT!A1696)</f>
        <v/>
      </c>
      <c r="B1695">
        <f>IF(RAW_INPUT!A1696="","",RAW_INPUT!E1696)</f>
        <v/>
      </c>
      <c r="C1695">
        <f>IF(RAW_INPUT!A1696="","",RAW_INPUT!F1696)</f>
        <v/>
      </c>
    </row>
    <row r="1696">
      <c r="A1696">
        <f>IF(RAW_INPUT!A1697="","",RAW_INPUT!A1697)</f>
        <v/>
      </c>
      <c r="B1696">
        <f>IF(RAW_INPUT!A1697="","",RAW_INPUT!E1697)</f>
        <v/>
      </c>
      <c r="C1696">
        <f>IF(RAW_INPUT!A1697="","",RAW_INPUT!F1697)</f>
        <v/>
      </c>
    </row>
    <row r="1697">
      <c r="A1697">
        <f>IF(RAW_INPUT!A1698="","",RAW_INPUT!A1698)</f>
        <v/>
      </c>
      <c r="B1697">
        <f>IF(RAW_INPUT!A1698="","",RAW_INPUT!E1698)</f>
        <v/>
      </c>
      <c r="C1697">
        <f>IF(RAW_INPUT!A1698="","",RAW_INPUT!F1698)</f>
        <v/>
      </c>
    </row>
    <row r="1698">
      <c r="A1698">
        <f>IF(RAW_INPUT!A1699="","",RAW_INPUT!A1699)</f>
        <v/>
      </c>
      <c r="B1698">
        <f>IF(RAW_INPUT!A1699="","",RAW_INPUT!E1699)</f>
        <v/>
      </c>
      <c r="C1698">
        <f>IF(RAW_INPUT!A1699="","",RAW_INPUT!F1699)</f>
        <v/>
      </c>
    </row>
    <row r="1699">
      <c r="A1699">
        <f>IF(RAW_INPUT!A1700="","",RAW_INPUT!A1700)</f>
        <v/>
      </c>
      <c r="B1699">
        <f>IF(RAW_INPUT!A1700="","",RAW_INPUT!E1700)</f>
        <v/>
      </c>
      <c r="C1699">
        <f>IF(RAW_INPUT!A1700="","",RAW_INPUT!F1700)</f>
        <v/>
      </c>
    </row>
    <row r="1700">
      <c r="A1700">
        <f>IF(RAW_INPUT!A1701="","",RAW_INPUT!A1701)</f>
        <v/>
      </c>
      <c r="B1700">
        <f>IF(RAW_INPUT!A1701="","",RAW_INPUT!E1701)</f>
        <v/>
      </c>
      <c r="C1700">
        <f>IF(RAW_INPUT!A1701="","",RAW_INPUT!F1701)</f>
        <v/>
      </c>
    </row>
    <row r="1701">
      <c r="A1701">
        <f>IF(RAW_INPUT!A1702="","",RAW_INPUT!A1702)</f>
        <v/>
      </c>
      <c r="B1701">
        <f>IF(RAW_INPUT!A1702="","",RAW_INPUT!E1702)</f>
        <v/>
      </c>
      <c r="C1701">
        <f>IF(RAW_INPUT!A1702="","",RAW_INPUT!F1702)</f>
        <v/>
      </c>
    </row>
    <row r="1702">
      <c r="A1702">
        <f>IF(RAW_INPUT!A1703="","",RAW_INPUT!A1703)</f>
        <v/>
      </c>
      <c r="B1702">
        <f>IF(RAW_INPUT!A1703="","",RAW_INPUT!E1703)</f>
        <v/>
      </c>
      <c r="C1702">
        <f>IF(RAW_INPUT!A1703="","",RAW_INPUT!F1703)</f>
        <v/>
      </c>
    </row>
    <row r="1703">
      <c r="A1703">
        <f>IF(RAW_INPUT!A1704="","",RAW_INPUT!A1704)</f>
        <v/>
      </c>
      <c r="B1703">
        <f>IF(RAW_INPUT!A1704="","",RAW_INPUT!E1704)</f>
        <v/>
      </c>
      <c r="C1703">
        <f>IF(RAW_INPUT!A1704="","",RAW_INPUT!F1704)</f>
        <v/>
      </c>
    </row>
    <row r="1704">
      <c r="A1704">
        <f>IF(RAW_INPUT!A1705="","",RAW_INPUT!A1705)</f>
        <v/>
      </c>
      <c r="B1704">
        <f>IF(RAW_INPUT!A1705="","",RAW_INPUT!E1705)</f>
        <v/>
      </c>
      <c r="C1704">
        <f>IF(RAW_INPUT!A1705="","",RAW_INPUT!F1705)</f>
        <v/>
      </c>
    </row>
    <row r="1705">
      <c r="A1705">
        <f>IF(RAW_INPUT!A1706="","",RAW_INPUT!A1706)</f>
        <v/>
      </c>
      <c r="B1705">
        <f>IF(RAW_INPUT!A1706="","",RAW_INPUT!E1706)</f>
        <v/>
      </c>
      <c r="C1705">
        <f>IF(RAW_INPUT!A1706="","",RAW_INPUT!F1706)</f>
        <v/>
      </c>
    </row>
    <row r="1706">
      <c r="A1706">
        <f>IF(RAW_INPUT!A1707="","",RAW_INPUT!A1707)</f>
        <v/>
      </c>
      <c r="B1706">
        <f>IF(RAW_INPUT!A1707="","",RAW_INPUT!E1707)</f>
        <v/>
      </c>
      <c r="C1706">
        <f>IF(RAW_INPUT!A1707="","",RAW_INPUT!F1707)</f>
        <v/>
      </c>
    </row>
    <row r="1707">
      <c r="A1707">
        <f>IF(RAW_INPUT!A1708="","",RAW_INPUT!A1708)</f>
        <v/>
      </c>
      <c r="B1707">
        <f>IF(RAW_INPUT!A1708="","",RAW_INPUT!E1708)</f>
        <v/>
      </c>
      <c r="C1707">
        <f>IF(RAW_INPUT!A1708="","",RAW_INPUT!F1708)</f>
        <v/>
      </c>
    </row>
    <row r="1708">
      <c r="A1708">
        <f>IF(RAW_INPUT!A1709="","",RAW_INPUT!A1709)</f>
        <v/>
      </c>
      <c r="B1708">
        <f>IF(RAW_INPUT!A1709="","",RAW_INPUT!E1709)</f>
        <v/>
      </c>
      <c r="C1708">
        <f>IF(RAW_INPUT!A1709="","",RAW_INPUT!F1709)</f>
        <v/>
      </c>
    </row>
    <row r="1709">
      <c r="A1709">
        <f>IF(RAW_INPUT!A1710="","",RAW_INPUT!A1710)</f>
        <v/>
      </c>
      <c r="B1709">
        <f>IF(RAW_INPUT!A1710="","",RAW_INPUT!E1710)</f>
        <v/>
      </c>
      <c r="C1709">
        <f>IF(RAW_INPUT!A1710="","",RAW_INPUT!F1710)</f>
        <v/>
      </c>
    </row>
    <row r="1710">
      <c r="A1710">
        <f>IF(RAW_INPUT!A1711="","",RAW_INPUT!A1711)</f>
        <v/>
      </c>
      <c r="B1710">
        <f>IF(RAW_INPUT!A1711="","",RAW_INPUT!E1711)</f>
        <v/>
      </c>
      <c r="C1710">
        <f>IF(RAW_INPUT!A1711="","",RAW_INPUT!F1711)</f>
        <v/>
      </c>
    </row>
    <row r="1711">
      <c r="A1711">
        <f>IF(RAW_INPUT!A1712="","",RAW_INPUT!A1712)</f>
        <v/>
      </c>
      <c r="B1711">
        <f>IF(RAW_INPUT!A1712="","",RAW_INPUT!E1712)</f>
        <v/>
      </c>
      <c r="C1711">
        <f>IF(RAW_INPUT!A1712="","",RAW_INPUT!F1712)</f>
        <v/>
      </c>
    </row>
    <row r="1712">
      <c r="A1712">
        <f>IF(RAW_INPUT!A1713="","",RAW_INPUT!A1713)</f>
        <v/>
      </c>
      <c r="B1712">
        <f>IF(RAW_INPUT!A1713="","",RAW_INPUT!E1713)</f>
        <v/>
      </c>
      <c r="C1712">
        <f>IF(RAW_INPUT!A1713="","",RAW_INPUT!F1713)</f>
        <v/>
      </c>
    </row>
    <row r="1713">
      <c r="A1713">
        <f>IF(RAW_INPUT!A1714="","",RAW_INPUT!A1714)</f>
        <v/>
      </c>
      <c r="B1713">
        <f>IF(RAW_INPUT!A1714="","",RAW_INPUT!E1714)</f>
        <v/>
      </c>
      <c r="C1713">
        <f>IF(RAW_INPUT!A1714="","",RAW_INPUT!F1714)</f>
        <v/>
      </c>
    </row>
    <row r="1714">
      <c r="A1714">
        <f>IF(RAW_INPUT!A1715="","",RAW_INPUT!A1715)</f>
        <v/>
      </c>
      <c r="B1714">
        <f>IF(RAW_INPUT!A1715="","",RAW_INPUT!E1715)</f>
        <v/>
      </c>
      <c r="C1714">
        <f>IF(RAW_INPUT!A1715="","",RAW_INPUT!F1715)</f>
        <v/>
      </c>
    </row>
    <row r="1715">
      <c r="A1715">
        <f>IF(RAW_INPUT!A1716="","",RAW_INPUT!A1716)</f>
        <v/>
      </c>
      <c r="B1715">
        <f>IF(RAW_INPUT!A1716="","",RAW_INPUT!E1716)</f>
        <v/>
      </c>
      <c r="C1715">
        <f>IF(RAW_INPUT!A1716="","",RAW_INPUT!F1716)</f>
        <v/>
      </c>
    </row>
    <row r="1716">
      <c r="A1716">
        <f>IF(RAW_INPUT!A1717="","",RAW_INPUT!A1717)</f>
        <v/>
      </c>
      <c r="B1716">
        <f>IF(RAW_INPUT!A1717="","",RAW_INPUT!E1717)</f>
        <v/>
      </c>
      <c r="C1716">
        <f>IF(RAW_INPUT!A1717="","",RAW_INPUT!F1717)</f>
        <v/>
      </c>
    </row>
    <row r="1717">
      <c r="A1717">
        <f>IF(RAW_INPUT!A1718="","",RAW_INPUT!A1718)</f>
        <v/>
      </c>
      <c r="B1717">
        <f>IF(RAW_INPUT!A1718="","",RAW_INPUT!E1718)</f>
        <v/>
      </c>
      <c r="C1717">
        <f>IF(RAW_INPUT!A1718="","",RAW_INPUT!F1718)</f>
        <v/>
      </c>
    </row>
    <row r="1718">
      <c r="A1718">
        <f>IF(RAW_INPUT!A1719="","",RAW_INPUT!A1719)</f>
        <v/>
      </c>
      <c r="B1718">
        <f>IF(RAW_INPUT!A1719="","",RAW_INPUT!E1719)</f>
        <v/>
      </c>
      <c r="C1718">
        <f>IF(RAW_INPUT!A1719="","",RAW_INPUT!F1719)</f>
        <v/>
      </c>
    </row>
    <row r="1719">
      <c r="A1719">
        <f>IF(RAW_INPUT!A1720="","",RAW_INPUT!A1720)</f>
        <v/>
      </c>
      <c r="B1719">
        <f>IF(RAW_INPUT!A1720="","",RAW_INPUT!E1720)</f>
        <v/>
      </c>
      <c r="C1719">
        <f>IF(RAW_INPUT!A1720="","",RAW_INPUT!F1720)</f>
        <v/>
      </c>
    </row>
    <row r="1720">
      <c r="A1720">
        <f>IF(RAW_INPUT!A1721="","",RAW_INPUT!A1721)</f>
        <v/>
      </c>
      <c r="B1720">
        <f>IF(RAW_INPUT!A1721="","",RAW_INPUT!E1721)</f>
        <v/>
      </c>
      <c r="C1720">
        <f>IF(RAW_INPUT!A1721="","",RAW_INPUT!F1721)</f>
        <v/>
      </c>
    </row>
    <row r="1721">
      <c r="A1721">
        <f>IF(RAW_INPUT!A1722="","",RAW_INPUT!A1722)</f>
        <v/>
      </c>
      <c r="B1721">
        <f>IF(RAW_INPUT!A1722="","",RAW_INPUT!E1722)</f>
        <v/>
      </c>
      <c r="C1721">
        <f>IF(RAW_INPUT!A1722="","",RAW_INPUT!F1722)</f>
        <v/>
      </c>
    </row>
    <row r="1722">
      <c r="A1722">
        <f>IF(RAW_INPUT!A1723="","",RAW_INPUT!A1723)</f>
        <v/>
      </c>
      <c r="B1722">
        <f>IF(RAW_INPUT!A1723="","",RAW_INPUT!E1723)</f>
        <v/>
      </c>
      <c r="C1722">
        <f>IF(RAW_INPUT!A1723="","",RAW_INPUT!F1723)</f>
        <v/>
      </c>
    </row>
    <row r="1723">
      <c r="A1723">
        <f>IF(RAW_INPUT!A1724="","",RAW_INPUT!A1724)</f>
        <v/>
      </c>
      <c r="B1723">
        <f>IF(RAW_INPUT!A1724="","",RAW_INPUT!E1724)</f>
        <v/>
      </c>
      <c r="C1723">
        <f>IF(RAW_INPUT!A1724="","",RAW_INPUT!F1724)</f>
        <v/>
      </c>
    </row>
    <row r="1724">
      <c r="A1724">
        <f>IF(RAW_INPUT!A1725="","",RAW_INPUT!A1725)</f>
        <v/>
      </c>
      <c r="B1724">
        <f>IF(RAW_INPUT!A1725="","",RAW_INPUT!E1725)</f>
        <v/>
      </c>
      <c r="C1724">
        <f>IF(RAW_INPUT!A1725="","",RAW_INPUT!F1725)</f>
        <v/>
      </c>
    </row>
    <row r="1725">
      <c r="A1725">
        <f>IF(RAW_INPUT!A1726="","",RAW_INPUT!A1726)</f>
        <v/>
      </c>
      <c r="B1725">
        <f>IF(RAW_INPUT!A1726="","",RAW_INPUT!E1726)</f>
        <v/>
      </c>
      <c r="C1725">
        <f>IF(RAW_INPUT!A1726="","",RAW_INPUT!F1726)</f>
        <v/>
      </c>
    </row>
    <row r="1726">
      <c r="A1726">
        <f>IF(RAW_INPUT!A1727="","",RAW_INPUT!A1727)</f>
        <v/>
      </c>
      <c r="B1726">
        <f>IF(RAW_INPUT!A1727="","",RAW_INPUT!E1727)</f>
        <v/>
      </c>
      <c r="C1726">
        <f>IF(RAW_INPUT!A1727="","",RAW_INPUT!F1727)</f>
        <v/>
      </c>
    </row>
    <row r="1727">
      <c r="A1727">
        <f>IF(RAW_INPUT!A1728="","",RAW_INPUT!A1728)</f>
        <v/>
      </c>
      <c r="B1727">
        <f>IF(RAW_INPUT!A1728="","",RAW_INPUT!E1728)</f>
        <v/>
      </c>
      <c r="C1727">
        <f>IF(RAW_INPUT!A1728="","",RAW_INPUT!F1728)</f>
        <v/>
      </c>
    </row>
    <row r="1728">
      <c r="A1728">
        <f>IF(RAW_INPUT!A1729="","",RAW_INPUT!A1729)</f>
        <v/>
      </c>
      <c r="B1728">
        <f>IF(RAW_INPUT!A1729="","",RAW_INPUT!E1729)</f>
        <v/>
      </c>
      <c r="C1728">
        <f>IF(RAW_INPUT!A1729="","",RAW_INPUT!F1729)</f>
        <v/>
      </c>
    </row>
    <row r="1729">
      <c r="A1729">
        <f>IF(RAW_INPUT!A1730="","",RAW_INPUT!A1730)</f>
        <v/>
      </c>
      <c r="B1729">
        <f>IF(RAW_INPUT!A1730="","",RAW_INPUT!E1730)</f>
        <v/>
      </c>
      <c r="C1729">
        <f>IF(RAW_INPUT!A1730="","",RAW_INPUT!F1730)</f>
        <v/>
      </c>
    </row>
    <row r="1730">
      <c r="A1730">
        <f>IF(RAW_INPUT!A1731="","",RAW_INPUT!A1731)</f>
        <v/>
      </c>
      <c r="B1730">
        <f>IF(RAW_INPUT!A1731="","",RAW_INPUT!E1731)</f>
        <v/>
      </c>
      <c r="C1730">
        <f>IF(RAW_INPUT!A1731="","",RAW_INPUT!F1731)</f>
        <v/>
      </c>
    </row>
    <row r="1731">
      <c r="A1731">
        <f>IF(RAW_INPUT!A1732="","",RAW_INPUT!A1732)</f>
        <v/>
      </c>
      <c r="B1731">
        <f>IF(RAW_INPUT!A1732="","",RAW_INPUT!E1732)</f>
        <v/>
      </c>
      <c r="C1731">
        <f>IF(RAW_INPUT!A1732="","",RAW_INPUT!F1732)</f>
        <v/>
      </c>
    </row>
    <row r="1732">
      <c r="A1732">
        <f>IF(RAW_INPUT!A1733="","",RAW_INPUT!A1733)</f>
        <v/>
      </c>
      <c r="B1732">
        <f>IF(RAW_INPUT!A1733="","",RAW_INPUT!E1733)</f>
        <v/>
      </c>
      <c r="C1732">
        <f>IF(RAW_INPUT!A1733="","",RAW_INPUT!F1733)</f>
        <v/>
      </c>
    </row>
    <row r="1733">
      <c r="A1733">
        <f>IF(RAW_INPUT!A1734="","",RAW_INPUT!A1734)</f>
        <v/>
      </c>
      <c r="B1733">
        <f>IF(RAW_INPUT!A1734="","",RAW_INPUT!E1734)</f>
        <v/>
      </c>
      <c r="C1733">
        <f>IF(RAW_INPUT!A1734="","",RAW_INPUT!F1734)</f>
        <v/>
      </c>
    </row>
    <row r="1734">
      <c r="A1734">
        <f>IF(RAW_INPUT!A1735="","",RAW_INPUT!A1735)</f>
        <v/>
      </c>
      <c r="B1734">
        <f>IF(RAW_INPUT!A1735="","",RAW_INPUT!E1735)</f>
        <v/>
      </c>
      <c r="C1734">
        <f>IF(RAW_INPUT!A1735="","",RAW_INPUT!F1735)</f>
        <v/>
      </c>
    </row>
    <row r="1735">
      <c r="A1735">
        <f>IF(RAW_INPUT!A1736="","",RAW_INPUT!A1736)</f>
        <v/>
      </c>
      <c r="B1735">
        <f>IF(RAW_INPUT!A1736="","",RAW_INPUT!E1736)</f>
        <v/>
      </c>
      <c r="C1735">
        <f>IF(RAW_INPUT!A1736="","",RAW_INPUT!F1736)</f>
        <v/>
      </c>
    </row>
    <row r="1736">
      <c r="A1736">
        <f>IF(RAW_INPUT!A1737="","",RAW_INPUT!A1737)</f>
        <v/>
      </c>
      <c r="B1736">
        <f>IF(RAW_INPUT!A1737="","",RAW_INPUT!E1737)</f>
        <v/>
      </c>
      <c r="C1736">
        <f>IF(RAW_INPUT!A1737="","",RAW_INPUT!F1737)</f>
        <v/>
      </c>
    </row>
    <row r="1737">
      <c r="A1737">
        <f>IF(RAW_INPUT!A1738="","",RAW_INPUT!A1738)</f>
        <v/>
      </c>
      <c r="B1737">
        <f>IF(RAW_INPUT!A1738="","",RAW_INPUT!E1738)</f>
        <v/>
      </c>
      <c r="C1737">
        <f>IF(RAW_INPUT!A1738="","",RAW_INPUT!F1738)</f>
        <v/>
      </c>
    </row>
    <row r="1738">
      <c r="A1738">
        <f>IF(RAW_INPUT!A1739="","",RAW_INPUT!A1739)</f>
        <v/>
      </c>
      <c r="B1738">
        <f>IF(RAW_INPUT!A1739="","",RAW_INPUT!E1739)</f>
        <v/>
      </c>
      <c r="C1738">
        <f>IF(RAW_INPUT!A1739="","",RAW_INPUT!F1739)</f>
        <v/>
      </c>
    </row>
    <row r="1739">
      <c r="A1739">
        <f>IF(RAW_INPUT!A1740="","",RAW_INPUT!A1740)</f>
        <v/>
      </c>
      <c r="B1739">
        <f>IF(RAW_INPUT!A1740="","",RAW_INPUT!E1740)</f>
        <v/>
      </c>
      <c r="C1739">
        <f>IF(RAW_INPUT!A1740="","",RAW_INPUT!F1740)</f>
        <v/>
      </c>
    </row>
    <row r="1740">
      <c r="A1740">
        <f>IF(RAW_INPUT!A1741="","",RAW_INPUT!A1741)</f>
        <v/>
      </c>
      <c r="B1740">
        <f>IF(RAW_INPUT!A1741="","",RAW_INPUT!E1741)</f>
        <v/>
      </c>
      <c r="C1740">
        <f>IF(RAW_INPUT!A1741="","",RAW_INPUT!F1741)</f>
        <v/>
      </c>
    </row>
    <row r="1741">
      <c r="A1741">
        <f>IF(RAW_INPUT!A1742="","",RAW_INPUT!A1742)</f>
        <v/>
      </c>
      <c r="B1741">
        <f>IF(RAW_INPUT!A1742="","",RAW_INPUT!E1742)</f>
        <v/>
      </c>
      <c r="C1741">
        <f>IF(RAW_INPUT!A1742="","",RAW_INPUT!F1742)</f>
        <v/>
      </c>
    </row>
    <row r="1742">
      <c r="A1742">
        <f>IF(RAW_INPUT!A1743="","",RAW_INPUT!A1743)</f>
        <v/>
      </c>
      <c r="B1742">
        <f>IF(RAW_INPUT!A1743="","",RAW_INPUT!E1743)</f>
        <v/>
      </c>
      <c r="C1742">
        <f>IF(RAW_INPUT!A1743="","",RAW_INPUT!F1743)</f>
        <v/>
      </c>
    </row>
    <row r="1743">
      <c r="A1743">
        <f>IF(RAW_INPUT!A1744="","",RAW_INPUT!A1744)</f>
        <v/>
      </c>
      <c r="B1743">
        <f>IF(RAW_INPUT!A1744="","",RAW_INPUT!E1744)</f>
        <v/>
      </c>
      <c r="C1743">
        <f>IF(RAW_INPUT!A1744="","",RAW_INPUT!F1744)</f>
        <v/>
      </c>
    </row>
    <row r="1744">
      <c r="A1744">
        <f>IF(RAW_INPUT!A1745="","",RAW_INPUT!A1745)</f>
        <v/>
      </c>
      <c r="B1744">
        <f>IF(RAW_INPUT!A1745="","",RAW_INPUT!E1745)</f>
        <v/>
      </c>
      <c r="C1744">
        <f>IF(RAW_INPUT!A1745="","",RAW_INPUT!F1745)</f>
        <v/>
      </c>
    </row>
    <row r="1745">
      <c r="A1745">
        <f>IF(RAW_INPUT!A1746="","",RAW_INPUT!A1746)</f>
        <v/>
      </c>
      <c r="B1745">
        <f>IF(RAW_INPUT!A1746="","",RAW_INPUT!E1746)</f>
        <v/>
      </c>
      <c r="C1745">
        <f>IF(RAW_INPUT!A1746="","",RAW_INPUT!F1746)</f>
        <v/>
      </c>
    </row>
    <row r="1746">
      <c r="A1746">
        <f>IF(RAW_INPUT!A1747="","",RAW_INPUT!A1747)</f>
        <v/>
      </c>
      <c r="B1746">
        <f>IF(RAW_INPUT!A1747="","",RAW_INPUT!E1747)</f>
        <v/>
      </c>
      <c r="C1746">
        <f>IF(RAW_INPUT!A1747="","",RAW_INPUT!F1747)</f>
        <v/>
      </c>
    </row>
    <row r="1747">
      <c r="A1747">
        <f>IF(RAW_INPUT!A1748="","",RAW_INPUT!A1748)</f>
        <v/>
      </c>
      <c r="B1747">
        <f>IF(RAW_INPUT!A1748="","",RAW_INPUT!E1748)</f>
        <v/>
      </c>
      <c r="C1747">
        <f>IF(RAW_INPUT!A1748="","",RAW_INPUT!F1748)</f>
        <v/>
      </c>
    </row>
    <row r="1748">
      <c r="A1748">
        <f>IF(RAW_INPUT!A1749="","",RAW_INPUT!A1749)</f>
        <v/>
      </c>
      <c r="B1748">
        <f>IF(RAW_INPUT!A1749="","",RAW_INPUT!E1749)</f>
        <v/>
      </c>
      <c r="C1748">
        <f>IF(RAW_INPUT!A1749="","",RAW_INPUT!F1749)</f>
        <v/>
      </c>
    </row>
    <row r="1749">
      <c r="A1749">
        <f>IF(RAW_INPUT!A1750="","",RAW_INPUT!A1750)</f>
        <v/>
      </c>
      <c r="B1749">
        <f>IF(RAW_INPUT!A1750="","",RAW_INPUT!E1750)</f>
        <v/>
      </c>
      <c r="C1749">
        <f>IF(RAW_INPUT!A1750="","",RAW_INPUT!F1750)</f>
        <v/>
      </c>
    </row>
    <row r="1750">
      <c r="A1750">
        <f>IF(RAW_INPUT!A1751="","",RAW_INPUT!A1751)</f>
        <v/>
      </c>
      <c r="B1750">
        <f>IF(RAW_INPUT!A1751="","",RAW_INPUT!E1751)</f>
        <v/>
      </c>
      <c r="C1750">
        <f>IF(RAW_INPUT!A1751="","",RAW_INPUT!F1751)</f>
        <v/>
      </c>
    </row>
    <row r="1751">
      <c r="A1751">
        <f>IF(RAW_INPUT!A1752="","",RAW_INPUT!A1752)</f>
        <v/>
      </c>
      <c r="B1751">
        <f>IF(RAW_INPUT!A1752="","",RAW_INPUT!E1752)</f>
        <v/>
      </c>
      <c r="C1751">
        <f>IF(RAW_INPUT!A1752="","",RAW_INPUT!F1752)</f>
        <v/>
      </c>
    </row>
    <row r="1752">
      <c r="A1752">
        <f>IF(RAW_INPUT!A1753="","",RAW_INPUT!A1753)</f>
        <v/>
      </c>
      <c r="B1752">
        <f>IF(RAW_INPUT!A1753="","",RAW_INPUT!E1753)</f>
        <v/>
      </c>
      <c r="C1752">
        <f>IF(RAW_INPUT!A1753="","",RAW_INPUT!F1753)</f>
        <v/>
      </c>
    </row>
    <row r="1753">
      <c r="A1753">
        <f>IF(RAW_INPUT!A1754="","",RAW_INPUT!A1754)</f>
        <v/>
      </c>
      <c r="B1753">
        <f>IF(RAW_INPUT!A1754="","",RAW_INPUT!E1754)</f>
        <v/>
      </c>
      <c r="C1753">
        <f>IF(RAW_INPUT!A1754="","",RAW_INPUT!F1754)</f>
        <v/>
      </c>
    </row>
    <row r="1754">
      <c r="A1754">
        <f>IF(RAW_INPUT!A1755="","",RAW_INPUT!A1755)</f>
        <v/>
      </c>
      <c r="B1754">
        <f>IF(RAW_INPUT!A1755="","",RAW_INPUT!E1755)</f>
        <v/>
      </c>
      <c r="C1754">
        <f>IF(RAW_INPUT!A1755="","",RAW_INPUT!F1755)</f>
        <v/>
      </c>
    </row>
    <row r="1755">
      <c r="A1755">
        <f>IF(RAW_INPUT!A1756="","",RAW_INPUT!A1756)</f>
        <v/>
      </c>
      <c r="B1755">
        <f>IF(RAW_INPUT!A1756="","",RAW_INPUT!E1756)</f>
        <v/>
      </c>
      <c r="C1755">
        <f>IF(RAW_INPUT!A1756="","",RAW_INPUT!F1756)</f>
        <v/>
      </c>
    </row>
    <row r="1756">
      <c r="A1756">
        <f>IF(RAW_INPUT!A1757="","",RAW_INPUT!A1757)</f>
        <v/>
      </c>
      <c r="B1756">
        <f>IF(RAW_INPUT!A1757="","",RAW_INPUT!E1757)</f>
        <v/>
      </c>
      <c r="C1756">
        <f>IF(RAW_INPUT!A1757="","",RAW_INPUT!F1757)</f>
        <v/>
      </c>
    </row>
    <row r="1757">
      <c r="A1757">
        <f>IF(RAW_INPUT!A1758="","",RAW_INPUT!A1758)</f>
        <v/>
      </c>
      <c r="B1757">
        <f>IF(RAW_INPUT!A1758="","",RAW_INPUT!E1758)</f>
        <v/>
      </c>
      <c r="C1757">
        <f>IF(RAW_INPUT!A1758="","",RAW_INPUT!F1758)</f>
        <v/>
      </c>
    </row>
    <row r="1758">
      <c r="A1758">
        <f>IF(RAW_INPUT!A1759="","",RAW_INPUT!A1759)</f>
        <v/>
      </c>
      <c r="B1758">
        <f>IF(RAW_INPUT!A1759="","",RAW_INPUT!E1759)</f>
        <v/>
      </c>
      <c r="C1758">
        <f>IF(RAW_INPUT!A1759="","",RAW_INPUT!F1759)</f>
        <v/>
      </c>
    </row>
    <row r="1759">
      <c r="A1759">
        <f>IF(RAW_INPUT!A1760="","",RAW_INPUT!A1760)</f>
        <v/>
      </c>
      <c r="B1759">
        <f>IF(RAW_INPUT!A1760="","",RAW_INPUT!E1760)</f>
        <v/>
      </c>
      <c r="C1759">
        <f>IF(RAW_INPUT!A1760="","",RAW_INPUT!F1760)</f>
        <v/>
      </c>
    </row>
    <row r="1760">
      <c r="A1760">
        <f>IF(RAW_INPUT!A1761="","",RAW_INPUT!A1761)</f>
        <v/>
      </c>
      <c r="B1760">
        <f>IF(RAW_INPUT!A1761="","",RAW_INPUT!E1761)</f>
        <v/>
      </c>
      <c r="C1760">
        <f>IF(RAW_INPUT!A1761="","",RAW_INPUT!F1761)</f>
        <v/>
      </c>
    </row>
    <row r="1761">
      <c r="A1761">
        <f>IF(RAW_INPUT!A1762="","",RAW_INPUT!A1762)</f>
        <v/>
      </c>
      <c r="B1761">
        <f>IF(RAW_INPUT!A1762="","",RAW_INPUT!E1762)</f>
        <v/>
      </c>
      <c r="C1761">
        <f>IF(RAW_INPUT!A1762="","",RAW_INPUT!F1762)</f>
        <v/>
      </c>
    </row>
    <row r="1762">
      <c r="A1762">
        <f>IF(RAW_INPUT!A1763="","",RAW_INPUT!A1763)</f>
        <v/>
      </c>
      <c r="B1762">
        <f>IF(RAW_INPUT!A1763="","",RAW_INPUT!E1763)</f>
        <v/>
      </c>
      <c r="C1762">
        <f>IF(RAW_INPUT!A1763="","",RAW_INPUT!F1763)</f>
        <v/>
      </c>
    </row>
    <row r="1763">
      <c r="A1763">
        <f>IF(RAW_INPUT!A1764="","",RAW_INPUT!A1764)</f>
        <v/>
      </c>
      <c r="B1763">
        <f>IF(RAW_INPUT!A1764="","",RAW_INPUT!E1764)</f>
        <v/>
      </c>
      <c r="C1763">
        <f>IF(RAW_INPUT!A1764="","",RAW_INPUT!F1764)</f>
        <v/>
      </c>
    </row>
    <row r="1764">
      <c r="A1764">
        <f>IF(RAW_INPUT!A1765="","",RAW_INPUT!A1765)</f>
        <v/>
      </c>
      <c r="B1764">
        <f>IF(RAW_INPUT!A1765="","",RAW_INPUT!E1765)</f>
        <v/>
      </c>
      <c r="C1764">
        <f>IF(RAW_INPUT!A1765="","",RAW_INPUT!F1765)</f>
        <v/>
      </c>
    </row>
    <row r="1765">
      <c r="A1765">
        <f>IF(RAW_INPUT!A1766="","",RAW_INPUT!A1766)</f>
        <v/>
      </c>
      <c r="B1765">
        <f>IF(RAW_INPUT!A1766="","",RAW_INPUT!E1766)</f>
        <v/>
      </c>
      <c r="C1765">
        <f>IF(RAW_INPUT!A1766="","",RAW_INPUT!F1766)</f>
        <v/>
      </c>
    </row>
    <row r="1766">
      <c r="A1766">
        <f>IF(RAW_INPUT!A1767="","",RAW_INPUT!A1767)</f>
        <v/>
      </c>
      <c r="B1766">
        <f>IF(RAW_INPUT!A1767="","",RAW_INPUT!E1767)</f>
        <v/>
      </c>
      <c r="C1766">
        <f>IF(RAW_INPUT!A1767="","",RAW_INPUT!F1767)</f>
        <v/>
      </c>
    </row>
    <row r="1767">
      <c r="A1767">
        <f>IF(RAW_INPUT!A1768="","",RAW_INPUT!A1768)</f>
        <v/>
      </c>
      <c r="B1767">
        <f>IF(RAW_INPUT!A1768="","",RAW_INPUT!E1768)</f>
        <v/>
      </c>
      <c r="C1767">
        <f>IF(RAW_INPUT!A1768="","",RAW_INPUT!F1768)</f>
        <v/>
      </c>
    </row>
    <row r="1768">
      <c r="A1768">
        <f>IF(RAW_INPUT!A1769="","",RAW_INPUT!A1769)</f>
        <v/>
      </c>
      <c r="B1768">
        <f>IF(RAW_INPUT!A1769="","",RAW_INPUT!E1769)</f>
        <v/>
      </c>
      <c r="C1768">
        <f>IF(RAW_INPUT!A1769="","",RAW_INPUT!F1769)</f>
        <v/>
      </c>
    </row>
    <row r="1769">
      <c r="A1769">
        <f>IF(RAW_INPUT!A1770="","",RAW_INPUT!A1770)</f>
        <v/>
      </c>
      <c r="B1769">
        <f>IF(RAW_INPUT!A1770="","",RAW_INPUT!E1770)</f>
        <v/>
      </c>
      <c r="C1769">
        <f>IF(RAW_INPUT!A1770="","",RAW_INPUT!F1770)</f>
        <v/>
      </c>
    </row>
    <row r="1770">
      <c r="A1770">
        <f>IF(RAW_INPUT!A1771="","",RAW_INPUT!A1771)</f>
        <v/>
      </c>
      <c r="B1770">
        <f>IF(RAW_INPUT!A1771="","",RAW_INPUT!E1771)</f>
        <v/>
      </c>
      <c r="C1770">
        <f>IF(RAW_INPUT!A1771="","",RAW_INPUT!F1771)</f>
        <v/>
      </c>
    </row>
    <row r="1771">
      <c r="A1771">
        <f>IF(RAW_INPUT!A1772="","",RAW_INPUT!A1772)</f>
        <v/>
      </c>
      <c r="B1771">
        <f>IF(RAW_INPUT!A1772="","",RAW_INPUT!E1772)</f>
        <v/>
      </c>
      <c r="C1771">
        <f>IF(RAW_INPUT!A1772="","",RAW_INPUT!F1772)</f>
        <v/>
      </c>
    </row>
    <row r="1772">
      <c r="A1772">
        <f>IF(RAW_INPUT!A1773="","",RAW_INPUT!A1773)</f>
        <v/>
      </c>
      <c r="B1772">
        <f>IF(RAW_INPUT!A1773="","",RAW_INPUT!E1773)</f>
        <v/>
      </c>
      <c r="C1772">
        <f>IF(RAW_INPUT!A1773="","",RAW_INPUT!F1773)</f>
        <v/>
      </c>
    </row>
    <row r="1773">
      <c r="A1773">
        <f>IF(RAW_INPUT!A1774="","",RAW_INPUT!A1774)</f>
        <v/>
      </c>
      <c r="B1773">
        <f>IF(RAW_INPUT!A1774="","",RAW_INPUT!E1774)</f>
        <v/>
      </c>
      <c r="C1773">
        <f>IF(RAW_INPUT!A1774="","",RAW_INPUT!F1774)</f>
        <v/>
      </c>
    </row>
    <row r="1774">
      <c r="A1774">
        <f>IF(RAW_INPUT!A1775="","",RAW_INPUT!A1775)</f>
        <v/>
      </c>
      <c r="B1774">
        <f>IF(RAW_INPUT!A1775="","",RAW_INPUT!E1775)</f>
        <v/>
      </c>
      <c r="C1774">
        <f>IF(RAW_INPUT!A1775="","",RAW_INPUT!F1775)</f>
        <v/>
      </c>
    </row>
    <row r="1775">
      <c r="A1775">
        <f>IF(RAW_INPUT!A1776="","",RAW_INPUT!A1776)</f>
        <v/>
      </c>
      <c r="B1775">
        <f>IF(RAW_INPUT!A1776="","",RAW_INPUT!E1776)</f>
        <v/>
      </c>
      <c r="C1775">
        <f>IF(RAW_INPUT!A1776="","",RAW_INPUT!F1776)</f>
        <v/>
      </c>
    </row>
    <row r="1776">
      <c r="A1776">
        <f>IF(RAW_INPUT!A1777="","",RAW_INPUT!A1777)</f>
        <v/>
      </c>
      <c r="B1776">
        <f>IF(RAW_INPUT!A1777="","",RAW_INPUT!E1777)</f>
        <v/>
      </c>
      <c r="C1776">
        <f>IF(RAW_INPUT!A1777="","",RAW_INPUT!F1777)</f>
        <v/>
      </c>
    </row>
    <row r="1777">
      <c r="A1777">
        <f>IF(RAW_INPUT!A1778="","",RAW_INPUT!A1778)</f>
        <v/>
      </c>
      <c r="B1777">
        <f>IF(RAW_INPUT!A1778="","",RAW_INPUT!E1778)</f>
        <v/>
      </c>
      <c r="C1777">
        <f>IF(RAW_INPUT!A1778="","",RAW_INPUT!F1778)</f>
        <v/>
      </c>
    </row>
    <row r="1778">
      <c r="A1778">
        <f>IF(RAW_INPUT!A1779="","",RAW_INPUT!A1779)</f>
        <v/>
      </c>
      <c r="B1778">
        <f>IF(RAW_INPUT!A1779="","",RAW_INPUT!E1779)</f>
        <v/>
      </c>
      <c r="C1778">
        <f>IF(RAW_INPUT!A1779="","",RAW_INPUT!F1779)</f>
        <v/>
      </c>
    </row>
    <row r="1779">
      <c r="A1779">
        <f>IF(RAW_INPUT!A1780="","",RAW_INPUT!A1780)</f>
        <v/>
      </c>
      <c r="B1779">
        <f>IF(RAW_INPUT!A1780="","",RAW_INPUT!E1780)</f>
        <v/>
      </c>
      <c r="C1779">
        <f>IF(RAW_INPUT!A1780="","",RAW_INPUT!F1780)</f>
        <v/>
      </c>
    </row>
    <row r="1780">
      <c r="A1780">
        <f>IF(RAW_INPUT!A1781="","",RAW_INPUT!A1781)</f>
        <v/>
      </c>
      <c r="B1780">
        <f>IF(RAW_INPUT!A1781="","",RAW_INPUT!E1781)</f>
        <v/>
      </c>
      <c r="C1780">
        <f>IF(RAW_INPUT!A1781="","",RAW_INPUT!F1781)</f>
        <v/>
      </c>
    </row>
    <row r="1781">
      <c r="A1781">
        <f>IF(RAW_INPUT!A1782="","",RAW_INPUT!A1782)</f>
        <v/>
      </c>
      <c r="B1781">
        <f>IF(RAW_INPUT!A1782="","",RAW_INPUT!E1782)</f>
        <v/>
      </c>
      <c r="C1781">
        <f>IF(RAW_INPUT!A1782="","",RAW_INPUT!F1782)</f>
        <v/>
      </c>
    </row>
    <row r="1782">
      <c r="A1782">
        <f>IF(RAW_INPUT!A1783="","",RAW_INPUT!A1783)</f>
        <v/>
      </c>
      <c r="B1782">
        <f>IF(RAW_INPUT!A1783="","",RAW_INPUT!E1783)</f>
        <v/>
      </c>
      <c r="C1782">
        <f>IF(RAW_INPUT!A1783="","",RAW_INPUT!F1783)</f>
        <v/>
      </c>
    </row>
    <row r="1783">
      <c r="A1783">
        <f>IF(RAW_INPUT!A1784="","",RAW_INPUT!A1784)</f>
        <v/>
      </c>
      <c r="B1783">
        <f>IF(RAW_INPUT!A1784="","",RAW_INPUT!E1784)</f>
        <v/>
      </c>
      <c r="C1783">
        <f>IF(RAW_INPUT!A1784="","",RAW_INPUT!F1784)</f>
        <v/>
      </c>
    </row>
    <row r="1784">
      <c r="A1784">
        <f>IF(RAW_INPUT!A1785="","",RAW_INPUT!A1785)</f>
        <v/>
      </c>
      <c r="B1784">
        <f>IF(RAW_INPUT!A1785="","",RAW_INPUT!E1785)</f>
        <v/>
      </c>
      <c r="C1784">
        <f>IF(RAW_INPUT!A1785="","",RAW_INPUT!F1785)</f>
        <v/>
      </c>
    </row>
    <row r="1785">
      <c r="A1785">
        <f>IF(RAW_INPUT!A1786="","",RAW_INPUT!A1786)</f>
        <v/>
      </c>
      <c r="B1785">
        <f>IF(RAW_INPUT!A1786="","",RAW_INPUT!E1786)</f>
        <v/>
      </c>
      <c r="C1785">
        <f>IF(RAW_INPUT!A1786="","",RAW_INPUT!F1786)</f>
        <v/>
      </c>
    </row>
    <row r="1786">
      <c r="A1786">
        <f>IF(RAW_INPUT!A1787="","",RAW_INPUT!A1787)</f>
        <v/>
      </c>
      <c r="B1786">
        <f>IF(RAW_INPUT!A1787="","",RAW_INPUT!E1787)</f>
        <v/>
      </c>
      <c r="C1786">
        <f>IF(RAW_INPUT!A1787="","",RAW_INPUT!F1787)</f>
        <v/>
      </c>
    </row>
    <row r="1787">
      <c r="A1787">
        <f>IF(RAW_INPUT!A1788="","",RAW_INPUT!A1788)</f>
        <v/>
      </c>
      <c r="B1787">
        <f>IF(RAW_INPUT!A1788="","",RAW_INPUT!E1788)</f>
        <v/>
      </c>
      <c r="C1787">
        <f>IF(RAW_INPUT!A1788="","",RAW_INPUT!F1788)</f>
        <v/>
      </c>
    </row>
    <row r="1788">
      <c r="A1788">
        <f>IF(RAW_INPUT!A1789="","",RAW_INPUT!A1789)</f>
        <v/>
      </c>
      <c r="B1788">
        <f>IF(RAW_INPUT!A1789="","",RAW_INPUT!E1789)</f>
        <v/>
      </c>
      <c r="C1788">
        <f>IF(RAW_INPUT!A1789="","",RAW_INPUT!F1789)</f>
        <v/>
      </c>
    </row>
    <row r="1789">
      <c r="A1789">
        <f>IF(RAW_INPUT!A1790="","",RAW_INPUT!A1790)</f>
        <v/>
      </c>
      <c r="B1789">
        <f>IF(RAW_INPUT!A1790="","",RAW_INPUT!E1790)</f>
        <v/>
      </c>
      <c r="C1789">
        <f>IF(RAW_INPUT!A1790="","",RAW_INPUT!F1790)</f>
        <v/>
      </c>
    </row>
    <row r="1790">
      <c r="A1790">
        <f>IF(RAW_INPUT!A1791="","",RAW_INPUT!A1791)</f>
        <v/>
      </c>
      <c r="B1790">
        <f>IF(RAW_INPUT!A1791="","",RAW_INPUT!E1791)</f>
        <v/>
      </c>
      <c r="C1790">
        <f>IF(RAW_INPUT!A1791="","",RAW_INPUT!F1791)</f>
        <v/>
      </c>
    </row>
    <row r="1791">
      <c r="A1791">
        <f>IF(RAW_INPUT!A1792="","",RAW_INPUT!A1792)</f>
        <v/>
      </c>
      <c r="B1791">
        <f>IF(RAW_INPUT!A1792="","",RAW_INPUT!E1792)</f>
        <v/>
      </c>
      <c r="C1791">
        <f>IF(RAW_INPUT!A1792="","",RAW_INPUT!F1792)</f>
        <v/>
      </c>
    </row>
    <row r="1792">
      <c r="A1792">
        <f>IF(RAW_INPUT!A1793="","",RAW_INPUT!A1793)</f>
        <v/>
      </c>
      <c r="B1792">
        <f>IF(RAW_INPUT!A1793="","",RAW_INPUT!E1793)</f>
        <v/>
      </c>
      <c r="C1792">
        <f>IF(RAW_INPUT!A1793="","",RAW_INPUT!F1793)</f>
        <v/>
      </c>
    </row>
    <row r="1793">
      <c r="A1793">
        <f>IF(RAW_INPUT!A1794="","",RAW_INPUT!A1794)</f>
        <v/>
      </c>
      <c r="B1793">
        <f>IF(RAW_INPUT!A1794="","",RAW_INPUT!E1794)</f>
        <v/>
      </c>
      <c r="C1793">
        <f>IF(RAW_INPUT!A1794="","",RAW_INPUT!F1794)</f>
        <v/>
      </c>
    </row>
    <row r="1794">
      <c r="A1794">
        <f>IF(RAW_INPUT!A1795="","",RAW_INPUT!A1795)</f>
        <v/>
      </c>
      <c r="B1794">
        <f>IF(RAW_INPUT!A1795="","",RAW_INPUT!E1795)</f>
        <v/>
      </c>
      <c r="C1794">
        <f>IF(RAW_INPUT!A1795="","",RAW_INPUT!F1795)</f>
        <v/>
      </c>
    </row>
    <row r="1795">
      <c r="A1795">
        <f>IF(RAW_INPUT!A1796="","",RAW_INPUT!A1796)</f>
        <v/>
      </c>
      <c r="B1795">
        <f>IF(RAW_INPUT!A1796="","",RAW_INPUT!E1796)</f>
        <v/>
      </c>
      <c r="C1795">
        <f>IF(RAW_INPUT!A1796="","",RAW_INPUT!F1796)</f>
        <v/>
      </c>
    </row>
    <row r="1796">
      <c r="A1796">
        <f>IF(RAW_INPUT!A1797="","",RAW_INPUT!A1797)</f>
        <v/>
      </c>
      <c r="B1796">
        <f>IF(RAW_INPUT!A1797="","",RAW_INPUT!E1797)</f>
        <v/>
      </c>
      <c r="C1796">
        <f>IF(RAW_INPUT!A1797="","",RAW_INPUT!F1797)</f>
        <v/>
      </c>
    </row>
    <row r="1797">
      <c r="A1797">
        <f>IF(RAW_INPUT!A1798="","",RAW_INPUT!A1798)</f>
        <v/>
      </c>
      <c r="B1797">
        <f>IF(RAW_INPUT!A1798="","",RAW_INPUT!E1798)</f>
        <v/>
      </c>
      <c r="C1797">
        <f>IF(RAW_INPUT!A1798="","",RAW_INPUT!F1798)</f>
        <v/>
      </c>
    </row>
    <row r="1798">
      <c r="A1798">
        <f>IF(RAW_INPUT!A1799="","",RAW_INPUT!A1799)</f>
        <v/>
      </c>
      <c r="B1798">
        <f>IF(RAW_INPUT!A1799="","",RAW_INPUT!E1799)</f>
        <v/>
      </c>
      <c r="C1798">
        <f>IF(RAW_INPUT!A1799="","",RAW_INPUT!F1799)</f>
        <v/>
      </c>
    </row>
    <row r="1799">
      <c r="A1799">
        <f>IF(RAW_INPUT!A1800="","",RAW_INPUT!A1800)</f>
        <v/>
      </c>
      <c r="B1799">
        <f>IF(RAW_INPUT!A1800="","",RAW_INPUT!E1800)</f>
        <v/>
      </c>
      <c r="C1799">
        <f>IF(RAW_INPUT!A1800="","",RAW_INPUT!F1800)</f>
        <v/>
      </c>
    </row>
    <row r="1800">
      <c r="A1800">
        <f>IF(RAW_INPUT!A1801="","",RAW_INPUT!A1801)</f>
        <v/>
      </c>
      <c r="B1800">
        <f>IF(RAW_INPUT!A1801="","",RAW_INPUT!E1801)</f>
        <v/>
      </c>
      <c r="C1800">
        <f>IF(RAW_INPUT!A1801="","",RAW_INPUT!F1801)</f>
        <v/>
      </c>
    </row>
    <row r="1801">
      <c r="A1801">
        <f>IF(RAW_INPUT!A1802="","",RAW_INPUT!A1802)</f>
        <v/>
      </c>
      <c r="B1801">
        <f>IF(RAW_INPUT!A1802="","",RAW_INPUT!E1802)</f>
        <v/>
      </c>
      <c r="C1801">
        <f>IF(RAW_INPUT!A1802="","",RAW_INPUT!F1802)</f>
        <v/>
      </c>
    </row>
    <row r="1802">
      <c r="A1802">
        <f>IF(RAW_INPUT!A1803="","",RAW_INPUT!A1803)</f>
        <v/>
      </c>
      <c r="B1802">
        <f>IF(RAW_INPUT!A1803="","",RAW_INPUT!E1803)</f>
        <v/>
      </c>
      <c r="C1802">
        <f>IF(RAW_INPUT!A1803="","",RAW_INPUT!F1803)</f>
        <v/>
      </c>
    </row>
    <row r="1803">
      <c r="A1803">
        <f>IF(RAW_INPUT!A1804="","",RAW_INPUT!A1804)</f>
        <v/>
      </c>
      <c r="B1803">
        <f>IF(RAW_INPUT!A1804="","",RAW_INPUT!E1804)</f>
        <v/>
      </c>
      <c r="C1803">
        <f>IF(RAW_INPUT!A1804="","",RAW_INPUT!F1804)</f>
        <v/>
      </c>
    </row>
    <row r="1804">
      <c r="A1804">
        <f>IF(RAW_INPUT!A1805="","",RAW_INPUT!A1805)</f>
        <v/>
      </c>
      <c r="B1804">
        <f>IF(RAW_INPUT!A1805="","",RAW_INPUT!E1805)</f>
        <v/>
      </c>
      <c r="C1804">
        <f>IF(RAW_INPUT!A1805="","",RAW_INPUT!F1805)</f>
        <v/>
      </c>
    </row>
    <row r="1805">
      <c r="A1805">
        <f>IF(RAW_INPUT!A1806="","",RAW_INPUT!A1806)</f>
        <v/>
      </c>
      <c r="B1805">
        <f>IF(RAW_INPUT!A1806="","",RAW_INPUT!E1806)</f>
        <v/>
      </c>
      <c r="C1805">
        <f>IF(RAW_INPUT!A1806="","",RAW_INPUT!F1806)</f>
        <v/>
      </c>
    </row>
    <row r="1806">
      <c r="A1806">
        <f>IF(RAW_INPUT!A1807="","",RAW_INPUT!A1807)</f>
        <v/>
      </c>
      <c r="B1806">
        <f>IF(RAW_INPUT!A1807="","",RAW_INPUT!E1807)</f>
        <v/>
      </c>
      <c r="C1806">
        <f>IF(RAW_INPUT!A1807="","",RAW_INPUT!F1807)</f>
        <v/>
      </c>
    </row>
    <row r="1807">
      <c r="A1807">
        <f>IF(RAW_INPUT!A1808="","",RAW_INPUT!A1808)</f>
        <v/>
      </c>
      <c r="B1807">
        <f>IF(RAW_INPUT!A1808="","",RAW_INPUT!E1808)</f>
        <v/>
      </c>
      <c r="C1807">
        <f>IF(RAW_INPUT!A1808="","",RAW_INPUT!F1808)</f>
        <v/>
      </c>
    </row>
    <row r="1808">
      <c r="A1808">
        <f>IF(RAW_INPUT!A1809="","",RAW_INPUT!A1809)</f>
        <v/>
      </c>
      <c r="B1808">
        <f>IF(RAW_INPUT!A1809="","",RAW_INPUT!E1809)</f>
        <v/>
      </c>
      <c r="C1808">
        <f>IF(RAW_INPUT!A1809="","",RAW_INPUT!F1809)</f>
        <v/>
      </c>
    </row>
    <row r="1809">
      <c r="A1809">
        <f>IF(RAW_INPUT!A1810="","",RAW_INPUT!A1810)</f>
        <v/>
      </c>
      <c r="B1809">
        <f>IF(RAW_INPUT!A1810="","",RAW_INPUT!E1810)</f>
        <v/>
      </c>
      <c r="C1809">
        <f>IF(RAW_INPUT!A1810="","",RAW_INPUT!F1810)</f>
        <v/>
      </c>
    </row>
    <row r="1810">
      <c r="A1810">
        <f>IF(RAW_INPUT!A1811="","",RAW_INPUT!A1811)</f>
        <v/>
      </c>
      <c r="B1810">
        <f>IF(RAW_INPUT!A1811="","",RAW_INPUT!E1811)</f>
        <v/>
      </c>
      <c r="C1810">
        <f>IF(RAW_INPUT!A1811="","",RAW_INPUT!F1811)</f>
        <v/>
      </c>
    </row>
    <row r="1811">
      <c r="A1811">
        <f>IF(RAW_INPUT!A1812="","",RAW_INPUT!A1812)</f>
        <v/>
      </c>
      <c r="B1811">
        <f>IF(RAW_INPUT!A1812="","",RAW_INPUT!E1812)</f>
        <v/>
      </c>
      <c r="C1811">
        <f>IF(RAW_INPUT!A1812="","",RAW_INPUT!F1812)</f>
        <v/>
      </c>
    </row>
    <row r="1812">
      <c r="A1812">
        <f>IF(RAW_INPUT!A1813="","",RAW_INPUT!A1813)</f>
        <v/>
      </c>
      <c r="B1812">
        <f>IF(RAW_INPUT!A1813="","",RAW_INPUT!E1813)</f>
        <v/>
      </c>
      <c r="C1812">
        <f>IF(RAW_INPUT!A1813="","",RAW_INPUT!F1813)</f>
        <v/>
      </c>
    </row>
    <row r="1813">
      <c r="A1813">
        <f>IF(RAW_INPUT!A1814="","",RAW_INPUT!A1814)</f>
        <v/>
      </c>
      <c r="B1813">
        <f>IF(RAW_INPUT!A1814="","",RAW_INPUT!E1814)</f>
        <v/>
      </c>
      <c r="C1813">
        <f>IF(RAW_INPUT!A1814="","",RAW_INPUT!F1814)</f>
        <v/>
      </c>
    </row>
    <row r="1814">
      <c r="A1814">
        <f>IF(RAW_INPUT!A1815="","",RAW_INPUT!A1815)</f>
        <v/>
      </c>
      <c r="B1814">
        <f>IF(RAW_INPUT!A1815="","",RAW_INPUT!E1815)</f>
        <v/>
      </c>
      <c r="C1814">
        <f>IF(RAW_INPUT!A1815="","",RAW_INPUT!F1815)</f>
        <v/>
      </c>
    </row>
    <row r="1815">
      <c r="A1815">
        <f>IF(RAW_INPUT!A1816="","",RAW_INPUT!A1816)</f>
        <v/>
      </c>
      <c r="B1815">
        <f>IF(RAW_INPUT!A1816="","",RAW_INPUT!E1816)</f>
        <v/>
      </c>
      <c r="C1815">
        <f>IF(RAW_INPUT!A1816="","",RAW_INPUT!F1816)</f>
        <v/>
      </c>
    </row>
    <row r="1816">
      <c r="A1816">
        <f>IF(RAW_INPUT!A1817="","",RAW_INPUT!A1817)</f>
        <v/>
      </c>
      <c r="B1816">
        <f>IF(RAW_INPUT!A1817="","",RAW_INPUT!E1817)</f>
        <v/>
      </c>
      <c r="C1816">
        <f>IF(RAW_INPUT!A1817="","",RAW_INPUT!F1817)</f>
        <v/>
      </c>
    </row>
    <row r="1817">
      <c r="A1817">
        <f>IF(RAW_INPUT!A1818="","",RAW_INPUT!A1818)</f>
        <v/>
      </c>
      <c r="B1817">
        <f>IF(RAW_INPUT!A1818="","",RAW_INPUT!E1818)</f>
        <v/>
      </c>
      <c r="C1817">
        <f>IF(RAW_INPUT!A1818="","",RAW_INPUT!F1818)</f>
        <v/>
      </c>
    </row>
    <row r="1818">
      <c r="A1818">
        <f>IF(RAW_INPUT!A1819="","",RAW_INPUT!A1819)</f>
        <v/>
      </c>
      <c r="B1818">
        <f>IF(RAW_INPUT!A1819="","",RAW_INPUT!E1819)</f>
        <v/>
      </c>
      <c r="C1818">
        <f>IF(RAW_INPUT!A1819="","",RAW_INPUT!F1819)</f>
        <v/>
      </c>
    </row>
    <row r="1819">
      <c r="A1819">
        <f>IF(RAW_INPUT!A1820="","",RAW_INPUT!A1820)</f>
        <v/>
      </c>
      <c r="B1819">
        <f>IF(RAW_INPUT!A1820="","",RAW_INPUT!E1820)</f>
        <v/>
      </c>
      <c r="C1819">
        <f>IF(RAW_INPUT!A1820="","",RAW_INPUT!F1820)</f>
        <v/>
      </c>
    </row>
    <row r="1820">
      <c r="A1820">
        <f>IF(RAW_INPUT!A1821="","",RAW_INPUT!A1821)</f>
        <v/>
      </c>
      <c r="B1820">
        <f>IF(RAW_INPUT!A1821="","",RAW_INPUT!E1821)</f>
        <v/>
      </c>
      <c r="C1820">
        <f>IF(RAW_INPUT!A1821="","",RAW_INPUT!F1821)</f>
        <v/>
      </c>
    </row>
    <row r="1821">
      <c r="A1821">
        <f>IF(RAW_INPUT!A1822="","",RAW_INPUT!A1822)</f>
        <v/>
      </c>
      <c r="B1821">
        <f>IF(RAW_INPUT!A1822="","",RAW_INPUT!E1822)</f>
        <v/>
      </c>
      <c r="C1821">
        <f>IF(RAW_INPUT!A1822="","",RAW_INPUT!F1822)</f>
        <v/>
      </c>
    </row>
    <row r="1822">
      <c r="A1822">
        <f>IF(RAW_INPUT!A1823="","",RAW_INPUT!A1823)</f>
        <v/>
      </c>
      <c r="B1822">
        <f>IF(RAW_INPUT!A1823="","",RAW_INPUT!E1823)</f>
        <v/>
      </c>
      <c r="C1822">
        <f>IF(RAW_INPUT!A1823="","",RAW_INPUT!F1823)</f>
        <v/>
      </c>
    </row>
    <row r="1823">
      <c r="A1823">
        <f>IF(RAW_INPUT!A1824="","",RAW_INPUT!A1824)</f>
        <v/>
      </c>
      <c r="B1823">
        <f>IF(RAW_INPUT!A1824="","",RAW_INPUT!E1824)</f>
        <v/>
      </c>
      <c r="C1823">
        <f>IF(RAW_INPUT!A1824="","",RAW_INPUT!F1824)</f>
        <v/>
      </c>
    </row>
    <row r="1824">
      <c r="A1824">
        <f>IF(RAW_INPUT!A1825="","",RAW_INPUT!A1825)</f>
        <v/>
      </c>
      <c r="B1824">
        <f>IF(RAW_INPUT!A1825="","",RAW_INPUT!E1825)</f>
        <v/>
      </c>
      <c r="C1824">
        <f>IF(RAW_INPUT!A1825="","",RAW_INPUT!F1825)</f>
        <v/>
      </c>
    </row>
    <row r="1825">
      <c r="A1825">
        <f>IF(RAW_INPUT!A1826="","",RAW_INPUT!A1826)</f>
        <v/>
      </c>
      <c r="B1825">
        <f>IF(RAW_INPUT!A1826="","",RAW_INPUT!E1826)</f>
        <v/>
      </c>
      <c r="C1825">
        <f>IF(RAW_INPUT!A1826="","",RAW_INPUT!F1826)</f>
        <v/>
      </c>
    </row>
    <row r="1826">
      <c r="A1826">
        <f>IF(RAW_INPUT!A1827="","",RAW_INPUT!A1827)</f>
        <v/>
      </c>
      <c r="B1826">
        <f>IF(RAW_INPUT!A1827="","",RAW_INPUT!E1827)</f>
        <v/>
      </c>
      <c r="C1826">
        <f>IF(RAW_INPUT!A1827="","",RAW_INPUT!F1827)</f>
        <v/>
      </c>
    </row>
    <row r="1827">
      <c r="A1827">
        <f>IF(RAW_INPUT!A1828="","",RAW_INPUT!A1828)</f>
        <v/>
      </c>
      <c r="B1827">
        <f>IF(RAW_INPUT!A1828="","",RAW_INPUT!E1828)</f>
        <v/>
      </c>
      <c r="C1827">
        <f>IF(RAW_INPUT!A1828="","",RAW_INPUT!F1828)</f>
        <v/>
      </c>
    </row>
    <row r="1828">
      <c r="A1828">
        <f>IF(RAW_INPUT!A1829="","",RAW_INPUT!A1829)</f>
        <v/>
      </c>
      <c r="B1828">
        <f>IF(RAW_INPUT!A1829="","",RAW_INPUT!E1829)</f>
        <v/>
      </c>
      <c r="C1828">
        <f>IF(RAW_INPUT!A1829="","",RAW_INPUT!F1829)</f>
        <v/>
      </c>
    </row>
    <row r="1829">
      <c r="A1829">
        <f>IF(RAW_INPUT!A1830="","",RAW_INPUT!A1830)</f>
        <v/>
      </c>
      <c r="B1829">
        <f>IF(RAW_INPUT!A1830="","",RAW_INPUT!E1830)</f>
        <v/>
      </c>
      <c r="C1829">
        <f>IF(RAW_INPUT!A1830="","",RAW_INPUT!F1830)</f>
        <v/>
      </c>
    </row>
    <row r="1830">
      <c r="A1830">
        <f>IF(RAW_INPUT!A1831="","",RAW_INPUT!A1831)</f>
        <v/>
      </c>
      <c r="B1830">
        <f>IF(RAW_INPUT!A1831="","",RAW_INPUT!E1831)</f>
        <v/>
      </c>
      <c r="C1830">
        <f>IF(RAW_INPUT!A1831="","",RAW_INPUT!F1831)</f>
        <v/>
      </c>
    </row>
    <row r="1831">
      <c r="A1831">
        <f>IF(RAW_INPUT!A1832="","",RAW_INPUT!A1832)</f>
        <v/>
      </c>
      <c r="B1831">
        <f>IF(RAW_INPUT!A1832="","",RAW_INPUT!E1832)</f>
        <v/>
      </c>
      <c r="C1831">
        <f>IF(RAW_INPUT!A1832="","",RAW_INPUT!F1832)</f>
        <v/>
      </c>
    </row>
    <row r="1832">
      <c r="A1832">
        <f>IF(RAW_INPUT!A1833="","",RAW_INPUT!A1833)</f>
        <v/>
      </c>
      <c r="B1832">
        <f>IF(RAW_INPUT!A1833="","",RAW_INPUT!E1833)</f>
        <v/>
      </c>
      <c r="C1832">
        <f>IF(RAW_INPUT!A1833="","",RAW_INPUT!F1833)</f>
        <v/>
      </c>
    </row>
    <row r="1833">
      <c r="A1833">
        <f>IF(RAW_INPUT!A1834="","",RAW_INPUT!A1834)</f>
        <v/>
      </c>
      <c r="B1833">
        <f>IF(RAW_INPUT!A1834="","",RAW_INPUT!E1834)</f>
        <v/>
      </c>
      <c r="C1833">
        <f>IF(RAW_INPUT!A1834="","",RAW_INPUT!F1834)</f>
        <v/>
      </c>
    </row>
    <row r="1834">
      <c r="A1834">
        <f>IF(RAW_INPUT!A1835="","",RAW_INPUT!A1835)</f>
        <v/>
      </c>
      <c r="B1834">
        <f>IF(RAW_INPUT!A1835="","",RAW_INPUT!E1835)</f>
        <v/>
      </c>
      <c r="C1834">
        <f>IF(RAW_INPUT!A1835="","",RAW_INPUT!F1835)</f>
        <v/>
      </c>
    </row>
    <row r="1835">
      <c r="A1835">
        <f>IF(RAW_INPUT!A1836="","",RAW_INPUT!A1836)</f>
        <v/>
      </c>
      <c r="B1835">
        <f>IF(RAW_INPUT!A1836="","",RAW_INPUT!E1836)</f>
        <v/>
      </c>
      <c r="C1835">
        <f>IF(RAW_INPUT!A1836="","",RAW_INPUT!F1836)</f>
        <v/>
      </c>
    </row>
    <row r="1836">
      <c r="A1836">
        <f>IF(RAW_INPUT!A1837="","",RAW_INPUT!A1837)</f>
        <v/>
      </c>
      <c r="B1836">
        <f>IF(RAW_INPUT!A1837="","",RAW_INPUT!E1837)</f>
        <v/>
      </c>
      <c r="C1836">
        <f>IF(RAW_INPUT!A1837="","",RAW_INPUT!F1837)</f>
        <v/>
      </c>
    </row>
    <row r="1837">
      <c r="A1837">
        <f>IF(RAW_INPUT!A1838="","",RAW_INPUT!A1838)</f>
        <v/>
      </c>
      <c r="B1837">
        <f>IF(RAW_INPUT!A1838="","",RAW_INPUT!E1838)</f>
        <v/>
      </c>
      <c r="C1837">
        <f>IF(RAW_INPUT!A1838="","",RAW_INPUT!F1838)</f>
        <v/>
      </c>
    </row>
    <row r="1838">
      <c r="A1838">
        <f>IF(RAW_INPUT!A1839="","",RAW_INPUT!A1839)</f>
        <v/>
      </c>
      <c r="B1838">
        <f>IF(RAW_INPUT!A1839="","",RAW_INPUT!E1839)</f>
        <v/>
      </c>
      <c r="C1838">
        <f>IF(RAW_INPUT!A1839="","",RAW_INPUT!F1839)</f>
        <v/>
      </c>
    </row>
    <row r="1839">
      <c r="A1839">
        <f>IF(RAW_INPUT!A1840="","",RAW_INPUT!A1840)</f>
        <v/>
      </c>
      <c r="B1839">
        <f>IF(RAW_INPUT!A1840="","",RAW_INPUT!E1840)</f>
        <v/>
      </c>
      <c r="C1839">
        <f>IF(RAW_INPUT!A1840="","",RAW_INPUT!F1840)</f>
        <v/>
      </c>
    </row>
    <row r="1840">
      <c r="A1840">
        <f>IF(RAW_INPUT!A1841="","",RAW_INPUT!A1841)</f>
        <v/>
      </c>
      <c r="B1840">
        <f>IF(RAW_INPUT!A1841="","",RAW_INPUT!E1841)</f>
        <v/>
      </c>
      <c r="C1840">
        <f>IF(RAW_INPUT!A1841="","",RAW_INPUT!F1841)</f>
        <v/>
      </c>
    </row>
    <row r="1841">
      <c r="A1841">
        <f>IF(RAW_INPUT!A1842="","",RAW_INPUT!A1842)</f>
        <v/>
      </c>
      <c r="B1841">
        <f>IF(RAW_INPUT!A1842="","",RAW_INPUT!E1842)</f>
        <v/>
      </c>
      <c r="C1841">
        <f>IF(RAW_INPUT!A1842="","",RAW_INPUT!F1842)</f>
        <v/>
      </c>
    </row>
    <row r="1842">
      <c r="A1842">
        <f>IF(RAW_INPUT!A1843="","",RAW_INPUT!A1843)</f>
        <v/>
      </c>
      <c r="B1842">
        <f>IF(RAW_INPUT!A1843="","",RAW_INPUT!E1843)</f>
        <v/>
      </c>
      <c r="C1842">
        <f>IF(RAW_INPUT!A1843="","",RAW_INPUT!F1843)</f>
        <v/>
      </c>
    </row>
    <row r="1843">
      <c r="A1843">
        <f>IF(RAW_INPUT!A1844="","",RAW_INPUT!A1844)</f>
        <v/>
      </c>
      <c r="B1843">
        <f>IF(RAW_INPUT!A1844="","",RAW_INPUT!E1844)</f>
        <v/>
      </c>
      <c r="C1843">
        <f>IF(RAW_INPUT!A1844="","",RAW_INPUT!F1844)</f>
        <v/>
      </c>
    </row>
    <row r="1844">
      <c r="A1844">
        <f>IF(RAW_INPUT!A1845="","",RAW_INPUT!A1845)</f>
        <v/>
      </c>
      <c r="B1844">
        <f>IF(RAW_INPUT!A1845="","",RAW_INPUT!E1845)</f>
        <v/>
      </c>
      <c r="C1844">
        <f>IF(RAW_INPUT!A1845="","",RAW_INPUT!F1845)</f>
        <v/>
      </c>
    </row>
    <row r="1845">
      <c r="A1845">
        <f>IF(RAW_INPUT!A1846="","",RAW_INPUT!A1846)</f>
        <v/>
      </c>
      <c r="B1845">
        <f>IF(RAW_INPUT!A1846="","",RAW_INPUT!E1846)</f>
        <v/>
      </c>
      <c r="C1845">
        <f>IF(RAW_INPUT!A1846="","",RAW_INPUT!F1846)</f>
        <v/>
      </c>
    </row>
    <row r="1846">
      <c r="A1846">
        <f>IF(RAW_INPUT!A1847="","",RAW_INPUT!A1847)</f>
        <v/>
      </c>
      <c r="B1846">
        <f>IF(RAW_INPUT!A1847="","",RAW_INPUT!E1847)</f>
        <v/>
      </c>
      <c r="C1846">
        <f>IF(RAW_INPUT!A1847="","",RAW_INPUT!F1847)</f>
        <v/>
      </c>
    </row>
    <row r="1847">
      <c r="A1847">
        <f>IF(RAW_INPUT!A1848="","",RAW_INPUT!A1848)</f>
        <v/>
      </c>
      <c r="B1847">
        <f>IF(RAW_INPUT!A1848="","",RAW_INPUT!E1848)</f>
        <v/>
      </c>
      <c r="C1847">
        <f>IF(RAW_INPUT!A1848="","",RAW_INPUT!F1848)</f>
        <v/>
      </c>
    </row>
    <row r="1848">
      <c r="A1848">
        <f>IF(RAW_INPUT!A1849="","",RAW_INPUT!A1849)</f>
        <v/>
      </c>
      <c r="B1848">
        <f>IF(RAW_INPUT!A1849="","",RAW_INPUT!E1849)</f>
        <v/>
      </c>
      <c r="C1848">
        <f>IF(RAW_INPUT!A1849="","",RAW_INPUT!F1849)</f>
        <v/>
      </c>
    </row>
    <row r="1849">
      <c r="A1849">
        <f>IF(RAW_INPUT!A1850="","",RAW_INPUT!A1850)</f>
        <v/>
      </c>
      <c r="B1849">
        <f>IF(RAW_INPUT!A1850="","",RAW_INPUT!E1850)</f>
        <v/>
      </c>
      <c r="C1849">
        <f>IF(RAW_INPUT!A1850="","",RAW_INPUT!F1850)</f>
        <v/>
      </c>
    </row>
    <row r="1850">
      <c r="A1850">
        <f>IF(RAW_INPUT!A1851="","",RAW_INPUT!A1851)</f>
        <v/>
      </c>
      <c r="B1850">
        <f>IF(RAW_INPUT!A1851="","",RAW_INPUT!E1851)</f>
        <v/>
      </c>
      <c r="C1850">
        <f>IF(RAW_INPUT!A1851="","",RAW_INPUT!F1851)</f>
        <v/>
      </c>
    </row>
    <row r="1851">
      <c r="A1851">
        <f>IF(RAW_INPUT!A1852="","",RAW_INPUT!A1852)</f>
        <v/>
      </c>
      <c r="B1851">
        <f>IF(RAW_INPUT!A1852="","",RAW_INPUT!E1852)</f>
        <v/>
      </c>
      <c r="C1851">
        <f>IF(RAW_INPUT!A1852="","",RAW_INPUT!F1852)</f>
        <v/>
      </c>
    </row>
    <row r="1852">
      <c r="A1852">
        <f>IF(RAW_INPUT!A1853="","",RAW_INPUT!A1853)</f>
        <v/>
      </c>
      <c r="B1852">
        <f>IF(RAW_INPUT!A1853="","",RAW_INPUT!E1853)</f>
        <v/>
      </c>
      <c r="C1852">
        <f>IF(RAW_INPUT!A1853="","",RAW_INPUT!F1853)</f>
        <v/>
      </c>
    </row>
    <row r="1853">
      <c r="A1853">
        <f>IF(RAW_INPUT!A1854="","",RAW_INPUT!A1854)</f>
        <v/>
      </c>
      <c r="B1853">
        <f>IF(RAW_INPUT!A1854="","",RAW_INPUT!E1854)</f>
        <v/>
      </c>
      <c r="C1853">
        <f>IF(RAW_INPUT!A1854="","",RAW_INPUT!F1854)</f>
        <v/>
      </c>
    </row>
    <row r="1854">
      <c r="A1854">
        <f>IF(RAW_INPUT!A1855="","",RAW_INPUT!A1855)</f>
        <v/>
      </c>
      <c r="B1854">
        <f>IF(RAW_INPUT!A1855="","",RAW_INPUT!E1855)</f>
        <v/>
      </c>
      <c r="C1854">
        <f>IF(RAW_INPUT!A1855="","",RAW_INPUT!F1855)</f>
        <v/>
      </c>
    </row>
    <row r="1855">
      <c r="A1855">
        <f>IF(RAW_INPUT!A1856="","",RAW_INPUT!A1856)</f>
        <v/>
      </c>
      <c r="B1855">
        <f>IF(RAW_INPUT!A1856="","",RAW_INPUT!E1856)</f>
        <v/>
      </c>
      <c r="C1855">
        <f>IF(RAW_INPUT!A1856="","",RAW_INPUT!F1856)</f>
        <v/>
      </c>
    </row>
    <row r="1856">
      <c r="A1856">
        <f>IF(RAW_INPUT!A1857="","",RAW_INPUT!A1857)</f>
        <v/>
      </c>
      <c r="B1856">
        <f>IF(RAW_INPUT!A1857="","",RAW_INPUT!E1857)</f>
        <v/>
      </c>
      <c r="C1856">
        <f>IF(RAW_INPUT!A1857="","",RAW_INPUT!F1857)</f>
        <v/>
      </c>
    </row>
    <row r="1857">
      <c r="A1857">
        <f>IF(RAW_INPUT!A1858="","",RAW_INPUT!A1858)</f>
        <v/>
      </c>
      <c r="B1857">
        <f>IF(RAW_INPUT!A1858="","",RAW_INPUT!E1858)</f>
        <v/>
      </c>
      <c r="C1857">
        <f>IF(RAW_INPUT!A1858="","",RAW_INPUT!F1858)</f>
        <v/>
      </c>
    </row>
    <row r="1858">
      <c r="A1858">
        <f>IF(RAW_INPUT!A1859="","",RAW_INPUT!A1859)</f>
        <v/>
      </c>
      <c r="B1858">
        <f>IF(RAW_INPUT!A1859="","",RAW_INPUT!E1859)</f>
        <v/>
      </c>
      <c r="C1858">
        <f>IF(RAW_INPUT!A1859="","",RAW_INPUT!F1859)</f>
        <v/>
      </c>
    </row>
    <row r="1859">
      <c r="A1859">
        <f>IF(RAW_INPUT!A1860="","",RAW_INPUT!A1860)</f>
        <v/>
      </c>
      <c r="B1859">
        <f>IF(RAW_INPUT!A1860="","",RAW_INPUT!E1860)</f>
        <v/>
      </c>
      <c r="C1859">
        <f>IF(RAW_INPUT!A1860="","",RAW_INPUT!F1860)</f>
        <v/>
      </c>
    </row>
    <row r="1860">
      <c r="A1860">
        <f>IF(RAW_INPUT!A1861="","",RAW_INPUT!A1861)</f>
        <v/>
      </c>
      <c r="B1860">
        <f>IF(RAW_INPUT!A1861="","",RAW_INPUT!E1861)</f>
        <v/>
      </c>
      <c r="C1860">
        <f>IF(RAW_INPUT!A1861="","",RAW_INPUT!F1861)</f>
        <v/>
      </c>
    </row>
    <row r="1861">
      <c r="A1861">
        <f>IF(RAW_INPUT!A1862="","",RAW_INPUT!A1862)</f>
        <v/>
      </c>
      <c r="B1861">
        <f>IF(RAW_INPUT!A1862="","",RAW_INPUT!E1862)</f>
        <v/>
      </c>
      <c r="C1861">
        <f>IF(RAW_INPUT!A1862="","",RAW_INPUT!F1862)</f>
        <v/>
      </c>
    </row>
    <row r="1862">
      <c r="A1862">
        <f>IF(RAW_INPUT!A1863="","",RAW_INPUT!A1863)</f>
        <v/>
      </c>
      <c r="B1862">
        <f>IF(RAW_INPUT!A1863="","",RAW_INPUT!E1863)</f>
        <v/>
      </c>
      <c r="C1862">
        <f>IF(RAW_INPUT!A1863="","",RAW_INPUT!F1863)</f>
        <v/>
      </c>
    </row>
    <row r="1863">
      <c r="A1863">
        <f>IF(RAW_INPUT!A1864="","",RAW_INPUT!A1864)</f>
        <v/>
      </c>
      <c r="B1863">
        <f>IF(RAW_INPUT!A1864="","",RAW_INPUT!E1864)</f>
        <v/>
      </c>
      <c r="C1863">
        <f>IF(RAW_INPUT!A1864="","",RAW_INPUT!F1864)</f>
        <v/>
      </c>
    </row>
    <row r="1864">
      <c r="A1864">
        <f>IF(RAW_INPUT!A1865="","",RAW_INPUT!A1865)</f>
        <v/>
      </c>
      <c r="B1864">
        <f>IF(RAW_INPUT!A1865="","",RAW_INPUT!E1865)</f>
        <v/>
      </c>
      <c r="C1864">
        <f>IF(RAW_INPUT!A1865="","",RAW_INPUT!F1865)</f>
        <v/>
      </c>
    </row>
    <row r="1865">
      <c r="A1865">
        <f>IF(RAW_INPUT!A1866="","",RAW_INPUT!A1866)</f>
        <v/>
      </c>
      <c r="B1865">
        <f>IF(RAW_INPUT!A1866="","",RAW_INPUT!E1866)</f>
        <v/>
      </c>
      <c r="C1865">
        <f>IF(RAW_INPUT!A1866="","",RAW_INPUT!F1866)</f>
        <v/>
      </c>
    </row>
    <row r="1866">
      <c r="A1866">
        <f>IF(RAW_INPUT!A1867="","",RAW_INPUT!A1867)</f>
        <v/>
      </c>
      <c r="B1866">
        <f>IF(RAW_INPUT!A1867="","",RAW_INPUT!E1867)</f>
        <v/>
      </c>
      <c r="C1866">
        <f>IF(RAW_INPUT!A1867="","",RAW_INPUT!F1867)</f>
        <v/>
      </c>
    </row>
    <row r="1867">
      <c r="A1867">
        <f>IF(RAW_INPUT!A1868="","",RAW_INPUT!A1868)</f>
        <v/>
      </c>
      <c r="B1867">
        <f>IF(RAW_INPUT!A1868="","",RAW_INPUT!E1868)</f>
        <v/>
      </c>
      <c r="C1867">
        <f>IF(RAW_INPUT!A1868="","",RAW_INPUT!F1868)</f>
        <v/>
      </c>
    </row>
    <row r="1868">
      <c r="A1868">
        <f>IF(RAW_INPUT!A1869="","",RAW_INPUT!A1869)</f>
        <v/>
      </c>
      <c r="B1868">
        <f>IF(RAW_INPUT!A1869="","",RAW_INPUT!E1869)</f>
        <v/>
      </c>
      <c r="C1868">
        <f>IF(RAW_INPUT!A1869="","",RAW_INPUT!F1869)</f>
        <v/>
      </c>
    </row>
    <row r="1869">
      <c r="A1869">
        <f>IF(RAW_INPUT!A1870="","",RAW_INPUT!A1870)</f>
        <v/>
      </c>
      <c r="B1869">
        <f>IF(RAW_INPUT!A1870="","",RAW_INPUT!E1870)</f>
        <v/>
      </c>
      <c r="C1869">
        <f>IF(RAW_INPUT!A1870="","",RAW_INPUT!F1870)</f>
        <v/>
      </c>
    </row>
    <row r="1870">
      <c r="A1870">
        <f>IF(RAW_INPUT!A1871="","",RAW_INPUT!A1871)</f>
        <v/>
      </c>
      <c r="B1870">
        <f>IF(RAW_INPUT!A1871="","",RAW_INPUT!E1871)</f>
        <v/>
      </c>
      <c r="C1870">
        <f>IF(RAW_INPUT!A1871="","",RAW_INPUT!F1871)</f>
        <v/>
      </c>
    </row>
    <row r="1871">
      <c r="A1871">
        <f>IF(RAW_INPUT!A1872="","",RAW_INPUT!A1872)</f>
        <v/>
      </c>
      <c r="B1871">
        <f>IF(RAW_INPUT!A1872="","",RAW_INPUT!E1872)</f>
        <v/>
      </c>
      <c r="C1871">
        <f>IF(RAW_INPUT!A1872="","",RAW_INPUT!F1872)</f>
        <v/>
      </c>
    </row>
    <row r="1872">
      <c r="A1872">
        <f>IF(RAW_INPUT!A1873="","",RAW_INPUT!A1873)</f>
        <v/>
      </c>
      <c r="B1872">
        <f>IF(RAW_INPUT!A1873="","",RAW_INPUT!E1873)</f>
        <v/>
      </c>
      <c r="C1872">
        <f>IF(RAW_INPUT!A1873="","",RAW_INPUT!F1873)</f>
        <v/>
      </c>
    </row>
    <row r="1873">
      <c r="A1873">
        <f>IF(RAW_INPUT!A1874="","",RAW_INPUT!A1874)</f>
        <v/>
      </c>
      <c r="B1873">
        <f>IF(RAW_INPUT!A1874="","",RAW_INPUT!E1874)</f>
        <v/>
      </c>
      <c r="C1873">
        <f>IF(RAW_INPUT!A1874="","",RAW_INPUT!F1874)</f>
        <v/>
      </c>
    </row>
    <row r="1874">
      <c r="A1874">
        <f>IF(RAW_INPUT!A1875="","",RAW_INPUT!A1875)</f>
        <v/>
      </c>
      <c r="B1874">
        <f>IF(RAW_INPUT!A1875="","",RAW_INPUT!E1875)</f>
        <v/>
      </c>
      <c r="C1874">
        <f>IF(RAW_INPUT!A1875="","",RAW_INPUT!F1875)</f>
        <v/>
      </c>
    </row>
    <row r="1875">
      <c r="A1875">
        <f>IF(RAW_INPUT!A1876="","",RAW_INPUT!A1876)</f>
        <v/>
      </c>
      <c r="B1875">
        <f>IF(RAW_INPUT!A1876="","",RAW_INPUT!E1876)</f>
        <v/>
      </c>
      <c r="C1875">
        <f>IF(RAW_INPUT!A1876="","",RAW_INPUT!F1876)</f>
        <v/>
      </c>
    </row>
    <row r="1876">
      <c r="A1876">
        <f>IF(RAW_INPUT!A1877="","",RAW_INPUT!A1877)</f>
        <v/>
      </c>
      <c r="B1876">
        <f>IF(RAW_INPUT!A1877="","",RAW_INPUT!E1877)</f>
        <v/>
      </c>
      <c r="C1876">
        <f>IF(RAW_INPUT!A1877="","",RAW_INPUT!F1877)</f>
        <v/>
      </c>
    </row>
    <row r="1877">
      <c r="A1877">
        <f>IF(RAW_INPUT!A1878="","",RAW_INPUT!A1878)</f>
        <v/>
      </c>
      <c r="B1877">
        <f>IF(RAW_INPUT!A1878="","",RAW_INPUT!E1878)</f>
        <v/>
      </c>
      <c r="C1877">
        <f>IF(RAW_INPUT!A1878="","",RAW_INPUT!F1878)</f>
        <v/>
      </c>
    </row>
    <row r="1878">
      <c r="A1878">
        <f>IF(RAW_INPUT!A1879="","",RAW_INPUT!A1879)</f>
        <v/>
      </c>
      <c r="B1878">
        <f>IF(RAW_INPUT!A1879="","",RAW_INPUT!E1879)</f>
        <v/>
      </c>
      <c r="C1878">
        <f>IF(RAW_INPUT!A1879="","",RAW_INPUT!F1879)</f>
        <v/>
      </c>
    </row>
    <row r="1879">
      <c r="A1879">
        <f>IF(RAW_INPUT!A1880="","",RAW_INPUT!A1880)</f>
        <v/>
      </c>
      <c r="B1879">
        <f>IF(RAW_INPUT!A1880="","",RAW_INPUT!E1880)</f>
        <v/>
      </c>
      <c r="C1879">
        <f>IF(RAW_INPUT!A1880="","",RAW_INPUT!F1880)</f>
        <v/>
      </c>
    </row>
    <row r="1880">
      <c r="A1880">
        <f>IF(RAW_INPUT!A1881="","",RAW_INPUT!A1881)</f>
        <v/>
      </c>
      <c r="B1880">
        <f>IF(RAW_INPUT!A1881="","",RAW_INPUT!E1881)</f>
        <v/>
      </c>
      <c r="C1880">
        <f>IF(RAW_INPUT!A1881="","",RAW_INPUT!F1881)</f>
        <v/>
      </c>
    </row>
    <row r="1881">
      <c r="A1881">
        <f>IF(RAW_INPUT!A1882="","",RAW_INPUT!A1882)</f>
        <v/>
      </c>
      <c r="B1881">
        <f>IF(RAW_INPUT!A1882="","",RAW_INPUT!E1882)</f>
        <v/>
      </c>
      <c r="C1881">
        <f>IF(RAW_INPUT!A1882="","",RAW_INPUT!F1882)</f>
        <v/>
      </c>
    </row>
    <row r="1882">
      <c r="A1882">
        <f>IF(RAW_INPUT!A1883="","",RAW_INPUT!A1883)</f>
        <v/>
      </c>
      <c r="B1882">
        <f>IF(RAW_INPUT!A1883="","",RAW_INPUT!E1883)</f>
        <v/>
      </c>
      <c r="C1882">
        <f>IF(RAW_INPUT!A1883="","",RAW_INPUT!F1883)</f>
        <v/>
      </c>
    </row>
    <row r="1883">
      <c r="A1883">
        <f>IF(RAW_INPUT!A1884="","",RAW_INPUT!A1884)</f>
        <v/>
      </c>
      <c r="B1883">
        <f>IF(RAW_INPUT!A1884="","",RAW_INPUT!E1884)</f>
        <v/>
      </c>
      <c r="C1883">
        <f>IF(RAW_INPUT!A1884="","",RAW_INPUT!F1884)</f>
        <v/>
      </c>
    </row>
    <row r="1884">
      <c r="A1884">
        <f>IF(RAW_INPUT!A1885="","",RAW_INPUT!A1885)</f>
        <v/>
      </c>
      <c r="B1884">
        <f>IF(RAW_INPUT!A1885="","",RAW_INPUT!E1885)</f>
        <v/>
      </c>
      <c r="C1884">
        <f>IF(RAW_INPUT!A1885="","",RAW_INPUT!F1885)</f>
        <v/>
      </c>
    </row>
    <row r="1885">
      <c r="A1885">
        <f>IF(RAW_INPUT!A1886="","",RAW_INPUT!A1886)</f>
        <v/>
      </c>
      <c r="B1885">
        <f>IF(RAW_INPUT!A1886="","",RAW_INPUT!E1886)</f>
        <v/>
      </c>
      <c r="C1885">
        <f>IF(RAW_INPUT!A1886="","",RAW_INPUT!F1886)</f>
        <v/>
      </c>
    </row>
    <row r="1886">
      <c r="A1886">
        <f>IF(RAW_INPUT!A1887="","",RAW_INPUT!A1887)</f>
        <v/>
      </c>
      <c r="B1886">
        <f>IF(RAW_INPUT!A1887="","",RAW_INPUT!E1887)</f>
        <v/>
      </c>
      <c r="C1886">
        <f>IF(RAW_INPUT!A1887="","",RAW_INPUT!F1887)</f>
        <v/>
      </c>
    </row>
    <row r="1887">
      <c r="A1887">
        <f>IF(RAW_INPUT!A1888="","",RAW_INPUT!A1888)</f>
        <v/>
      </c>
      <c r="B1887">
        <f>IF(RAW_INPUT!A1888="","",RAW_INPUT!E1888)</f>
        <v/>
      </c>
      <c r="C1887">
        <f>IF(RAW_INPUT!A1888="","",RAW_INPUT!F1888)</f>
        <v/>
      </c>
    </row>
    <row r="1888">
      <c r="A1888">
        <f>IF(RAW_INPUT!A1889="","",RAW_INPUT!A1889)</f>
        <v/>
      </c>
      <c r="B1888">
        <f>IF(RAW_INPUT!A1889="","",RAW_INPUT!E1889)</f>
        <v/>
      </c>
      <c r="C1888">
        <f>IF(RAW_INPUT!A1889="","",RAW_INPUT!F1889)</f>
        <v/>
      </c>
    </row>
    <row r="1889">
      <c r="A1889">
        <f>IF(RAW_INPUT!A1890="","",RAW_INPUT!A1890)</f>
        <v/>
      </c>
      <c r="B1889">
        <f>IF(RAW_INPUT!A1890="","",RAW_INPUT!E1890)</f>
        <v/>
      </c>
      <c r="C1889">
        <f>IF(RAW_INPUT!A1890="","",RAW_INPUT!F1890)</f>
        <v/>
      </c>
    </row>
    <row r="1890">
      <c r="A1890">
        <f>IF(RAW_INPUT!A1891="","",RAW_INPUT!A1891)</f>
        <v/>
      </c>
      <c r="B1890">
        <f>IF(RAW_INPUT!A1891="","",RAW_INPUT!E1891)</f>
        <v/>
      </c>
      <c r="C1890">
        <f>IF(RAW_INPUT!A1891="","",RAW_INPUT!F1891)</f>
        <v/>
      </c>
    </row>
    <row r="1891">
      <c r="A1891">
        <f>IF(RAW_INPUT!A1892="","",RAW_INPUT!A1892)</f>
        <v/>
      </c>
      <c r="B1891">
        <f>IF(RAW_INPUT!A1892="","",RAW_INPUT!E1892)</f>
        <v/>
      </c>
      <c r="C1891">
        <f>IF(RAW_INPUT!A1892="","",RAW_INPUT!F1892)</f>
        <v/>
      </c>
    </row>
    <row r="1892">
      <c r="A1892">
        <f>IF(RAW_INPUT!A1893="","",RAW_INPUT!A1893)</f>
        <v/>
      </c>
      <c r="B1892">
        <f>IF(RAW_INPUT!A1893="","",RAW_INPUT!E1893)</f>
        <v/>
      </c>
      <c r="C1892">
        <f>IF(RAW_INPUT!A1893="","",RAW_INPUT!F1893)</f>
        <v/>
      </c>
    </row>
    <row r="1893">
      <c r="A1893">
        <f>IF(RAW_INPUT!A1894="","",RAW_INPUT!A1894)</f>
        <v/>
      </c>
      <c r="B1893">
        <f>IF(RAW_INPUT!A1894="","",RAW_INPUT!E1894)</f>
        <v/>
      </c>
      <c r="C1893">
        <f>IF(RAW_INPUT!A1894="","",RAW_INPUT!F1894)</f>
        <v/>
      </c>
    </row>
    <row r="1894">
      <c r="A1894">
        <f>IF(RAW_INPUT!A1895="","",RAW_INPUT!A1895)</f>
        <v/>
      </c>
      <c r="B1894">
        <f>IF(RAW_INPUT!A1895="","",RAW_INPUT!E1895)</f>
        <v/>
      </c>
      <c r="C1894">
        <f>IF(RAW_INPUT!A1895="","",RAW_INPUT!F1895)</f>
        <v/>
      </c>
    </row>
    <row r="1895">
      <c r="A1895">
        <f>IF(RAW_INPUT!A1896="","",RAW_INPUT!A1896)</f>
        <v/>
      </c>
      <c r="B1895">
        <f>IF(RAW_INPUT!A1896="","",RAW_INPUT!E1896)</f>
        <v/>
      </c>
      <c r="C1895">
        <f>IF(RAW_INPUT!A1896="","",RAW_INPUT!F1896)</f>
        <v/>
      </c>
    </row>
    <row r="1896">
      <c r="A1896">
        <f>IF(RAW_INPUT!A1897="","",RAW_INPUT!A1897)</f>
        <v/>
      </c>
      <c r="B1896">
        <f>IF(RAW_INPUT!A1897="","",RAW_INPUT!E1897)</f>
        <v/>
      </c>
      <c r="C1896">
        <f>IF(RAW_INPUT!A1897="","",RAW_INPUT!F1897)</f>
        <v/>
      </c>
    </row>
    <row r="1897">
      <c r="A1897">
        <f>IF(RAW_INPUT!A1898="","",RAW_INPUT!A1898)</f>
        <v/>
      </c>
      <c r="B1897">
        <f>IF(RAW_INPUT!A1898="","",RAW_INPUT!E1898)</f>
        <v/>
      </c>
      <c r="C1897">
        <f>IF(RAW_INPUT!A1898="","",RAW_INPUT!F1898)</f>
        <v/>
      </c>
    </row>
    <row r="1898">
      <c r="A1898">
        <f>IF(RAW_INPUT!A1899="","",RAW_INPUT!A1899)</f>
        <v/>
      </c>
      <c r="B1898">
        <f>IF(RAW_INPUT!A1899="","",RAW_INPUT!E1899)</f>
        <v/>
      </c>
      <c r="C1898">
        <f>IF(RAW_INPUT!A1899="","",RAW_INPUT!F1899)</f>
        <v/>
      </c>
    </row>
    <row r="1899">
      <c r="A1899">
        <f>IF(RAW_INPUT!A1900="","",RAW_INPUT!A1900)</f>
        <v/>
      </c>
      <c r="B1899">
        <f>IF(RAW_INPUT!A1900="","",RAW_INPUT!E1900)</f>
        <v/>
      </c>
      <c r="C1899">
        <f>IF(RAW_INPUT!A1900="","",RAW_INPUT!F1900)</f>
        <v/>
      </c>
    </row>
    <row r="1900">
      <c r="A1900">
        <f>IF(RAW_INPUT!A1901="","",RAW_INPUT!A1901)</f>
        <v/>
      </c>
      <c r="B1900">
        <f>IF(RAW_INPUT!A1901="","",RAW_INPUT!E1901)</f>
        <v/>
      </c>
      <c r="C1900">
        <f>IF(RAW_INPUT!A1901="","",RAW_INPUT!F1901)</f>
        <v/>
      </c>
    </row>
    <row r="1901">
      <c r="A1901">
        <f>IF(RAW_INPUT!A1902="","",RAW_INPUT!A1902)</f>
        <v/>
      </c>
      <c r="B1901">
        <f>IF(RAW_INPUT!A1902="","",RAW_INPUT!E1902)</f>
        <v/>
      </c>
      <c r="C1901">
        <f>IF(RAW_INPUT!A1902="","",RAW_INPUT!F1902)</f>
        <v/>
      </c>
    </row>
    <row r="1902">
      <c r="A1902">
        <f>IF(RAW_INPUT!A1903="","",RAW_INPUT!A1903)</f>
        <v/>
      </c>
      <c r="B1902">
        <f>IF(RAW_INPUT!A1903="","",RAW_INPUT!E1903)</f>
        <v/>
      </c>
      <c r="C1902">
        <f>IF(RAW_INPUT!A1903="","",RAW_INPUT!F1903)</f>
        <v/>
      </c>
    </row>
    <row r="1903">
      <c r="A1903">
        <f>IF(RAW_INPUT!A1904="","",RAW_INPUT!A1904)</f>
        <v/>
      </c>
      <c r="B1903">
        <f>IF(RAW_INPUT!A1904="","",RAW_INPUT!E1904)</f>
        <v/>
      </c>
      <c r="C1903">
        <f>IF(RAW_INPUT!A1904="","",RAW_INPUT!F1904)</f>
        <v/>
      </c>
    </row>
    <row r="1904">
      <c r="A1904">
        <f>IF(RAW_INPUT!A1905="","",RAW_INPUT!A1905)</f>
        <v/>
      </c>
      <c r="B1904">
        <f>IF(RAW_INPUT!A1905="","",RAW_INPUT!E1905)</f>
        <v/>
      </c>
      <c r="C1904">
        <f>IF(RAW_INPUT!A1905="","",RAW_INPUT!F1905)</f>
        <v/>
      </c>
    </row>
    <row r="1905">
      <c r="A1905">
        <f>IF(RAW_INPUT!A1906="","",RAW_INPUT!A1906)</f>
        <v/>
      </c>
      <c r="B1905">
        <f>IF(RAW_INPUT!A1906="","",RAW_INPUT!E1906)</f>
        <v/>
      </c>
      <c r="C1905">
        <f>IF(RAW_INPUT!A1906="","",RAW_INPUT!F1906)</f>
        <v/>
      </c>
    </row>
    <row r="1906">
      <c r="A1906">
        <f>IF(RAW_INPUT!A1907="","",RAW_INPUT!A1907)</f>
        <v/>
      </c>
      <c r="B1906">
        <f>IF(RAW_INPUT!A1907="","",RAW_INPUT!E1907)</f>
        <v/>
      </c>
      <c r="C1906">
        <f>IF(RAW_INPUT!A1907="","",RAW_INPUT!F1907)</f>
        <v/>
      </c>
    </row>
    <row r="1907">
      <c r="A1907">
        <f>IF(RAW_INPUT!A1908="","",RAW_INPUT!A1908)</f>
        <v/>
      </c>
      <c r="B1907">
        <f>IF(RAW_INPUT!A1908="","",RAW_INPUT!E1908)</f>
        <v/>
      </c>
      <c r="C1907">
        <f>IF(RAW_INPUT!A1908="","",RAW_INPUT!F1908)</f>
        <v/>
      </c>
    </row>
    <row r="1908">
      <c r="A1908">
        <f>IF(RAW_INPUT!A1909="","",RAW_INPUT!A1909)</f>
        <v/>
      </c>
      <c r="B1908">
        <f>IF(RAW_INPUT!A1909="","",RAW_INPUT!E1909)</f>
        <v/>
      </c>
      <c r="C1908">
        <f>IF(RAW_INPUT!A1909="","",RAW_INPUT!F1909)</f>
        <v/>
      </c>
    </row>
    <row r="1909">
      <c r="A1909">
        <f>IF(RAW_INPUT!A1910="","",RAW_INPUT!A1910)</f>
        <v/>
      </c>
      <c r="B1909">
        <f>IF(RAW_INPUT!A1910="","",RAW_INPUT!E1910)</f>
        <v/>
      </c>
      <c r="C1909">
        <f>IF(RAW_INPUT!A1910="","",RAW_INPUT!F1910)</f>
        <v/>
      </c>
    </row>
    <row r="1910">
      <c r="A1910">
        <f>IF(RAW_INPUT!A1911="","",RAW_INPUT!A1911)</f>
        <v/>
      </c>
      <c r="B1910">
        <f>IF(RAW_INPUT!A1911="","",RAW_INPUT!E1911)</f>
        <v/>
      </c>
      <c r="C1910">
        <f>IF(RAW_INPUT!A1911="","",RAW_INPUT!F1911)</f>
        <v/>
      </c>
    </row>
    <row r="1911">
      <c r="A1911">
        <f>IF(RAW_INPUT!A1912="","",RAW_INPUT!A1912)</f>
        <v/>
      </c>
      <c r="B1911">
        <f>IF(RAW_INPUT!A1912="","",RAW_INPUT!E1912)</f>
        <v/>
      </c>
      <c r="C1911">
        <f>IF(RAW_INPUT!A1912="","",RAW_INPUT!F1912)</f>
        <v/>
      </c>
    </row>
    <row r="1912">
      <c r="A1912">
        <f>IF(RAW_INPUT!A1913="","",RAW_INPUT!A1913)</f>
        <v/>
      </c>
      <c r="B1912">
        <f>IF(RAW_INPUT!A1913="","",RAW_INPUT!E1913)</f>
        <v/>
      </c>
      <c r="C1912">
        <f>IF(RAW_INPUT!A1913="","",RAW_INPUT!F1913)</f>
        <v/>
      </c>
    </row>
    <row r="1913">
      <c r="A1913">
        <f>IF(RAW_INPUT!A1914="","",RAW_INPUT!A1914)</f>
        <v/>
      </c>
      <c r="B1913">
        <f>IF(RAW_INPUT!A1914="","",RAW_INPUT!E1914)</f>
        <v/>
      </c>
      <c r="C1913">
        <f>IF(RAW_INPUT!A1914="","",RAW_INPUT!F1914)</f>
        <v/>
      </c>
    </row>
    <row r="1914">
      <c r="A1914">
        <f>IF(RAW_INPUT!A1915="","",RAW_INPUT!A1915)</f>
        <v/>
      </c>
      <c r="B1914">
        <f>IF(RAW_INPUT!A1915="","",RAW_INPUT!E1915)</f>
        <v/>
      </c>
      <c r="C1914">
        <f>IF(RAW_INPUT!A1915="","",RAW_INPUT!F1915)</f>
        <v/>
      </c>
    </row>
    <row r="1915">
      <c r="A1915">
        <f>IF(RAW_INPUT!A1916="","",RAW_INPUT!A1916)</f>
        <v/>
      </c>
      <c r="B1915">
        <f>IF(RAW_INPUT!A1916="","",RAW_INPUT!E1916)</f>
        <v/>
      </c>
      <c r="C1915">
        <f>IF(RAW_INPUT!A1916="","",RAW_INPUT!F1916)</f>
        <v/>
      </c>
    </row>
    <row r="1916">
      <c r="A1916">
        <f>IF(RAW_INPUT!A1917="","",RAW_INPUT!A1917)</f>
        <v/>
      </c>
      <c r="B1916">
        <f>IF(RAW_INPUT!A1917="","",RAW_INPUT!E1917)</f>
        <v/>
      </c>
      <c r="C1916">
        <f>IF(RAW_INPUT!A1917="","",RAW_INPUT!F1917)</f>
        <v/>
      </c>
    </row>
    <row r="1917">
      <c r="A1917">
        <f>IF(RAW_INPUT!A1918="","",RAW_INPUT!A1918)</f>
        <v/>
      </c>
      <c r="B1917">
        <f>IF(RAW_INPUT!A1918="","",RAW_INPUT!E1918)</f>
        <v/>
      </c>
      <c r="C1917">
        <f>IF(RAW_INPUT!A1918="","",RAW_INPUT!F1918)</f>
        <v/>
      </c>
    </row>
    <row r="1918">
      <c r="A1918">
        <f>IF(RAW_INPUT!A1919="","",RAW_INPUT!A1919)</f>
        <v/>
      </c>
      <c r="B1918">
        <f>IF(RAW_INPUT!A1919="","",RAW_INPUT!E1919)</f>
        <v/>
      </c>
      <c r="C1918">
        <f>IF(RAW_INPUT!A1919="","",RAW_INPUT!F1919)</f>
        <v/>
      </c>
    </row>
    <row r="1919">
      <c r="A1919">
        <f>IF(RAW_INPUT!A1920="","",RAW_INPUT!A1920)</f>
        <v/>
      </c>
      <c r="B1919">
        <f>IF(RAW_INPUT!A1920="","",RAW_INPUT!E1920)</f>
        <v/>
      </c>
      <c r="C1919">
        <f>IF(RAW_INPUT!A1920="","",RAW_INPUT!F1920)</f>
        <v/>
      </c>
    </row>
    <row r="1920">
      <c r="A1920">
        <f>IF(RAW_INPUT!A1921="","",RAW_INPUT!A1921)</f>
        <v/>
      </c>
      <c r="B1920">
        <f>IF(RAW_INPUT!A1921="","",RAW_INPUT!E1921)</f>
        <v/>
      </c>
      <c r="C1920">
        <f>IF(RAW_INPUT!A1921="","",RAW_INPUT!F1921)</f>
        <v/>
      </c>
    </row>
    <row r="1921">
      <c r="A1921">
        <f>IF(RAW_INPUT!A1922="","",RAW_INPUT!A1922)</f>
        <v/>
      </c>
      <c r="B1921">
        <f>IF(RAW_INPUT!A1922="","",RAW_INPUT!E1922)</f>
        <v/>
      </c>
      <c r="C1921">
        <f>IF(RAW_INPUT!A1922="","",RAW_INPUT!F1922)</f>
        <v/>
      </c>
    </row>
    <row r="1922">
      <c r="A1922">
        <f>IF(RAW_INPUT!A1923="","",RAW_INPUT!A1923)</f>
        <v/>
      </c>
      <c r="B1922">
        <f>IF(RAW_INPUT!A1923="","",RAW_INPUT!E1923)</f>
        <v/>
      </c>
      <c r="C1922">
        <f>IF(RAW_INPUT!A1923="","",RAW_INPUT!F1923)</f>
        <v/>
      </c>
    </row>
    <row r="1923">
      <c r="A1923">
        <f>IF(RAW_INPUT!A1924="","",RAW_INPUT!A1924)</f>
        <v/>
      </c>
      <c r="B1923">
        <f>IF(RAW_INPUT!A1924="","",RAW_INPUT!E1924)</f>
        <v/>
      </c>
      <c r="C1923">
        <f>IF(RAW_INPUT!A1924="","",RAW_INPUT!F1924)</f>
        <v/>
      </c>
    </row>
    <row r="1924">
      <c r="A1924">
        <f>IF(RAW_INPUT!A1925="","",RAW_INPUT!A1925)</f>
        <v/>
      </c>
      <c r="B1924">
        <f>IF(RAW_INPUT!A1925="","",RAW_INPUT!E1925)</f>
        <v/>
      </c>
      <c r="C1924">
        <f>IF(RAW_INPUT!A1925="","",RAW_INPUT!F1925)</f>
        <v/>
      </c>
    </row>
    <row r="1925">
      <c r="A1925">
        <f>IF(RAW_INPUT!A1926="","",RAW_INPUT!A1926)</f>
        <v/>
      </c>
      <c r="B1925">
        <f>IF(RAW_INPUT!A1926="","",RAW_INPUT!E1926)</f>
        <v/>
      </c>
      <c r="C1925">
        <f>IF(RAW_INPUT!A1926="","",RAW_INPUT!F1926)</f>
        <v/>
      </c>
    </row>
    <row r="1926">
      <c r="A1926">
        <f>IF(RAW_INPUT!A1927="","",RAW_INPUT!A1927)</f>
        <v/>
      </c>
      <c r="B1926">
        <f>IF(RAW_INPUT!A1927="","",RAW_INPUT!E1927)</f>
        <v/>
      </c>
      <c r="C1926">
        <f>IF(RAW_INPUT!A1927="","",RAW_INPUT!F1927)</f>
        <v/>
      </c>
    </row>
    <row r="1927">
      <c r="A1927">
        <f>IF(RAW_INPUT!A1928="","",RAW_INPUT!A1928)</f>
        <v/>
      </c>
      <c r="B1927">
        <f>IF(RAW_INPUT!A1928="","",RAW_INPUT!E1928)</f>
        <v/>
      </c>
      <c r="C1927">
        <f>IF(RAW_INPUT!A1928="","",RAW_INPUT!F1928)</f>
        <v/>
      </c>
    </row>
    <row r="1928">
      <c r="A1928">
        <f>IF(RAW_INPUT!A1929="","",RAW_INPUT!A1929)</f>
        <v/>
      </c>
      <c r="B1928">
        <f>IF(RAW_INPUT!A1929="","",RAW_INPUT!E1929)</f>
        <v/>
      </c>
      <c r="C1928">
        <f>IF(RAW_INPUT!A1929="","",RAW_INPUT!F1929)</f>
        <v/>
      </c>
    </row>
    <row r="1929">
      <c r="A1929">
        <f>IF(RAW_INPUT!A1930="","",RAW_INPUT!A1930)</f>
        <v/>
      </c>
      <c r="B1929">
        <f>IF(RAW_INPUT!A1930="","",RAW_INPUT!E1930)</f>
        <v/>
      </c>
      <c r="C1929">
        <f>IF(RAW_INPUT!A1930="","",RAW_INPUT!F1930)</f>
        <v/>
      </c>
    </row>
    <row r="1930">
      <c r="A1930">
        <f>IF(RAW_INPUT!A1931="","",RAW_INPUT!A1931)</f>
        <v/>
      </c>
      <c r="B1930">
        <f>IF(RAW_INPUT!A1931="","",RAW_INPUT!E1931)</f>
        <v/>
      </c>
      <c r="C1930">
        <f>IF(RAW_INPUT!A1931="","",RAW_INPUT!F1931)</f>
        <v/>
      </c>
    </row>
    <row r="1931">
      <c r="A1931">
        <f>IF(RAW_INPUT!A1932="","",RAW_INPUT!A1932)</f>
        <v/>
      </c>
      <c r="B1931">
        <f>IF(RAW_INPUT!A1932="","",RAW_INPUT!E1932)</f>
        <v/>
      </c>
      <c r="C1931">
        <f>IF(RAW_INPUT!A1932="","",RAW_INPUT!F1932)</f>
        <v/>
      </c>
    </row>
    <row r="1932">
      <c r="A1932">
        <f>IF(RAW_INPUT!A1933="","",RAW_INPUT!A1933)</f>
        <v/>
      </c>
      <c r="B1932">
        <f>IF(RAW_INPUT!A1933="","",RAW_INPUT!E1933)</f>
        <v/>
      </c>
      <c r="C1932">
        <f>IF(RAW_INPUT!A1933="","",RAW_INPUT!F1933)</f>
        <v/>
      </c>
    </row>
    <row r="1933">
      <c r="A1933">
        <f>IF(RAW_INPUT!A1934="","",RAW_INPUT!A1934)</f>
        <v/>
      </c>
      <c r="B1933">
        <f>IF(RAW_INPUT!A1934="","",RAW_INPUT!E1934)</f>
        <v/>
      </c>
      <c r="C1933">
        <f>IF(RAW_INPUT!A1934="","",RAW_INPUT!F1934)</f>
        <v/>
      </c>
    </row>
    <row r="1934">
      <c r="A1934">
        <f>IF(RAW_INPUT!A1935="","",RAW_INPUT!A1935)</f>
        <v/>
      </c>
      <c r="B1934">
        <f>IF(RAW_INPUT!A1935="","",RAW_INPUT!E1935)</f>
        <v/>
      </c>
      <c r="C1934">
        <f>IF(RAW_INPUT!A1935="","",RAW_INPUT!F1935)</f>
        <v/>
      </c>
    </row>
    <row r="1935">
      <c r="A1935">
        <f>IF(RAW_INPUT!A1936="","",RAW_INPUT!A1936)</f>
        <v/>
      </c>
      <c r="B1935">
        <f>IF(RAW_INPUT!A1936="","",RAW_INPUT!E1936)</f>
        <v/>
      </c>
      <c r="C1935">
        <f>IF(RAW_INPUT!A1936="","",RAW_INPUT!F1936)</f>
        <v/>
      </c>
    </row>
    <row r="1936">
      <c r="A1936">
        <f>IF(RAW_INPUT!A1937="","",RAW_INPUT!A1937)</f>
        <v/>
      </c>
      <c r="B1936">
        <f>IF(RAW_INPUT!A1937="","",RAW_INPUT!E1937)</f>
        <v/>
      </c>
      <c r="C1936">
        <f>IF(RAW_INPUT!A1937="","",RAW_INPUT!F1937)</f>
        <v/>
      </c>
    </row>
    <row r="1937">
      <c r="A1937">
        <f>IF(RAW_INPUT!A1938="","",RAW_INPUT!A1938)</f>
        <v/>
      </c>
      <c r="B1937">
        <f>IF(RAW_INPUT!A1938="","",RAW_INPUT!E1938)</f>
        <v/>
      </c>
      <c r="C1937">
        <f>IF(RAW_INPUT!A1938="","",RAW_INPUT!F1938)</f>
        <v/>
      </c>
    </row>
    <row r="1938">
      <c r="A1938">
        <f>IF(RAW_INPUT!A1939="","",RAW_INPUT!A1939)</f>
        <v/>
      </c>
      <c r="B1938">
        <f>IF(RAW_INPUT!A1939="","",RAW_INPUT!E1939)</f>
        <v/>
      </c>
      <c r="C1938">
        <f>IF(RAW_INPUT!A1939="","",RAW_INPUT!F1939)</f>
        <v/>
      </c>
    </row>
    <row r="1939">
      <c r="A1939">
        <f>IF(RAW_INPUT!A1940="","",RAW_INPUT!A1940)</f>
        <v/>
      </c>
      <c r="B1939">
        <f>IF(RAW_INPUT!A1940="","",RAW_INPUT!E1940)</f>
        <v/>
      </c>
      <c r="C1939">
        <f>IF(RAW_INPUT!A1940="","",RAW_INPUT!F1940)</f>
        <v/>
      </c>
    </row>
    <row r="1940">
      <c r="A1940">
        <f>IF(RAW_INPUT!A1941="","",RAW_INPUT!A1941)</f>
        <v/>
      </c>
      <c r="B1940">
        <f>IF(RAW_INPUT!A1941="","",RAW_INPUT!E1941)</f>
        <v/>
      </c>
      <c r="C1940">
        <f>IF(RAW_INPUT!A1941="","",RAW_INPUT!F1941)</f>
        <v/>
      </c>
    </row>
    <row r="1941">
      <c r="A1941">
        <f>IF(RAW_INPUT!A1942="","",RAW_INPUT!A1942)</f>
        <v/>
      </c>
      <c r="B1941">
        <f>IF(RAW_INPUT!A1942="","",RAW_INPUT!E1942)</f>
        <v/>
      </c>
      <c r="C1941">
        <f>IF(RAW_INPUT!A1942="","",RAW_INPUT!F1942)</f>
        <v/>
      </c>
    </row>
    <row r="1942">
      <c r="A1942">
        <f>IF(RAW_INPUT!A1943="","",RAW_INPUT!A1943)</f>
        <v/>
      </c>
      <c r="B1942">
        <f>IF(RAW_INPUT!A1943="","",RAW_INPUT!E1943)</f>
        <v/>
      </c>
      <c r="C1942">
        <f>IF(RAW_INPUT!A1943="","",RAW_INPUT!F1943)</f>
        <v/>
      </c>
    </row>
    <row r="1943">
      <c r="A1943">
        <f>IF(RAW_INPUT!A1944="","",RAW_INPUT!A1944)</f>
        <v/>
      </c>
      <c r="B1943">
        <f>IF(RAW_INPUT!A1944="","",RAW_INPUT!E1944)</f>
        <v/>
      </c>
      <c r="C1943">
        <f>IF(RAW_INPUT!A1944="","",RAW_INPUT!F1944)</f>
        <v/>
      </c>
    </row>
    <row r="1944">
      <c r="A1944">
        <f>IF(RAW_INPUT!A1945="","",RAW_INPUT!A1945)</f>
        <v/>
      </c>
      <c r="B1944">
        <f>IF(RAW_INPUT!A1945="","",RAW_INPUT!E1945)</f>
        <v/>
      </c>
      <c r="C1944">
        <f>IF(RAW_INPUT!A1945="","",RAW_INPUT!F1945)</f>
        <v/>
      </c>
    </row>
    <row r="1945">
      <c r="A1945">
        <f>IF(RAW_INPUT!A1946="","",RAW_INPUT!A1946)</f>
        <v/>
      </c>
      <c r="B1945">
        <f>IF(RAW_INPUT!A1946="","",RAW_INPUT!E1946)</f>
        <v/>
      </c>
      <c r="C1945">
        <f>IF(RAW_INPUT!A1946="","",RAW_INPUT!F1946)</f>
        <v/>
      </c>
    </row>
    <row r="1946">
      <c r="A1946">
        <f>IF(RAW_INPUT!A1947="","",RAW_INPUT!A1947)</f>
        <v/>
      </c>
      <c r="B1946">
        <f>IF(RAW_INPUT!A1947="","",RAW_INPUT!E1947)</f>
        <v/>
      </c>
      <c r="C1946">
        <f>IF(RAW_INPUT!A1947="","",RAW_INPUT!F1947)</f>
        <v/>
      </c>
    </row>
    <row r="1947">
      <c r="A1947">
        <f>IF(RAW_INPUT!A1948="","",RAW_INPUT!A1948)</f>
        <v/>
      </c>
      <c r="B1947">
        <f>IF(RAW_INPUT!A1948="","",RAW_INPUT!E1948)</f>
        <v/>
      </c>
      <c r="C1947">
        <f>IF(RAW_INPUT!A1948="","",RAW_INPUT!F1948)</f>
        <v/>
      </c>
    </row>
    <row r="1948">
      <c r="A1948">
        <f>IF(RAW_INPUT!A1949="","",RAW_INPUT!A1949)</f>
        <v/>
      </c>
      <c r="B1948">
        <f>IF(RAW_INPUT!A1949="","",RAW_INPUT!E1949)</f>
        <v/>
      </c>
      <c r="C1948">
        <f>IF(RAW_INPUT!A1949="","",RAW_INPUT!F1949)</f>
        <v/>
      </c>
    </row>
    <row r="1949">
      <c r="A1949">
        <f>IF(RAW_INPUT!A1950="","",RAW_INPUT!A1950)</f>
        <v/>
      </c>
      <c r="B1949">
        <f>IF(RAW_INPUT!A1950="","",RAW_INPUT!E1950)</f>
        <v/>
      </c>
      <c r="C1949">
        <f>IF(RAW_INPUT!A1950="","",RAW_INPUT!F1950)</f>
        <v/>
      </c>
    </row>
    <row r="1950">
      <c r="A1950">
        <f>IF(RAW_INPUT!A1951="","",RAW_INPUT!A1951)</f>
        <v/>
      </c>
      <c r="B1950">
        <f>IF(RAW_INPUT!A1951="","",RAW_INPUT!E1951)</f>
        <v/>
      </c>
      <c r="C1950">
        <f>IF(RAW_INPUT!A1951="","",RAW_INPUT!F1951)</f>
        <v/>
      </c>
    </row>
    <row r="1951">
      <c r="A1951">
        <f>IF(RAW_INPUT!A1952="","",RAW_INPUT!A1952)</f>
        <v/>
      </c>
      <c r="B1951">
        <f>IF(RAW_INPUT!A1952="","",RAW_INPUT!E1952)</f>
        <v/>
      </c>
      <c r="C1951">
        <f>IF(RAW_INPUT!A1952="","",RAW_INPUT!F1952)</f>
        <v/>
      </c>
    </row>
    <row r="1952">
      <c r="A1952">
        <f>IF(RAW_INPUT!A1953="","",RAW_INPUT!A1953)</f>
        <v/>
      </c>
      <c r="B1952">
        <f>IF(RAW_INPUT!A1953="","",RAW_INPUT!E1953)</f>
        <v/>
      </c>
      <c r="C1952">
        <f>IF(RAW_INPUT!A1953="","",RAW_INPUT!F1953)</f>
        <v/>
      </c>
    </row>
    <row r="1953">
      <c r="A1953">
        <f>IF(RAW_INPUT!A1954="","",RAW_INPUT!A1954)</f>
        <v/>
      </c>
      <c r="B1953">
        <f>IF(RAW_INPUT!A1954="","",RAW_INPUT!E1954)</f>
        <v/>
      </c>
      <c r="C1953">
        <f>IF(RAW_INPUT!A1954="","",RAW_INPUT!F1954)</f>
        <v/>
      </c>
    </row>
    <row r="1954">
      <c r="A1954">
        <f>IF(RAW_INPUT!A1955="","",RAW_INPUT!A1955)</f>
        <v/>
      </c>
      <c r="B1954">
        <f>IF(RAW_INPUT!A1955="","",RAW_INPUT!E1955)</f>
        <v/>
      </c>
      <c r="C1954">
        <f>IF(RAW_INPUT!A1955="","",RAW_INPUT!F1955)</f>
        <v/>
      </c>
    </row>
    <row r="1955">
      <c r="A1955">
        <f>IF(RAW_INPUT!A1956="","",RAW_INPUT!A1956)</f>
        <v/>
      </c>
      <c r="B1955">
        <f>IF(RAW_INPUT!A1956="","",RAW_INPUT!E1956)</f>
        <v/>
      </c>
      <c r="C1955">
        <f>IF(RAW_INPUT!A1956="","",RAW_INPUT!F1956)</f>
        <v/>
      </c>
    </row>
    <row r="1956">
      <c r="A1956">
        <f>IF(RAW_INPUT!A1957="","",RAW_INPUT!A1957)</f>
        <v/>
      </c>
      <c r="B1956">
        <f>IF(RAW_INPUT!A1957="","",RAW_INPUT!E1957)</f>
        <v/>
      </c>
      <c r="C1956">
        <f>IF(RAW_INPUT!A1957="","",RAW_INPUT!F1957)</f>
        <v/>
      </c>
    </row>
    <row r="1957">
      <c r="A1957">
        <f>IF(RAW_INPUT!A1958="","",RAW_INPUT!A1958)</f>
        <v/>
      </c>
      <c r="B1957">
        <f>IF(RAW_INPUT!A1958="","",RAW_INPUT!E1958)</f>
        <v/>
      </c>
      <c r="C1957">
        <f>IF(RAW_INPUT!A1958="","",RAW_INPUT!F1958)</f>
        <v/>
      </c>
    </row>
    <row r="1958">
      <c r="A1958">
        <f>IF(RAW_INPUT!A1959="","",RAW_INPUT!A1959)</f>
        <v/>
      </c>
      <c r="B1958">
        <f>IF(RAW_INPUT!A1959="","",RAW_INPUT!E1959)</f>
        <v/>
      </c>
      <c r="C1958">
        <f>IF(RAW_INPUT!A1959="","",RAW_INPUT!F1959)</f>
        <v/>
      </c>
    </row>
    <row r="1959">
      <c r="A1959">
        <f>IF(RAW_INPUT!A1960="","",RAW_INPUT!A1960)</f>
        <v/>
      </c>
      <c r="B1959">
        <f>IF(RAW_INPUT!A1960="","",RAW_INPUT!E1960)</f>
        <v/>
      </c>
      <c r="C1959">
        <f>IF(RAW_INPUT!A1960="","",RAW_INPUT!F1960)</f>
        <v/>
      </c>
    </row>
    <row r="1960">
      <c r="A1960">
        <f>IF(RAW_INPUT!A1961="","",RAW_INPUT!A1961)</f>
        <v/>
      </c>
      <c r="B1960">
        <f>IF(RAW_INPUT!A1961="","",RAW_INPUT!E1961)</f>
        <v/>
      </c>
      <c r="C1960">
        <f>IF(RAW_INPUT!A1961="","",RAW_INPUT!F1961)</f>
        <v/>
      </c>
    </row>
    <row r="1961">
      <c r="A1961">
        <f>IF(RAW_INPUT!A1962="","",RAW_INPUT!A1962)</f>
        <v/>
      </c>
      <c r="B1961">
        <f>IF(RAW_INPUT!A1962="","",RAW_INPUT!E1962)</f>
        <v/>
      </c>
      <c r="C1961">
        <f>IF(RAW_INPUT!A1962="","",RAW_INPUT!F1962)</f>
        <v/>
      </c>
    </row>
    <row r="1962">
      <c r="A1962">
        <f>IF(RAW_INPUT!A1963="","",RAW_INPUT!A1963)</f>
        <v/>
      </c>
      <c r="B1962">
        <f>IF(RAW_INPUT!A1963="","",RAW_INPUT!E1963)</f>
        <v/>
      </c>
      <c r="C1962">
        <f>IF(RAW_INPUT!A1963="","",RAW_INPUT!F1963)</f>
        <v/>
      </c>
    </row>
    <row r="1963">
      <c r="A1963">
        <f>IF(RAW_INPUT!A1964="","",RAW_INPUT!A1964)</f>
        <v/>
      </c>
      <c r="B1963">
        <f>IF(RAW_INPUT!A1964="","",RAW_INPUT!E1964)</f>
        <v/>
      </c>
      <c r="C1963">
        <f>IF(RAW_INPUT!A1964="","",RAW_INPUT!F1964)</f>
        <v/>
      </c>
    </row>
    <row r="1964">
      <c r="A1964">
        <f>IF(RAW_INPUT!A1965="","",RAW_INPUT!A1965)</f>
        <v/>
      </c>
      <c r="B1964">
        <f>IF(RAW_INPUT!A1965="","",RAW_INPUT!E1965)</f>
        <v/>
      </c>
      <c r="C1964">
        <f>IF(RAW_INPUT!A1965="","",RAW_INPUT!F1965)</f>
        <v/>
      </c>
    </row>
    <row r="1965">
      <c r="A1965">
        <f>IF(RAW_INPUT!A1966="","",RAW_INPUT!A1966)</f>
        <v/>
      </c>
      <c r="B1965">
        <f>IF(RAW_INPUT!A1966="","",RAW_INPUT!E1966)</f>
        <v/>
      </c>
      <c r="C1965">
        <f>IF(RAW_INPUT!A1966="","",RAW_INPUT!F1966)</f>
        <v/>
      </c>
    </row>
    <row r="1966">
      <c r="A1966">
        <f>IF(RAW_INPUT!A1967="","",RAW_INPUT!A1967)</f>
        <v/>
      </c>
      <c r="B1966">
        <f>IF(RAW_INPUT!A1967="","",RAW_INPUT!E1967)</f>
        <v/>
      </c>
      <c r="C1966">
        <f>IF(RAW_INPUT!A1967="","",RAW_INPUT!F1967)</f>
        <v/>
      </c>
    </row>
    <row r="1967">
      <c r="A1967">
        <f>IF(RAW_INPUT!A1968="","",RAW_INPUT!A1968)</f>
        <v/>
      </c>
      <c r="B1967">
        <f>IF(RAW_INPUT!A1968="","",RAW_INPUT!E1968)</f>
        <v/>
      </c>
      <c r="C1967">
        <f>IF(RAW_INPUT!A1968="","",RAW_INPUT!F1968)</f>
        <v/>
      </c>
    </row>
    <row r="1968">
      <c r="A1968">
        <f>IF(RAW_INPUT!A1969="","",RAW_INPUT!A1969)</f>
        <v/>
      </c>
      <c r="B1968">
        <f>IF(RAW_INPUT!A1969="","",RAW_INPUT!E1969)</f>
        <v/>
      </c>
      <c r="C1968">
        <f>IF(RAW_INPUT!A1969="","",RAW_INPUT!F1969)</f>
        <v/>
      </c>
    </row>
    <row r="1969">
      <c r="A1969">
        <f>IF(RAW_INPUT!A1970="","",RAW_INPUT!A1970)</f>
        <v/>
      </c>
      <c r="B1969">
        <f>IF(RAW_INPUT!A1970="","",RAW_INPUT!E1970)</f>
        <v/>
      </c>
      <c r="C1969">
        <f>IF(RAW_INPUT!A1970="","",RAW_INPUT!F1970)</f>
        <v/>
      </c>
    </row>
    <row r="1970">
      <c r="A1970">
        <f>IF(RAW_INPUT!A1971="","",RAW_INPUT!A1971)</f>
        <v/>
      </c>
      <c r="B1970">
        <f>IF(RAW_INPUT!A1971="","",RAW_INPUT!E1971)</f>
        <v/>
      </c>
      <c r="C1970">
        <f>IF(RAW_INPUT!A1971="","",RAW_INPUT!F1971)</f>
        <v/>
      </c>
    </row>
    <row r="1971">
      <c r="A1971">
        <f>IF(RAW_INPUT!A1972="","",RAW_INPUT!A1972)</f>
        <v/>
      </c>
      <c r="B1971">
        <f>IF(RAW_INPUT!A1972="","",RAW_INPUT!E1972)</f>
        <v/>
      </c>
      <c r="C1971">
        <f>IF(RAW_INPUT!A1972="","",RAW_INPUT!F1972)</f>
        <v/>
      </c>
    </row>
    <row r="1972">
      <c r="A1972">
        <f>IF(RAW_INPUT!A1973="","",RAW_INPUT!A1973)</f>
        <v/>
      </c>
      <c r="B1972">
        <f>IF(RAW_INPUT!A1973="","",RAW_INPUT!E1973)</f>
        <v/>
      </c>
      <c r="C1972">
        <f>IF(RAW_INPUT!A1973="","",RAW_INPUT!F1973)</f>
        <v/>
      </c>
    </row>
    <row r="1973">
      <c r="A1973">
        <f>IF(RAW_INPUT!A1974="","",RAW_INPUT!A1974)</f>
        <v/>
      </c>
      <c r="B1973">
        <f>IF(RAW_INPUT!A1974="","",RAW_INPUT!E1974)</f>
        <v/>
      </c>
      <c r="C1973">
        <f>IF(RAW_INPUT!A1974="","",RAW_INPUT!F1974)</f>
        <v/>
      </c>
    </row>
    <row r="1974">
      <c r="A1974">
        <f>IF(RAW_INPUT!A1975="","",RAW_INPUT!A1975)</f>
        <v/>
      </c>
      <c r="B1974">
        <f>IF(RAW_INPUT!A1975="","",RAW_INPUT!E1975)</f>
        <v/>
      </c>
      <c r="C1974">
        <f>IF(RAW_INPUT!A1975="","",RAW_INPUT!F1975)</f>
        <v/>
      </c>
    </row>
    <row r="1975">
      <c r="A1975">
        <f>IF(RAW_INPUT!A1976="","",RAW_INPUT!A1976)</f>
        <v/>
      </c>
      <c r="B1975">
        <f>IF(RAW_INPUT!A1976="","",RAW_INPUT!E1976)</f>
        <v/>
      </c>
      <c r="C1975">
        <f>IF(RAW_INPUT!A1976="","",RAW_INPUT!F1976)</f>
        <v/>
      </c>
    </row>
    <row r="1976">
      <c r="A1976">
        <f>IF(RAW_INPUT!A1977="","",RAW_INPUT!A1977)</f>
        <v/>
      </c>
      <c r="B1976">
        <f>IF(RAW_INPUT!A1977="","",RAW_INPUT!E1977)</f>
        <v/>
      </c>
      <c r="C1976">
        <f>IF(RAW_INPUT!A1977="","",RAW_INPUT!F1977)</f>
        <v/>
      </c>
    </row>
    <row r="1977">
      <c r="A1977">
        <f>IF(RAW_INPUT!A1978="","",RAW_INPUT!A1978)</f>
        <v/>
      </c>
      <c r="B1977">
        <f>IF(RAW_INPUT!A1978="","",RAW_INPUT!E1978)</f>
        <v/>
      </c>
      <c r="C1977">
        <f>IF(RAW_INPUT!A1978="","",RAW_INPUT!F1978)</f>
        <v/>
      </c>
    </row>
    <row r="1978">
      <c r="A1978">
        <f>IF(RAW_INPUT!A1979="","",RAW_INPUT!A1979)</f>
        <v/>
      </c>
      <c r="B1978">
        <f>IF(RAW_INPUT!A1979="","",RAW_INPUT!E1979)</f>
        <v/>
      </c>
      <c r="C1978">
        <f>IF(RAW_INPUT!A1979="","",RAW_INPUT!F1979)</f>
        <v/>
      </c>
    </row>
    <row r="1979">
      <c r="A1979">
        <f>IF(RAW_INPUT!A1980="","",RAW_INPUT!A1980)</f>
        <v/>
      </c>
      <c r="B1979">
        <f>IF(RAW_INPUT!A1980="","",RAW_INPUT!E1980)</f>
        <v/>
      </c>
      <c r="C1979">
        <f>IF(RAW_INPUT!A1980="","",RAW_INPUT!F1980)</f>
        <v/>
      </c>
    </row>
    <row r="1980">
      <c r="A1980">
        <f>IF(RAW_INPUT!A1981="","",RAW_INPUT!A1981)</f>
        <v/>
      </c>
      <c r="B1980">
        <f>IF(RAW_INPUT!A1981="","",RAW_INPUT!E1981)</f>
        <v/>
      </c>
      <c r="C1980">
        <f>IF(RAW_INPUT!A1981="","",RAW_INPUT!F1981)</f>
        <v/>
      </c>
    </row>
    <row r="1981">
      <c r="A1981">
        <f>IF(RAW_INPUT!A1982="","",RAW_INPUT!A1982)</f>
        <v/>
      </c>
      <c r="B1981">
        <f>IF(RAW_INPUT!A1982="","",RAW_INPUT!E1982)</f>
        <v/>
      </c>
      <c r="C1981">
        <f>IF(RAW_INPUT!A1982="","",RAW_INPUT!F1982)</f>
        <v/>
      </c>
    </row>
    <row r="1982">
      <c r="A1982">
        <f>IF(RAW_INPUT!A1983="","",RAW_INPUT!A1983)</f>
        <v/>
      </c>
      <c r="B1982">
        <f>IF(RAW_INPUT!A1983="","",RAW_INPUT!E1983)</f>
        <v/>
      </c>
      <c r="C1982">
        <f>IF(RAW_INPUT!A1983="","",RAW_INPUT!F1983)</f>
        <v/>
      </c>
    </row>
    <row r="1983">
      <c r="A1983">
        <f>IF(RAW_INPUT!A1984="","",RAW_INPUT!A1984)</f>
        <v/>
      </c>
      <c r="B1983">
        <f>IF(RAW_INPUT!A1984="","",RAW_INPUT!E1984)</f>
        <v/>
      </c>
      <c r="C1983">
        <f>IF(RAW_INPUT!A1984="","",RAW_INPUT!F1984)</f>
        <v/>
      </c>
    </row>
    <row r="1984">
      <c r="A1984">
        <f>IF(RAW_INPUT!A1985="","",RAW_INPUT!A1985)</f>
        <v/>
      </c>
      <c r="B1984">
        <f>IF(RAW_INPUT!A1985="","",RAW_INPUT!E1985)</f>
        <v/>
      </c>
      <c r="C1984">
        <f>IF(RAW_INPUT!A1985="","",RAW_INPUT!F1985)</f>
        <v/>
      </c>
    </row>
    <row r="1985">
      <c r="A1985">
        <f>IF(RAW_INPUT!A1986="","",RAW_INPUT!A1986)</f>
        <v/>
      </c>
      <c r="B1985">
        <f>IF(RAW_INPUT!A1986="","",RAW_INPUT!E1986)</f>
        <v/>
      </c>
      <c r="C1985">
        <f>IF(RAW_INPUT!A1986="","",RAW_INPUT!F1986)</f>
        <v/>
      </c>
    </row>
    <row r="1986">
      <c r="A1986">
        <f>IF(RAW_INPUT!A1987="","",RAW_INPUT!A1987)</f>
        <v/>
      </c>
      <c r="B1986">
        <f>IF(RAW_INPUT!A1987="","",RAW_INPUT!E1987)</f>
        <v/>
      </c>
      <c r="C1986">
        <f>IF(RAW_INPUT!A1987="","",RAW_INPUT!F1987)</f>
        <v/>
      </c>
    </row>
    <row r="1987">
      <c r="A1987">
        <f>IF(RAW_INPUT!A1988="","",RAW_INPUT!A1988)</f>
        <v/>
      </c>
      <c r="B1987">
        <f>IF(RAW_INPUT!A1988="","",RAW_INPUT!E1988)</f>
        <v/>
      </c>
      <c r="C1987">
        <f>IF(RAW_INPUT!A1988="","",RAW_INPUT!F1988)</f>
        <v/>
      </c>
    </row>
    <row r="1988">
      <c r="A1988">
        <f>IF(RAW_INPUT!A1989="","",RAW_INPUT!A1989)</f>
        <v/>
      </c>
      <c r="B1988">
        <f>IF(RAW_INPUT!A1989="","",RAW_INPUT!E1989)</f>
        <v/>
      </c>
      <c r="C1988">
        <f>IF(RAW_INPUT!A1989="","",RAW_INPUT!F1989)</f>
        <v/>
      </c>
    </row>
    <row r="1989">
      <c r="A1989">
        <f>IF(RAW_INPUT!A1990="","",RAW_INPUT!A1990)</f>
        <v/>
      </c>
      <c r="B1989">
        <f>IF(RAW_INPUT!A1990="","",RAW_INPUT!E1990)</f>
        <v/>
      </c>
      <c r="C1989">
        <f>IF(RAW_INPUT!A1990="","",RAW_INPUT!F1990)</f>
        <v/>
      </c>
    </row>
    <row r="1990">
      <c r="A1990">
        <f>IF(RAW_INPUT!A1991="","",RAW_INPUT!A1991)</f>
        <v/>
      </c>
      <c r="B1990">
        <f>IF(RAW_INPUT!A1991="","",RAW_INPUT!E1991)</f>
        <v/>
      </c>
      <c r="C1990">
        <f>IF(RAW_INPUT!A1991="","",RAW_INPUT!F1991)</f>
        <v/>
      </c>
    </row>
    <row r="1991">
      <c r="A1991">
        <f>IF(RAW_INPUT!A1992="","",RAW_INPUT!A1992)</f>
        <v/>
      </c>
      <c r="B1991">
        <f>IF(RAW_INPUT!A1992="","",RAW_INPUT!E1992)</f>
        <v/>
      </c>
      <c r="C1991">
        <f>IF(RAW_INPUT!A1992="","",RAW_INPUT!F1992)</f>
        <v/>
      </c>
    </row>
    <row r="1992">
      <c r="A1992">
        <f>IF(RAW_INPUT!A1993="","",RAW_INPUT!A1993)</f>
        <v/>
      </c>
      <c r="B1992">
        <f>IF(RAW_INPUT!A1993="","",RAW_INPUT!E1993)</f>
        <v/>
      </c>
      <c r="C1992">
        <f>IF(RAW_INPUT!A1993="","",RAW_INPUT!F1993)</f>
        <v/>
      </c>
    </row>
    <row r="1993">
      <c r="A1993">
        <f>IF(RAW_INPUT!A1994="","",RAW_INPUT!A1994)</f>
        <v/>
      </c>
      <c r="B1993">
        <f>IF(RAW_INPUT!A1994="","",RAW_INPUT!E1994)</f>
        <v/>
      </c>
      <c r="C1993">
        <f>IF(RAW_INPUT!A1994="","",RAW_INPUT!F1994)</f>
        <v/>
      </c>
    </row>
    <row r="1994">
      <c r="A1994">
        <f>IF(RAW_INPUT!A1995="","",RAW_INPUT!A1995)</f>
        <v/>
      </c>
      <c r="B1994">
        <f>IF(RAW_INPUT!A1995="","",RAW_INPUT!E1995)</f>
        <v/>
      </c>
      <c r="C1994">
        <f>IF(RAW_INPUT!A1995="","",RAW_INPUT!F1995)</f>
        <v/>
      </c>
    </row>
    <row r="1995">
      <c r="A1995">
        <f>IF(RAW_INPUT!A1996="","",RAW_INPUT!A1996)</f>
        <v/>
      </c>
      <c r="B1995">
        <f>IF(RAW_INPUT!A1996="","",RAW_INPUT!E1996)</f>
        <v/>
      </c>
      <c r="C1995">
        <f>IF(RAW_INPUT!A1996="","",RAW_INPUT!F1996)</f>
        <v/>
      </c>
    </row>
    <row r="1996">
      <c r="A1996">
        <f>IF(RAW_INPUT!A1997="","",RAW_INPUT!A1997)</f>
        <v/>
      </c>
      <c r="B1996">
        <f>IF(RAW_INPUT!A1997="","",RAW_INPUT!E1997)</f>
        <v/>
      </c>
      <c r="C1996">
        <f>IF(RAW_INPUT!A1997="","",RAW_INPUT!F1997)</f>
        <v/>
      </c>
    </row>
    <row r="1997">
      <c r="A1997">
        <f>IF(RAW_INPUT!A1998="","",RAW_INPUT!A1998)</f>
        <v/>
      </c>
      <c r="B1997">
        <f>IF(RAW_INPUT!A1998="","",RAW_INPUT!E1998)</f>
        <v/>
      </c>
      <c r="C1997">
        <f>IF(RAW_INPUT!A1998="","",RAW_INPUT!F1998)</f>
        <v/>
      </c>
    </row>
    <row r="1998">
      <c r="A1998">
        <f>IF(RAW_INPUT!A1999="","",RAW_INPUT!A1999)</f>
        <v/>
      </c>
      <c r="B1998">
        <f>IF(RAW_INPUT!A1999="","",RAW_INPUT!E1999)</f>
        <v/>
      </c>
      <c r="C1998">
        <f>IF(RAW_INPUT!A1999="","",RAW_INPUT!F1999)</f>
        <v/>
      </c>
    </row>
    <row r="1999">
      <c r="A1999">
        <f>IF(RAW_INPUT!A2000="","",RAW_INPUT!A2000)</f>
        <v/>
      </c>
      <c r="B1999">
        <f>IF(RAW_INPUT!A2000="","",RAW_INPUT!E2000)</f>
        <v/>
      </c>
      <c r="C1999">
        <f>IF(RAW_INPUT!A2000="","",RAW_INPUT!F2000)</f>
        <v/>
      </c>
    </row>
    <row r="2000">
      <c r="A2000">
        <f>IF(RAW_INPUT!A2001="","",RAW_INPUT!A2001)</f>
        <v/>
      </c>
      <c r="B2000">
        <f>IF(RAW_INPUT!A2001="","",RAW_INPUT!E2001)</f>
        <v/>
      </c>
      <c r="C2000">
        <f>IF(RAW_INPUT!A2001="","",RAW_INPUT!F2001)</f>
        <v/>
      </c>
    </row>
    <row r="2001">
      <c r="A2001">
        <f>IF(RAW_INPUT!A2002="","",RAW_INPUT!A2002)</f>
        <v/>
      </c>
      <c r="B2001">
        <f>IF(RAW_INPUT!A2002="","",RAW_INPUT!E2002)</f>
        <v/>
      </c>
      <c r="C2001">
        <f>IF(RAW_INPUT!A2002="","",RAW_INPUT!F2002)</f>
        <v/>
      </c>
    </row>
    <row r="2002">
      <c r="A2002">
        <f>IF(RAW_INPUT!A2003="","",RAW_INPUT!A2003)</f>
        <v/>
      </c>
      <c r="B2002">
        <f>IF(RAW_INPUT!A2003="","",RAW_INPUT!E2003)</f>
        <v/>
      </c>
      <c r="C2002">
        <f>IF(RAW_INPUT!A2003="","",RAW_INPUT!F2003)</f>
        <v/>
      </c>
    </row>
    <row r="2003">
      <c r="A2003">
        <f>IF(RAW_INPUT!A2004="","",RAW_INPUT!A2004)</f>
        <v/>
      </c>
      <c r="B2003">
        <f>IF(RAW_INPUT!A2004="","",RAW_INPUT!E2004)</f>
        <v/>
      </c>
      <c r="C2003">
        <f>IF(RAW_INPUT!A2004="","",RAW_INPUT!F2004)</f>
        <v/>
      </c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zoomScaleNormal="100" workbookViewId="0">
      <selection activeCell="A1" sqref="A1:D1"/>
    </sheetView>
  </sheetViews>
  <sheetFormatPr baseColWidth="8" defaultRowHeight="15"/>
  <cols>
    <col width="28" customWidth="1" style="89" min="1" max="1"/>
    <col width="18" customWidth="1" style="89" min="2" max="2"/>
    <col width="16" customWidth="1" style="89" min="3" max="3"/>
    <col width="50" customWidth="1" style="89" min="4" max="4"/>
  </cols>
  <sheetData>
    <row r="1" ht="27.95" customHeight="1" s="89">
      <c r="A1" s="86" t="inlineStr">
        <is>
          <t>QuickBooks Export Column Mapping Reference</t>
        </is>
      </c>
    </row>
    <row r="2" ht="21.95" customHeight="1" s="89">
      <c r="A2" s="2" t="inlineStr">
        <is>
          <t>QuickBooks Column Name</t>
        </is>
      </c>
      <c r="B2" s="2" t="inlineStr">
        <is>
          <t>Template Column</t>
        </is>
      </c>
      <c r="C2" s="2" t="inlineStr">
        <is>
          <t>Required?</t>
        </is>
      </c>
      <c r="D2" s="2" t="inlineStr">
        <is>
          <t>Notes</t>
        </is>
      </c>
    </row>
    <row r="3" ht="21.95" customHeight="1" s="89">
      <c r="A3" s="3" t="inlineStr">
        <is>
          <t>Date</t>
        </is>
      </c>
      <c r="B3" s="3" t="inlineStr">
        <is>
          <t>Date</t>
        </is>
      </c>
      <c r="C3" s="4" t="inlineStr">
        <is>
          <t>YES</t>
        </is>
      </c>
      <c r="D3" s="3" t="inlineStr">
        <is>
          <t>Transaction date. Rename if QB exports as 'Txn Date'</t>
        </is>
      </c>
    </row>
    <row r="4" ht="21.95" customHeight="1" s="89">
      <c r="A4" s="5" t="inlineStr">
        <is>
          <t>Qty</t>
        </is>
      </c>
      <c r="B4" s="5" t="inlineStr">
        <is>
          <t>Qty</t>
        </is>
      </c>
      <c r="C4" s="6" t="inlineStr">
        <is>
          <t>If no Total</t>
        </is>
      </c>
      <c r="D4" s="5" t="inlineStr">
        <is>
          <t>Units. May be 'Quantity' in some QB reports</t>
        </is>
      </c>
    </row>
    <row r="5" ht="21.95" customHeight="1" s="89">
      <c r="A5" s="3" t="inlineStr">
        <is>
          <t>Sales Price</t>
        </is>
      </c>
      <c r="B5" s="3" t="inlineStr">
        <is>
          <t>Sales Price</t>
        </is>
      </c>
      <c r="C5" s="7" t="inlineStr">
        <is>
          <t>If no Total</t>
        </is>
      </c>
      <c r="D5" s="3" t="inlineStr">
        <is>
          <t>Unit price. May be 'Rate' in QB</t>
        </is>
      </c>
    </row>
    <row r="6" ht="21.95" customHeight="1" s="89">
      <c r="A6" s="5" t="inlineStr">
        <is>
          <t>Amount</t>
        </is>
      </c>
      <c r="B6" s="5" t="inlineStr">
        <is>
          <t>Total Sales</t>
        </is>
      </c>
      <c r="C6" s="5" t="inlineStr">
        <is>
          <t>If no Qty/Price</t>
        </is>
      </c>
      <c r="D6" s="5" t="inlineStr">
        <is>
          <t>Pre-computed total. Rename to 'Total Sales'</t>
        </is>
      </c>
    </row>
    <row r="7" ht="21.95" customHeight="1" s="89">
      <c r="A7" s="3" t="inlineStr">
        <is>
          <t>Customer</t>
        </is>
      </c>
      <c r="B7" s="3" t="inlineStr">
        <is>
          <t>Customer</t>
        </is>
      </c>
      <c r="C7" s="3" t="inlineStr">
        <is>
          <t>No</t>
        </is>
      </c>
      <c r="D7" s="3" t="inlineStr">
        <is>
          <t>Kept for reference, not used by pipeline</t>
        </is>
      </c>
    </row>
    <row r="8" ht="21.95" customHeight="1" s="89">
      <c r="A8" s="5" t="inlineStr">
        <is>
          <t>Invoice No.</t>
        </is>
      </c>
      <c r="B8" s="5" t="inlineStr">
        <is>
          <t>Invoice #</t>
        </is>
      </c>
      <c r="C8" s="5" t="inlineStr">
        <is>
          <t>No</t>
        </is>
      </c>
      <c r="D8" s="5" t="inlineStr">
        <is>
          <t>Reference only</t>
        </is>
      </c>
    </row>
    <row r="9" ht="21.95" customHeight="1" s="89">
      <c r="A9" s="3" t="inlineStr">
        <is>
          <t>Item Description</t>
        </is>
      </c>
      <c r="B9" s="3" t="inlineStr">
        <is>
          <t>Item / Description</t>
        </is>
      </c>
      <c r="C9" s="3" t="inlineStr">
        <is>
          <t>No</t>
        </is>
      </c>
      <c r="D9" s="3" t="inlineStr">
        <is>
          <t>Reference only</t>
        </is>
      </c>
    </row>
    <row r="10" ht="21.95" customHeight="1" s="89">
      <c r="A10" s="5" t="inlineStr">
        <is>
          <t>Tax</t>
        </is>
      </c>
      <c r="B10" s="5" t="inlineStr">
        <is>
          <t>Tax</t>
        </is>
      </c>
      <c r="C10" s="5" t="inlineStr">
        <is>
          <t>No</t>
        </is>
      </c>
      <c r="D10" s="5" t="inlineStr">
        <is>
          <t>Not used by pipeline currently</t>
        </is>
      </c>
    </row>
    <row r="11" ht="21.95" customHeight="1" s="89">
      <c r="A11" s="3" t="inlineStr">
        <is>
          <t>Memo</t>
        </is>
      </c>
      <c r="B11" s="3" t="inlineStr">
        <is>
          <t>Notes</t>
        </is>
      </c>
      <c r="C11" s="3" t="inlineStr">
        <is>
          <t>No</t>
        </is>
      </c>
      <c r="D11" s="3" t="inlineStr">
        <is>
          <t>Optional context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F4E79"/>
    <outlinePr summaryBelow="1" summaryRight="1"/>
    <pageSetUpPr/>
  </sheetPr>
  <dimension ref="A1:L229"/>
  <sheetViews>
    <sheetView topLeftCell="A46" workbookViewId="0">
      <selection activeCell="I234" sqref="I234"/>
    </sheetView>
  </sheetViews>
  <sheetFormatPr baseColWidth="8" defaultRowHeight="15"/>
  <cols>
    <col width="33.28515625" customWidth="1" style="89" min="1" max="1"/>
    <col width="21" customWidth="1" style="89" min="2" max="6"/>
    <col width="26.7109375" customWidth="1" style="89" min="7" max="7"/>
    <col width="21" customWidth="1" style="89" min="8" max="8"/>
    <col width="16.7109375" bestFit="1" customWidth="1" style="89" min="9" max="9"/>
    <col width="24.7109375" customWidth="1" style="89" min="11" max="11"/>
    <col width="11.42578125" customWidth="1" style="89" min="12" max="12"/>
  </cols>
  <sheetData>
    <row r="1" ht="30" customHeight="1" s="89">
      <c r="A1" s="84" t="inlineStr">
        <is>
          <t>TNDS SALES DATA — COMPREHENSIVE ANALYSIS</t>
        </is>
      </c>
    </row>
    <row r="2">
      <c r="A2" s="80" t="inlineStr">
        <is>
          <t>Source: RAW_INPUT sheet | All figures in USD unless noted</t>
        </is>
      </c>
    </row>
    <row r="3"/>
    <row r="4" ht="24.95" customHeight="1" s="89">
      <c r="A4" s="82" t="inlineStr">
        <is>
          <t>KEY METRICS SUMMARY</t>
        </is>
      </c>
    </row>
    <row r="5">
      <c r="A5" s="20" t="n"/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</row>
    <row r="6">
      <c r="A6" s="21" t="inlineStr">
        <is>
          <t>Total Revenue</t>
        </is>
      </c>
      <c r="B6" s="22">
        <f>SUM(RAW_INPUT!G5:G445)</f>
        <v/>
      </c>
      <c r="C6" s="20" t="n"/>
      <c r="D6" s="21" t="inlineStr">
        <is>
          <t>Avg Sale Size</t>
        </is>
      </c>
      <c r="E6" s="22">
        <f>B6/B7</f>
        <v/>
      </c>
      <c r="F6" s="20" t="n"/>
      <c r="G6" s="21" t="inlineStr">
        <is>
          <t>Date Range Start</t>
        </is>
      </c>
      <c r="H6" s="23">
        <f>MIN(RAW_INPUT!A5:A445)</f>
        <v/>
      </c>
      <c r="I6" s="20" t="n"/>
      <c r="J6" s="20" t="n"/>
      <c r="K6" s="20" t="n"/>
      <c r="L6" s="20" t="n"/>
    </row>
    <row r="7">
      <c r="A7" s="21" t="inlineStr">
        <is>
          <t>Total Transactions</t>
        </is>
      </c>
      <c r="B7" s="24">
        <f>COUNTA(RAW_INPUT!A5:A445)</f>
        <v/>
      </c>
      <c r="C7" s="20" t="n"/>
      <c r="D7" s="21" t="inlineStr">
        <is>
          <t>Avg Fuel Price/Gal</t>
        </is>
      </c>
      <c r="E7" s="25">
        <f t="array" ref="E7">SUMPRODUCT((RAW_INPUT!F5:F445&lt;20)*(RAW_INPUT!G5:G445))/SUMPRODUCT((RAW_INPUT!F5:F445&lt;20)*(RAW_INPUT!E5:E445))</f>
        <v/>
      </c>
      <c r="F7" s="20" t="n"/>
      <c r="G7" s="21" t="inlineStr">
        <is>
          <t>Date Range End</t>
        </is>
      </c>
      <c r="H7" s="23">
        <f>MAX(RAW_INPUT!A5:A445)</f>
        <v/>
      </c>
      <c r="I7" s="20" t="n"/>
      <c r="J7" s="20" t="n"/>
      <c r="K7" s="20" t="n"/>
      <c r="L7" s="20" t="n"/>
    </row>
    <row r="8">
      <c r="A8" s="21" t="inlineStr">
        <is>
          <t>Total Fuel Gallons</t>
        </is>
      </c>
      <c r="B8" s="24">
        <f t="array" ref="B8">SUMPRODUCT((RAW_INPUT!F5:F445&lt;20)*(RAW_INPUT!E5:E445))</f>
        <v/>
      </c>
      <c r="C8" s="20" t="n"/>
      <c r="D8" s="21" t="inlineStr">
        <is>
          <t>Service Transactions</t>
        </is>
      </c>
      <c r="E8" s="24">
        <f t="array" ref="E8">SUMPRODUCT((RAW_INPUT!E5:E445=1)*(RAW_INPUT!F5:F445&gt;=20)*1)</f>
        <v/>
      </c>
      <c r="F8" s="20" t="n"/>
      <c r="G8" s="21" t="inlineStr">
        <is>
          <t>Unique Customers</t>
        </is>
      </c>
      <c r="H8" s="24">
        <f t="array" ref="H8">SUMPRODUCT(1/COUNTIF(RAW_INPUT!B5:B445,RAW_INPUT!B5:B445))</f>
        <v/>
      </c>
      <c r="I8" s="20" t="n"/>
      <c r="J8" s="20" t="n"/>
      <c r="K8" s="20" t="n"/>
      <c r="L8" s="20" t="n"/>
    </row>
    <row r="9"/>
    <row r="10" ht="24.95" customHeight="1" s="89">
      <c r="A10" s="82" t="inlineStr">
        <is>
          <t>MONTHLY REVENUE TREND</t>
        </is>
      </c>
    </row>
    <row r="11">
      <c r="A11" s="28" t="inlineStr">
        <is>
          <t>Month</t>
        </is>
      </c>
      <c r="B11" s="28" t="inlineStr">
        <is>
          <t>Revenue</t>
        </is>
      </c>
      <c r="C11" s="28" t="inlineStr">
        <is>
          <t># Transactions</t>
        </is>
      </c>
      <c r="D11" s="28" t="inlineStr">
        <is>
          <t>Fuel Gallons</t>
        </is>
      </c>
      <c r="E11" s="28" t="inlineStr">
        <is>
          <t>Avg Price/Gal</t>
        </is>
      </c>
      <c r="F11" s="28" t="inlineStr">
        <is>
          <t>Avg Sale Size</t>
        </is>
      </c>
    </row>
    <row r="12">
      <c r="A12" s="29">
        <f>DATE(YEAR(MIN(RAW_INPUT!A5:A445)),MONTH(MIN(RAW_INPUT!A5:A445)),1)</f>
        <v/>
      </c>
      <c r="B12" s="30">
        <f t="array" ref="B12">SUMPRODUCT((RAW_INPUT!A5:A445&gt;=A12)*(RAW_INPUT!A5:A445&lt;A13)*RAW_INPUT!G5:G445)</f>
        <v/>
      </c>
      <c r="C12" s="31">
        <f t="array" ref="C12">SUMPRODUCT((RAW_INPUT!A5:A445&gt;=A12)*(RAW_INPUT!A5:A445&lt;A13)*1)</f>
        <v/>
      </c>
      <c r="D12" s="31">
        <f t="array" ref="D12">SUMPRODUCT((RAW_INPUT!A5:A445&gt;=A12)*(RAW_INPUT!A5:A445&lt;A13)*(RAW_INPUT!F5:F445&lt;20)*RAW_INPUT!E5:E445)</f>
        <v/>
      </c>
      <c r="E12" s="32">
        <f t="array" ref="E12">IFERROR(SUMPRODUCT((RAW_INPUT!A5:A445&gt;=A12)*(RAW_INPUT!A5:A445&lt;A13)*(RAW_INPUT!F5:F445&lt;20)*RAW_INPUT!G5:G445)/D12,0)</f>
        <v/>
      </c>
      <c r="F12" s="30">
        <f>IFERROR(B12/C12,0)</f>
        <v/>
      </c>
    </row>
    <row r="13">
      <c r="A13" s="29">
        <f>EDATE(A12,1)</f>
        <v/>
      </c>
      <c r="B13" s="30">
        <f t="array" ref="B13">SUMPRODUCT((RAW_INPUT!A5:A445&gt;=A13)*(RAW_INPUT!A5:A445&lt;A14)*RAW_INPUT!G5:G445)</f>
        <v/>
      </c>
      <c r="C13" s="31">
        <f t="array" ref="C13">SUMPRODUCT((RAW_INPUT!A5:A445&gt;=A13)*(RAW_INPUT!A5:A445&lt;A14)*1)</f>
        <v/>
      </c>
      <c r="D13" s="31">
        <f t="array" ref="D13">SUMPRODUCT((RAW_INPUT!A5:A445&gt;=A13)*(RAW_INPUT!A5:A445&lt;A14)*(RAW_INPUT!F5:F445&lt;20)*RAW_INPUT!E5:E445)</f>
        <v/>
      </c>
      <c r="E13" s="32">
        <f t="array" ref="E13">IFERROR(SUMPRODUCT((RAW_INPUT!A5:A445&gt;=A13)*(RAW_INPUT!A5:A445&lt;A14)*(RAW_INPUT!F5:F445&lt;20)*RAW_INPUT!G5:G445)/D13,0)</f>
        <v/>
      </c>
      <c r="F13" s="30">
        <f>IFERROR(B13/C13,0)</f>
        <v/>
      </c>
    </row>
    <row r="14">
      <c r="A14" s="29">
        <f>EDATE(A12,2)</f>
        <v/>
      </c>
      <c r="B14" s="30">
        <f t="array" ref="B14">SUMPRODUCT((RAW_INPUT!A5:A445&gt;=A14)*(RAW_INPUT!A5:A445&lt;A15)*RAW_INPUT!G5:G445)</f>
        <v/>
      </c>
      <c r="C14" s="31">
        <f t="array" ref="C14">SUMPRODUCT((RAW_INPUT!A5:A445&gt;=A14)*(RAW_INPUT!A5:A445&lt;A15)*1)</f>
        <v/>
      </c>
      <c r="D14" s="31">
        <f t="array" ref="D14">SUMPRODUCT((RAW_INPUT!A5:A445&gt;=A14)*(RAW_INPUT!A5:A445&lt;A15)*(RAW_INPUT!F5:F445&lt;20)*RAW_INPUT!E5:E445)</f>
        <v/>
      </c>
      <c r="E14" s="32">
        <f t="array" ref="E14">IFERROR(SUMPRODUCT((RAW_INPUT!A5:A445&gt;=A14)*(RAW_INPUT!A5:A445&lt;A15)*(RAW_INPUT!F5:F445&lt;20)*RAW_INPUT!G5:G445)/D14,0)</f>
        <v/>
      </c>
      <c r="F14" s="30">
        <f>IFERROR(B14/C14,0)</f>
        <v/>
      </c>
    </row>
    <row r="15">
      <c r="A15" s="29">
        <f>EDATE(A12,3)</f>
        <v/>
      </c>
      <c r="B15" s="30">
        <f t="array" ref="B15">SUMPRODUCT((RAW_INPUT!A5:A445&gt;=A15)*(RAW_INPUT!A5:A445&lt;A16)*RAW_INPUT!G5:G445)</f>
        <v/>
      </c>
      <c r="C15" s="31">
        <f t="array" ref="C15">SUMPRODUCT((RAW_INPUT!A5:A445&gt;=A15)*(RAW_INPUT!A5:A445&lt;A16)*1)</f>
        <v/>
      </c>
      <c r="D15" s="31">
        <f t="array" ref="D15">SUMPRODUCT((RAW_INPUT!A5:A445&gt;=A15)*(RAW_INPUT!A5:A445&lt;A16)*(RAW_INPUT!F5:F445&lt;20)*RAW_INPUT!E5:E445)</f>
        <v/>
      </c>
      <c r="E15" s="32">
        <f t="array" ref="E15">IFERROR(SUMPRODUCT((RAW_INPUT!A5:A445&gt;=A15)*(RAW_INPUT!A5:A445&lt;A16)*(RAW_INPUT!F5:F445&lt;20)*RAW_INPUT!G5:G445)/D15,0)</f>
        <v/>
      </c>
      <c r="F15" s="30">
        <f>IFERROR(B15/C15,0)</f>
        <v/>
      </c>
    </row>
    <row r="16">
      <c r="A16" s="29">
        <f>EDATE(A12,4)</f>
        <v/>
      </c>
      <c r="B16" s="30">
        <f t="array" ref="B16">SUMPRODUCT((RAW_INPUT!A5:A445&gt;=A16)*(RAW_INPUT!A5:A445&lt;A17)*RAW_INPUT!G5:G445)</f>
        <v/>
      </c>
      <c r="C16" s="31">
        <f t="array" ref="C16">SUMPRODUCT((RAW_INPUT!A5:A445&gt;=A16)*(RAW_INPUT!A5:A445&lt;A17)*1)</f>
        <v/>
      </c>
      <c r="D16" s="31">
        <f t="array" ref="D16">SUMPRODUCT((RAW_INPUT!A5:A445&gt;=A16)*(RAW_INPUT!A5:A445&lt;A17)*(RAW_INPUT!F5:F445&lt;20)*RAW_INPUT!E5:E445)</f>
        <v/>
      </c>
      <c r="E16" s="32">
        <f t="array" ref="E16">IFERROR(SUMPRODUCT((RAW_INPUT!A5:A445&gt;=A16)*(RAW_INPUT!A5:A445&lt;A17)*(RAW_INPUT!F5:F445&lt;20)*RAW_INPUT!G5:G445)/D16,0)</f>
        <v/>
      </c>
      <c r="F16" s="30">
        <f>IFERROR(B16/C16,0)</f>
        <v/>
      </c>
    </row>
    <row r="17">
      <c r="A17" s="29">
        <f>EDATE(A12,5)</f>
        <v/>
      </c>
      <c r="B17" s="30">
        <f t="array" ref="B17">SUMPRODUCT((RAW_INPUT!A5:A445&gt;=A17)*(RAW_INPUT!A5:A445&lt;A18)*RAW_INPUT!G5:G445)</f>
        <v/>
      </c>
      <c r="C17" s="31">
        <f t="array" ref="C17">SUMPRODUCT((RAW_INPUT!A5:A445&gt;=A17)*(RAW_INPUT!A5:A445&lt;A18)*1)</f>
        <v/>
      </c>
      <c r="D17" s="31">
        <f t="array" ref="D17">SUMPRODUCT((RAW_INPUT!A5:A445&gt;=A17)*(RAW_INPUT!A5:A445&lt;A18)*(RAW_INPUT!F5:F445&lt;20)*RAW_INPUT!E5:E445)</f>
        <v/>
      </c>
      <c r="E17" s="32">
        <f t="array" ref="E17">IFERROR(SUMPRODUCT((RAW_INPUT!A5:A445&gt;=A17)*(RAW_INPUT!A5:A445&lt;A18)*(RAW_INPUT!F5:F445&lt;20)*RAW_INPUT!G5:G445)/D17,0)</f>
        <v/>
      </c>
      <c r="F17" s="30">
        <f>IFERROR(B17/C17,0)</f>
        <v/>
      </c>
    </row>
    <row r="18">
      <c r="A18" s="29">
        <f>EDATE(A12,6)</f>
        <v/>
      </c>
      <c r="B18" s="30">
        <f t="array" ref="B18">SUMPRODUCT((RAW_INPUT!A5:A445&gt;=A18)*(RAW_INPUT!A5:A445&lt;A19)*RAW_INPUT!G5:G445)</f>
        <v/>
      </c>
      <c r="C18" s="31">
        <f t="array" ref="C18">SUMPRODUCT((RAW_INPUT!A5:A445&gt;=A18)*(RAW_INPUT!A5:A445&lt;A19)*1)</f>
        <v/>
      </c>
      <c r="D18" s="31">
        <f t="array" ref="D18">SUMPRODUCT((RAW_INPUT!A5:A445&gt;=A18)*(RAW_INPUT!A5:A445&lt;A19)*(RAW_INPUT!F5:F445&lt;20)*RAW_INPUT!E5:E445)</f>
        <v/>
      </c>
      <c r="E18" s="32">
        <f t="array" ref="E18">IFERROR(SUMPRODUCT((RAW_INPUT!A5:A445&gt;=A18)*(RAW_INPUT!A5:A445&lt;A19)*(RAW_INPUT!F5:F445&lt;20)*RAW_INPUT!G5:G445)/D18,0)</f>
        <v/>
      </c>
      <c r="F18" s="30">
        <f>IFERROR(B18/C18,0)</f>
        <v/>
      </c>
    </row>
    <row r="19">
      <c r="A19" s="29">
        <f>EDATE(A12,7)</f>
        <v/>
      </c>
      <c r="B19" s="30">
        <f t="array" ref="B19">SUMPRODUCT((RAW_INPUT!A5:A445&gt;=A19)*(RAW_INPUT!A5:A445&lt;A20)*RAW_INPUT!G5:G445)</f>
        <v/>
      </c>
      <c r="C19" s="31">
        <f t="array" ref="C19">SUMPRODUCT((RAW_INPUT!A5:A445&gt;=A19)*(RAW_INPUT!A5:A445&lt;A20)*1)</f>
        <v/>
      </c>
      <c r="D19" s="31">
        <f t="array" ref="D19">SUMPRODUCT((RAW_INPUT!A5:A445&gt;=A19)*(RAW_INPUT!A5:A445&lt;A20)*(RAW_INPUT!F5:F445&lt;20)*RAW_INPUT!E5:E445)</f>
        <v/>
      </c>
      <c r="E19" s="32">
        <f t="array" ref="E19">IFERROR(SUMPRODUCT((RAW_INPUT!A5:A445&gt;=A19)*(RAW_INPUT!A5:A445&lt;A20)*(RAW_INPUT!F5:F445&lt;20)*RAW_INPUT!G5:G445)/D19,0)</f>
        <v/>
      </c>
      <c r="F19" s="30">
        <f>IFERROR(B19/C19,0)</f>
        <v/>
      </c>
    </row>
    <row r="20">
      <c r="A20" s="29">
        <f>EDATE(A12,8)</f>
        <v/>
      </c>
      <c r="B20" s="30">
        <f t="array" ref="B20">SUMPRODUCT((RAW_INPUT!A5:A445&gt;=A20)*(RAW_INPUT!A5:A445&lt;A21)*RAW_INPUT!G5:G445)</f>
        <v/>
      </c>
      <c r="C20" s="31">
        <f t="array" ref="C20">SUMPRODUCT((RAW_INPUT!A5:A445&gt;=A20)*(RAW_INPUT!A5:A445&lt;A21)*1)</f>
        <v/>
      </c>
      <c r="D20" s="31">
        <f t="array" ref="D20">SUMPRODUCT((RAW_INPUT!A5:A445&gt;=A20)*(RAW_INPUT!A5:A445&lt;A21)*(RAW_INPUT!F5:F445&lt;20)*RAW_INPUT!E5:E445)</f>
        <v/>
      </c>
      <c r="E20" s="32">
        <f t="array" ref="E20">IFERROR(SUMPRODUCT((RAW_INPUT!A5:A445&gt;=A20)*(RAW_INPUT!A5:A445&lt;A21)*(RAW_INPUT!F5:F445&lt;20)*RAW_INPUT!G5:G445)/D20,0)</f>
        <v/>
      </c>
      <c r="F20" s="30">
        <f>IFERROR(B20/C20,0)</f>
        <v/>
      </c>
    </row>
    <row r="21">
      <c r="A21" s="29">
        <f>EDATE(A12,9)</f>
        <v/>
      </c>
      <c r="B21" s="30">
        <f t="array" ref="B21">SUMPRODUCT((RAW_INPUT!A5:A445&gt;=A21)*(RAW_INPUT!A5:A445&lt;A22)*RAW_INPUT!G5:G445)</f>
        <v/>
      </c>
      <c r="C21" s="31">
        <f t="array" ref="C21">SUMPRODUCT((RAW_INPUT!A5:A445&gt;=A21)*(RAW_INPUT!A5:A445&lt;A22)*1)</f>
        <v/>
      </c>
      <c r="D21" s="31">
        <f t="array" ref="D21">SUMPRODUCT((RAW_INPUT!A5:A445&gt;=A21)*(RAW_INPUT!A5:A445&lt;A22)*(RAW_INPUT!F5:F445&lt;20)*RAW_INPUT!E5:E445)</f>
        <v/>
      </c>
      <c r="E21" s="32">
        <f t="array" ref="E21">IFERROR(SUMPRODUCT((RAW_INPUT!A5:A445&gt;=A21)*(RAW_INPUT!A5:A445&lt;A22)*(RAW_INPUT!F5:F445&lt;20)*RAW_INPUT!G5:G445)/D21,0)</f>
        <v/>
      </c>
      <c r="F21" s="30">
        <f>IFERROR(B21/C21,0)</f>
        <v/>
      </c>
    </row>
    <row r="22">
      <c r="A22" s="29">
        <f>EDATE(A12,10)</f>
        <v/>
      </c>
      <c r="B22" s="30">
        <f t="array" ref="B22">SUMPRODUCT((RAW_INPUT!A5:A445&gt;=A22)*(RAW_INPUT!A5:A445&lt;A23)*RAW_INPUT!G5:G445)</f>
        <v/>
      </c>
      <c r="C22" s="31">
        <f t="array" ref="C22">SUMPRODUCT((RAW_INPUT!A5:A445&gt;=A22)*(RAW_INPUT!A5:A445&lt;A23)*1)</f>
        <v/>
      </c>
      <c r="D22" s="31">
        <f t="array" ref="D22">SUMPRODUCT((RAW_INPUT!A5:A445&gt;=A22)*(RAW_INPUT!A5:A445&lt;A23)*(RAW_INPUT!F5:F445&lt;20)*RAW_INPUT!E5:E445)</f>
        <v/>
      </c>
      <c r="E22" s="32">
        <f t="array" ref="E22">IFERROR(SUMPRODUCT((RAW_INPUT!A5:A445&gt;=A22)*(RAW_INPUT!A5:A445&lt;A23)*(RAW_INPUT!F5:F445&lt;20)*RAW_INPUT!G5:G445)/D22,0)</f>
        <v/>
      </c>
      <c r="F22" s="30">
        <f>IFERROR(B22/C22,0)</f>
        <v/>
      </c>
    </row>
    <row r="23">
      <c r="A23" s="29">
        <f>EDATE(A12,11)</f>
        <v/>
      </c>
      <c r="B23" s="30">
        <f t="array" ref="B23">SUMPRODUCT((RAW_INPUT!A5:A445&gt;=A23)*(RAW_INPUT!A5:A445&lt;A24)*RAW_INPUT!G5:G445)</f>
        <v/>
      </c>
      <c r="C23" s="31">
        <f t="array" ref="C23">SUMPRODUCT((RAW_INPUT!A5:A445&gt;=A23)*(RAW_INPUT!A5:A445&lt;A24)*1)</f>
        <v/>
      </c>
      <c r="D23" s="31">
        <f t="array" ref="D23">SUMPRODUCT((RAW_INPUT!A5:A445&gt;=A23)*(RAW_INPUT!A5:A445&lt;A24)*(RAW_INPUT!F5:F445&lt;20)*RAW_INPUT!E5:E445)</f>
        <v/>
      </c>
      <c r="E23" s="32">
        <f t="array" ref="E23">IFERROR(SUMPRODUCT((RAW_INPUT!A5:A445&gt;=A23)*(RAW_INPUT!A5:A445&lt;A24)*(RAW_INPUT!F5:F445&lt;20)*RAW_INPUT!G5:G445)/D23,0)</f>
        <v/>
      </c>
      <c r="F23" s="30">
        <f>IFERROR(B23/C23,0)</f>
        <v/>
      </c>
    </row>
    <row r="24">
      <c r="A24" s="29">
        <f>EDATE(A12,12)</f>
        <v/>
      </c>
      <c r="B24" s="30">
        <f t="array" ref="B24">SUMPRODUCT((RAW_INPUT!A5:A445&gt;=A24)*(RAW_INPUT!A5:A445&lt;A25)*RAW_INPUT!G5:G445)</f>
        <v/>
      </c>
      <c r="C24" s="31">
        <f t="array" ref="C24">SUMPRODUCT((RAW_INPUT!A5:A445&gt;=A24)*(RAW_INPUT!A5:A445&lt;A25)*1)</f>
        <v/>
      </c>
      <c r="D24" s="31">
        <f t="array" ref="D24">SUMPRODUCT((RAW_INPUT!A5:A445&gt;=A24)*(RAW_INPUT!A5:A445&lt;A25)*(RAW_INPUT!F5:F445&lt;20)*RAW_INPUT!E5:E445)</f>
        <v/>
      </c>
      <c r="E24" s="32">
        <f t="array" ref="E24">IFERROR(SUMPRODUCT((RAW_INPUT!A5:A445&gt;=A24)*(RAW_INPUT!A5:A445&lt;A25)*(RAW_INPUT!F5:F445&lt;20)*RAW_INPUT!G5:G445)/D24,0)</f>
        <v/>
      </c>
      <c r="F24" s="30">
        <f>IFERROR(B24/C24,0)</f>
        <v/>
      </c>
    </row>
    <row r="25">
      <c r="A25" s="29">
        <f>EDATE(A12,13)</f>
        <v/>
      </c>
      <c r="B25" s="30">
        <f t="array" ref="B25">SUMPRODUCT((RAW_INPUT!A5:A445&gt;=A25)*(RAW_INPUT!A5:A445&lt;A26)*RAW_INPUT!G5:G445)</f>
        <v/>
      </c>
      <c r="C25" s="31">
        <f t="array" ref="C25">SUMPRODUCT((RAW_INPUT!A5:A445&gt;=A25)*(RAW_INPUT!A5:A445&lt;A26)*1)</f>
        <v/>
      </c>
      <c r="D25" s="31">
        <f t="array" ref="D25">SUMPRODUCT((RAW_INPUT!A5:A445&gt;=A25)*(RAW_INPUT!A5:A445&lt;A26)*(RAW_INPUT!F5:F445&lt;20)*RAW_INPUT!E5:E445)</f>
        <v/>
      </c>
      <c r="E25" s="32">
        <f t="array" ref="E25">IFERROR(SUMPRODUCT((RAW_INPUT!A5:A445&gt;=A25)*(RAW_INPUT!A5:A445&lt;A26)*(RAW_INPUT!F5:F445&lt;20)*RAW_INPUT!G5:G445)/D25,0)</f>
        <v/>
      </c>
      <c r="F25" s="30">
        <f>IFERROR(B25/C25,0)</f>
        <v/>
      </c>
    </row>
    <row r="26">
      <c r="A26" s="29">
        <f>EDATE(A12,14)</f>
        <v/>
      </c>
      <c r="B26" s="30">
        <f t="array" ref="B26">SUMPRODUCT((RAW_INPUT!A5:A445&gt;=A26)*(RAW_INPUT!A5:A445&lt;A27)*RAW_INPUT!G5:G445)</f>
        <v/>
      </c>
      <c r="C26" s="31">
        <f t="array" ref="C26">SUMPRODUCT((RAW_INPUT!A5:A445&gt;=A26)*(RAW_INPUT!A5:A445&lt;A27)*1)</f>
        <v/>
      </c>
      <c r="D26" s="31">
        <f t="array" ref="D26">SUMPRODUCT((RAW_INPUT!A5:A445&gt;=A26)*(RAW_INPUT!A5:A445&lt;A27)*(RAW_INPUT!F5:F445&lt;20)*RAW_INPUT!E5:E445)</f>
        <v/>
      </c>
      <c r="E26" s="32">
        <f t="array" ref="E26">IFERROR(SUMPRODUCT((RAW_INPUT!A5:A445&gt;=A26)*(RAW_INPUT!A5:A445&lt;A27)*(RAW_INPUT!F5:F445&lt;20)*RAW_INPUT!G5:G445)/D26,0)</f>
        <v/>
      </c>
      <c r="F26" s="30">
        <f>IFERROR(B26/C26,0)</f>
        <v/>
      </c>
    </row>
    <row r="27">
      <c r="A27" s="29">
        <f>EDATE(A12,15)</f>
        <v/>
      </c>
      <c r="B27" s="30">
        <f t="array" ref="B27">SUMPRODUCT((RAW_INPUT!A5:A445&gt;=A27)*(RAW_INPUT!A5:A445&lt;A28)*RAW_INPUT!G5:G445)</f>
        <v/>
      </c>
      <c r="C27" s="31">
        <f t="array" ref="C27">SUMPRODUCT((RAW_INPUT!A5:A445&gt;=A27)*(RAW_INPUT!A5:A445&lt;A28)*1)</f>
        <v/>
      </c>
      <c r="D27" s="31">
        <f t="array" ref="D27">SUMPRODUCT((RAW_INPUT!A5:A445&gt;=A27)*(RAW_INPUT!A5:A445&lt;A28)*(RAW_INPUT!F5:F445&lt;20)*RAW_INPUT!E5:E445)</f>
        <v/>
      </c>
      <c r="E27" s="32">
        <f t="array" ref="E27">IFERROR(SUMPRODUCT((RAW_INPUT!A5:A445&gt;=A27)*(RAW_INPUT!A5:A445&lt;A28)*(RAW_INPUT!F5:F445&lt;20)*RAW_INPUT!G5:G445)/D27,0)</f>
        <v/>
      </c>
      <c r="F27" s="30">
        <f>IFERROR(B27/C27,0)</f>
        <v/>
      </c>
    </row>
    <row r="28">
      <c r="A28" s="29">
        <f>EDATE(A12,16)</f>
        <v/>
      </c>
      <c r="B28" s="30">
        <f t="array" ref="B28">SUMPRODUCT((RAW_INPUT!A5:A445&gt;=A28)*(RAW_INPUT!A5:A445&lt;A29)*RAW_INPUT!G5:G445)</f>
        <v/>
      </c>
      <c r="C28" s="31">
        <f t="array" ref="C28">SUMPRODUCT((RAW_INPUT!A5:A445&gt;=A28)*(RAW_INPUT!A5:A445&lt;A29)*1)</f>
        <v/>
      </c>
      <c r="D28" s="31">
        <f t="array" ref="D28">SUMPRODUCT((RAW_INPUT!A5:A445&gt;=A28)*(RAW_INPUT!A5:A445&lt;A29)*(RAW_INPUT!F5:F445&lt;20)*RAW_INPUT!E5:E445)</f>
        <v/>
      </c>
      <c r="E28" s="32">
        <f t="array" ref="E28">IFERROR(SUMPRODUCT((RAW_INPUT!A5:A445&gt;=A28)*(RAW_INPUT!A5:A445&lt;A29)*(RAW_INPUT!F5:F445&lt;20)*RAW_INPUT!G5:G445)/D28,0)</f>
        <v/>
      </c>
      <c r="F28" s="30">
        <f>IFERROR(B28/C28,0)</f>
        <v/>
      </c>
    </row>
    <row r="29">
      <c r="A29" s="29">
        <f>EDATE(A12,17)</f>
        <v/>
      </c>
      <c r="B29" s="30">
        <f t="array" ref="B29">SUMPRODUCT((RAW_INPUT!A5:A445&gt;=A29)*(RAW_INPUT!A5:A445&lt;A30)*RAW_INPUT!G5:G445)</f>
        <v/>
      </c>
      <c r="C29" s="31">
        <f t="array" ref="C29">SUMPRODUCT((RAW_INPUT!A5:A445&gt;=A29)*(RAW_INPUT!A5:A445&lt;A30)*1)</f>
        <v/>
      </c>
      <c r="D29" s="31">
        <f t="array" ref="D29">SUMPRODUCT((RAW_INPUT!A5:A445&gt;=A29)*(RAW_INPUT!A5:A445&lt;A30)*(RAW_INPUT!F5:F445&lt;20)*RAW_INPUT!E5:E445)</f>
        <v/>
      </c>
      <c r="E29" s="32">
        <f t="array" ref="E29">IFERROR(SUMPRODUCT((RAW_INPUT!A5:A445&gt;=A29)*(RAW_INPUT!A5:A445&lt;A30)*(RAW_INPUT!F5:F445&lt;20)*RAW_INPUT!G5:G445)/D29,0)</f>
        <v/>
      </c>
      <c r="F29" s="30">
        <f>IFERROR(B29/C29,0)</f>
        <v/>
      </c>
    </row>
    <row r="30">
      <c r="A30" s="29">
        <f>EDATE(A12,18)</f>
        <v/>
      </c>
      <c r="B30" s="30">
        <f t="array" ref="B30">SUMPRODUCT((RAW_INPUT!A5:A445&gt;=A30)*(RAW_INPUT!A5:A445&lt;A31)*RAW_INPUT!G5:G445)</f>
        <v/>
      </c>
      <c r="C30" s="31">
        <f t="array" ref="C30">SUMPRODUCT((RAW_INPUT!A5:A445&gt;=A30)*(RAW_INPUT!A5:A445&lt;A31)*1)</f>
        <v/>
      </c>
      <c r="D30" s="31">
        <f t="array" ref="D30">SUMPRODUCT((RAW_INPUT!A5:A445&gt;=A30)*(RAW_INPUT!A5:A445&lt;A31)*(RAW_INPUT!F5:F445&lt;20)*RAW_INPUT!E5:E445)</f>
        <v/>
      </c>
      <c r="E30" s="32">
        <f t="array" ref="E30">IFERROR(SUMPRODUCT((RAW_INPUT!A5:A445&gt;=A30)*(RAW_INPUT!A5:A445&lt;A31)*(RAW_INPUT!F5:F445&lt;20)*RAW_INPUT!G5:G445)/D30,0)</f>
        <v/>
      </c>
      <c r="F30" s="30">
        <f>IFERROR(B30/C30,0)</f>
        <v/>
      </c>
    </row>
    <row r="31">
      <c r="A31" s="29">
        <f>EDATE(A12,19)</f>
        <v/>
      </c>
      <c r="B31" s="30">
        <f t="array" ref="B31">SUMPRODUCT((RAW_INPUT!A5:A445&gt;=A31)*(RAW_INPUT!A5:A445&lt;A32)*RAW_INPUT!G5:G445)</f>
        <v/>
      </c>
      <c r="C31" s="31">
        <f t="array" ref="C31">SUMPRODUCT((RAW_INPUT!A5:A445&gt;=A31)*(RAW_INPUT!A5:A445&lt;A32)*1)</f>
        <v/>
      </c>
      <c r="D31" s="31">
        <f t="array" ref="D31">SUMPRODUCT((RAW_INPUT!A5:A445&gt;=A31)*(RAW_INPUT!A5:A445&lt;A32)*(RAW_INPUT!F5:F445&lt;20)*RAW_INPUT!E5:E445)</f>
        <v/>
      </c>
      <c r="E31" s="32">
        <f t="array" ref="E31">IFERROR(SUMPRODUCT((RAW_INPUT!A5:A445&gt;=A31)*(RAW_INPUT!A5:A445&lt;A32)*(RAW_INPUT!F5:F445&lt;20)*RAW_INPUT!G5:G445)/D31,0)</f>
        <v/>
      </c>
      <c r="F31" s="30">
        <f>IFERROR(B31/C31,0)</f>
        <v/>
      </c>
    </row>
    <row r="32">
      <c r="A32" s="29">
        <f>EDATE(A12,20)</f>
        <v/>
      </c>
      <c r="B32" s="30">
        <f t="array" ref="B32">SUMPRODUCT((RAW_INPUT!A5:A445&gt;=A32)*(RAW_INPUT!A5:A445&lt;EDATE(A32,1))*RAW_INPUT!G5:G445)</f>
        <v/>
      </c>
      <c r="C32" s="31">
        <f t="array" ref="C32">SUMPRODUCT((RAW_INPUT!A5:A445&gt;=A32)*(RAW_INPUT!A5:A445&lt;EDATE(A32,1))*1)</f>
        <v/>
      </c>
      <c r="D32" s="31">
        <f t="array" ref="D32">SUMPRODUCT((RAW_INPUT!A5:A445&gt;=A32)*(RAW_INPUT!A5:A445&lt;EDATE(A32,1))*(RAW_INPUT!F5:F445&lt;20)*RAW_INPUT!E5:E445)</f>
        <v/>
      </c>
      <c r="E32" s="32">
        <f t="array" ref="E32">IFERROR(SUMPRODUCT((RAW_INPUT!A5:A445&gt;=A32)*(RAW_INPUT!A5:A445&lt;EDATE(A32,1))*(RAW_INPUT!F5:F445&lt;20)*RAW_INPUT!G5:G445)/D32,0)</f>
        <v/>
      </c>
      <c r="F32" s="30">
        <f>IFERROR(B32/C32,0)</f>
        <v/>
      </c>
    </row>
    <row r="33"/>
    <row r="34"/>
    <row r="35" ht="24.95" customHeight="1" s="89">
      <c r="A35" s="82" t="inlineStr">
        <is>
          <t>CUSTOMER ANALYSIS</t>
        </is>
      </c>
    </row>
    <row r="36">
      <c r="A36" s="28" t="inlineStr">
        <is>
          <t>Customer</t>
        </is>
      </c>
      <c r="B36" s="28" t="inlineStr">
        <is>
          <t>Revenue</t>
        </is>
      </c>
      <c r="C36" s="28" t="inlineStr">
        <is>
          <t>% of Total</t>
        </is>
      </c>
      <c r="D36" s="28" t="inlineStr">
        <is>
          <t># Transactions</t>
        </is>
      </c>
      <c r="E36" s="28" t="inlineStr">
        <is>
          <t>Avg Sale</t>
        </is>
      </c>
    </row>
    <row r="37">
      <c r="A37" t="inlineStr">
        <is>
          <t>Acme Petroleum</t>
        </is>
      </c>
      <c r="B37" s="30">
        <f>SUMIF(RAW_INPUT!B5:B445,A37,RAW_INPUT!G5:G445)</f>
        <v/>
      </c>
      <c r="C37" s="33">
        <f>B37/B$6</f>
        <v/>
      </c>
      <c r="D37" s="31">
        <f>COUNTIF(RAW_INPUT!B5:B445,A37)</f>
        <v/>
      </c>
      <c r="E37" s="30">
        <f>IFERROR(B37/D37,0)</f>
        <v/>
      </c>
    </row>
    <row r="38">
      <c r="A38" s="81" t="inlineStr">
        <is>
          <t>Arkansas Valley Oil</t>
        </is>
      </c>
      <c r="B38" s="41">
        <f>SUMIF(RAW_INPUT!B5:B445,A38,RAW_INPUT!G5:G445)</f>
        <v/>
      </c>
      <c r="C38" s="42">
        <f>B38/B$6</f>
        <v/>
      </c>
      <c r="D38" s="43">
        <f>COUNTIF(RAW_INPUT!B5:B445,A38)</f>
        <v/>
      </c>
      <c r="E38" s="41">
        <f>IFERROR(B38/D38,0)</f>
        <v/>
      </c>
    </row>
    <row r="39">
      <c r="A39" t="inlineStr">
        <is>
          <t>Centennial Hauling</t>
        </is>
      </c>
      <c r="B39" s="30">
        <f>SUMIF(RAW_INPUT!B5:B445,A39,RAW_INPUT!G5:G445)</f>
        <v/>
      </c>
      <c r="C39" s="33">
        <f>B39/B$6</f>
        <v/>
      </c>
      <c r="D39" s="31">
        <f>COUNTIF(RAW_INPUT!B5:B445,A39)</f>
        <v/>
      </c>
      <c r="E39" s="30">
        <f>IFERROR(B39/D39,0)</f>
        <v/>
      </c>
    </row>
    <row r="40">
      <c r="A40" s="81" t="inlineStr">
        <is>
          <t>Colorado Fuel Corp</t>
        </is>
      </c>
      <c r="B40" s="41">
        <f>SUMIF(RAW_INPUT!B5:B445,A40,RAW_INPUT!G5:G445)</f>
        <v/>
      </c>
      <c r="C40" s="42">
        <f>B40/B$6</f>
        <v/>
      </c>
      <c r="D40" s="43">
        <f>COUNTIF(RAW_INPUT!B5:B445,A40)</f>
        <v/>
      </c>
      <c r="E40" s="41">
        <f>IFERROR(B40/D40,0)</f>
        <v/>
      </c>
    </row>
    <row r="41">
      <c r="A41" t="inlineStr">
        <is>
          <t>Front Range Inc</t>
        </is>
      </c>
      <c r="B41" s="30">
        <f>SUMIF(RAW_INPUT!B5:B445,A41,RAW_INPUT!G5:G445)</f>
        <v/>
      </c>
      <c r="C41" s="33">
        <f>B41/B$6</f>
        <v/>
      </c>
      <c r="D41" s="31">
        <f>COUNTIF(RAW_INPUT!B5:B445,A41)</f>
        <v/>
      </c>
      <c r="E41" s="30">
        <f>IFERROR(B41/D41,0)</f>
        <v/>
      </c>
    </row>
    <row r="42">
      <c r="A42" s="81" t="inlineStr">
        <is>
          <t>High Plains Co</t>
        </is>
      </c>
      <c r="B42" s="41">
        <f>SUMIF(RAW_INPUT!B5:B445,A42,RAW_INPUT!G5:G445)</f>
        <v/>
      </c>
      <c r="C42" s="42">
        <f>B42/B$6</f>
        <v/>
      </c>
      <c r="D42" s="43">
        <f>COUNTIF(RAW_INPUT!B5:B445,A42)</f>
        <v/>
      </c>
      <c r="E42" s="41">
        <f>IFERROR(B42/D42,0)</f>
        <v/>
      </c>
    </row>
    <row r="43">
      <c r="A43" t="inlineStr">
        <is>
          <t>Mesa Verde Logistics</t>
        </is>
      </c>
      <c r="B43" s="30">
        <f>SUMIF(RAW_INPUT!B5:B445,A43,RAW_INPUT!G5:G445)</f>
        <v/>
      </c>
      <c r="C43" s="33">
        <f>B43/B$6</f>
        <v/>
      </c>
      <c r="D43" s="31">
        <f>COUNTIF(RAW_INPUT!B5:B445,A43)</f>
        <v/>
      </c>
      <c r="E43" s="30">
        <f>IFERROR(B43/D43,0)</f>
        <v/>
      </c>
    </row>
    <row r="44">
      <c r="A44" s="81" t="inlineStr">
        <is>
          <t>Mountain View Fleet</t>
        </is>
      </c>
      <c r="B44" s="41">
        <f>SUMIF(RAW_INPUT!B5:B445,A44,RAW_INPUT!G5:G445)</f>
        <v/>
      </c>
      <c r="C44" s="42">
        <f>B44/B$6</f>
        <v/>
      </c>
      <c r="D44" s="43">
        <f>COUNTIF(RAW_INPUT!B5:B445,A44)</f>
        <v/>
      </c>
      <c r="E44" s="41">
        <f>IFERROR(B44/D44,0)</f>
        <v/>
      </c>
    </row>
    <row r="45">
      <c r="A45" t="inlineStr">
        <is>
          <t>Pikes Peak Energy</t>
        </is>
      </c>
      <c r="B45" s="30">
        <f>SUMIF(RAW_INPUT!B5:B445,A45,RAW_INPUT!G5:G445)</f>
        <v/>
      </c>
      <c r="C45" s="33">
        <f>B45/B$6</f>
        <v/>
      </c>
      <c r="D45" s="31">
        <f>COUNTIF(RAW_INPUT!B5:B445,A45)</f>
        <v/>
      </c>
      <c r="E45" s="30">
        <f>IFERROR(B45/D45,0)</f>
        <v/>
      </c>
    </row>
    <row r="46">
      <c r="A46" s="81" t="inlineStr">
        <is>
          <t>Pueblo Supply Chain</t>
        </is>
      </c>
      <c r="B46" s="41">
        <f>SUMIF(RAW_INPUT!B5:B445,A46,RAW_INPUT!G5:G445)</f>
        <v/>
      </c>
      <c r="C46" s="42">
        <f>B46/B$6</f>
        <v/>
      </c>
      <c r="D46" s="43">
        <f>COUNTIF(RAW_INPUT!B5:B445,A46)</f>
        <v/>
      </c>
      <c r="E46" s="41">
        <f>IFERROR(B46/D46,0)</f>
        <v/>
      </c>
    </row>
    <row r="47">
      <c r="A47" t="inlineStr">
        <is>
          <t>Royal Gorge Freight</t>
        </is>
      </c>
      <c r="B47" s="30">
        <f>SUMIF(RAW_INPUT!B5:B445,A47,RAW_INPUT!G5:G445)</f>
        <v/>
      </c>
      <c r="C47" s="33">
        <f>B47/B$6</f>
        <v/>
      </c>
      <c r="D47" s="31">
        <f>COUNTIF(RAW_INPUT!B5:B445,A47)</f>
        <v/>
      </c>
      <c r="E47" s="30">
        <f>IFERROR(B47/D47,0)</f>
        <v/>
      </c>
    </row>
    <row r="48">
      <c r="A48" s="81" t="inlineStr">
        <is>
          <t>San Luis Transport</t>
        </is>
      </c>
      <c r="B48" s="41">
        <f>SUMIF(RAW_INPUT!B5:B445,A48,RAW_INPUT!G5:G445)</f>
        <v/>
      </c>
      <c r="C48" s="42">
        <f>B48/B$6</f>
        <v/>
      </c>
      <c r="D48" s="43">
        <f>COUNTIF(RAW_INPUT!B5:B445,A48)</f>
        <v/>
      </c>
      <c r="E48" s="41">
        <f>IFERROR(B48/D48,0)</f>
        <v/>
      </c>
    </row>
    <row r="49">
      <c r="A49" t="inlineStr">
        <is>
          <t>Springs Delivery Co</t>
        </is>
      </c>
      <c r="B49" s="30">
        <f>SUMIF(RAW_INPUT!B5:B445,A49,RAW_INPUT!G5:G445)</f>
        <v/>
      </c>
      <c r="C49" s="33">
        <f>B49/B$6</f>
        <v/>
      </c>
      <c r="D49" s="31">
        <f>COUNTIF(RAW_INPUT!B5:B445,A49)</f>
        <v/>
      </c>
      <c r="E49" s="30">
        <f>IFERROR(B49/D49,0)</f>
        <v/>
      </c>
    </row>
    <row r="50">
      <c r="A50" s="81" t="inlineStr">
        <is>
          <t>Summit Logistics</t>
        </is>
      </c>
      <c r="B50" s="41">
        <f>SUMIF(RAW_INPUT!B5:B445,A50,RAW_INPUT!G5:G445)</f>
        <v/>
      </c>
      <c r="C50" s="42">
        <f>B50/B$6</f>
        <v/>
      </c>
      <c r="D50" s="43">
        <f>COUNTIF(RAW_INPUT!B5:B445,A50)</f>
        <v/>
      </c>
      <c r="E50" s="41">
        <f>IFERROR(B50/D50,0)</f>
        <v/>
      </c>
    </row>
    <row r="51">
      <c r="A51" t="inlineStr">
        <is>
          <t>Western Slope Transport</t>
        </is>
      </c>
      <c r="B51" s="30">
        <f>SUMIF(RAW_INPUT!B5:B445,A51,RAW_INPUT!G5:G445)</f>
        <v/>
      </c>
      <c r="C51" s="33">
        <f>B51/B$6</f>
        <v/>
      </c>
      <c r="D51" s="31">
        <f>COUNTIF(RAW_INPUT!B5:B445,A51)</f>
        <v/>
      </c>
      <c r="E51" s="30">
        <f>IFERROR(B51/D51,0)</f>
        <v/>
      </c>
    </row>
    <row r="52"/>
    <row r="53">
      <c r="A53" s="34" t="inlineStr">
        <is>
          <t>Top 5 Revenue Share</t>
        </is>
      </c>
      <c r="B53" s="36">
        <f>(LARGE(B37:B51,1)+LARGE(B37:B51,2)+LARGE(B37:B51,3)+LARGE(B37:B51,4)+LARGE(B37:B51,5))/B6</f>
        <v/>
      </c>
      <c r="C53" s="35" t="n"/>
      <c r="D53" s="35" t="n"/>
      <c r="E53" s="35" t="n"/>
    </row>
    <row r="54">
      <c r="A54" s="34" t="inlineStr">
        <is>
          <t>Median Revenue/Customer</t>
        </is>
      </c>
      <c r="B54" s="37">
        <f>MEDIAN(B37:B51)</f>
        <v/>
      </c>
      <c r="C54" s="35" t="n"/>
      <c r="D54" s="35" t="n"/>
      <c r="E54" s="35" t="n"/>
    </row>
    <row r="55">
      <c r="A55" s="34" t="inlineStr">
        <is>
          <t>Customer Count</t>
        </is>
      </c>
      <c r="B55" s="35">
        <f>COUNTA(A37:A51)</f>
        <v/>
      </c>
      <c r="C55" s="35" t="n"/>
      <c r="D55" s="35" t="n"/>
      <c r="E55" s="35" t="n"/>
    </row>
    <row r="56"/>
    <row r="57" ht="24.95" customHeight="1" s="89">
      <c r="A57" s="82" t="inlineStr">
        <is>
          <t>PRODUCT &amp; SERVICE BREAKDOWN</t>
        </is>
      </c>
    </row>
    <row r="58">
      <c r="A58" s="28" t="inlineStr">
        <is>
          <t>Product / Service</t>
        </is>
      </c>
      <c r="B58" s="28" t="inlineStr">
        <is>
          <t>Revenue</t>
        </is>
      </c>
      <c r="C58" s="28" t="inlineStr">
        <is>
          <t>% of Total</t>
        </is>
      </c>
      <c r="D58" s="28" t="inlineStr">
        <is>
          <t># Transactions</t>
        </is>
      </c>
      <c r="E58" s="28" t="inlineStr">
        <is>
          <t>Avg Qty</t>
        </is>
      </c>
      <c r="F58" s="28" t="inlineStr">
        <is>
          <t>Avg Price</t>
        </is>
      </c>
      <c r="H58" s="45" t="inlineStr">
        <is>
          <t>Services</t>
        </is>
      </c>
      <c r="I58" s="46">
        <f>B74</f>
        <v/>
      </c>
    </row>
    <row r="59">
      <c r="A59" t="inlineStr">
        <is>
          <t>Bulk Diesel</t>
        </is>
      </c>
      <c r="B59" s="30">
        <f>SUMIF(RAW_INPUT!D5:D445,A59,RAW_INPUT!G5:G445)</f>
        <v/>
      </c>
      <c r="C59" s="33">
        <f>B59/B$6</f>
        <v/>
      </c>
      <c r="D59" s="31">
        <f>COUNTIF(RAW_INPUT!D5:D445,A59)</f>
        <v/>
      </c>
      <c r="E59" s="31">
        <f>IFERROR(SUMIF(RAW_INPUT!D5:D445,A59,RAW_INPUT!E5:E445)/D59,0)</f>
        <v/>
      </c>
      <c r="F59" s="32">
        <f>IFERROR(SUMIF(RAW_INPUT!D5:D445,A59,RAW_INPUT!F5:F445)/D59,0)</f>
        <v/>
      </c>
      <c r="H59" s="45" t="inlineStr">
        <is>
          <t>Specialty Products</t>
        </is>
      </c>
      <c r="I59" s="46">
        <f>B75</f>
        <v/>
      </c>
    </row>
    <row r="60">
      <c r="A60" s="81" t="inlineStr">
        <is>
          <t>Diesel Delivery</t>
        </is>
      </c>
      <c r="B60" s="41">
        <f>SUMIF(RAW_INPUT!D5:D445,A60,RAW_INPUT!G5:G445)</f>
        <v/>
      </c>
      <c r="C60" s="42">
        <f>B60/B$6</f>
        <v/>
      </c>
      <c r="D60" s="43">
        <f>COUNTIF(RAW_INPUT!D5:D445,A60)</f>
        <v/>
      </c>
      <c r="E60" s="43">
        <f>IFERROR(SUMIF(RAW_INPUT!D5:D445,A60,RAW_INPUT!E5:E445)/D60,0)</f>
        <v/>
      </c>
      <c r="F60" s="44">
        <f>IFERROR(SUMIF(RAW_INPUT!D5:D445,A60,RAW_INPUT!F5:F445)/D60,0)</f>
        <v/>
      </c>
    </row>
    <row r="61">
      <c r="A61" t="inlineStr">
        <is>
          <t>Filter Service</t>
        </is>
      </c>
      <c r="B61" s="30">
        <f>SUMIF(RAW_INPUT!D5:D445,A61,RAW_INPUT!G5:G445)</f>
        <v/>
      </c>
      <c r="C61" s="33">
        <f>B61/B$6</f>
        <v/>
      </c>
      <c r="D61" s="31">
        <f>COUNTIF(RAW_INPUT!D5:D445,A61)</f>
        <v/>
      </c>
      <c r="E61" s="31">
        <f>IFERROR(SUMIF(RAW_INPUT!D5:D445,A61,RAW_INPUT!E5:E445)/D61,0)</f>
        <v/>
      </c>
      <c r="F61" s="32">
        <f>IFERROR(SUMIF(RAW_INPUT!D5:D445,A61,RAW_INPUT!F5:F445)/D61,0)</f>
        <v/>
      </c>
    </row>
    <row r="62">
      <c r="A62" s="81" t="inlineStr">
        <is>
          <t>Fleet Fuel Drop</t>
        </is>
      </c>
      <c r="B62" s="41">
        <f>SUMIF(RAW_INPUT!D5:D445,A62,RAW_INPUT!G5:G445)</f>
        <v/>
      </c>
      <c r="C62" s="42">
        <f>B62/B$6</f>
        <v/>
      </c>
      <c r="D62" s="43">
        <f>COUNTIF(RAW_INPUT!D5:D445,A62)</f>
        <v/>
      </c>
      <c r="E62" s="43">
        <f>IFERROR(SUMIF(RAW_INPUT!D5:D445,A62,RAW_INPUT!E5:E445)/D62,0)</f>
        <v/>
      </c>
      <c r="F62" s="44">
        <f>IFERROR(SUMIF(RAW_INPUT!D5:D445,A62,RAW_INPUT!F5:F445)/D62,0)</f>
        <v/>
      </c>
    </row>
    <row r="63">
      <c r="A63" t="inlineStr">
        <is>
          <t>Line Flush Service</t>
        </is>
      </c>
      <c r="B63" s="30">
        <f>SUMIF(RAW_INPUT!D5:D445,A63,RAW_INPUT!G5:G445)</f>
        <v/>
      </c>
      <c r="C63" s="33">
        <f>B63/B$6</f>
        <v/>
      </c>
      <c r="D63" s="31">
        <f>COUNTIF(RAW_INPUT!D5:D445,A63)</f>
        <v/>
      </c>
      <c r="E63" s="31">
        <f>IFERROR(SUMIF(RAW_INPUT!D5:D445,A63,RAW_INPUT!E5:E445)/D63,0)</f>
        <v/>
      </c>
      <c r="F63" s="32">
        <f>IFERROR(SUMIF(RAW_INPUT!D5:D445,A63,RAW_INPUT!F5:F445)/D63,0)</f>
        <v/>
      </c>
    </row>
    <row r="64">
      <c r="A64" s="81" t="inlineStr">
        <is>
          <t>Lubricant Package</t>
        </is>
      </c>
      <c r="B64" s="41">
        <f>SUMIF(RAW_INPUT!D5:D445,A64,RAW_INPUT!G5:G445)</f>
        <v/>
      </c>
      <c r="C64" s="42">
        <f>B64/B$6</f>
        <v/>
      </c>
      <c r="D64" s="43">
        <f>COUNTIF(RAW_INPUT!D5:D445,A64)</f>
        <v/>
      </c>
      <c r="E64" s="43">
        <f>IFERROR(SUMIF(RAW_INPUT!D5:D445,A64,RAW_INPUT!E5:E445)/D64,0)</f>
        <v/>
      </c>
      <c r="F64" s="44">
        <f>IFERROR(SUMIF(RAW_INPUT!D5:D445,A64,RAW_INPUT!F5:F445)/D64,0)</f>
        <v/>
      </c>
    </row>
    <row r="65">
      <c r="A65" t="inlineStr">
        <is>
          <t>Motor Oil Case</t>
        </is>
      </c>
      <c r="B65" s="30">
        <f>SUMIF(RAW_INPUT!D5:D445,A65,RAW_INPUT!G5:G445)</f>
        <v/>
      </c>
      <c r="C65" s="33">
        <f>B65/B$6</f>
        <v/>
      </c>
      <c r="D65" s="31">
        <f>COUNTIF(RAW_INPUT!D5:D445,A65)</f>
        <v/>
      </c>
      <c r="E65" s="31">
        <f>IFERROR(SUMIF(RAW_INPUT!D5:D445,A65,RAW_INPUT!E5:E445)/D65,0)</f>
        <v/>
      </c>
      <c r="F65" s="32">
        <f>IFERROR(SUMIF(RAW_INPUT!D5:D445,A65,RAW_INPUT!F5:F445)/D65,0)</f>
        <v/>
      </c>
    </row>
    <row r="66">
      <c r="A66" s="81" t="inlineStr">
        <is>
          <t>Premium Fuel Delivery</t>
        </is>
      </c>
      <c r="B66" s="41">
        <f>SUMIF(RAW_INPUT!D5:D445,A66,RAW_INPUT!G5:G445)</f>
        <v/>
      </c>
      <c r="C66" s="42">
        <f>B66/B$6</f>
        <v/>
      </c>
      <c r="D66" s="43">
        <f>COUNTIF(RAW_INPUT!D5:D445,A66)</f>
        <v/>
      </c>
      <c r="E66" s="43">
        <f>IFERROR(SUMIF(RAW_INPUT!D5:D445,A66,RAW_INPUT!E5:E445)/D66,0)</f>
        <v/>
      </c>
      <c r="F66" s="44">
        <f>IFERROR(SUMIF(RAW_INPUT!D5:D445,A66,RAW_INPUT!F5:F445)/D66,0)</f>
        <v/>
      </c>
    </row>
    <row r="67">
      <c r="A67" t="inlineStr">
        <is>
          <t>Pump Maintenance</t>
        </is>
      </c>
      <c r="B67" s="30">
        <f>SUMIF(RAW_INPUT!D5:D445,A67,RAW_INPUT!G5:G445)</f>
        <v/>
      </c>
      <c r="C67" s="33">
        <f>B67/B$6</f>
        <v/>
      </c>
      <c r="D67" s="31">
        <f>COUNTIF(RAW_INPUT!D5:D445,A67)</f>
        <v/>
      </c>
      <c r="E67" s="31">
        <f>IFERROR(SUMIF(RAW_INPUT!D5:D445,A67,RAW_INPUT!E5:E445)/D67,0)</f>
        <v/>
      </c>
      <c r="F67" s="32">
        <f>IFERROR(SUMIF(RAW_INPUT!D5:D445,A67,RAW_INPUT!F5:F445)/D67,0)</f>
        <v/>
      </c>
    </row>
    <row r="68">
      <c r="A68" s="81" t="inlineStr">
        <is>
          <t>Synthetic Blend Package</t>
        </is>
      </c>
      <c r="B68" s="41">
        <f>SUMIF(RAW_INPUT!D5:D445,A68,RAW_INPUT!G5:G445)</f>
        <v/>
      </c>
      <c r="C68" s="42">
        <f>B68/B$6</f>
        <v/>
      </c>
      <c r="D68" s="43">
        <f>COUNTIF(RAW_INPUT!D5:D445,A68)</f>
        <v/>
      </c>
      <c r="E68" s="43">
        <f>IFERROR(SUMIF(RAW_INPUT!D5:D445,A68,RAW_INPUT!E5:E445)/D68,0)</f>
        <v/>
      </c>
      <c r="F68" s="44">
        <f>IFERROR(SUMIF(RAW_INPUT!D5:D445,A68,RAW_INPUT!F5:F445)/D68,0)</f>
        <v/>
      </c>
    </row>
    <row r="69">
      <c r="A69" t="inlineStr">
        <is>
          <t>Tank Inspection</t>
        </is>
      </c>
      <c r="B69" s="30">
        <f>SUMIF(RAW_INPUT!D5:D445,A69,RAW_INPUT!G5:G445)</f>
        <v/>
      </c>
      <c r="C69" s="33">
        <f>B69/B$6</f>
        <v/>
      </c>
      <c r="D69" s="31">
        <f>COUNTIF(RAW_INPUT!D5:D445,A69)</f>
        <v/>
      </c>
      <c r="E69" s="31">
        <f>IFERROR(SUMIF(RAW_INPUT!D5:D445,A69,RAW_INPUT!E5:E445)/D69,0)</f>
        <v/>
      </c>
      <c r="F69" s="32">
        <f>IFERROR(SUMIF(RAW_INPUT!D5:D445,A69,RAW_INPUT!F5:F445)/D69,0)</f>
        <v/>
      </c>
    </row>
    <row r="70">
      <c r="A70" s="81" t="inlineStr">
        <is>
          <t>Unleaded Delivery</t>
        </is>
      </c>
      <c r="B70" s="41">
        <f>SUMIF(RAW_INPUT!D5:D445,A70,RAW_INPUT!G5:G445)</f>
        <v/>
      </c>
      <c r="C70" s="42">
        <f>B70/B$6</f>
        <v/>
      </c>
      <c r="D70" s="43">
        <f>COUNTIF(RAW_INPUT!D5:D445,A70)</f>
        <v/>
      </c>
      <c r="E70" s="43">
        <f>IFERROR(SUMIF(RAW_INPUT!D5:D445,A70,RAW_INPUT!E5:E445)/D70,0)</f>
        <v/>
      </c>
      <c r="F70" s="44">
        <f>IFERROR(SUMIF(RAW_INPUT!D5:D445,A70,RAW_INPUT!F5:F445)/D70,0)</f>
        <v/>
      </c>
    </row>
    <row r="71"/>
    <row r="72">
      <c r="A72" s="27" t="inlineStr">
        <is>
          <t>CATEGORY SUMMARY</t>
        </is>
      </c>
      <c r="B72" s="26" t="n"/>
      <c r="C72" s="26" t="n"/>
      <c r="D72" s="26" t="n"/>
      <c r="E72" s="26" t="n"/>
      <c r="F72" s="26" t="n"/>
    </row>
    <row r="73">
      <c r="A73" s="34" t="inlineStr">
        <is>
          <t>Fuel Deliveries</t>
        </is>
      </c>
      <c r="B73" s="38">
        <f t="array" ref="B73">SUMPRODUCT((ISNUMBER(SEARCH("Delivery",RAW_INPUT!D5:D445))+ISNUMBER(SEARCH("Fuel Drop",RAW_INPUT!D5:D445))+ISNUMBER(SEARCH("Bulk Diesel",RAW_INPUT!D5:D445))&gt;0)*RAW_INPUT!G5:G445)</f>
        <v/>
      </c>
      <c r="C73" s="39">
        <f>B73/B$6</f>
        <v/>
      </c>
      <c r="D73" s="35" t="n"/>
      <c r="E73" s="35" t="n"/>
      <c r="F73" s="35" t="n"/>
    </row>
    <row r="74">
      <c r="A74" s="34" t="inlineStr">
        <is>
          <t>Services</t>
        </is>
      </c>
      <c r="B74" s="38">
        <f t="array" ref="B74">SUMPRODUCT((ISNUMBER(SEARCH("Line Flush",RAW_INPUT!D5:D445))+ISNUMBER(SEARCH("Pump Maintenance",RAW_INPUT!D5:D445))+ISNUMBER(SEARCH("Tank Inspection",RAW_INPUT!D5:D445))+ISNUMBER(SEARCH("Filter Service",RAW_INPUT!D5:D445))&gt;0)*RAW_INPUT!G5:G445)</f>
        <v/>
      </c>
      <c r="C74" s="39">
        <f>B74/B$6</f>
        <v/>
      </c>
      <c r="D74" s="35" t="n"/>
      <c r="E74" s="35" t="n"/>
      <c r="F74" s="35" t="n"/>
    </row>
    <row r="75">
      <c r="A75" s="34" t="inlineStr">
        <is>
          <t>Specialty Products</t>
        </is>
      </c>
      <c r="B75" s="38">
        <f t="array" ref="B75">SUMPRODUCT((ISNUMBER(SEARCH("Motor Oil",RAW_INPUT!D5:D445))+ISNUMBER(SEARCH("Lubricant",RAW_INPUT!D5:D445))+ISNUMBER(SEARCH("Synthetic",RAW_INPUT!D5:D445))&gt;0)*RAW_INPUT!G5:G445)</f>
        <v/>
      </c>
      <c r="C75" s="39">
        <f>B75/B$6</f>
        <v/>
      </c>
      <c r="D75" s="35" t="n"/>
      <c r="E75" s="35" t="n"/>
      <c r="F75" s="35" t="n"/>
    </row>
    <row r="76"/>
    <row r="77"/>
    <row r="78" ht="24.95" customHeight="1" s="89">
      <c r="A78" s="82" t="inlineStr">
        <is>
          <t>PRICING TRENDS</t>
        </is>
      </c>
    </row>
    <row r="79">
      <c r="A79" s="28" t="inlineStr">
        <is>
          <t>Month</t>
        </is>
      </c>
      <c r="B79" s="28" t="inlineStr">
        <is>
          <t>Avg Diesel $/Gal</t>
        </is>
      </c>
      <c r="C79" s="28" t="inlineStr">
        <is>
          <t>Avg Unleaded $/Gal</t>
        </is>
      </c>
      <c r="D79" s="28" t="inlineStr">
        <is>
          <t>Avg Premium $/Gal</t>
        </is>
      </c>
      <c r="E79" s="28" t="inlineStr">
        <is>
          <t>Avg Bulk $/Gal</t>
        </is>
      </c>
      <c r="F79" s="28" t="inlineStr">
        <is>
          <t>Avg Fleet $/Gal</t>
        </is>
      </c>
      <c r="G79" s="28" t="inlineStr">
        <is>
          <t>Overall Avg $/Gal</t>
        </is>
      </c>
      <c r="H79" s="28" t="inlineStr">
        <is>
          <t>Price Δ MoM</t>
        </is>
      </c>
    </row>
    <row r="80">
      <c r="A80" s="29">
        <f>A12</f>
        <v/>
      </c>
      <c r="B80" s="32">
        <f t="array" ref="B80">IFERROR(SUMPRODUCT((RAW_INPUT!A5:A445&gt;=A12)*(RAW_INPUT!A5:A445&lt;A13)*(ISNUMBER(SEARCH("Diesel Delivery",RAW_INPUT!D5:D445)))*RAW_INPUT!F5:F445)/SUMPRODUCT((RAW_INPUT!A5:A445&gt;=A12)*(RAW_INPUT!A5:A445&lt;A13)*(ISNUMBER(SEARCH("Diesel Delivery",RAW_INPUT!D5:D445)))*1),"-")</f>
        <v/>
      </c>
      <c r="C80" s="32">
        <f t="array" ref="C80">IFERROR(SUMPRODUCT((RAW_INPUT!A5:A445&gt;=A12)*(RAW_INPUT!A5:A445&lt;A13)*(ISNUMBER(SEARCH("Unleaded",RAW_INPUT!D5:D445)))*RAW_INPUT!F5:F445)/SUMPRODUCT((RAW_INPUT!A5:A445&gt;=A12)*(RAW_INPUT!A5:A445&lt;A13)*(ISNUMBER(SEARCH("Unleaded",RAW_INPUT!D5:D445)))*1),"-")</f>
        <v/>
      </c>
      <c r="D80" s="32">
        <f t="array" ref="D80">IFERROR(SUMPRODUCT((RAW_INPUT!A5:A445&gt;=A12)*(RAW_INPUT!A5:A445&lt;A13)*(ISNUMBER(SEARCH("Premium",RAW_INPUT!D5:D445)))*RAW_INPUT!F5:F445)/SUMPRODUCT((RAW_INPUT!A5:A445&gt;=A12)*(RAW_INPUT!A5:A445&lt;A13)*(ISNUMBER(SEARCH("Premium",RAW_INPUT!D5:D445)))*1),"-")</f>
        <v/>
      </c>
      <c r="E80" s="32">
        <f t="array" ref="E80">IFERROR(SUMPRODUCT((RAW_INPUT!A5:A445&gt;=A12)*(RAW_INPUT!A5:A445&lt;A13)*(ISNUMBER(SEARCH("Bulk",RAW_INPUT!D5:D445)))*RAW_INPUT!F5:F445)/SUMPRODUCT((RAW_INPUT!A5:A445&gt;=A12)*(RAW_INPUT!A5:A445&lt;A13)*(ISNUMBER(SEARCH("Bulk",RAW_INPUT!D5:D445)))*1),"-")</f>
        <v/>
      </c>
      <c r="F80" s="32">
        <f t="array" ref="F80">IFERROR(SUMPRODUCT((RAW_INPUT!A5:A445&gt;=A12)*(RAW_INPUT!A5:A445&lt;A13)*(ISNUMBER(SEARCH("Fleet",RAW_INPUT!D5:D445)))*RAW_INPUT!F5:F445)/SUMPRODUCT((RAW_INPUT!A5:A445&gt;=A12)*(RAW_INPUT!A5:A445&lt;A13)*(ISNUMBER(SEARCH("Fleet",RAW_INPUT!D5:D445)))*1),"-")</f>
        <v/>
      </c>
      <c r="G80" s="32">
        <f>E12</f>
        <v/>
      </c>
      <c r="H80" s="33" t="inlineStr">
        <is>
          <t>-</t>
        </is>
      </c>
    </row>
    <row r="81">
      <c r="A81" s="47">
        <f>A13</f>
        <v/>
      </c>
      <c r="B81" s="44">
        <f t="array" ref="B81">IFERROR(SUMPRODUCT((RAW_INPUT!A5:A445&gt;=A13)*(RAW_INPUT!A5:A445&lt;A14)*(ISNUMBER(SEARCH("Diesel Delivery",RAW_INPUT!D5:D445)))*RAW_INPUT!F5:F445)/SUMPRODUCT((RAW_INPUT!A5:A445&gt;=A13)*(RAW_INPUT!A5:A445&lt;A14)*(ISNUMBER(SEARCH("Diesel Delivery",RAW_INPUT!D5:D445)))*1),"-")</f>
        <v/>
      </c>
      <c r="C81" s="44">
        <f t="array" ref="C81">IFERROR(SUMPRODUCT((RAW_INPUT!A5:A445&gt;=A13)*(RAW_INPUT!A5:A445&lt;A14)*(ISNUMBER(SEARCH("Unleaded",RAW_INPUT!D5:D445)))*RAW_INPUT!F5:F445)/SUMPRODUCT((RAW_INPUT!A5:A445&gt;=A13)*(RAW_INPUT!A5:A445&lt;A14)*(ISNUMBER(SEARCH("Unleaded",RAW_INPUT!D5:D445)))*1),"-")</f>
        <v/>
      </c>
      <c r="D81" s="44">
        <f t="array" ref="D81">IFERROR(SUMPRODUCT((RAW_INPUT!A5:A445&gt;=A13)*(RAW_INPUT!A5:A445&lt;A14)*(ISNUMBER(SEARCH("Premium",RAW_INPUT!D5:D445)))*RAW_INPUT!F5:F445)/SUMPRODUCT((RAW_INPUT!A5:A445&gt;=A13)*(RAW_INPUT!A5:A445&lt;A14)*(ISNUMBER(SEARCH("Premium",RAW_INPUT!D5:D445)))*1),"-")</f>
        <v/>
      </c>
      <c r="E81" s="44">
        <f t="array" ref="E81">IFERROR(SUMPRODUCT((RAW_INPUT!A5:A445&gt;=A13)*(RAW_INPUT!A5:A445&lt;A14)*(ISNUMBER(SEARCH("Bulk",RAW_INPUT!D5:D445)))*RAW_INPUT!F5:F445)/SUMPRODUCT((RAW_INPUT!A5:A445&gt;=A13)*(RAW_INPUT!A5:A445&lt;A14)*(ISNUMBER(SEARCH("Bulk",RAW_INPUT!D5:D445)))*1),"-")</f>
        <v/>
      </c>
      <c r="F81" s="44">
        <f t="array" ref="F81">IFERROR(SUMPRODUCT((RAW_INPUT!A5:A445&gt;=A13)*(RAW_INPUT!A5:A445&lt;A14)*(ISNUMBER(SEARCH("Fleet",RAW_INPUT!D5:D445)))*RAW_INPUT!F5:F445)/SUMPRODUCT((RAW_INPUT!A5:A445&gt;=A13)*(RAW_INPUT!A5:A445&lt;A14)*(ISNUMBER(SEARCH("Fleet",RAW_INPUT!D5:D445)))*1),"-")</f>
        <v/>
      </c>
      <c r="G81" s="44">
        <f>E13</f>
        <v/>
      </c>
      <c r="H81" s="42">
        <f>IFERROR((G81-G80)/G80,"-")</f>
        <v/>
      </c>
    </row>
    <row r="82">
      <c r="A82" s="29">
        <f>A14</f>
        <v/>
      </c>
      <c r="B82" s="32">
        <f t="array" ref="B82">IFERROR(SUMPRODUCT((RAW_INPUT!A5:A445&gt;=A14)*(RAW_INPUT!A5:A445&lt;A15)*(ISNUMBER(SEARCH("Diesel Delivery",RAW_INPUT!D5:D445)))*RAW_INPUT!F5:F445)/SUMPRODUCT((RAW_INPUT!A5:A445&gt;=A14)*(RAW_INPUT!A5:A445&lt;A15)*(ISNUMBER(SEARCH("Diesel Delivery",RAW_INPUT!D5:D445)))*1),"-")</f>
        <v/>
      </c>
      <c r="C82" s="32">
        <f t="array" ref="C82">IFERROR(SUMPRODUCT((RAW_INPUT!A5:A445&gt;=A14)*(RAW_INPUT!A5:A445&lt;A15)*(ISNUMBER(SEARCH("Unleaded",RAW_INPUT!D5:D445)))*RAW_INPUT!F5:F445)/SUMPRODUCT((RAW_INPUT!A5:A445&gt;=A14)*(RAW_INPUT!A5:A445&lt;A15)*(ISNUMBER(SEARCH("Unleaded",RAW_INPUT!D5:D445)))*1),"-")</f>
        <v/>
      </c>
      <c r="D82" s="32">
        <f t="array" ref="D82">IFERROR(SUMPRODUCT((RAW_INPUT!A5:A445&gt;=A14)*(RAW_INPUT!A5:A445&lt;A15)*(ISNUMBER(SEARCH("Premium",RAW_INPUT!D5:D445)))*RAW_INPUT!F5:F445)/SUMPRODUCT((RAW_INPUT!A5:A445&gt;=A14)*(RAW_INPUT!A5:A445&lt;A15)*(ISNUMBER(SEARCH("Premium",RAW_INPUT!D5:D445)))*1),"-")</f>
        <v/>
      </c>
      <c r="E82" s="32">
        <f t="array" ref="E82">IFERROR(SUMPRODUCT((RAW_INPUT!A5:A445&gt;=A14)*(RAW_INPUT!A5:A445&lt;A15)*(ISNUMBER(SEARCH("Bulk",RAW_INPUT!D5:D445)))*RAW_INPUT!F5:F445)/SUMPRODUCT((RAW_INPUT!A5:A445&gt;=A14)*(RAW_INPUT!A5:A445&lt;A15)*(ISNUMBER(SEARCH("Bulk",RAW_INPUT!D5:D445)))*1),"-")</f>
        <v/>
      </c>
      <c r="F82" s="32">
        <f t="array" ref="F82">IFERROR(SUMPRODUCT((RAW_INPUT!A5:A445&gt;=A14)*(RAW_INPUT!A5:A445&lt;A15)*(ISNUMBER(SEARCH("Fleet",RAW_INPUT!D5:D445)))*RAW_INPUT!F5:F445)/SUMPRODUCT((RAW_INPUT!A5:A445&gt;=A14)*(RAW_INPUT!A5:A445&lt;A15)*(ISNUMBER(SEARCH("Fleet",RAW_INPUT!D5:D445)))*1),"-")</f>
        <v/>
      </c>
      <c r="G82" s="32">
        <f>E14</f>
        <v/>
      </c>
      <c r="H82" s="33">
        <f>IFERROR((G82-G81)/G81,"-")</f>
        <v/>
      </c>
    </row>
    <row r="83">
      <c r="A83" s="47">
        <f>A15</f>
        <v/>
      </c>
      <c r="B83" s="44">
        <f t="array" ref="B83">IFERROR(SUMPRODUCT((RAW_INPUT!A5:A445&gt;=A15)*(RAW_INPUT!A5:A445&lt;A16)*(ISNUMBER(SEARCH("Diesel Delivery",RAW_INPUT!D5:D445)))*RAW_INPUT!F5:F445)/SUMPRODUCT((RAW_INPUT!A5:A445&gt;=A15)*(RAW_INPUT!A5:A445&lt;A16)*(ISNUMBER(SEARCH("Diesel Delivery",RAW_INPUT!D5:D445)))*1),"-")</f>
        <v/>
      </c>
      <c r="C83" s="44">
        <f t="array" ref="C83">IFERROR(SUMPRODUCT((RAW_INPUT!A5:A445&gt;=A15)*(RAW_INPUT!A5:A445&lt;A16)*(ISNUMBER(SEARCH("Unleaded",RAW_INPUT!D5:D445)))*RAW_INPUT!F5:F445)/SUMPRODUCT((RAW_INPUT!A5:A445&gt;=A15)*(RAW_INPUT!A5:A445&lt;A16)*(ISNUMBER(SEARCH("Unleaded",RAW_INPUT!D5:D445)))*1),"-")</f>
        <v/>
      </c>
      <c r="D83" s="44">
        <f t="array" ref="D83">IFERROR(SUMPRODUCT((RAW_INPUT!A5:A445&gt;=A15)*(RAW_INPUT!A5:A445&lt;A16)*(ISNUMBER(SEARCH("Premium",RAW_INPUT!D5:D445)))*RAW_INPUT!F5:F445)/SUMPRODUCT((RAW_INPUT!A5:A445&gt;=A15)*(RAW_INPUT!A5:A445&lt;A16)*(ISNUMBER(SEARCH("Premium",RAW_INPUT!D5:D445)))*1),"-")</f>
        <v/>
      </c>
      <c r="E83" s="44">
        <f t="array" ref="E83">IFERROR(SUMPRODUCT((RAW_INPUT!A5:A445&gt;=A15)*(RAW_INPUT!A5:A445&lt;A16)*(ISNUMBER(SEARCH("Bulk",RAW_INPUT!D5:D445)))*RAW_INPUT!F5:F445)/SUMPRODUCT((RAW_INPUT!A5:A445&gt;=A15)*(RAW_INPUT!A5:A445&lt;A16)*(ISNUMBER(SEARCH("Bulk",RAW_INPUT!D5:D445)))*1),"-")</f>
        <v/>
      </c>
      <c r="F83" s="44">
        <f t="array" ref="F83">IFERROR(SUMPRODUCT((RAW_INPUT!A5:A445&gt;=A15)*(RAW_INPUT!A5:A445&lt;A16)*(ISNUMBER(SEARCH("Fleet",RAW_INPUT!D5:D445)))*RAW_INPUT!F5:F445)/SUMPRODUCT((RAW_INPUT!A5:A445&gt;=A15)*(RAW_INPUT!A5:A445&lt;A16)*(ISNUMBER(SEARCH("Fleet",RAW_INPUT!D5:D445)))*1),"-")</f>
        <v/>
      </c>
      <c r="G83" s="44">
        <f>E15</f>
        <v/>
      </c>
      <c r="H83" s="42">
        <f>IFERROR((G83-G82)/G82,"-")</f>
        <v/>
      </c>
    </row>
    <row r="84">
      <c r="A84" s="29">
        <f>A16</f>
        <v/>
      </c>
      <c r="B84" s="32">
        <f t="array" ref="B84">IFERROR(SUMPRODUCT((RAW_INPUT!A5:A445&gt;=A16)*(RAW_INPUT!A5:A445&lt;A17)*(ISNUMBER(SEARCH("Diesel Delivery",RAW_INPUT!D5:D445)))*RAW_INPUT!F5:F445)/SUMPRODUCT((RAW_INPUT!A5:A445&gt;=A16)*(RAW_INPUT!A5:A445&lt;A17)*(ISNUMBER(SEARCH("Diesel Delivery",RAW_INPUT!D5:D445)))*1),"-")</f>
        <v/>
      </c>
      <c r="C84" s="32">
        <f t="array" ref="C84">IFERROR(SUMPRODUCT((RAW_INPUT!A5:A445&gt;=A16)*(RAW_INPUT!A5:A445&lt;A17)*(ISNUMBER(SEARCH("Unleaded",RAW_INPUT!D5:D445)))*RAW_INPUT!F5:F445)/SUMPRODUCT((RAW_INPUT!A5:A445&gt;=A16)*(RAW_INPUT!A5:A445&lt;A17)*(ISNUMBER(SEARCH("Unleaded",RAW_INPUT!D5:D445)))*1),"-")</f>
        <v/>
      </c>
      <c r="D84" s="32">
        <f t="array" ref="D84">IFERROR(SUMPRODUCT((RAW_INPUT!A5:A445&gt;=A16)*(RAW_INPUT!A5:A445&lt;A17)*(ISNUMBER(SEARCH("Premium",RAW_INPUT!D5:D445)))*RAW_INPUT!F5:F445)/SUMPRODUCT((RAW_INPUT!A5:A445&gt;=A16)*(RAW_INPUT!A5:A445&lt;A17)*(ISNUMBER(SEARCH("Premium",RAW_INPUT!D5:D445)))*1),"-")</f>
        <v/>
      </c>
      <c r="E84" s="32">
        <f t="array" ref="E84">IFERROR(SUMPRODUCT((RAW_INPUT!A5:A445&gt;=A16)*(RAW_INPUT!A5:A445&lt;A17)*(ISNUMBER(SEARCH("Bulk",RAW_INPUT!D5:D445)))*RAW_INPUT!F5:F445)/SUMPRODUCT((RAW_INPUT!A5:A445&gt;=A16)*(RAW_INPUT!A5:A445&lt;A17)*(ISNUMBER(SEARCH("Bulk",RAW_INPUT!D5:D445)))*1),"-")</f>
        <v/>
      </c>
      <c r="F84" s="32">
        <f t="array" ref="F84">IFERROR(SUMPRODUCT((RAW_INPUT!A5:A445&gt;=A16)*(RAW_INPUT!A5:A445&lt;A17)*(ISNUMBER(SEARCH("Fleet",RAW_INPUT!D5:D445)))*RAW_INPUT!F5:F445)/SUMPRODUCT((RAW_INPUT!A5:A445&gt;=A16)*(RAW_INPUT!A5:A445&lt;A17)*(ISNUMBER(SEARCH("Fleet",RAW_INPUT!D5:D445)))*1),"-")</f>
        <v/>
      </c>
      <c r="G84" s="32">
        <f>E16</f>
        <v/>
      </c>
      <c r="H84" s="33">
        <f>IFERROR((G84-G83)/G83,"-")</f>
        <v/>
      </c>
    </row>
    <row r="85">
      <c r="A85" s="47">
        <f>A17</f>
        <v/>
      </c>
      <c r="B85" s="44">
        <f t="array" ref="B85">IFERROR(SUMPRODUCT((RAW_INPUT!A5:A445&gt;=A17)*(RAW_INPUT!A5:A445&lt;A18)*(ISNUMBER(SEARCH("Diesel Delivery",RAW_INPUT!D5:D445)))*RAW_INPUT!F5:F445)/SUMPRODUCT((RAW_INPUT!A5:A445&gt;=A17)*(RAW_INPUT!A5:A445&lt;A18)*(ISNUMBER(SEARCH("Diesel Delivery",RAW_INPUT!D5:D445)))*1),"-")</f>
        <v/>
      </c>
      <c r="C85" s="44">
        <f t="array" ref="C85">IFERROR(SUMPRODUCT((RAW_INPUT!A5:A445&gt;=A17)*(RAW_INPUT!A5:A445&lt;A18)*(ISNUMBER(SEARCH("Unleaded",RAW_INPUT!D5:D445)))*RAW_INPUT!F5:F445)/SUMPRODUCT((RAW_INPUT!A5:A445&gt;=A17)*(RAW_INPUT!A5:A445&lt;A18)*(ISNUMBER(SEARCH("Unleaded",RAW_INPUT!D5:D445)))*1),"-")</f>
        <v/>
      </c>
      <c r="D85" s="44">
        <f t="array" ref="D85">IFERROR(SUMPRODUCT((RAW_INPUT!A5:A445&gt;=A17)*(RAW_INPUT!A5:A445&lt;A18)*(ISNUMBER(SEARCH("Premium",RAW_INPUT!D5:D445)))*RAW_INPUT!F5:F445)/SUMPRODUCT((RAW_INPUT!A5:A445&gt;=A17)*(RAW_INPUT!A5:A445&lt;A18)*(ISNUMBER(SEARCH("Premium",RAW_INPUT!D5:D445)))*1),"-")</f>
        <v/>
      </c>
      <c r="E85" s="44">
        <f t="array" ref="E85">IFERROR(SUMPRODUCT((RAW_INPUT!A5:A445&gt;=A17)*(RAW_INPUT!A5:A445&lt;A18)*(ISNUMBER(SEARCH("Bulk",RAW_INPUT!D5:D445)))*RAW_INPUT!F5:F445)/SUMPRODUCT((RAW_INPUT!A5:A445&gt;=A17)*(RAW_INPUT!A5:A445&lt;A18)*(ISNUMBER(SEARCH("Bulk",RAW_INPUT!D5:D445)))*1),"-")</f>
        <v/>
      </c>
      <c r="F85" s="44">
        <f t="array" ref="F85">IFERROR(SUMPRODUCT((RAW_INPUT!A5:A445&gt;=A17)*(RAW_INPUT!A5:A445&lt;A18)*(ISNUMBER(SEARCH("Fleet",RAW_INPUT!D5:D445)))*RAW_INPUT!F5:F445)/SUMPRODUCT((RAW_INPUT!A5:A445&gt;=A17)*(RAW_INPUT!A5:A445&lt;A18)*(ISNUMBER(SEARCH("Fleet",RAW_INPUT!D5:D445)))*1),"-")</f>
        <v/>
      </c>
      <c r="G85" s="44">
        <f>E17</f>
        <v/>
      </c>
      <c r="H85" s="42">
        <f>IFERROR((G85-G84)/G84,"-")</f>
        <v/>
      </c>
    </row>
    <row r="86">
      <c r="A86" s="29">
        <f>A18</f>
        <v/>
      </c>
      <c r="B86" s="32">
        <f t="array" ref="B86">IFERROR(SUMPRODUCT((RAW_INPUT!A5:A445&gt;=A18)*(RAW_INPUT!A5:A445&lt;A19)*(ISNUMBER(SEARCH("Diesel Delivery",RAW_INPUT!D5:D445)))*RAW_INPUT!F5:F445)/SUMPRODUCT((RAW_INPUT!A5:A445&gt;=A18)*(RAW_INPUT!A5:A445&lt;A19)*(ISNUMBER(SEARCH("Diesel Delivery",RAW_INPUT!D5:D445)))*1),"-")</f>
        <v/>
      </c>
      <c r="C86" s="32">
        <f t="array" ref="C86">IFERROR(SUMPRODUCT((RAW_INPUT!A5:A445&gt;=A18)*(RAW_INPUT!A5:A445&lt;A19)*(ISNUMBER(SEARCH("Unleaded",RAW_INPUT!D5:D445)))*RAW_INPUT!F5:F445)/SUMPRODUCT((RAW_INPUT!A5:A445&gt;=A18)*(RAW_INPUT!A5:A445&lt;A19)*(ISNUMBER(SEARCH("Unleaded",RAW_INPUT!D5:D445)))*1),"-")</f>
        <v/>
      </c>
      <c r="D86" s="32">
        <f t="array" ref="D86">IFERROR(SUMPRODUCT((RAW_INPUT!A5:A445&gt;=A18)*(RAW_INPUT!A5:A445&lt;A19)*(ISNUMBER(SEARCH("Premium",RAW_INPUT!D5:D445)))*RAW_INPUT!F5:F445)/SUMPRODUCT((RAW_INPUT!A5:A445&gt;=A18)*(RAW_INPUT!A5:A445&lt;A19)*(ISNUMBER(SEARCH("Premium",RAW_INPUT!D5:D445)))*1),"-")</f>
        <v/>
      </c>
      <c r="E86" s="32">
        <f t="array" ref="E86">IFERROR(SUMPRODUCT((RAW_INPUT!A5:A445&gt;=A18)*(RAW_INPUT!A5:A445&lt;A19)*(ISNUMBER(SEARCH("Bulk",RAW_INPUT!D5:D445)))*RAW_INPUT!F5:F445)/SUMPRODUCT((RAW_INPUT!A5:A445&gt;=A18)*(RAW_INPUT!A5:A445&lt;A19)*(ISNUMBER(SEARCH("Bulk",RAW_INPUT!D5:D445)))*1),"-")</f>
        <v/>
      </c>
      <c r="F86" s="32">
        <f t="array" ref="F86">IFERROR(SUMPRODUCT((RAW_INPUT!A5:A445&gt;=A18)*(RAW_INPUT!A5:A445&lt;A19)*(ISNUMBER(SEARCH("Fleet",RAW_INPUT!D5:D445)))*RAW_INPUT!F5:F445)/SUMPRODUCT((RAW_INPUT!A5:A445&gt;=A18)*(RAW_INPUT!A5:A445&lt;A19)*(ISNUMBER(SEARCH("Fleet",RAW_INPUT!D5:D445)))*1),"-")</f>
        <v/>
      </c>
      <c r="G86" s="32">
        <f>E18</f>
        <v/>
      </c>
      <c r="H86" s="33">
        <f>IFERROR((G86-G85)/G85,"-")</f>
        <v/>
      </c>
    </row>
    <row r="87">
      <c r="A87" s="47">
        <f>A19</f>
        <v/>
      </c>
      <c r="B87" s="44">
        <f t="array" ref="B87">IFERROR(SUMPRODUCT((RAW_INPUT!A5:A445&gt;=A19)*(RAW_INPUT!A5:A445&lt;A20)*(ISNUMBER(SEARCH("Diesel Delivery",RAW_INPUT!D5:D445)))*RAW_INPUT!F5:F445)/SUMPRODUCT((RAW_INPUT!A5:A445&gt;=A19)*(RAW_INPUT!A5:A445&lt;A20)*(ISNUMBER(SEARCH("Diesel Delivery",RAW_INPUT!D5:D445)))*1),"-")</f>
        <v/>
      </c>
      <c r="C87" s="44">
        <f t="array" ref="C87">IFERROR(SUMPRODUCT((RAW_INPUT!A5:A445&gt;=A19)*(RAW_INPUT!A5:A445&lt;A20)*(ISNUMBER(SEARCH("Unleaded",RAW_INPUT!D5:D445)))*RAW_INPUT!F5:F445)/SUMPRODUCT((RAW_INPUT!A5:A445&gt;=A19)*(RAW_INPUT!A5:A445&lt;A20)*(ISNUMBER(SEARCH("Unleaded",RAW_INPUT!D5:D445)))*1),"-")</f>
        <v/>
      </c>
      <c r="D87" s="44">
        <f t="array" ref="D87">IFERROR(SUMPRODUCT((RAW_INPUT!A5:A445&gt;=A19)*(RAW_INPUT!A5:A445&lt;A20)*(ISNUMBER(SEARCH("Premium",RAW_INPUT!D5:D445)))*RAW_INPUT!F5:F445)/SUMPRODUCT((RAW_INPUT!A5:A445&gt;=A19)*(RAW_INPUT!A5:A445&lt;A20)*(ISNUMBER(SEARCH("Premium",RAW_INPUT!D5:D445)))*1),"-")</f>
        <v/>
      </c>
      <c r="E87" s="44">
        <f t="array" ref="E87">IFERROR(SUMPRODUCT((RAW_INPUT!A5:A445&gt;=A19)*(RAW_INPUT!A5:A445&lt;A20)*(ISNUMBER(SEARCH("Bulk",RAW_INPUT!D5:D445)))*RAW_INPUT!F5:F445)/SUMPRODUCT((RAW_INPUT!A5:A445&gt;=A19)*(RAW_INPUT!A5:A445&lt;A20)*(ISNUMBER(SEARCH("Bulk",RAW_INPUT!D5:D445)))*1),"-")</f>
        <v/>
      </c>
      <c r="F87" s="44">
        <f t="array" ref="F87">IFERROR(SUMPRODUCT((RAW_INPUT!A5:A445&gt;=A19)*(RAW_INPUT!A5:A445&lt;A20)*(ISNUMBER(SEARCH("Fleet",RAW_INPUT!D5:D445)))*RAW_INPUT!F5:F445)/SUMPRODUCT((RAW_INPUT!A5:A445&gt;=A19)*(RAW_INPUT!A5:A445&lt;A20)*(ISNUMBER(SEARCH("Fleet",RAW_INPUT!D5:D445)))*1),"-")</f>
        <v/>
      </c>
      <c r="G87" s="44">
        <f>E19</f>
        <v/>
      </c>
      <c r="H87" s="42">
        <f>IFERROR((G87-G86)/G86,"-")</f>
        <v/>
      </c>
    </row>
    <row r="88">
      <c r="A88" s="29">
        <f>A20</f>
        <v/>
      </c>
      <c r="B88" s="32">
        <f t="array" ref="B88">IFERROR(SUMPRODUCT((RAW_INPUT!A5:A445&gt;=A20)*(RAW_INPUT!A5:A445&lt;A21)*(ISNUMBER(SEARCH("Diesel Delivery",RAW_INPUT!D5:D445)))*RAW_INPUT!F5:F445)/SUMPRODUCT((RAW_INPUT!A5:A445&gt;=A20)*(RAW_INPUT!A5:A445&lt;A21)*(ISNUMBER(SEARCH("Diesel Delivery",RAW_INPUT!D5:D445)))*1),"-")</f>
        <v/>
      </c>
      <c r="C88" s="32">
        <f t="array" ref="C88">IFERROR(SUMPRODUCT((RAW_INPUT!A5:A445&gt;=A20)*(RAW_INPUT!A5:A445&lt;A21)*(ISNUMBER(SEARCH("Unleaded",RAW_INPUT!D5:D445)))*RAW_INPUT!F5:F445)/SUMPRODUCT((RAW_INPUT!A5:A445&gt;=A20)*(RAW_INPUT!A5:A445&lt;A21)*(ISNUMBER(SEARCH("Unleaded",RAW_INPUT!D5:D445)))*1),"-")</f>
        <v/>
      </c>
      <c r="D88" s="32">
        <f t="array" ref="D88">IFERROR(SUMPRODUCT((RAW_INPUT!A5:A445&gt;=A20)*(RAW_INPUT!A5:A445&lt;A21)*(ISNUMBER(SEARCH("Premium",RAW_INPUT!D5:D445)))*RAW_INPUT!F5:F445)/SUMPRODUCT((RAW_INPUT!A5:A445&gt;=A20)*(RAW_INPUT!A5:A445&lt;A21)*(ISNUMBER(SEARCH("Premium",RAW_INPUT!D5:D445)))*1),"-")</f>
        <v/>
      </c>
      <c r="E88" s="32">
        <f t="array" ref="E88">IFERROR(SUMPRODUCT((RAW_INPUT!A5:A445&gt;=A20)*(RAW_INPUT!A5:A445&lt;A21)*(ISNUMBER(SEARCH("Bulk",RAW_INPUT!D5:D445)))*RAW_INPUT!F5:F445)/SUMPRODUCT((RAW_INPUT!A5:A445&gt;=A20)*(RAW_INPUT!A5:A445&lt;A21)*(ISNUMBER(SEARCH("Bulk",RAW_INPUT!D5:D445)))*1),"-")</f>
        <v/>
      </c>
      <c r="F88" s="32">
        <f t="array" ref="F88">IFERROR(SUMPRODUCT((RAW_INPUT!A5:A445&gt;=A20)*(RAW_INPUT!A5:A445&lt;A21)*(ISNUMBER(SEARCH("Fleet",RAW_INPUT!D5:D445)))*RAW_INPUT!F5:F445)/SUMPRODUCT((RAW_INPUT!A5:A445&gt;=A20)*(RAW_INPUT!A5:A445&lt;A21)*(ISNUMBER(SEARCH("Fleet",RAW_INPUT!D5:D445)))*1),"-")</f>
        <v/>
      </c>
      <c r="G88" s="32">
        <f>E20</f>
        <v/>
      </c>
      <c r="H88" s="33">
        <f>IFERROR((G88-G87)/G87,"-")</f>
        <v/>
      </c>
    </row>
    <row r="89">
      <c r="A89" s="47">
        <f>A21</f>
        <v/>
      </c>
      <c r="B89" s="44">
        <f t="array" ref="B89">IFERROR(SUMPRODUCT((RAW_INPUT!A5:A445&gt;=A21)*(RAW_INPUT!A5:A445&lt;A22)*(ISNUMBER(SEARCH("Diesel Delivery",RAW_INPUT!D5:D445)))*RAW_INPUT!F5:F445)/SUMPRODUCT((RAW_INPUT!A5:A445&gt;=A21)*(RAW_INPUT!A5:A445&lt;A22)*(ISNUMBER(SEARCH("Diesel Delivery",RAW_INPUT!D5:D445)))*1),"-")</f>
        <v/>
      </c>
      <c r="C89" s="44">
        <f t="array" ref="C89">IFERROR(SUMPRODUCT((RAW_INPUT!A5:A445&gt;=A21)*(RAW_INPUT!A5:A445&lt;A22)*(ISNUMBER(SEARCH("Unleaded",RAW_INPUT!D5:D445)))*RAW_INPUT!F5:F445)/SUMPRODUCT((RAW_INPUT!A5:A445&gt;=A21)*(RAW_INPUT!A5:A445&lt;A22)*(ISNUMBER(SEARCH("Unleaded",RAW_INPUT!D5:D445)))*1),"-")</f>
        <v/>
      </c>
      <c r="D89" s="44">
        <f t="array" ref="D89">IFERROR(SUMPRODUCT((RAW_INPUT!A5:A445&gt;=A21)*(RAW_INPUT!A5:A445&lt;A22)*(ISNUMBER(SEARCH("Premium",RAW_INPUT!D5:D445)))*RAW_INPUT!F5:F445)/SUMPRODUCT((RAW_INPUT!A5:A445&gt;=A21)*(RAW_INPUT!A5:A445&lt;A22)*(ISNUMBER(SEARCH("Premium",RAW_INPUT!D5:D445)))*1),"-")</f>
        <v/>
      </c>
      <c r="E89" s="44">
        <f t="array" ref="E89">IFERROR(SUMPRODUCT((RAW_INPUT!A5:A445&gt;=A21)*(RAW_INPUT!A5:A445&lt;A22)*(ISNUMBER(SEARCH("Bulk",RAW_INPUT!D5:D445)))*RAW_INPUT!F5:F445)/SUMPRODUCT((RAW_INPUT!A5:A445&gt;=A21)*(RAW_INPUT!A5:A445&lt;A22)*(ISNUMBER(SEARCH("Bulk",RAW_INPUT!D5:D445)))*1),"-")</f>
        <v/>
      </c>
      <c r="F89" s="44">
        <f t="array" ref="F89">IFERROR(SUMPRODUCT((RAW_INPUT!A5:A445&gt;=A21)*(RAW_INPUT!A5:A445&lt;A22)*(ISNUMBER(SEARCH("Fleet",RAW_INPUT!D5:D445)))*RAW_INPUT!F5:F445)/SUMPRODUCT((RAW_INPUT!A5:A445&gt;=A21)*(RAW_INPUT!A5:A445&lt;A22)*(ISNUMBER(SEARCH("Fleet",RAW_INPUT!D5:D445)))*1),"-")</f>
        <v/>
      </c>
      <c r="G89" s="44">
        <f>E21</f>
        <v/>
      </c>
      <c r="H89" s="42">
        <f>IFERROR((G89-G88)/G88,"-")</f>
        <v/>
      </c>
    </row>
    <row r="90">
      <c r="A90" s="29">
        <f>A22</f>
        <v/>
      </c>
      <c r="B90" s="32">
        <f t="array" ref="B90">IFERROR(SUMPRODUCT((RAW_INPUT!A5:A445&gt;=A22)*(RAW_INPUT!A5:A445&lt;A23)*(ISNUMBER(SEARCH("Diesel Delivery",RAW_INPUT!D5:D445)))*RAW_INPUT!F5:F445)/SUMPRODUCT((RAW_INPUT!A5:A445&gt;=A22)*(RAW_INPUT!A5:A445&lt;A23)*(ISNUMBER(SEARCH("Diesel Delivery",RAW_INPUT!D5:D445)))*1),"-")</f>
        <v/>
      </c>
      <c r="C90" s="32">
        <f t="array" ref="C90">IFERROR(SUMPRODUCT((RAW_INPUT!A5:A445&gt;=A22)*(RAW_INPUT!A5:A445&lt;A23)*(ISNUMBER(SEARCH("Unleaded",RAW_INPUT!D5:D445)))*RAW_INPUT!F5:F445)/SUMPRODUCT((RAW_INPUT!A5:A445&gt;=A22)*(RAW_INPUT!A5:A445&lt;A23)*(ISNUMBER(SEARCH("Unleaded",RAW_INPUT!D5:D445)))*1),"-")</f>
        <v/>
      </c>
      <c r="D90" s="32">
        <f t="array" ref="D90">IFERROR(SUMPRODUCT((RAW_INPUT!A5:A445&gt;=A22)*(RAW_INPUT!A5:A445&lt;A23)*(ISNUMBER(SEARCH("Premium",RAW_INPUT!D5:D445)))*RAW_INPUT!F5:F445)/SUMPRODUCT((RAW_INPUT!A5:A445&gt;=A22)*(RAW_INPUT!A5:A445&lt;A23)*(ISNUMBER(SEARCH("Premium",RAW_INPUT!D5:D445)))*1),"-")</f>
        <v/>
      </c>
      <c r="E90" s="32">
        <f t="array" ref="E90">IFERROR(SUMPRODUCT((RAW_INPUT!A5:A445&gt;=A22)*(RAW_INPUT!A5:A445&lt;A23)*(ISNUMBER(SEARCH("Bulk",RAW_INPUT!D5:D445)))*RAW_INPUT!F5:F445)/SUMPRODUCT((RAW_INPUT!A5:A445&gt;=A22)*(RAW_INPUT!A5:A445&lt;A23)*(ISNUMBER(SEARCH("Bulk",RAW_INPUT!D5:D445)))*1),"-")</f>
        <v/>
      </c>
      <c r="F90" s="32">
        <f t="array" ref="F90">IFERROR(SUMPRODUCT((RAW_INPUT!A5:A445&gt;=A22)*(RAW_INPUT!A5:A445&lt;A23)*(ISNUMBER(SEARCH("Fleet",RAW_INPUT!D5:D445)))*RAW_INPUT!F5:F445)/SUMPRODUCT((RAW_INPUT!A5:A445&gt;=A22)*(RAW_INPUT!A5:A445&lt;A23)*(ISNUMBER(SEARCH("Fleet",RAW_INPUT!D5:D445)))*1),"-")</f>
        <v/>
      </c>
      <c r="G90" s="32">
        <f>E22</f>
        <v/>
      </c>
      <c r="H90" s="33">
        <f>IFERROR((G90-G89)/G89,"-")</f>
        <v/>
      </c>
    </row>
    <row r="91">
      <c r="A91" s="47">
        <f>A23</f>
        <v/>
      </c>
      <c r="B91" s="44">
        <f t="array" ref="B91">IFERROR(SUMPRODUCT((RAW_INPUT!A5:A445&gt;=A23)*(RAW_INPUT!A5:A445&lt;A24)*(ISNUMBER(SEARCH("Diesel Delivery",RAW_INPUT!D5:D445)))*RAW_INPUT!F5:F445)/SUMPRODUCT((RAW_INPUT!A5:A445&gt;=A23)*(RAW_INPUT!A5:A445&lt;A24)*(ISNUMBER(SEARCH("Diesel Delivery",RAW_INPUT!D5:D445)))*1),"-")</f>
        <v/>
      </c>
      <c r="C91" s="44">
        <f t="array" ref="C91">IFERROR(SUMPRODUCT((RAW_INPUT!A5:A445&gt;=A23)*(RAW_INPUT!A5:A445&lt;A24)*(ISNUMBER(SEARCH("Unleaded",RAW_INPUT!D5:D445)))*RAW_INPUT!F5:F445)/SUMPRODUCT((RAW_INPUT!A5:A445&gt;=A23)*(RAW_INPUT!A5:A445&lt;A24)*(ISNUMBER(SEARCH("Unleaded",RAW_INPUT!D5:D445)))*1),"-")</f>
        <v/>
      </c>
      <c r="D91" s="44">
        <f t="array" ref="D91">IFERROR(SUMPRODUCT((RAW_INPUT!A5:A445&gt;=A23)*(RAW_INPUT!A5:A445&lt;A24)*(ISNUMBER(SEARCH("Premium",RAW_INPUT!D5:D445)))*RAW_INPUT!F5:F445)/SUMPRODUCT((RAW_INPUT!A5:A445&gt;=A23)*(RAW_INPUT!A5:A445&lt;A24)*(ISNUMBER(SEARCH("Premium",RAW_INPUT!D5:D445)))*1),"-")</f>
        <v/>
      </c>
      <c r="E91" s="44">
        <f t="array" ref="E91">IFERROR(SUMPRODUCT((RAW_INPUT!A5:A445&gt;=A23)*(RAW_INPUT!A5:A445&lt;A24)*(ISNUMBER(SEARCH("Bulk",RAW_INPUT!D5:D445)))*RAW_INPUT!F5:F445)/SUMPRODUCT((RAW_INPUT!A5:A445&gt;=A23)*(RAW_INPUT!A5:A445&lt;A24)*(ISNUMBER(SEARCH("Bulk",RAW_INPUT!D5:D445)))*1),"-")</f>
        <v/>
      </c>
      <c r="F91" s="44">
        <f t="array" ref="F91">IFERROR(SUMPRODUCT((RAW_INPUT!A5:A445&gt;=A23)*(RAW_INPUT!A5:A445&lt;A24)*(ISNUMBER(SEARCH("Fleet",RAW_INPUT!D5:D445)))*RAW_INPUT!F5:F445)/SUMPRODUCT((RAW_INPUT!A5:A445&gt;=A23)*(RAW_INPUT!A5:A445&lt;A24)*(ISNUMBER(SEARCH("Fleet",RAW_INPUT!D5:D445)))*1),"-")</f>
        <v/>
      </c>
      <c r="G91" s="44">
        <f>E23</f>
        <v/>
      </c>
      <c r="H91" s="42">
        <f>IFERROR((G91-G90)/G90,"-")</f>
        <v/>
      </c>
    </row>
    <row r="92">
      <c r="A92" s="29">
        <f>A24</f>
        <v/>
      </c>
      <c r="B92" s="32">
        <f t="array" ref="B92">IFERROR(SUMPRODUCT((RAW_INPUT!A5:A445&gt;=A24)*(RAW_INPUT!A5:A445&lt;A25)*(ISNUMBER(SEARCH("Diesel Delivery",RAW_INPUT!D5:D445)))*RAW_INPUT!F5:F445)/SUMPRODUCT((RAW_INPUT!A5:A445&gt;=A24)*(RAW_INPUT!A5:A445&lt;A25)*(ISNUMBER(SEARCH("Diesel Delivery",RAW_INPUT!D5:D445)))*1),"-")</f>
        <v/>
      </c>
      <c r="C92" s="32">
        <f t="array" ref="C92">IFERROR(SUMPRODUCT((RAW_INPUT!A5:A445&gt;=A24)*(RAW_INPUT!A5:A445&lt;A25)*(ISNUMBER(SEARCH("Unleaded",RAW_INPUT!D5:D445)))*RAW_INPUT!F5:F445)/SUMPRODUCT((RAW_INPUT!A5:A445&gt;=A24)*(RAW_INPUT!A5:A445&lt;A25)*(ISNUMBER(SEARCH("Unleaded",RAW_INPUT!D5:D445)))*1),"-")</f>
        <v/>
      </c>
      <c r="D92" s="32">
        <f t="array" ref="D92">IFERROR(SUMPRODUCT((RAW_INPUT!A5:A445&gt;=A24)*(RAW_INPUT!A5:A445&lt;A25)*(ISNUMBER(SEARCH("Premium",RAW_INPUT!D5:D445)))*RAW_INPUT!F5:F445)/SUMPRODUCT((RAW_INPUT!A5:A445&gt;=A24)*(RAW_INPUT!A5:A445&lt;A25)*(ISNUMBER(SEARCH("Premium",RAW_INPUT!D5:D445)))*1),"-")</f>
        <v/>
      </c>
      <c r="E92" s="32">
        <f t="array" ref="E92">IFERROR(SUMPRODUCT((RAW_INPUT!A5:A445&gt;=A24)*(RAW_INPUT!A5:A445&lt;A25)*(ISNUMBER(SEARCH("Bulk",RAW_INPUT!D5:D445)))*RAW_INPUT!F5:F445)/SUMPRODUCT((RAW_INPUT!A5:A445&gt;=A24)*(RAW_INPUT!A5:A445&lt;A25)*(ISNUMBER(SEARCH("Bulk",RAW_INPUT!D5:D445)))*1),"-")</f>
        <v/>
      </c>
      <c r="F92" s="32">
        <f t="array" ref="F92">IFERROR(SUMPRODUCT((RAW_INPUT!A5:A445&gt;=A24)*(RAW_INPUT!A5:A445&lt;A25)*(ISNUMBER(SEARCH("Fleet",RAW_INPUT!D5:D445)))*RAW_INPUT!F5:F445)/SUMPRODUCT((RAW_INPUT!A5:A445&gt;=A24)*(RAW_INPUT!A5:A445&lt;A25)*(ISNUMBER(SEARCH("Fleet",RAW_INPUT!D5:D445)))*1),"-")</f>
        <v/>
      </c>
      <c r="G92" s="32">
        <f>E24</f>
        <v/>
      </c>
      <c r="H92" s="33">
        <f>IFERROR((G92-G91)/G91,"-")</f>
        <v/>
      </c>
    </row>
    <row r="93">
      <c r="A93" s="47">
        <f>A25</f>
        <v/>
      </c>
      <c r="B93" s="44">
        <f t="array" ref="B93">IFERROR(SUMPRODUCT((RAW_INPUT!A5:A445&gt;=A25)*(RAW_INPUT!A5:A445&lt;A26)*(ISNUMBER(SEARCH("Diesel Delivery",RAW_INPUT!D5:D445)))*RAW_INPUT!F5:F445)/SUMPRODUCT((RAW_INPUT!A5:A445&gt;=A25)*(RAW_INPUT!A5:A445&lt;A26)*(ISNUMBER(SEARCH("Diesel Delivery",RAW_INPUT!D5:D445)))*1),"-")</f>
        <v/>
      </c>
      <c r="C93" s="44">
        <f t="array" ref="C93">IFERROR(SUMPRODUCT((RAW_INPUT!A5:A445&gt;=A25)*(RAW_INPUT!A5:A445&lt;A26)*(ISNUMBER(SEARCH("Unleaded",RAW_INPUT!D5:D445)))*RAW_INPUT!F5:F445)/SUMPRODUCT((RAW_INPUT!A5:A445&gt;=A25)*(RAW_INPUT!A5:A445&lt;A26)*(ISNUMBER(SEARCH("Unleaded",RAW_INPUT!D5:D445)))*1),"-")</f>
        <v/>
      </c>
      <c r="D93" s="44">
        <f t="array" ref="D93">IFERROR(SUMPRODUCT((RAW_INPUT!A5:A445&gt;=A25)*(RAW_INPUT!A5:A445&lt;A26)*(ISNUMBER(SEARCH("Premium",RAW_INPUT!D5:D445)))*RAW_INPUT!F5:F445)/SUMPRODUCT((RAW_INPUT!A5:A445&gt;=A25)*(RAW_INPUT!A5:A445&lt;A26)*(ISNUMBER(SEARCH("Premium",RAW_INPUT!D5:D445)))*1),"-")</f>
        <v/>
      </c>
      <c r="E93" s="44">
        <f t="array" ref="E93">IFERROR(SUMPRODUCT((RAW_INPUT!A5:A445&gt;=A25)*(RAW_INPUT!A5:A445&lt;A26)*(ISNUMBER(SEARCH("Bulk",RAW_INPUT!D5:D445)))*RAW_INPUT!F5:F445)/SUMPRODUCT((RAW_INPUT!A5:A445&gt;=A25)*(RAW_INPUT!A5:A445&lt;A26)*(ISNUMBER(SEARCH("Bulk",RAW_INPUT!D5:D445)))*1),"-")</f>
        <v/>
      </c>
      <c r="F93" s="44">
        <f t="array" ref="F93">IFERROR(SUMPRODUCT((RAW_INPUT!A5:A445&gt;=A25)*(RAW_INPUT!A5:A445&lt;A26)*(ISNUMBER(SEARCH("Fleet",RAW_INPUT!D5:D445)))*RAW_INPUT!F5:F445)/SUMPRODUCT((RAW_INPUT!A5:A445&gt;=A25)*(RAW_INPUT!A5:A445&lt;A26)*(ISNUMBER(SEARCH("Fleet",RAW_INPUT!D5:D445)))*1),"-")</f>
        <v/>
      </c>
      <c r="G93" s="44">
        <f>E25</f>
        <v/>
      </c>
      <c r="H93" s="42">
        <f>IFERROR((G93-G92)/G92,"-")</f>
        <v/>
      </c>
    </row>
    <row r="94">
      <c r="A94" s="29">
        <f>A26</f>
        <v/>
      </c>
      <c r="B94" s="32">
        <f t="array" ref="B94">IFERROR(SUMPRODUCT((RAW_INPUT!A5:A445&gt;=A26)*(RAW_INPUT!A5:A445&lt;A27)*(ISNUMBER(SEARCH("Diesel Delivery",RAW_INPUT!D5:D445)))*RAW_INPUT!F5:F445)/SUMPRODUCT((RAW_INPUT!A5:A445&gt;=A26)*(RAW_INPUT!A5:A445&lt;A27)*(ISNUMBER(SEARCH("Diesel Delivery",RAW_INPUT!D5:D445)))*1),"-")</f>
        <v/>
      </c>
      <c r="C94" s="32">
        <f t="array" ref="C94">IFERROR(SUMPRODUCT((RAW_INPUT!A5:A445&gt;=A26)*(RAW_INPUT!A5:A445&lt;A27)*(ISNUMBER(SEARCH("Unleaded",RAW_INPUT!D5:D445)))*RAW_INPUT!F5:F445)/SUMPRODUCT((RAW_INPUT!A5:A445&gt;=A26)*(RAW_INPUT!A5:A445&lt;A27)*(ISNUMBER(SEARCH("Unleaded",RAW_INPUT!D5:D445)))*1),"-")</f>
        <v/>
      </c>
      <c r="D94" s="32">
        <f t="array" ref="D94">IFERROR(SUMPRODUCT((RAW_INPUT!A5:A445&gt;=A26)*(RAW_INPUT!A5:A445&lt;A27)*(ISNUMBER(SEARCH("Premium",RAW_INPUT!D5:D445)))*RAW_INPUT!F5:F445)/SUMPRODUCT((RAW_INPUT!A5:A445&gt;=A26)*(RAW_INPUT!A5:A445&lt;A27)*(ISNUMBER(SEARCH("Premium",RAW_INPUT!D5:D445)))*1),"-")</f>
        <v/>
      </c>
      <c r="E94" s="32">
        <f t="array" ref="E94">IFERROR(SUMPRODUCT((RAW_INPUT!A5:A445&gt;=A26)*(RAW_INPUT!A5:A445&lt;A27)*(ISNUMBER(SEARCH("Bulk",RAW_INPUT!D5:D445)))*RAW_INPUT!F5:F445)/SUMPRODUCT((RAW_INPUT!A5:A445&gt;=A26)*(RAW_INPUT!A5:A445&lt;A27)*(ISNUMBER(SEARCH("Bulk",RAW_INPUT!D5:D445)))*1),"-")</f>
        <v/>
      </c>
      <c r="F94" s="32">
        <f t="array" ref="F94">IFERROR(SUMPRODUCT((RAW_INPUT!A5:A445&gt;=A26)*(RAW_INPUT!A5:A445&lt;A27)*(ISNUMBER(SEARCH("Fleet",RAW_INPUT!D5:D445)))*RAW_INPUT!F5:F445)/SUMPRODUCT((RAW_INPUT!A5:A445&gt;=A26)*(RAW_INPUT!A5:A445&lt;A27)*(ISNUMBER(SEARCH("Fleet",RAW_INPUT!D5:D445)))*1),"-")</f>
        <v/>
      </c>
      <c r="G94" s="32">
        <f>E26</f>
        <v/>
      </c>
      <c r="H94" s="33">
        <f>IFERROR((G94-G93)/G93,"-")</f>
        <v/>
      </c>
    </row>
    <row r="95">
      <c r="A95" s="47">
        <f>A27</f>
        <v/>
      </c>
      <c r="B95" s="44">
        <f t="array" ref="B95">IFERROR(SUMPRODUCT((RAW_INPUT!A5:A445&gt;=A27)*(RAW_INPUT!A5:A445&lt;A28)*(ISNUMBER(SEARCH("Diesel Delivery",RAW_INPUT!D5:D445)))*RAW_INPUT!F5:F445)/SUMPRODUCT((RAW_INPUT!A5:A445&gt;=A27)*(RAW_INPUT!A5:A445&lt;A28)*(ISNUMBER(SEARCH("Diesel Delivery",RAW_INPUT!D5:D445)))*1),"-")</f>
        <v/>
      </c>
      <c r="C95" s="44">
        <f t="array" ref="C95">IFERROR(SUMPRODUCT((RAW_INPUT!A5:A445&gt;=A27)*(RAW_INPUT!A5:A445&lt;A28)*(ISNUMBER(SEARCH("Unleaded",RAW_INPUT!D5:D445)))*RAW_INPUT!F5:F445)/SUMPRODUCT((RAW_INPUT!A5:A445&gt;=A27)*(RAW_INPUT!A5:A445&lt;A28)*(ISNUMBER(SEARCH("Unleaded",RAW_INPUT!D5:D445)))*1),"-")</f>
        <v/>
      </c>
      <c r="D95" s="44">
        <f t="array" ref="D95">IFERROR(SUMPRODUCT((RAW_INPUT!A5:A445&gt;=A27)*(RAW_INPUT!A5:A445&lt;A28)*(ISNUMBER(SEARCH("Premium",RAW_INPUT!D5:D445)))*RAW_INPUT!F5:F445)/SUMPRODUCT((RAW_INPUT!A5:A445&gt;=A27)*(RAW_INPUT!A5:A445&lt;A28)*(ISNUMBER(SEARCH("Premium",RAW_INPUT!D5:D445)))*1),"-")</f>
        <v/>
      </c>
      <c r="E95" s="44">
        <f t="array" ref="E95">IFERROR(SUMPRODUCT((RAW_INPUT!A5:A445&gt;=A27)*(RAW_INPUT!A5:A445&lt;A28)*(ISNUMBER(SEARCH("Bulk",RAW_INPUT!D5:D445)))*RAW_INPUT!F5:F445)/SUMPRODUCT((RAW_INPUT!A5:A445&gt;=A27)*(RAW_INPUT!A5:A445&lt;A28)*(ISNUMBER(SEARCH("Bulk",RAW_INPUT!D5:D445)))*1),"-")</f>
        <v/>
      </c>
      <c r="F95" s="44">
        <f t="array" ref="F95">IFERROR(SUMPRODUCT((RAW_INPUT!A5:A445&gt;=A27)*(RAW_INPUT!A5:A445&lt;A28)*(ISNUMBER(SEARCH("Fleet",RAW_INPUT!D5:D445)))*RAW_INPUT!F5:F445)/SUMPRODUCT((RAW_INPUT!A5:A445&gt;=A27)*(RAW_INPUT!A5:A445&lt;A28)*(ISNUMBER(SEARCH("Fleet",RAW_INPUT!D5:D445)))*1),"-")</f>
        <v/>
      </c>
      <c r="G95" s="44">
        <f>E27</f>
        <v/>
      </c>
      <c r="H95" s="42">
        <f>IFERROR((G95-G94)/G94,"-")</f>
        <v/>
      </c>
    </row>
    <row r="96">
      <c r="A96" s="29">
        <f>A28</f>
        <v/>
      </c>
      <c r="B96" s="32">
        <f t="array" ref="B96">IFERROR(SUMPRODUCT((RAW_INPUT!A5:A445&gt;=A28)*(RAW_INPUT!A5:A445&lt;A29)*(ISNUMBER(SEARCH("Diesel Delivery",RAW_INPUT!D5:D445)))*RAW_INPUT!F5:F445)/SUMPRODUCT((RAW_INPUT!A5:A445&gt;=A28)*(RAW_INPUT!A5:A445&lt;A29)*(ISNUMBER(SEARCH("Diesel Delivery",RAW_INPUT!D5:D445)))*1),"-")</f>
        <v/>
      </c>
      <c r="C96" s="32">
        <f t="array" ref="C96">IFERROR(SUMPRODUCT((RAW_INPUT!A5:A445&gt;=A28)*(RAW_INPUT!A5:A445&lt;A29)*(ISNUMBER(SEARCH("Unleaded",RAW_INPUT!D5:D445)))*RAW_INPUT!F5:F445)/SUMPRODUCT((RAW_INPUT!A5:A445&gt;=A28)*(RAW_INPUT!A5:A445&lt;A29)*(ISNUMBER(SEARCH("Unleaded",RAW_INPUT!D5:D445)))*1),"-")</f>
        <v/>
      </c>
      <c r="D96" s="32">
        <f t="array" ref="D96">IFERROR(SUMPRODUCT((RAW_INPUT!A5:A445&gt;=A28)*(RAW_INPUT!A5:A445&lt;A29)*(ISNUMBER(SEARCH("Premium",RAW_INPUT!D5:D445)))*RAW_INPUT!F5:F445)/SUMPRODUCT((RAW_INPUT!A5:A445&gt;=A28)*(RAW_INPUT!A5:A445&lt;A29)*(ISNUMBER(SEARCH("Premium",RAW_INPUT!D5:D445)))*1),"-")</f>
        <v/>
      </c>
      <c r="E96" s="32">
        <f t="array" ref="E96">IFERROR(SUMPRODUCT((RAW_INPUT!A5:A445&gt;=A28)*(RAW_INPUT!A5:A445&lt;A29)*(ISNUMBER(SEARCH("Bulk",RAW_INPUT!D5:D445)))*RAW_INPUT!F5:F445)/SUMPRODUCT((RAW_INPUT!A5:A445&gt;=A28)*(RAW_INPUT!A5:A445&lt;A29)*(ISNUMBER(SEARCH("Bulk",RAW_INPUT!D5:D445)))*1),"-")</f>
        <v/>
      </c>
      <c r="F96" s="32">
        <f t="array" ref="F96">IFERROR(SUMPRODUCT((RAW_INPUT!A5:A445&gt;=A28)*(RAW_INPUT!A5:A445&lt;A29)*(ISNUMBER(SEARCH("Fleet",RAW_INPUT!D5:D445)))*RAW_INPUT!F5:F445)/SUMPRODUCT((RAW_INPUT!A5:A445&gt;=A28)*(RAW_INPUT!A5:A445&lt;A29)*(ISNUMBER(SEARCH("Fleet",RAW_INPUT!D5:D445)))*1),"-")</f>
        <v/>
      </c>
      <c r="G96" s="32">
        <f>E28</f>
        <v/>
      </c>
      <c r="H96" s="33">
        <f>IFERROR((G96-G95)/G95,"-")</f>
        <v/>
      </c>
    </row>
    <row r="97">
      <c r="A97" s="47">
        <f>A29</f>
        <v/>
      </c>
      <c r="B97" s="44">
        <f t="array" ref="B97">IFERROR(SUMPRODUCT((RAW_INPUT!A5:A445&gt;=A29)*(RAW_INPUT!A5:A445&lt;A30)*(ISNUMBER(SEARCH("Diesel Delivery",RAW_INPUT!D5:D445)))*RAW_INPUT!F5:F445)/SUMPRODUCT((RAW_INPUT!A5:A445&gt;=A29)*(RAW_INPUT!A5:A445&lt;A30)*(ISNUMBER(SEARCH("Diesel Delivery",RAW_INPUT!D5:D445)))*1),"-")</f>
        <v/>
      </c>
      <c r="C97" s="44">
        <f t="array" ref="C97">IFERROR(SUMPRODUCT((RAW_INPUT!A5:A445&gt;=A29)*(RAW_INPUT!A5:A445&lt;A30)*(ISNUMBER(SEARCH("Unleaded",RAW_INPUT!D5:D445)))*RAW_INPUT!F5:F445)/SUMPRODUCT((RAW_INPUT!A5:A445&gt;=A29)*(RAW_INPUT!A5:A445&lt;A30)*(ISNUMBER(SEARCH("Unleaded",RAW_INPUT!D5:D445)))*1),"-")</f>
        <v/>
      </c>
      <c r="D97" s="44">
        <f t="array" ref="D97">IFERROR(SUMPRODUCT((RAW_INPUT!A5:A445&gt;=A29)*(RAW_INPUT!A5:A445&lt;A30)*(ISNUMBER(SEARCH("Premium",RAW_INPUT!D5:D445)))*RAW_INPUT!F5:F445)/SUMPRODUCT((RAW_INPUT!A5:A445&gt;=A29)*(RAW_INPUT!A5:A445&lt;A30)*(ISNUMBER(SEARCH("Premium",RAW_INPUT!D5:D445)))*1),"-")</f>
        <v/>
      </c>
      <c r="E97" s="44">
        <f t="array" ref="E97">IFERROR(SUMPRODUCT((RAW_INPUT!A5:A445&gt;=A29)*(RAW_INPUT!A5:A445&lt;A30)*(ISNUMBER(SEARCH("Bulk",RAW_INPUT!D5:D445)))*RAW_INPUT!F5:F445)/SUMPRODUCT((RAW_INPUT!A5:A445&gt;=A29)*(RAW_INPUT!A5:A445&lt;A30)*(ISNUMBER(SEARCH("Bulk",RAW_INPUT!D5:D445)))*1),"-")</f>
        <v/>
      </c>
      <c r="F97" s="44">
        <f t="array" ref="F97">IFERROR(SUMPRODUCT((RAW_INPUT!A5:A445&gt;=A29)*(RAW_INPUT!A5:A445&lt;A30)*(ISNUMBER(SEARCH("Fleet",RAW_INPUT!D5:D445)))*RAW_INPUT!F5:F445)/SUMPRODUCT((RAW_INPUT!A5:A445&gt;=A29)*(RAW_INPUT!A5:A445&lt;A30)*(ISNUMBER(SEARCH("Fleet",RAW_INPUT!D5:D445)))*1),"-")</f>
        <v/>
      </c>
      <c r="G97" s="44">
        <f>E29</f>
        <v/>
      </c>
      <c r="H97" s="42">
        <f>IFERROR((G97-G96)/G96,"-")</f>
        <v/>
      </c>
    </row>
    <row r="98">
      <c r="A98" s="29">
        <f>A30</f>
        <v/>
      </c>
      <c r="B98" s="32">
        <f t="array" ref="B98">IFERROR(SUMPRODUCT((RAW_INPUT!A5:A445&gt;=A30)*(RAW_INPUT!A5:A445&lt;A31)*(ISNUMBER(SEARCH("Diesel Delivery",RAW_INPUT!D5:D445)))*RAW_INPUT!F5:F445)/SUMPRODUCT((RAW_INPUT!A5:A445&gt;=A30)*(RAW_INPUT!A5:A445&lt;A31)*(ISNUMBER(SEARCH("Diesel Delivery",RAW_INPUT!D5:D445)))*1),"-")</f>
        <v/>
      </c>
      <c r="C98" s="32">
        <f t="array" ref="C98">IFERROR(SUMPRODUCT((RAW_INPUT!A5:A445&gt;=A30)*(RAW_INPUT!A5:A445&lt;A31)*(ISNUMBER(SEARCH("Unleaded",RAW_INPUT!D5:D445)))*RAW_INPUT!F5:F445)/SUMPRODUCT((RAW_INPUT!A5:A445&gt;=A30)*(RAW_INPUT!A5:A445&lt;A31)*(ISNUMBER(SEARCH("Unleaded",RAW_INPUT!D5:D445)))*1),"-")</f>
        <v/>
      </c>
      <c r="D98" s="32">
        <f t="array" ref="D98">IFERROR(SUMPRODUCT((RAW_INPUT!A5:A445&gt;=A30)*(RAW_INPUT!A5:A445&lt;A31)*(ISNUMBER(SEARCH("Premium",RAW_INPUT!D5:D445)))*RAW_INPUT!F5:F445)/SUMPRODUCT((RAW_INPUT!A5:A445&gt;=A30)*(RAW_INPUT!A5:A445&lt;A31)*(ISNUMBER(SEARCH("Premium",RAW_INPUT!D5:D445)))*1),"-")</f>
        <v/>
      </c>
      <c r="E98" s="32">
        <f t="array" ref="E98">IFERROR(SUMPRODUCT((RAW_INPUT!A5:A445&gt;=A30)*(RAW_INPUT!A5:A445&lt;A31)*(ISNUMBER(SEARCH("Bulk",RAW_INPUT!D5:D445)))*RAW_INPUT!F5:F445)/SUMPRODUCT((RAW_INPUT!A5:A445&gt;=A30)*(RAW_INPUT!A5:A445&lt;A31)*(ISNUMBER(SEARCH("Bulk",RAW_INPUT!D5:D445)))*1),"-")</f>
        <v/>
      </c>
      <c r="F98" s="32">
        <f t="array" ref="F98">IFERROR(SUMPRODUCT((RAW_INPUT!A5:A445&gt;=A30)*(RAW_INPUT!A5:A445&lt;A31)*(ISNUMBER(SEARCH("Fleet",RAW_INPUT!D5:D445)))*RAW_INPUT!F5:F445)/SUMPRODUCT((RAW_INPUT!A5:A445&gt;=A30)*(RAW_INPUT!A5:A445&lt;A31)*(ISNUMBER(SEARCH("Fleet",RAW_INPUT!D5:D445)))*1),"-")</f>
        <v/>
      </c>
      <c r="G98" s="32">
        <f>E30</f>
        <v/>
      </c>
      <c r="H98" s="33">
        <f>IFERROR((G98-G97)/G97,"-")</f>
        <v/>
      </c>
    </row>
    <row r="99">
      <c r="A99" s="47">
        <f>A31</f>
        <v/>
      </c>
      <c r="B99" s="44">
        <f t="array" ref="B99">IFERROR(SUMPRODUCT((RAW_INPUT!A5:A445&gt;=A31)*(RAW_INPUT!A5:A445&lt;A32)*(ISNUMBER(SEARCH("Diesel Delivery",RAW_INPUT!D5:D445)))*RAW_INPUT!F5:F445)/SUMPRODUCT((RAW_INPUT!A5:A445&gt;=A31)*(RAW_INPUT!A5:A445&lt;A32)*(ISNUMBER(SEARCH("Diesel Delivery",RAW_INPUT!D5:D445)))*1),"-")</f>
        <v/>
      </c>
      <c r="C99" s="44">
        <f t="array" ref="C99">IFERROR(SUMPRODUCT((RAW_INPUT!A5:A445&gt;=A31)*(RAW_INPUT!A5:A445&lt;A32)*(ISNUMBER(SEARCH("Unleaded",RAW_INPUT!D5:D445)))*RAW_INPUT!F5:F445)/SUMPRODUCT((RAW_INPUT!A5:A445&gt;=A31)*(RAW_INPUT!A5:A445&lt;A32)*(ISNUMBER(SEARCH("Unleaded",RAW_INPUT!D5:D445)))*1),"-")</f>
        <v/>
      </c>
      <c r="D99" s="44">
        <f t="array" ref="D99">IFERROR(SUMPRODUCT((RAW_INPUT!A5:A445&gt;=A31)*(RAW_INPUT!A5:A445&lt;A32)*(ISNUMBER(SEARCH("Premium",RAW_INPUT!D5:D445)))*RAW_INPUT!F5:F445)/SUMPRODUCT((RAW_INPUT!A5:A445&gt;=A31)*(RAW_INPUT!A5:A445&lt;A32)*(ISNUMBER(SEARCH("Premium",RAW_INPUT!D5:D445)))*1),"-")</f>
        <v/>
      </c>
      <c r="E99" s="44">
        <f t="array" ref="E99">IFERROR(SUMPRODUCT((RAW_INPUT!A5:A445&gt;=A31)*(RAW_INPUT!A5:A445&lt;A32)*(ISNUMBER(SEARCH("Bulk",RAW_INPUT!D5:D445)))*RAW_INPUT!F5:F445)/SUMPRODUCT((RAW_INPUT!A5:A445&gt;=A31)*(RAW_INPUT!A5:A445&lt;A32)*(ISNUMBER(SEARCH("Bulk",RAW_INPUT!D5:D445)))*1),"-")</f>
        <v/>
      </c>
      <c r="F99" s="44">
        <f t="array" ref="F99">IFERROR(SUMPRODUCT((RAW_INPUT!A5:A445&gt;=A31)*(RAW_INPUT!A5:A445&lt;A32)*(ISNUMBER(SEARCH("Fleet",RAW_INPUT!D5:D445)))*RAW_INPUT!F5:F445)/SUMPRODUCT((RAW_INPUT!A5:A445&gt;=A31)*(RAW_INPUT!A5:A445&lt;A32)*(ISNUMBER(SEARCH("Fleet",RAW_INPUT!D5:D445)))*1),"-")</f>
        <v/>
      </c>
      <c r="G99" s="44">
        <f>E31</f>
        <v/>
      </c>
      <c r="H99" s="42">
        <f>IFERROR((G99-G98)/G98,"-")</f>
        <v/>
      </c>
    </row>
    <row r="100">
      <c r="A100" s="29">
        <f>A32</f>
        <v/>
      </c>
      <c r="B100" s="32">
        <f t="array" ref="B100">IFERROR(SUMPRODUCT((RAW_INPUT!A5:A445&gt;=A32)*(RAW_INPUT!A5:A445&lt;EDATE(A32,1))*(ISNUMBER(SEARCH("Diesel Delivery",RAW_INPUT!D5:D445)))*RAW_INPUT!F5:F445)/SUMPRODUCT((RAW_INPUT!A5:A445&gt;=A32)*(RAW_INPUT!A5:A445&lt;EDATE(A32,1))*(ISNUMBER(SEARCH("Diesel Delivery",RAW_INPUT!D5:D445)))*1),"-")</f>
        <v/>
      </c>
      <c r="C100" s="32">
        <f t="array" ref="C100">IFERROR(SUMPRODUCT((RAW_INPUT!A5:A445&gt;=A32)*(RAW_INPUT!A5:A445&lt;EDATE(A32,1))*(ISNUMBER(SEARCH("Unleaded",RAW_INPUT!D5:D445)))*RAW_INPUT!F5:F445)/SUMPRODUCT((RAW_INPUT!A5:A445&gt;=A32)*(RAW_INPUT!A5:A445&lt;EDATE(A32,1))*(ISNUMBER(SEARCH("Unleaded",RAW_INPUT!D5:D445)))*1),"-")</f>
        <v/>
      </c>
      <c r="D100" s="32">
        <f t="array" ref="D100">IFERROR(SUMPRODUCT((RAW_INPUT!A5:A445&gt;=A32)*(RAW_INPUT!A5:A445&lt;EDATE(A32,1))*(ISNUMBER(SEARCH("Premium",RAW_INPUT!D5:D445)))*RAW_INPUT!F5:F445)/SUMPRODUCT((RAW_INPUT!A5:A445&gt;=A32)*(RAW_INPUT!A5:A445&lt;EDATE(A32,1))*(ISNUMBER(SEARCH("Premium",RAW_INPUT!D5:D445)))*1),"-")</f>
        <v/>
      </c>
      <c r="E100" s="32">
        <f t="array" ref="E100">IFERROR(SUMPRODUCT((RAW_INPUT!A5:A445&gt;=A32)*(RAW_INPUT!A5:A445&lt;EDATE(A32,1))*(ISNUMBER(SEARCH("Bulk",RAW_INPUT!D5:D445)))*RAW_INPUT!F5:F445)/SUMPRODUCT((RAW_INPUT!A5:A445&gt;=A32)*(RAW_INPUT!A5:A445&lt;EDATE(A32,1))*(ISNUMBER(SEARCH("Bulk",RAW_INPUT!D5:D445)))*1),"-")</f>
        <v/>
      </c>
      <c r="F100" s="32">
        <f t="array" ref="F100">IFERROR(SUMPRODUCT((RAW_INPUT!A5:A445&gt;=A32)*(RAW_INPUT!A5:A445&lt;EDATE(A32,1))*(ISNUMBER(SEARCH("Fleet",RAW_INPUT!D5:D445)))*RAW_INPUT!F5:F445)/SUMPRODUCT((RAW_INPUT!A5:A445&gt;=A32)*(RAW_INPUT!A5:A445&lt;EDATE(A32,1))*(ISNUMBER(SEARCH("Fleet",RAW_INPUT!D5:D445)))*1),"-")</f>
        <v/>
      </c>
      <c r="G100" s="32">
        <f>E32</f>
        <v/>
      </c>
      <c r="H100" s="33">
        <f>IFERROR((G100-G99)/G99,"-")</f>
        <v/>
      </c>
    </row>
    <row r="101"/>
    <row r="102">
      <c r="A102" s="34" t="inlineStr">
        <is>
          <t>Max Price (Overall)</t>
        </is>
      </c>
      <c r="B102" s="48">
        <f>MAX(G80:G100)</f>
        <v/>
      </c>
      <c r="C102" s="35" t="n"/>
      <c r="D102" s="35" t="n"/>
      <c r="E102" s="35" t="n"/>
      <c r="F102" s="35" t="n"/>
      <c r="G102" s="35" t="n"/>
      <c r="H102" s="35" t="n"/>
    </row>
    <row r="103">
      <c r="A103" s="34" t="inlineStr">
        <is>
          <t>Min Price (Overall)</t>
        </is>
      </c>
      <c r="B103" s="48">
        <f>MIN(G80:G100)</f>
        <v/>
      </c>
      <c r="C103" s="35" t="n"/>
      <c r="D103" s="35" t="n"/>
      <c r="E103" s="35" t="n"/>
      <c r="F103" s="35" t="n"/>
      <c r="G103" s="35" t="n"/>
      <c r="H103" s="35" t="n"/>
    </row>
    <row r="104">
      <c r="A104" s="34" t="inlineStr">
        <is>
          <t>Price Range</t>
        </is>
      </c>
      <c r="B104" s="48">
        <f>B102-B103</f>
        <v/>
      </c>
      <c r="C104" s="35" t="n"/>
      <c r="D104" s="35" t="n"/>
      <c r="E104" s="35" t="n"/>
      <c r="F104" s="35" t="n"/>
      <c r="G104" s="35" t="n"/>
      <c r="H104" s="35" t="n"/>
    </row>
    <row r="105"/>
    <row r="106"/>
    <row r="107"/>
    <row r="108" ht="24.95" customHeight="1" s="89">
      <c r="A108" s="82" t="inlineStr">
        <is>
          <t>SEASONAL PATTERNS</t>
        </is>
      </c>
    </row>
    <row r="109">
      <c r="A109" s="27" t="inlineStr">
        <is>
          <t>DAY OF WEEK ANALYSIS</t>
        </is>
      </c>
      <c r="B109" s="26" t="n"/>
      <c r="C109" s="26" t="n"/>
      <c r="D109" s="26" t="n"/>
      <c r="E109" s="26" t="n"/>
      <c r="F109" s="26" t="n"/>
    </row>
    <row r="110">
      <c r="A110" s="28" t="inlineStr">
        <is>
          <t>Day</t>
        </is>
      </c>
      <c r="B110" s="28" t="inlineStr">
        <is>
          <t>Revenue</t>
        </is>
      </c>
      <c r="C110" s="28" t="inlineStr">
        <is>
          <t># Transactions</t>
        </is>
      </c>
      <c r="D110" s="28" t="inlineStr">
        <is>
          <t>Avg Sale</t>
        </is>
      </c>
      <c r="E110" s="28" t="inlineStr">
        <is>
          <t>% of Weekly Revenue</t>
        </is>
      </c>
    </row>
    <row r="111">
      <c r="A111" t="inlineStr">
        <is>
          <t>Monday</t>
        </is>
      </c>
      <c r="B111" s="30">
        <f t="array" ref="B111">SUMPRODUCT((WEEKDAY(RAW_INPUT!A5:A445,1)=2)*RAW_INPUT!G5:G445)</f>
        <v/>
      </c>
      <c r="C111" s="31">
        <f t="array" ref="C111">SUMPRODUCT((WEEKDAY(RAW_INPUT!A5:A445,1)=2)*1)</f>
        <v/>
      </c>
      <c r="D111" s="30">
        <f>IFERROR(B111/C111,0)</f>
        <v/>
      </c>
      <c r="E111" s="33">
        <f>B111/SUM(B111:B115)</f>
        <v/>
      </c>
    </row>
    <row r="112">
      <c r="A112" s="81" t="inlineStr">
        <is>
          <t>Tuesday</t>
        </is>
      </c>
      <c r="B112" s="41">
        <f t="array" ref="B112">SUMPRODUCT((WEEKDAY(RAW_INPUT!A5:A445,1)=3)*RAW_INPUT!G5:G445)</f>
        <v/>
      </c>
      <c r="C112" s="43">
        <f t="array" ref="C112">SUMPRODUCT((WEEKDAY(RAW_INPUT!A5:A445,1)=3)*1)</f>
        <v/>
      </c>
      <c r="D112" s="41">
        <f>IFERROR(B112/C112,0)</f>
        <v/>
      </c>
      <c r="E112" s="42">
        <f>B112/SUM(B111:B115)</f>
        <v/>
      </c>
    </row>
    <row r="113">
      <c r="A113" t="inlineStr">
        <is>
          <t>Wednesday</t>
        </is>
      </c>
      <c r="B113" s="30">
        <f t="array" ref="B113">SUMPRODUCT((WEEKDAY(RAW_INPUT!A5:A445,1)=4)*RAW_INPUT!G5:G445)</f>
        <v/>
      </c>
      <c r="C113" s="31">
        <f t="array" ref="C113">SUMPRODUCT((WEEKDAY(RAW_INPUT!A5:A445,1)=4)*1)</f>
        <v/>
      </c>
      <c r="D113" s="30">
        <f>IFERROR(B113/C113,0)</f>
        <v/>
      </c>
      <c r="E113" s="33">
        <f>B113/SUM(B111:B115)</f>
        <v/>
      </c>
    </row>
    <row r="114">
      <c r="A114" s="81" t="inlineStr">
        <is>
          <t>Thursday</t>
        </is>
      </c>
      <c r="B114" s="41">
        <f t="array" ref="B114">SUMPRODUCT((WEEKDAY(RAW_INPUT!A5:A445,1)=5)*RAW_INPUT!G5:G445)</f>
        <v/>
      </c>
      <c r="C114" s="43">
        <f t="array" ref="C114">SUMPRODUCT((WEEKDAY(RAW_INPUT!A5:A445,1)=5)*1)</f>
        <v/>
      </c>
      <c r="D114" s="41">
        <f>IFERROR(B114/C114,0)</f>
        <v/>
      </c>
      <c r="E114" s="42">
        <f>B114/SUM(B111:B115)</f>
        <v/>
      </c>
    </row>
    <row r="115">
      <c r="A115" t="inlineStr">
        <is>
          <t>Friday</t>
        </is>
      </c>
      <c r="B115" s="30">
        <f t="array" ref="B115">SUMPRODUCT((WEEKDAY(RAW_INPUT!A5:A445,1)=6)*RAW_INPUT!G5:G445)</f>
        <v/>
      </c>
      <c r="C115" s="31">
        <f t="array" ref="C115">SUMPRODUCT((WEEKDAY(RAW_INPUT!A5:A445,1)=6)*1)</f>
        <v/>
      </c>
      <c r="D115" s="30">
        <f>IFERROR(B115/C115,0)</f>
        <v/>
      </c>
      <c r="E115" s="33">
        <f>B115/SUM(B111:B115)</f>
        <v/>
      </c>
    </row>
    <row r="116"/>
    <row r="117">
      <c r="A117" s="27" t="inlineStr">
        <is>
          <t>QUARTERLY PERFORMANCE</t>
        </is>
      </c>
      <c r="B117" s="26" t="n"/>
      <c r="C117" s="26" t="n"/>
      <c r="D117" s="26" t="n"/>
      <c r="E117" s="26" t="n"/>
      <c r="F117" s="26" t="n"/>
    </row>
    <row r="118">
      <c r="A118" s="28" t="inlineStr">
        <is>
          <t>Quarter</t>
        </is>
      </c>
      <c r="B118" s="28" t="inlineStr">
        <is>
          <t>Revenue</t>
        </is>
      </c>
      <c r="C118" s="28" t="inlineStr">
        <is>
          <t># Transactions</t>
        </is>
      </c>
      <c r="D118" s="28" t="inlineStr">
        <is>
          <t>Fuel Gallons</t>
        </is>
      </c>
      <c r="E118" s="28" t="inlineStr">
        <is>
          <t>Avg Price/Gal</t>
        </is>
      </c>
      <c r="F118" s="28" t="inlineStr">
        <is>
          <t>Avg Sale</t>
        </is>
      </c>
    </row>
    <row r="119">
      <c r="A119" t="inlineStr">
        <is>
          <t>Q4 2024</t>
        </is>
      </c>
      <c r="B119" s="30">
        <f t="array" ref="B119">SUMPRODUCT((RAW_INPUT!A5:A445&gt;=DATE(2024,10,1))*(RAW_INPUT!A5:A445&lt;DATE(2025,1,1))*RAW_INPUT!G5:G445)</f>
        <v/>
      </c>
      <c r="C119" s="31">
        <f t="array" ref="C119">SUMPRODUCT((RAW_INPUT!A5:A445&gt;=DATE(2024,10,1))*(RAW_INPUT!A5:A445&lt;DATE(2025,1,1))*1)</f>
        <v/>
      </c>
      <c r="D119" s="31">
        <f t="array" ref="D119">SUMPRODUCT((RAW_INPUT!A5:A445&gt;=DATE(2024,10,1))*(RAW_INPUT!A5:A445&lt;DATE(2025,1,1))*(RAW_INPUT!F5:F445&lt;20)*RAW_INPUT!E5:E445)</f>
        <v/>
      </c>
      <c r="E119" s="32">
        <f t="array" ref="E119">IFERROR(SUMPRODUCT((RAW_INPUT!A5:A445&gt;=DATE(2024,10,1))*(RAW_INPUT!A5:A445&lt;DATE(2025,1,1))*(RAW_INPUT!F5:F445&lt;20)*RAW_INPUT!G5:G445)/D119,0)</f>
        <v/>
      </c>
      <c r="F119" s="30">
        <f>IFERROR(B119/C119,0)</f>
        <v/>
      </c>
    </row>
    <row r="120">
      <c r="A120" s="81" t="inlineStr">
        <is>
          <t>Q1 2025</t>
        </is>
      </c>
      <c r="B120" s="41">
        <f t="array" ref="B120">SUMPRODUCT((RAW_INPUT!A5:A445&gt;=DATE(2025,1,1))*(RAW_INPUT!A5:A445&lt;DATE(2025,4,1))*RAW_INPUT!G5:G445)</f>
        <v/>
      </c>
      <c r="C120" s="43">
        <f t="array" ref="C120">SUMPRODUCT((RAW_INPUT!A5:A445&gt;=DATE(2025,1,1))*(RAW_INPUT!A5:A445&lt;DATE(2025,4,1))*1)</f>
        <v/>
      </c>
      <c r="D120" s="43">
        <f t="array" ref="D120">SUMPRODUCT((RAW_INPUT!A5:A445&gt;=DATE(2025,1,1))*(RAW_INPUT!A5:A445&lt;DATE(2025,4,1))*(RAW_INPUT!F5:F445&lt;20)*RAW_INPUT!E5:E445)</f>
        <v/>
      </c>
      <c r="E120" s="44">
        <f t="array" ref="E120">IFERROR(SUMPRODUCT((RAW_INPUT!A5:A445&gt;=DATE(2025,1,1))*(RAW_INPUT!A5:A445&lt;DATE(2025,4,1))*(RAW_INPUT!F5:F445&lt;20)*RAW_INPUT!G5:G445)/D120,0)</f>
        <v/>
      </c>
      <c r="F120" s="41">
        <f>IFERROR(B120/C120,0)</f>
        <v/>
      </c>
    </row>
    <row r="121">
      <c r="A121" t="inlineStr">
        <is>
          <t>Q2 2025</t>
        </is>
      </c>
      <c r="B121" s="30">
        <f t="array" ref="B121">SUMPRODUCT((RAW_INPUT!A5:A445&gt;=DATE(2025,4,1))*(RAW_INPUT!A5:A445&lt;DATE(2025,7,1))*RAW_INPUT!G5:G445)</f>
        <v/>
      </c>
      <c r="C121" s="31">
        <f t="array" ref="C121">SUMPRODUCT((RAW_INPUT!A5:A445&gt;=DATE(2025,4,1))*(RAW_INPUT!A5:A445&lt;DATE(2025,7,1))*1)</f>
        <v/>
      </c>
      <c r="D121" s="31">
        <f t="array" ref="D121">SUMPRODUCT((RAW_INPUT!A5:A445&gt;=DATE(2025,4,1))*(RAW_INPUT!A5:A445&lt;DATE(2025,7,1))*(RAW_INPUT!F5:F445&lt;20)*RAW_INPUT!E5:E445)</f>
        <v/>
      </c>
      <c r="E121" s="32">
        <f t="array" ref="E121">IFERROR(SUMPRODUCT((RAW_INPUT!A5:A445&gt;=DATE(2025,4,1))*(RAW_INPUT!A5:A445&lt;DATE(2025,7,1))*(RAW_INPUT!F5:F445&lt;20)*RAW_INPUT!G5:G445)/D121,0)</f>
        <v/>
      </c>
      <c r="F121" s="30">
        <f>IFERROR(B121/C121,0)</f>
        <v/>
      </c>
    </row>
    <row r="122">
      <c r="A122" s="81" t="inlineStr">
        <is>
          <t>Q3 2025</t>
        </is>
      </c>
      <c r="B122" s="41">
        <f t="array" ref="B122">SUMPRODUCT((RAW_INPUT!A5:A445&gt;=DATE(2025,7,1))*(RAW_INPUT!A5:A445&lt;DATE(2025,10,1))*RAW_INPUT!G5:G445)</f>
        <v/>
      </c>
      <c r="C122" s="43">
        <f t="array" ref="C122">SUMPRODUCT((RAW_INPUT!A5:A445&gt;=DATE(2025,7,1))*(RAW_INPUT!A5:A445&lt;DATE(2025,10,1))*1)</f>
        <v/>
      </c>
      <c r="D122" s="43">
        <f t="array" ref="D122">SUMPRODUCT((RAW_INPUT!A5:A445&gt;=DATE(2025,7,1))*(RAW_INPUT!A5:A445&lt;DATE(2025,10,1))*(RAW_INPUT!F5:F445&lt;20)*RAW_INPUT!E5:E445)</f>
        <v/>
      </c>
      <c r="E122" s="44">
        <f t="array" ref="E122">IFERROR(SUMPRODUCT((RAW_INPUT!A5:A445&gt;=DATE(2025,7,1))*(RAW_INPUT!A5:A445&lt;DATE(2025,10,1))*(RAW_INPUT!F5:F445&lt;20)*RAW_INPUT!G5:G445)/D122,0)</f>
        <v/>
      </c>
      <c r="F122" s="41">
        <f>IFERROR(B122/C122,0)</f>
        <v/>
      </c>
    </row>
    <row r="123">
      <c r="A123" t="inlineStr">
        <is>
          <t>Q4 2025</t>
        </is>
      </c>
      <c r="B123" s="30">
        <f t="array" ref="B123">SUMPRODUCT((RAW_INPUT!A5:A445&gt;=DATE(2025,10,1))*(RAW_INPUT!A5:A445&lt;DATE(2026,1,1))*RAW_INPUT!G5:G445)</f>
        <v/>
      </c>
      <c r="C123" s="31">
        <f t="array" ref="C123">SUMPRODUCT((RAW_INPUT!A5:A445&gt;=DATE(2025,10,1))*(RAW_INPUT!A5:A445&lt;DATE(2026,1,1))*1)</f>
        <v/>
      </c>
      <c r="D123" s="31">
        <f t="array" ref="D123">SUMPRODUCT((RAW_INPUT!A5:A445&gt;=DATE(2025,10,1))*(RAW_INPUT!A5:A445&lt;DATE(2026,1,1))*(RAW_INPUT!F5:F445&lt;20)*RAW_INPUT!E5:E445)</f>
        <v/>
      </c>
      <c r="E123" s="32">
        <f t="array" ref="E123">IFERROR(SUMPRODUCT((RAW_INPUT!A5:A445&gt;=DATE(2025,10,1))*(RAW_INPUT!A5:A445&lt;DATE(2026,1,1))*(RAW_INPUT!F5:F445&lt;20)*RAW_INPUT!G5:G445)/D123,0)</f>
        <v/>
      </c>
      <c r="F123" s="30">
        <f>IFERROR(B123/C123,0)</f>
        <v/>
      </c>
    </row>
    <row r="124">
      <c r="A124" s="81" t="inlineStr">
        <is>
          <t>Q1 2026</t>
        </is>
      </c>
      <c r="B124" s="41">
        <f t="array" ref="B124">SUMPRODUCT((RAW_INPUT!A5:A445&gt;=DATE(2026,1,1))*(RAW_INPUT!A5:A445&lt;DATE(2026,4,1))*RAW_INPUT!G5:G445)</f>
        <v/>
      </c>
      <c r="C124" s="43">
        <f t="array" ref="C124">SUMPRODUCT((RAW_INPUT!A5:A445&gt;=DATE(2026,1,1))*(RAW_INPUT!A5:A445&lt;DATE(2026,4,1))*1)</f>
        <v/>
      </c>
      <c r="D124" s="43">
        <f t="array" ref="D124">SUMPRODUCT((RAW_INPUT!A5:A445&gt;=DATE(2026,1,1))*(RAW_INPUT!A5:A445&lt;DATE(2026,4,1))*(RAW_INPUT!F5:F445&lt;20)*RAW_INPUT!E5:E445)</f>
        <v/>
      </c>
      <c r="E124" s="44">
        <f t="array" ref="E124">IFERROR(SUMPRODUCT((RAW_INPUT!A5:A445&gt;=DATE(2026,1,1))*(RAW_INPUT!A5:A445&lt;DATE(2026,4,1))*(RAW_INPUT!F5:F445&lt;20)*RAW_INPUT!G5:G445)/D124,0)</f>
        <v/>
      </c>
      <c r="F124" s="41">
        <f>IFERROR(B124/C124,0)</f>
        <v/>
      </c>
    </row>
    <row r="125">
      <c r="A125" t="inlineStr">
        <is>
          <t>Q2 2026</t>
        </is>
      </c>
      <c r="B125" s="30">
        <f t="array" ref="B125">SUMPRODUCT((RAW_INPUT!A5:A445&gt;=DATE(2026,4,1))*(RAW_INPUT!A5:A445&lt;DATE(2026,7,1))*RAW_INPUT!G5:G445)</f>
        <v/>
      </c>
      <c r="C125" s="31">
        <f t="array" ref="C125">SUMPRODUCT((RAW_INPUT!A5:A445&gt;=DATE(2026,4,1))*(RAW_INPUT!A5:A445&lt;DATE(2026,7,1))*1)</f>
        <v/>
      </c>
      <c r="D125" s="31">
        <f t="array" ref="D125">SUMPRODUCT((RAW_INPUT!A5:A445&gt;=DATE(2026,4,1))*(RAW_INPUT!A5:A445&lt;DATE(2026,7,1))*(RAW_INPUT!F5:F445&lt;20)*RAW_INPUT!E5:E445)</f>
        <v/>
      </c>
      <c r="E125" s="32">
        <f t="array" ref="E125">IFERROR(SUMPRODUCT((RAW_INPUT!A5:A445&gt;=DATE(2026,4,1))*(RAW_INPUT!A5:A445&lt;DATE(2026,7,1))*(RAW_INPUT!F5:F445&lt;20)*RAW_INPUT!G5:G445)/D125,0)</f>
        <v/>
      </c>
      <c r="F125" s="30">
        <f>IFERROR(B125/C125,0)</f>
        <v/>
      </c>
    </row>
    <row r="126">
      <c r="A126" s="81" t="inlineStr">
        <is>
          <t>Q3 2026</t>
        </is>
      </c>
      <c r="B126" s="41">
        <f t="array" ref="B126">SUMPRODUCT((RAW_INPUT!A5:A445&gt;=DATE(2026,7,1))*(RAW_INPUT!A5:A445&lt;DATE(2026,10,1))*RAW_INPUT!G5:G445)</f>
        <v/>
      </c>
      <c r="C126" s="43">
        <f t="array" ref="C126">SUMPRODUCT((RAW_INPUT!A5:A445&gt;=DATE(2026,7,1))*(RAW_INPUT!A5:A445&lt;DATE(2026,10,1))*1)</f>
        <v/>
      </c>
      <c r="D126" s="43">
        <f t="array" ref="D126">SUMPRODUCT((RAW_INPUT!A5:A445&gt;=DATE(2026,7,1))*(RAW_INPUT!A5:A445&lt;DATE(2026,10,1))*(RAW_INPUT!F5:F445&lt;20)*RAW_INPUT!E5:E445)</f>
        <v/>
      </c>
      <c r="E126" s="44">
        <f t="array" ref="E126">IFERROR(SUMPRODUCT((RAW_INPUT!A5:A445&gt;=DATE(2026,7,1))*(RAW_INPUT!A5:A445&lt;DATE(2026,10,1))*(RAW_INPUT!F5:F445&lt;20)*RAW_INPUT!G5:G445)/D126,0)</f>
        <v/>
      </c>
      <c r="F126" s="41">
        <f>IFERROR(B126/C126,0)</f>
        <v/>
      </c>
    </row>
    <row r="127"/>
    <row r="128"/>
    <row r="129"/>
    <row r="130" ht="24.95" customHeight="1" s="89">
      <c r="A130" s="82" t="inlineStr">
        <is>
          <t>CUSTOMER GROWTH TRACKING</t>
        </is>
      </c>
    </row>
    <row r="131">
      <c r="A131" s="27" t="inlineStr">
        <is>
          <t>QUARTERLY REVENUE BY CUSTOMER</t>
        </is>
      </c>
      <c r="B131" s="26" t="n"/>
      <c r="C131" s="26" t="n"/>
      <c r="D131" s="26" t="n"/>
      <c r="E131" s="26" t="n"/>
      <c r="F131" s="26" t="n"/>
      <c r="G131" s="26" t="n"/>
      <c r="H131" s="26" t="n"/>
      <c r="I131" s="26" t="n"/>
    </row>
    <row r="132">
      <c r="A132" s="28" t="inlineStr">
        <is>
          <t>Customer</t>
        </is>
      </c>
      <c r="B132" s="28" t="inlineStr">
        <is>
          <t>Q4 2024</t>
        </is>
      </c>
      <c r="C132" s="28" t="inlineStr">
        <is>
          <t>Q1 2025</t>
        </is>
      </c>
      <c r="D132" s="28" t="inlineStr">
        <is>
          <t>Q2 2025</t>
        </is>
      </c>
      <c r="E132" s="28" t="inlineStr">
        <is>
          <t>Q3 2025</t>
        </is>
      </c>
      <c r="F132" s="28" t="inlineStr">
        <is>
          <t>Q4 2025</t>
        </is>
      </c>
      <c r="G132" s="28" t="inlineStr">
        <is>
          <t>Q1 2026</t>
        </is>
      </c>
      <c r="H132" s="28" t="inlineStr">
        <is>
          <t>Q2 2026</t>
        </is>
      </c>
      <c r="I132" s="28" t="inlineStr">
        <is>
          <t>Q3 2026</t>
        </is>
      </c>
    </row>
    <row r="133">
      <c r="A133" t="inlineStr">
        <is>
          <t>Acme Petroleum</t>
        </is>
      </c>
      <c r="B133" s="30">
        <f t="array" ref="B133">SUMPRODUCT((RAW_INPUT!B5:B445=A133)*(RAW_INPUT!A5:A445&gt;=DATE(2024,10,1))*(RAW_INPUT!A5:A445&lt;DATE(2025,1,1))*RAW_INPUT!G5:G445)</f>
        <v/>
      </c>
      <c r="C133" s="30">
        <f t="array" ref="C133">SUMPRODUCT((RAW_INPUT!B5:B445=A133)*(RAW_INPUT!A5:A445&gt;=DATE(2025,1,1))*(RAW_INPUT!A5:A445&lt;DATE(2025,4,1))*RAW_INPUT!G5:G445)</f>
        <v/>
      </c>
      <c r="D133" s="30">
        <f t="array" ref="D133">SUMPRODUCT((RAW_INPUT!B5:B445=A133)*(RAW_INPUT!A5:A445&gt;=DATE(2025,4,1))*(RAW_INPUT!A5:A445&lt;DATE(2025,7,1))*RAW_INPUT!G5:G445)</f>
        <v/>
      </c>
      <c r="E133" s="30">
        <f t="array" ref="E133">SUMPRODUCT((RAW_INPUT!B5:B445=A133)*(RAW_INPUT!A5:A445&gt;=DATE(2025,7,1))*(RAW_INPUT!A5:A445&lt;DATE(2025,10,1))*RAW_INPUT!G5:G445)</f>
        <v/>
      </c>
      <c r="F133" s="30">
        <f t="array" ref="F133">SUMPRODUCT((RAW_INPUT!B5:B445=A133)*(RAW_INPUT!A5:A445&gt;=DATE(2025,10,1))*(RAW_INPUT!A5:A445&lt;DATE(2026,1,1))*RAW_INPUT!G5:G445)</f>
        <v/>
      </c>
      <c r="G133" s="30">
        <f t="array" ref="G133">SUMPRODUCT((RAW_INPUT!B5:B445=A133)*(RAW_INPUT!A5:A445&gt;=DATE(2026,1,1))*(RAW_INPUT!A5:A445&lt;DATE(2026,4,1))*RAW_INPUT!G5:G445)</f>
        <v/>
      </c>
      <c r="H133" s="30">
        <f t="array" ref="H133">SUMPRODUCT((RAW_INPUT!B5:B445=A133)*(RAW_INPUT!A5:A445&gt;=DATE(2026,4,1))*(RAW_INPUT!A5:A445&lt;DATE(2026,7,1))*RAW_INPUT!G5:G445)</f>
        <v/>
      </c>
      <c r="I133" s="30">
        <f t="array" ref="I133">SUMPRODUCT((RAW_INPUT!B5:B445=A133)*(RAW_INPUT!A5:A445&gt;=DATE(2026,7,1))*(RAW_INPUT!A5:A445&lt;DATE(2026,10,1))*RAW_INPUT!G5:G445)</f>
        <v/>
      </c>
    </row>
    <row r="134">
      <c r="A134" s="81" t="inlineStr">
        <is>
          <t>Arkansas Valley Oil</t>
        </is>
      </c>
      <c r="B134" s="41">
        <f t="array" ref="B134">SUMPRODUCT((RAW_INPUT!B5:B445=A134)*(RAW_INPUT!A5:A445&gt;=DATE(2024,10,1))*(RAW_INPUT!A5:A445&lt;DATE(2025,1,1))*RAW_INPUT!G5:G445)</f>
        <v/>
      </c>
      <c r="C134" s="41">
        <f t="array" ref="C134">SUMPRODUCT((RAW_INPUT!B5:B445=A134)*(RAW_INPUT!A5:A445&gt;=DATE(2025,1,1))*(RAW_INPUT!A5:A445&lt;DATE(2025,4,1))*RAW_INPUT!G5:G445)</f>
        <v/>
      </c>
      <c r="D134" s="41">
        <f t="array" ref="D134">SUMPRODUCT((RAW_INPUT!B5:B445=A134)*(RAW_INPUT!A5:A445&gt;=DATE(2025,4,1))*(RAW_INPUT!A5:A445&lt;DATE(2025,7,1))*RAW_INPUT!G5:G445)</f>
        <v/>
      </c>
      <c r="E134" s="41">
        <f t="array" ref="E134">SUMPRODUCT((RAW_INPUT!B5:B445=A134)*(RAW_INPUT!A5:A445&gt;=DATE(2025,7,1))*(RAW_INPUT!A5:A445&lt;DATE(2025,10,1))*RAW_INPUT!G5:G445)</f>
        <v/>
      </c>
      <c r="F134" s="41">
        <f t="array" ref="F134">SUMPRODUCT((RAW_INPUT!B5:B445=A134)*(RAW_INPUT!A5:A445&gt;=DATE(2025,10,1))*(RAW_INPUT!A5:A445&lt;DATE(2026,1,1))*RAW_INPUT!G5:G445)</f>
        <v/>
      </c>
      <c r="G134" s="41">
        <f t="array" ref="G134">SUMPRODUCT((RAW_INPUT!B5:B445=A134)*(RAW_INPUT!A5:A445&gt;=DATE(2026,1,1))*(RAW_INPUT!A5:A445&lt;DATE(2026,4,1))*RAW_INPUT!G5:G445)</f>
        <v/>
      </c>
      <c r="H134" s="41">
        <f t="array" ref="H134">SUMPRODUCT((RAW_INPUT!B5:B445=A134)*(RAW_INPUT!A5:A445&gt;=DATE(2026,4,1))*(RAW_INPUT!A5:A445&lt;DATE(2026,7,1))*RAW_INPUT!G5:G445)</f>
        <v/>
      </c>
      <c r="I134" s="41">
        <f t="array" ref="I134">SUMPRODUCT((RAW_INPUT!B5:B445=A134)*(RAW_INPUT!A5:A445&gt;=DATE(2026,7,1))*(RAW_INPUT!A5:A445&lt;DATE(2026,10,1))*RAW_INPUT!G5:G445)</f>
        <v/>
      </c>
    </row>
    <row r="135">
      <c r="A135" t="inlineStr">
        <is>
          <t>Centennial Hauling</t>
        </is>
      </c>
      <c r="B135" s="30">
        <f t="array" ref="B135">SUMPRODUCT((RAW_INPUT!B5:B445=A135)*(RAW_INPUT!A5:A445&gt;=DATE(2024,10,1))*(RAW_INPUT!A5:A445&lt;DATE(2025,1,1))*RAW_INPUT!G5:G445)</f>
        <v/>
      </c>
      <c r="C135" s="30">
        <f t="array" ref="C135">SUMPRODUCT((RAW_INPUT!B5:B445=A135)*(RAW_INPUT!A5:A445&gt;=DATE(2025,1,1))*(RAW_INPUT!A5:A445&lt;DATE(2025,4,1))*RAW_INPUT!G5:G445)</f>
        <v/>
      </c>
      <c r="D135" s="30">
        <f t="array" ref="D135">SUMPRODUCT((RAW_INPUT!B5:B445=A135)*(RAW_INPUT!A5:A445&gt;=DATE(2025,4,1))*(RAW_INPUT!A5:A445&lt;DATE(2025,7,1))*RAW_INPUT!G5:G445)</f>
        <v/>
      </c>
      <c r="E135" s="30">
        <f t="array" ref="E135">SUMPRODUCT((RAW_INPUT!B5:B445=A135)*(RAW_INPUT!A5:A445&gt;=DATE(2025,7,1))*(RAW_INPUT!A5:A445&lt;DATE(2025,10,1))*RAW_INPUT!G5:G445)</f>
        <v/>
      </c>
      <c r="F135" s="30">
        <f t="array" ref="F135">SUMPRODUCT((RAW_INPUT!B5:B445=A135)*(RAW_INPUT!A5:A445&gt;=DATE(2025,10,1))*(RAW_INPUT!A5:A445&lt;DATE(2026,1,1))*RAW_INPUT!G5:G445)</f>
        <v/>
      </c>
      <c r="G135" s="30">
        <f t="array" ref="G135">SUMPRODUCT((RAW_INPUT!B5:B445=A135)*(RAW_INPUT!A5:A445&gt;=DATE(2026,1,1))*(RAW_INPUT!A5:A445&lt;DATE(2026,4,1))*RAW_INPUT!G5:G445)</f>
        <v/>
      </c>
      <c r="H135" s="30">
        <f t="array" ref="H135">SUMPRODUCT((RAW_INPUT!B5:B445=A135)*(RAW_INPUT!A5:A445&gt;=DATE(2026,4,1))*(RAW_INPUT!A5:A445&lt;DATE(2026,7,1))*RAW_INPUT!G5:G445)</f>
        <v/>
      </c>
      <c r="I135" s="30">
        <f t="array" ref="I135">SUMPRODUCT((RAW_INPUT!B5:B445=A135)*(RAW_INPUT!A5:A445&gt;=DATE(2026,7,1))*(RAW_INPUT!A5:A445&lt;DATE(2026,10,1))*RAW_INPUT!G5:G445)</f>
        <v/>
      </c>
    </row>
    <row r="136">
      <c r="A136" s="81" t="inlineStr">
        <is>
          <t>Colorado Fuel Corp</t>
        </is>
      </c>
      <c r="B136" s="41">
        <f t="array" ref="B136">SUMPRODUCT((RAW_INPUT!B5:B445=A136)*(RAW_INPUT!A5:A445&gt;=DATE(2024,10,1))*(RAW_INPUT!A5:A445&lt;DATE(2025,1,1))*RAW_INPUT!G5:G445)</f>
        <v/>
      </c>
      <c r="C136" s="41">
        <f t="array" ref="C136">SUMPRODUCT((RAW_INPUT!B5:B445=A136)*(RAW_INPUT!A5:A445&gt;=DATE(2025,1,1))*(RAW_INPUT!A5:A445&lt;DATE(2025,4,1))*RAW_INPUT!G5:G445)</f>
        <v/>
      </c>
      <c r="D136" s="41">
        <f t="array" ref="D136">SUMPRODUCT((RAW_INPUT!B5:B445=A136)*(RAW_INPUT!A5:A445&gt;=DATE(2025,4,1))*(RAW_INPUT!A5:A445&lt;DATE(2025,7,1))*RAW_INPUT!G5:G445)</f>
        <v/>
      </c>
      <c r="E136" s="41">
        <f t="array" ref="E136">SUMPRODUCT((RAW_INPUT!B5:B445=A136)*(RAW_INPUT!A5:A445&gt;=DATE(2025,7,1))*(RAW_INPUT!A5:A445&lt;DATE(2025,10,1))*RAW_INPUT!G5:G445)</f>
        <v/>
      </c>
      <c r="F136" s="41">
        <f t="array" ref="F136">SUMPRODUCT((RAW_INPUT!B5:B445=A136)*(RAW_INPUT!A5:A445&gt;=DATE(2025,10,1))*(RAW_INPUT!A5:A445&lt;DATE(2026,1,1))*RAW_INPUT!G5:G445)</f>
        <v/>
      </c>
      <c r="G136" s="41">
        <f t="array" ref="G136">SUMPRODUCT((RAW_INPUT!B5:B445=A136)*(RAW_INPUT!A5:A445&gt;=DATE(2026,1,1))*(RAW_INPUT!A5:A445&lt;DATE(2026,4,1))*RAW_INPUT!G5:G445)</f>
        <v/>
      </c>
      <c r="H136" s="41">
        <f t="array" ref="H136">SUMPRODUCT((RAW_INPUT!B5:B445=A136)*(RAW_INPUT!A5:A445&gt;=DATE(2026,4,1))*(RAW_INPUT!A5:A445&lt;DATE(2026,7,1))*RAW_INPUT!G5:G445)</f>
        <v/>
      </c>
      <c r="I136" s="41">
        <f t="array" ref="I136">SUMPRODUCT((RAW_INPUT!B5:B445=A136)*(RAW_INPUT!A5:A445&gt;=DATE(2026,7,1))*(RAW_INPUT!A5:A445&lt;DATE(2026,10,1))*RAW_INPUT!G5:G445)</f>
        <v/>
      </c>
    </row>
    <row r="137">
      <c r="A137" t="inlineStr">
        <is>
          <t>Front Range Inc</t>
        </is>
      </c>
      <c r="B137" s="30">
        <f t="array" ref="B137">SUMPRODUCT((RAW_INPUT!B5:B445=A137)*(RAW_INPUT!A5:A445&gt;=DATE(2024,10,1))*(RAW_INPUT!A5:A445&lt;DATE(2025,1,1))*RAW_INPUT!G5:G445)</f>
        <v/>
      </c>
      <c r="C137" s="30">
        <f t="array" ref="C137">SUMPRODUCT((RAW_INPUT!B5:B445=A137)*(RAW_INPUT!A5:A445&gt;=DATE(2025,1,1))*(RAW_INPUT!A5:A445&lt;DATE(2025,4,1))*RAW_INPUT!G5:G445)</f>
        <v/>
      </c>
      <c r="D137" s="30">
        <f t="array" ref="D137">SUMPRODUCT((RAW_INPUT!B5:B445=A137)*(RAW_INPUT!A5:A445&gt;=DATE(2025,4,1))*(RAW_INPUT!A5:A445&lt;DATE(2025,7,1))*RAW_INPUT!G5:G445)</f>
        <v/>
      </c>
      <c r="E137" s="30">
        <f t="array" ref="E137">SUMPRODUCT((RAW_INPUT!B5:B445=A137)*(RAW_INPUT!A5:A445&gt;=DATE(2025,7,1))*(RAW_INPUT!A5:A445&lt;DATE(2025,10,1))*RAW_INPUT!G5:G445)</f>
        <v/>
      </c>
      <c r="F137" s="30">
        <f t="array" ref="F137">SUMPRODUCT((RAW_INPUT!B5:B445=A137)*(RAW_INPUT!A5:A445&gt;=DATE(2025,10,1))*(RAW_INPUT!A5:A445&lt;DATE(2026,1,1))*RAW_INPUT!G5:G445)</f>
        <v/>
      </c>
      <c r="G137" s="30">
        <f t="array" ref="G137">SUMPRODUCT((RAW_INPUT!B5:B445=A137)*(RAW_INPUT!A5:A445&gt;=DATE(2026,1,1))*(RAW_INPUT!A5:A445&lt;DATE(2026,4,1))*RAW_INPUT!G5:G445)</f>
        <v/>
      </c>
      <c r="H137" s="30">
        <f t="array" ref="H137">SUMPRODUCT((RAW_INPUT!B5:B445=A137)*(RAW_INPUT!A5:A445&gt;=DATE(2026,4,1))*(RAW_INPUT!A5:A445&lt;DATE(2026,7,1))*RAW_INPUT!G5:G445)</f>
        <v/>
      </c>
      <c r="I137" s="30">
        <f t="array" ref="I137">SUMPRODUCT((RAW_INPUT!B5:B445=A137)*(RAW_INPUT!A5:A445&gt;=DATE(2026,7,1))*(RAW_INPUT!A5:A445&lt;DATE(2026,10,1))*RAW_INPUT!G5:G445)</f>
        <v/>
      </c>
    </row>
    <row r="138">
      <c r="A138" s="81" t="inlineStr">
        <is>
          <t>High Plains Co</t>
        </is>
      </c>
      <c r="B138" s="41">
        <f t="array" ref="B138">SUMPRODUCT((RAW_INPUT!B5:B445=A138)*(RAW_INPUT!A5:A445&gt;=DATE(2024,10,1))*(RAW_INPUT!A5:A445&lt;DATE(2025,1,1))*RAW_INPUT!G5:G445)</f>
        <v/>
      </c>
      <c r="C138" s="41">
        <f t="array" ref="C138">SUMPRODUCT((RAW_INPUT!B5:B445=A138)*(RAW_INPUT!A5:A445&gt;=DATE(2025,1,1))*(RAW_INPUT!A5:A445&lt;DATE(2025,4,1))*RAW_INPUT!G5:G445)</f>
        <v/>
      </c>
      <c r="D138" s="41">
        <f t="array" ref="D138">SUMPRODUCT((RAW_INPUT!B5:B445=A138)*(RAW_INPUT!A5:A445&gt;=DATE(2025,4,1))*(RAW_INPUT!A5:A445&lt;DATE(2025,7,1))*RAW_INPUT!G5:G445)</f>
        <v/>
      </c>
      <c r="E138" s="41">
        <f t="array" ref="E138">SUMPRODUCT((RAW_INPUT!B5:B445=A138)*(RAW_INPUT!A5:A445&gt;=DATE(2025,7,1))*(RAW_INPUT!A5:A445&lt;DATE(2025,10,1))*RAW_INPUT!G5:G445)</f>
        <v/>
      </c>
      <c r="F138" s="41">
        <f t="array" ref="F138">SUMPRODUCT((RAW_INPUT!B5:B445=A138)*(RAW_INPUT!A5:A445&gt;=DATE(2025,10,1))*(RAW_INPUT!A5:A445&lt;DATE(2026,1,1))*RAW_INPUT!G5:G445)</f>
        <v/>
      </c>
      <c r="G138" s="41">
        <f t="array" ref="G138">SUMPRODUCT((RAW_INPUT!B5:B445=A138)*(RAW_INPUT!A5:A445&gt;=DATE(2026,1,1))*(RAW_INPUT!A5:A445&lt;DATE(2026,4,1))*RAW_INPUT!G5:G445)</f>
        <v/>
      </c>
      <c r="H138" s="41">
        <f t="array" ref="H138">SUMPRODUCT((RAW_INPUT!B5:B445=A138)*(RAW_INPUT!A5:A445&gt;=DATE(2026,4,1))*(RAW_INPUT!A5:A445&lt;DATE(2026,7,1))*RAW_INPUT!G5:G445)</f>
        <v/>
      </c>
      <c r="I138" s="41">
        <f t="array" ref="I138">SUMPRODUCT((RAW_INPUT!B5:B445=A138)*(RAW_INPUT!A5:A445&gt;=DATE(2026,7,1))*(RAW_INPUT!A5:A445&lt;DATE(2026,10,1))*RAW_INPUT!G5:G445)</f>
        <v/>
      </c>
    </row>
    <row r="139">
      <c r="A139" t="inlineStr">
        <is>
          <t>Mesa Verde Logistics</t>
        </is>
      </c>
      <c r="B139" s="30">
        <f t="array" ref="B139">SUMPRODUCT((RAW_INPUT!B5:B445=A139)*(RAW_INPUT!A5:A445&gt;=DATE(2024,10,1))*(RAW_INPUT!A5:A445&lt;DATE(2025,1,1))*RAW_INPUT!G5:G445)</f>
        <v/>
      </c>
      <c r="C139" s="30">
        <f t="array" ref="C139">SUMPRODUCT((RAW_INPUT!B5:B445=A139)*(RAW_INPUT!A5:A445&gt;=DATE(2025,1,1))*(RAW_INPUT!A5:A445&lt;DATE(2025,4,1))*RAW_INPUT!G5:G445)</f>
        <v/>
      </c>
      <c r="D139" s="30">
        <f t="array" ref="D139">SUMPRODUCT((RAW_INPUT!B5:B445=A139)*(RAW_INPUT!A5:A445&gt;=DATE(2025,4,1))*(RAW_INPUT!A5:A445&lt;DATE(2025,7,1))*RAW_INPUT!G5:G445)</f>
        <v/>
      </c>
      <c r="E139" s="30">
        <f t="array" ref="E139">SUMPRODUCT((RAW_INPUT!B5:B445=A139)*(RAW_INPUT!A5:A445&gt;=DATE(2025,7,1))*(RAW_INPUT!A5:A445&lt;DATE(2025,10,1))*RAW_INPUT!G5:G445)</f>
        <v/>
      </c>
      <c r="F139" s="30">
        <f t="array" ref="F139">SUMPRODUCT((RAW_INPUT!B5:B445=A139)*(RAW_INPUT!A5:A445&gt;=DATE(2025,10,1))*(RAW_INPUT!A5:A445&lt;DATE(2026,1,1))*RAW_INPUT!G5:G445)</f>
        <v/>
      </c>
      <c r="G139" s="30">
        <f t="array" ref="G139">SUMPRODUCT((RAW_INPUT!B5:B445=A139)*(RAW_INPUT!A5:A445&gt;=DATE(2026,1,1))*(RAW_INPUT!A5:A445&lt;DATE(2026,4,1))*RAW_INPUT!G5:G445)</f>
        <v/>
      </c>
      <c r="H139" s="30">
        <f t="array" ref="H139">SUMPRODUCT((RAW_INPUT!B5:B445=A139)*(RAW_INPUT!A5:A445&gt;=DATE(2026,4,1))*(RAW_INPUT!A5:A445&lt;DATE(2026,7,1))*RAW_INPUT!G5:G445)</f>
        <v/>
      </c>
      <c r="I139" s="30">
        <f t="array" ref="I139">SUMPRODUCT((RAW_INPUT!B5:B445=A139)*(RAW_INPUT!A5:A445&gt;=DATE(2026,7,1))*(RAW_INPUT!A5:A445&lt;DATE(2026,10,1))*RAW_INPUT!G5:G445)</f>
        <v/>
      </c>
    </row>
    <row r="140">
      <c r="A140" s="81" t="inlineStr">
        <is>
          <t>Mountain View Fleet</t>
        </is>
      </c>
      <c r="B140" s="41">
        <f t="array" ref="B140">SUMPRODUCT((RAW_INPUT!B5:B445=A140)*(RAW_INPUT!A5:A445&gt;=DATE(2024,10,1))*(RAW_INPUT!A5:A445&lt;DATE(2025,1,1))*RAW_INPUT!G5:G445)</f>
        <v/>
      </c>
      <c r="C140" s="41">
        <f t="array" ref="C140">SUMPRODUCT((RAW_INPUT!B5:B445=A140)*(RAW_INPUT!A5:A445&gt;=DATE(2025,1,1))*(RAW_INPUT!A5:A445&lt;DATE(2025,4,1))*RAW_INPUT!G5:G445)</f>
        <v/>
      </c>
      <c r="D140" s="41">
        <f t="array" ref="D140">SUMPRODUCT((RAW_INPUT!B5:B445=A140)*(RAW_INPUT!A5:A445&gt;=DATE(2025,4,1))*(RAW_INPUT!A5:A445&lt;DATE(2025,7,1))*RAW_INPUT!G5:G445)</f>
        <v/>
      </c>
      <c r="E140" s="41">
        <f t="array" ref="E140">SUMPRODUCT((RAW_INPUT!B5:B445=A140)*(RAW_INPUT!A5:A445&gt;=DATE(2025,7,1))*(RAW_INPUT!A5:A445&lt;DATE(2025,10,1))*RAW_INPUT!G5:G445)</f>
        <v/>
      </c>
      <c r="F140" s="41">
        <f t="array" ref="F140">SUMPRODUCT((RAW_INPUT!B5:B445=A140)*(RAW_INPUT!A5:A445&gt;=DATE(2025,10,1))*(RAW_INPUT!A5:A445&lt;DATE(2026,1,1))*RAW_INPUT!G5:G445)</f>
        <v/>
      </c>
      <c r="G140" s="41">
        <f t="array" ref="G140">SUMPRODUCT((RAW_INPUT!B5:B445=A140)*(RAW_INPUT!A5:A445&gt;=DATE(2026,1,1))*(RAW_INPUT!A5:A445&lt;DATE(2026,4,1))*RAW_INPUT!G5:G445)</f>
        <v/>
      </c>
      <c r="H140" s="41">
        <f t="array" ref="H140">SUMPRODUCT((RAW_INPUT!B5:B445=A140)*(RAW_INPUT!A5:A445&gt;=DATE(2026,4,1))*(RAW_INPUT!A5:A445&lt;DATE(2026,7,1))*RAW_INPUT!G5:G445)</f>
        <v/>
      </c>
      <c r="I140" s="41">
        <f t="array" ref="I140">SUMPRODUCT((RAW_INPUT!B5:B445=A140)*(RAW_INPUT!A5:A445&gt;=DATE(2026,7,1))*(RAW_INPUT!A5:A445&lt;DATE(2026,10,1))*RAW_INPUT!G5:G445)</f>
        <v/>
      </c>
    </row>
    <row r="141">
      <c r="A141" t="inlineStr">
        <is>
          <t>Pikes Peak Energy</t>
        </is>
      </c>
      <c r="B141" s="30">
        <f t="array" ref="B141">SUMPRODUCT((RAW_INPUT!B5:B445=A141)*(RAW_INPUT!A5:A445&gt;=DATE(2024,10,1))*(RAW_INPUT!A5:A445&lt;DATE(2025,1,1))*RAW_INPUT!G5:G445)</f>
        <v/>
      </c>
      <c r="C141" s="30">
        <f t="array" ref="C141">SUMPRODUCT((RAW_INPUT!B5:B445=A141)*(RAW_INPUT!A5:A445&gt;=DATE(2025,1,1))*(RAW_INPUT!A5:A445&lt;DATE(2025,4,1))*RAW_INPUT!G5:G445)</f>
        <v/>
      </c>
      <c r="D141" s="30">
        <f t="array" ref="D141">SUMPRODUCT((RAW_INPUT!B5:B445=A141)*(RAW_INPUT!A5:A445&gt;=DATE(2025,4,1))*(RAW_INPUT!A5:A445&lt;DATE(2025,7,1))*RAW_INPUT!G5:G445)</f>
        <v/>
      </c>
      <c r="E141" s="30">
        <f t="array" ref="E141">SUMPRODUCT((RAW_INPUT!B5:B445=A141)*(RAW_INPUT!A5:A445&gt;=DATE(2025,7,1))*(RAW_INPUT!A5:A445&lt;DATE(2025,10,1))*RAW_INPUT!G5:G445)</f>
        <v/>
      </c>
      <c r="F141" s="30">
        <f t="array" ref="F141">SUMPRODUCT((RAW_INPUT!B5:B445=A141)*(RAW_INPUT!A5:A445&gt;=DATE(2025,10,1))*(RAW_INPUT!A5:A445&lt;DATE(2026,1,1))*RAW_INPUT!G5:G445)</f>
        <v/>
      </c>
      <c r="G141" s="30">
        <f t="array" ref="G141">SUMPRODUCT((RAW_INPUT!B5:B445=A141)*(RAW_INPUT!A5:A445&gt;=DATE(2026,1,1))*(RAW_INPUT!A5:A445&lt;DATE(2026,4,1))*RAW_INPUT!G5:G445)</f>
        <v/>
      </c>
      <c r="H141" s="30">
        <f t="array" ref="H141">SUMPRODUCT((RAW_INPUT!B5:B445=A141)*(RAW_INPUT!A5:A445&gt;=DATE(2026,4,1))*(RAW_INPUT!A5:A445&lt;DATE(2026,7,1))*RAW_INPUT!G5:G445)</f>
        <v/>
      </c>
      <c r="I141" s="30">
        <f t="array" ref="I141">SUMPRODUCT((RAW_INPUT!B5:B445=A141)*(RAW_INPUT!A5:A445&gt;=DATE(2026,7,1))*(RAW_INPUT!A5:A445&lt;DATE(2026,10,1))*RAW_INPUT!G5:G445)</f>
        <v/>
      </c>
    </row>
    <row r="142">
      <c r="A142" s="81" t="inlineStr">
        <is>
          <t>Pueblo Supply Chain</t>
        </is>
      </c>
      <c r="B142" s="41">
        <f t="array" ref="B142">SUMPRODUCT((RAW_INPUT!B5:B445=A142)*(RAW_INPUT!A5:A445&gt;=DATE(2024,10,1))*(RAW_INPUT!A5:A445&lt;DATE(2025,1,1))*RAW_INPUT!G5:G445)</f>
        <v/>
      </c>
      <c r="C142" s="41">
        <f t="array" ref="C142">SUMPRODUCT((RAW_INPUT!B5:B445=A142)*(RAW_INPUT!A5:A445&gt;=DATE(2025,1,1))*(RAW_INPUT!A5:A445&lt;DATE(2025,4,1))*RAW_INPUT!G5:G445)</f>
        <v/>
      </c>
      <c r="D142" s="41">
        <f t="array" ref="D142">SUMPRODUCT((RAW_INPUT!B5:B445=A142)*(RAW_INPUT!A5:A445&gt;=DATE(2025,4,1))*(RAW_INPUT!A5:A445&lt;DATE(2025,7,1))*RAW_INPUT!G5:G445)</f>
        <v/>
      </c>
      <c r="E142" s="41">
        <f t="array" ref="E142">SUMPRODUCT((RAW_INPUT!B5:B445=A142)*(RAW_INPUT!A5:A445&gt;=DATE(2025,7,1))*(RAW_INPUT!A5:A445&lt;DATE(2025,10,1))*RAW_INPUT!G5:G445)</f>
        <v/>
      </c>
      <c r="F142" s="41">
        <f t="array" ref="F142">SUMPRODUCT((RAW_INPUT!B5:B445=A142)*(RAW_INPUT!A5:A445&gt;=DATE(2025,10,1))*(RAW_INPUT!A5:A445&lt;DATE(2026,1,1))*RAW_INPUT!G5:G445)</f>
        <v/>
      </c>
      <c r="G142" s="41">
        <f t="array" ref="G142">SUMPRODUCT((RAW_INPUT!B5:B445=A142)*(RAW_INPUT!A5:A445&gt;=DATE(2026,1,1))*(RAW_INPUT!A5:A445&lt;DATE(2026,4,1))*RAW_INPUT!G5:G445)</f>
        <v/>
      </c>
      <c r="H142" s="41">
        <f t="array" ref="H142">SUMPRODUCT((RAW_INPUT!B5:B445=A142)*(RAW_INPUT!A5:A445&gt;=DATE(2026,4,1))*(RAW_INPUT!A5:A445&lt;DATE(2026,7,1))*RAW_INPUT!G5:G445)</f>
        <v/>
      </c>
      <c r="I142" s="41">
        <f t="array" ref="I142">SUMPRODUCT((RAW_INPUT!B5:B445=A142)*(RAW_INPUT!A5:A445&gt;=DATE(2026,7,1))*(RAW_INPUT!A5:A445&lt;DATE(2026,10,1))*RAW_INPUT!G5:G445)</f>
        <v/>
      </c>
    </row>
    <row r="143">
      <c r="A143" t="inlineStr">
        <is>
          <t>Royal Gorge Freight</t>
        </is>
      </c>
      <c r="B143" s="30">
        <f t="array" ref="B143">SUMPRODUCT((RAW_INPUT!B5:B445=A143)*(RAW_INPUT!A5:A445&gt;=DATE(2024,10,1))*(RAW_INPUT!A5:A445&lt;DATE(2025,1,1))*RAW_INPUT!G5:G445)</f>
        <v/>
      </c>
      <c r="C143" s="30">
        <f t="array" ref="C143">SUMPRODUCT((RAW_INPUT!B5:B445=A143)*(RAW_INPUT!A5:A445&gt;=DATE(2025,1,1))*(RAW_INPUT!A5:A445&lt;DATE(2025,4,1))*RAW_INPUT!G5:G445)</f>
        <v/>
      </c>
      <c r="D143" s="30">
        <f t="array" ref="D143">SUMPRODUCT((RAW_INPUT!B5:B445=A143)*(RAW_INPUT!A5:A445&gt;=DATE(2025,4,1))*(RAW_INPUT!A5:A445&lt;DATE(2025,7,1))*RAW_INPUT!G5:G445)</f>
        <v/>
      </c>
      <c r="E143" s="30">
        <f t="array" ref="E143">SUMPRODUCT((RAW_INPUT!B5:B445=A143)*(RAW_INPUT!A5:A445&gt;=DATE(2025,7,1))*(RAW_INPUT!A5:A445&lt;DATE(2025,10,1))*RAW_INPUT!G5:G445)</f>
        <v/>
      </c>
      <c r="F143" s="30">
        <f t="array" ref="F143">SUMPRODUCT((RAW_INPUT!B5:B445=A143)*(RAW_INPUT!A5:A445&gt;=DATE(2025,10,1))*(RAW_INPUT!A5:A445&lt;DATE(2026,1,1))*RAW_INPUT!G5:G445)</f>
        <v/>
      </c>
      <c r="G143" s="30">
        <f t="array" ref="G143">SUMPRODUCT((RAW_INPUT!B5:B445=A143)*(RAW_INPUT!A5:A445&gt;=DATE(2026,1,1))*(RAW_INPUT!A5:A445&lt;DATE(2026,4,1))*RAW_INPUT!G5:G445)</f>
        <v/>
      </c>
      <c r="H143" s="30">
        <f t="array" ref="H143">SUMPRODUCT((RAW_INPUT!B5:B445=A143)*(RAW_INPUT!A5:A445&gt;=DATE(2026,4,1))*(RAW_INPUT!A5:A445&lt;DATE(2026,7,1))*RAW_INPUT!G5:G445)</f>
        <v/>
      </c>
      <c r="I143" s="30">
        <f t="array" ref="I143">SUMPRODUCT((RAW_INPUT!B5:B445=A143)*(RAW_INPUT!A5:A445&gt;=DATE(2026,7,1))*(RAW_INPUT!A5:A445&lt;DATE(2026,10,1))*RAW_INPUT!G5:G445)</f>
        <v/>
      </c>
    </row>
    <row r="144">
      <c r="A144" s="81" t="inlineStr">
        <is>
          <t>San Luis Transport</t>
        </is>
      </c>
      <c r="B144" s="41">
        <f t="array" ref="B144">SUMPRODUCT((RAW_INPUT!B5:B445=A144)*(RAW_INPUT!A5:A445&gt;=DATE(2024,10,1))*(RAW_INPUT!A5:A445&lt;DATE(2025,1,1))*RAW_INPUT!G5:G445)</f>
        <v/>
      </c>
      <c r="C144" s="41">
        <f t="array" ref="C144">SUMPRODUCT((RAW_INPUT!B5:B445=A144)*(RAW_INPUT!A5:A445&gt;=DATE(2025,1,1))*(RAW_INPUT!A5:A445&lt;DATE(2025,4,1))*RAW_INPUT!G5:G445)</f>
        <v/>
      </c>
      <c r="D144" s="41">
        <f t="array" ref="D144">SUMPRODUCT((RAW_INPUT!B5:B445=A144)*(RAW_INPUT!A5:A445&gt;=DATE(2025,4,1))*(RAW_INPUT!A5:A445&lt;DATE(2025,7,1))*RAW_INPUT!G5:G445)</f>
        <v/>
      </c>
      <c r="E144" s="41">
        <f t="array" ref="E144">SUMPRODUCT((RAW_INPUT!B5:B445=A144)*(RAW_INPUT!A5:A445&gt;=DATE(2025,7,1))*(RAW_INPUT!A5:A445&lt;DATE(2025,10,1))*RAW_INPUT!G5:G445)</f>
        <v/>
      </c>
      <c r="F144" s="41">
        <f t="array" ref="F144">SUMPRODUCT((RAW_INPUT!B5:B445=A144)*(RAW_INPUT!A5:A445&gt;=DATE(2025,10,1))*(RAW_INPUT!A5:A445&lt;DATE(2026,1,1))*RAW_INPUT!G5:G445)</f>
        <v/>
      </c>
      <c r="G144" s="41">
        <f t="array" ref="G144">SUMPRODUCT((RAW_INPUT!B5:B445=A144)*(RAW_INPUT!A5:A445&gt;=DATE(2026,1,1))*(RAW_INPUT!A5:A445&lt;DATE(2026,4,1))*RAW_INPUT!G5:G445)</f>
        <v/>
      </c>
      <c r="H144" s="41">
        <f t="array" ref="H144">SUMPRODUCT((RAW_INPUT!B5:B445=A144)*(RAW_INPUT!A5:A445&gt;=DATE(2026,4,1))*(RAW_INPUT!A5:A445&lt;DATE(2026,7,1))*RAW_INPUT!G5:G445)</f>
        <v/>
      </c>
      <c r="I144" s="41">
        <f t="array" ref="I144">SUMPRODUCT((RAW_INPUT!B5:B445=A144)*(RAW_INPUT!A5:A445&gt;=DATE(2026,7,1))*(RAW_INPUT!A5:A445&lt;DATE(2026,10,1))*RAW_INPUT!G5:G445)</f>
        <v/>
      </c>
    </row>
    <row r="145">
      <c r="A145" t="inlineStr">
        <is>
          <t>Springs Delivery Co</t>
        </is>
      </c>
      <c r="B145" s="30">
        <f t="array" ref="B145">SUMPRODUCT((RAW_INPUT!B5:B445=A145)*(RAW_INPUT!A5:A445&gt;=DATE(2024,10,1))*(RAW_INPUT!A5:A445&lt;DATE(2025,1,1))*RAW_INPUT!G5:G445)</f>
        <v/>
      </c>
      <c r="C145" s="30">
        <f t="array" ref="C145">SUMPRODUCT((RAW_INPUT!B5:B445=A145)*(RAW_INPUT!A5:A445&gt;=DATE(2025,1,1))*(RAW_INPUT!A5:A445&lt;DATE(2025,4,1))*RAW_INPUT!G5:G445)</f>
        <v/>
      </c>
      <c r="D145" s="30">
        <f t="array" ref="D145">SUMPRODUCT((RAW_INPUT!B5:B445=A145)*(RAW_INPUT!A5:A445&gt;=DATE(2025,4,1))*(RAW_INPUT!A5:A445&lt;DATE(2025,7,1))*RAW_INPUT!G5:G445)</f>
        <v/>
      </c>
      <c r="E145" s="30">
        <f t="array" ref="E145">SUMPRODUCT((RAW_INPUT!B5:B445=A145)*(RAW_INPUT!A5:A445&gt;=DATE(2025,7,1))*(RAW_INPUT!A5:A445&lt;DATE(2025,10,1))*RAW_INPUT!G5:G445)</f>
        <v/>
      </c>
      <c r="F145" s="30">
        <f t="array" ref="F145">SUMPRODUCT((RAW_INPUT!B5:B445=A145)*(RAW_INPUT!A5:A445&gt;=DATE(2025,10,1))*(RAW_INPUT!A5:A445&lt;DATE(2026,1,1))*RAW_INPUT!G5:G445)</f>
        <v/>
      </c>
      <c r="G145" s="30">
        <f t="array" ref="G145">SUMPRODUCT((RAW_INPUT!B5:B445=A145)*(RAW_INPUT!A5:A445&gt;=DATE(2026,1,1))*(RAW_INPUT!A5:A445&lt;DATE(2026,4,1))*RAW_INPUT!G5:G445)</f>
        <v/>
      </c>
      <c r="H145" s="30">
        <f t="array" ref="H145">SUMPRODUCT((RAW_INPUT!B5:B445=A145)*(RAW_INPUT!A5:A445&gt;=DATE(2026,4,1))*(RAW_INPUT!A5:A445&lt;DATE(2026,7,1))*RAW_INPUT!G5:G445)</f>
        <v/>
      </c>
      <c r="I145" s="30">
        <f t="array" ref="I145">SUMPRODUCT((RAW_INPUT!B5:B445=A145)*(RAW_INPUT!A5:A445&gt;=DATE(2026,7,1))*(RAW_INPUT!A5:A445&lt;DATE(2026,10,1))*RAW_INPUT!G5:G445)</f>
        <v/>
      </c>
    </row>
    <row r="146">
      <c r="A146" s="81" t="inlineStr">
        <is>
          <t>Summit Logistics</t>
        </is>
      </c>
      <c r="B146" s="41">
        <f t="array" ref="B146">SUMPRODUCT((RAW_INPUT!B5:B445=A146)*(RAW_INPUT!A5:A445&gt;=DATE(2024,10,1))*(RAW_INPUT!A5:A445&lt;DATE(2025,1,1))*RAW_INPUT!G5:G445)</f>
        <v/>
      </c>
      <c r="C146" s="41">
        <f t="array" ref="C146">SUMPRODUCT((RAW_INPUT!B5:B445=A146)*(RAW_INPUT!A5:A445&gt;=DATE(2025,1,1))*(RAW_INPUT!A5:A445&lt;DATE(2025,4,1))*RAW_INPUT!G5:G445)</f>
        <v/>
      </c>
      <c r="D146" s="41">
        <f t="array" ref="D146">SUMPRODUCT((RAW_INPUT!B5:B445=A146)*(RAW_INPUT!A5:A445&gt;=DATE(2025,4,1))*(RAW_INPUT!A5:A445&lt;DATE(2025,7,1))*RAW_INPUT!G5:G445)</f>
        <v/>
      </c>
      <c r="E146" s="41">
        <f t="array" ref="E146">SUMPRODUCT((RAW_INPUT!B5:B445=A146)*(RAW_INPUT!A5:A445&gt;=DATE(2025,7,1))*(RAW_INPUT!A5:A445&lt;DATE(2025,10,1))*RAW_INPUT!G5:G445)</f>
        <v/>
      </c>
      <c r="F146" s="41">
        <f t="array" ref="F146">SUMPRODUCT((RAW_INPUT!B5:B445=A146)*(RAW_INPUT!A5:A445&gt;=DATE(2025,10,1))*(RAW_INPUT!A5:A445&lt;DATE(2026,1,1))*RAW_INPUT!G5:G445)</f>
        <v/>
      </c>
      <c r="G146" s="41">
        <f t="array" ref="G146">SUMPRODUCT((RAW_INPUT!B5:B445=A146)*(RAW_INPUT!A5:A445&gt;=DATE(2026,1,1))*(RAW_INPUT!A5:A445&lt;DATE(2026,4,1))*RAW_INPUT!G5:G445)</f>
        <v/>
      </c>
      <c r="H146" s="41">
        <f t="array" ref="H146">SUMPRODUCT((RAW_INPUT!B5:B445=A146)*(RAW_INPUT!A5:A445&gt;=DATE(2026,4,1))*(RAW_INPUT!A5:A445&lt;DATE(2026,7,1))*RAW_INPUT!G5:G445)</f>
        <v/>
      </c>
      <c r="I146" s="41">
        <f t="array" ref="I146">SUMPRODUCT((RAW_INPUT!B5:B445=A146)*(RAW_INPUT!A5:A445&gt;=DATE(2026,7,1))*(RAW_INPUT!A5:A445&lt;DATE(2026,10,1))*RAW_INPUT!G5:G445)</f>
        <v/>
      </c>
    </row>
    <row r="147">
      <c r="A147" t="inlineStr">
        <is>
          <t>Western Slope Transport</t>
        </is>
      </c>
      <c r="B147" s="30">
        <f t="array" ref="B147">SUMPRODUCT((RAW_INPUT!B5:B445=A147)*(RAW_INPUT!A5:A445&gt;=DATE(2024,10,1))*(RAW_INPUT!A5:A445&lt;DATE(2025,1,1))*RAW_INPUT!G5:G445)</f>
        <v/>
      </c>
      <c r="C147" s="30">
        <f t="array" ref="C147">SUMPRODUCT((RAW_INPUT!B5:B445=A147)*(RAW_INPUT!A5:A445&gt;=DATE(2025,1,1))*(RAW_INPUT!A5:A445&lt;DATE(2025,4,1))*RAW_INPUT!G5:G445)</f>
        <v/>
      </c>
      <c r="D147" s="30">
        <f t="array" ref="D147">SUMPRODUCT((RAW_INPUT!B5:B445=A147)*(RAW_INPUT!A5:A445&gt;=DATE(2025,4,1))*(RAW_INPUT!A5:A445&lt;DATE(2025,7,1))*RAW_INPUT!G5:G445)</f>
        <v/>
      </c>
      <c r="E147" s="30">
        <f t="array" ref="E147">SUMPRODUCT((RAW_INPUT!B5:B445=A147)*(RAW_INPUT!A5:A445&gt;=DATE(2025,7,1))*(RAW_INPUT!A5:A445&lt;DATE(2025,10,1))*RAW_INPUT!G5:G445)</f>
        <v/>
      </c>
      <c r="F147" s="30">
        <f t="array" ref="F147">SUMPRODUCT((RAW_INPUT!B5:B445=A147)*(RAW_INPUT!A5:A445&gt;=DATE(2025,10,1))*(RAW_INPUT!A5:A445&lt;DATE(2026,1,1))*RAW_INPUT!G5:G445)</f>
        <v/>
      </c>
      <c r="G147" s="30">
        <f t="array" ref="G147">SUMPRODUCT((RAW_INPUT!B5:B445=A147)*(RAW_INPUT!A5:A445&gt;=DATE(2026,1,1))*(RAW_INPUT!A5:A445&lt;DATE(2026,4,1))*RAW_INPUT!G5:G445)</f>
        <v/>
      </c>
      <c r="H147" s="30">
        <f t="array" ref="H147">SUMPRODUCT((RAW_INPUT!B5:B445=A147)*(RAW_INPUT!A5:A445&gt;=DATE(2026,4,1))*(RAW_INPUT!A5:A445&lt;DATE(2026,7,1))*RAW_INPUT!G5:G445)</f>
        <v/>
      </c>
      <c r="I147" s="30">
        <f t="array" ref="I147">SUMPRODUCT((RAW_INPUT!B5:B445=A147)*(RAW_INPUT!A5:A445&gt;=DATE(2026,7,1))*(RAW_INPUT!A5:A445&lt;DATE(2026,10,1))*RAW_INPUT!G5:G445)</f>
        <v/>
      </c>
    </row>
    <row r="148"/>
    <row r="149">
      <c r="A149" s="27" t="inlineStr">
        <is>
          <t>CUSTOMER GROWTH METRICS</t>
        </is>
      </c>
      <c r="B149" s="26" t="n"/>
      <c r="C149" s="26" t="n"/>
      <c r="D149" s="26" t="n"/>
      <c r="E149" s="26" t="n"/>
      <c r="F149" s="26" t="n"/>
    </row>
    <row r="150">
      <c r="A150" s="28" t="inlineStr">
        <is>
          <t>Customer</t>
        </is>
      </c>
      <c r="B150" s="28" t="inlineStr">
        <is>
          <t>First Quarter Rev</t>
        </is>
      </c>
      <c r="C150" s="28" t="inlineStr">
        <is>
          <t>Latest Quarter Rev</t>
        </is>
      </c>
      <c r="D150" s="28" t="inlineStr">
        <is>
          <t>Growth ($)</t>
        </is>
      </c>
      <c r="E150" s="28" t="inlineStr">
        <is>
          <t>Growth (%)</t>
        </is>
      </c>
      <c r="F150" s="28" t="inlineStr">
        <is>
          <t>Trend</t>
        </is>
      </c>
    </row>
    <row r="151">
      <c r="A151" t="inlineStr">
        <is>
          <t>Acme Petroleum</t>
        </is>
      </c>
      <c r="B151" s="30">
        <f t="array" ref="B151">IFERROR(INDEX(B133:I133,MATCH(TRUE,B133:I133&gt;0,0)),0)</f>
        <v/>
      </c>
      <c r="C151" s="30">
        <f t="array" ref="C151">IFERROR(LOOKUP(2,1/(B133:I133&gt;0),B133:I133),0)</f>
        <v/>
      </c>
      <c r="D151" s="30">
        <f>C151-B151</f>
        <v/>
      </c>
      <c r="E151" s="33">
        <f>IFERROR(D151/B151,0)</f>
        <v/>
      </c>
      <c r="F151" s="87">
        <f>IF(D151&gt;0,"▲ Growing",IF(D151&lt;0,"▼ Declining","► Flat"))</f>
        <v/>
      </c>
    </row>
    <row r="152">
      <c r="A152" s="81" t="inlineStr">
        <is>
          <t>Arkansas Valley Oil</t>
        </is>
      </c>
      <c r="B152" s="41">
        <f t="array" ref="B152">IFERROR(INDEX(B134:I134,MATCH(TRUE,B134:I134&gt;0,0)),0)</f>
        <v/>
      </c>
      <c r="C152" s="41">
        <f t="array" ref="C152">IFERROR(LOOKUP(2,1/(B134:I134&gt;0),B134:I134),0)</f>
        <v/>
      </c>
      <c r="D152" s="41">
        <f>C152-B152</f>
        <v/>
      </c>
      <c r="E152" s="42">
        <f>IFERROR(D152/B152,0)</f>
        <v/>
      </c>
      <c r="F152" s="49">
        <f>IF(D152&gt;0,"▲ Growing",IF(D152&lt;0,"▼ Declining","► Flat"))</f>
        <v/>
      </c>
    </row>
    <row r="153">
      <c r="A153" t="inlineStr">
        <is>
          <t>Centennial Hauling</t>
        </is>
      </c>
      <c r="B153" s="30">
        <f t="array" ref="B153">IFERROR(INDEX(B135:I135,MATCH(TRUE,B135:I135&gt;0,0)),0)</f>
        <v/>
      </c>
      <c r="C153" s="30">
        <f t="array" ref="C153">IFERROR(LOOKUP(2,1/(B135:I135&gt;0),B135:I135),0)</f>
        <v/>
      </c>
      <c r="D153" s="30">
        <f>C153-B153</f>
        <v/>
      </c>
      <c r="E153" s="33">
        <f>IFERROR(D153/B153,0)</f>
        <v/>
      </c>
      <c r="F153" s="87">
        <f>IF(D153&gt;0,"▲ Growing",IF(D153&lt;0,"▼ Declining","► Flat"))</f>
        <v/>
      </c>
    </row>
    <row r="154">
      <c r="A154" s="81" t="inlineStr">
        <is>
          <t>Colorado Fuel Corp</t>
        </is>
      </c>
      <c r="B154" s="41">
        <f t="array" ref="B154">IFERROR(INDEX(B136:I136,MATCH(TRUE,B136:I136&gt;0,0)),0)</f>
        <v/>
      </c>
      <c r="C154" s="41">
        <f t="array" ref="C154">IFERROR(LOOKUP(2,1/(B136:I136&gt;0),B136:I136),0)</f>
        <v/>
      </c>
      <c r="D154" s="41">
        <f>C154-B154</f>
        <v/>
      </c>
      <c r="E154" s="42">
        <f>IFERROR(D154/B154,0)</f>
        <v/>
      </c>
      <c r="F154" s="49">
        <f>IF(D154&gt;0,"▲ Growing",IF(D154&lt;0,"▼ Declining","► Flat"))</f>
        <v/>
      </c>
    </row>
    <row r="155">
      <c r="A155" t="inlineStr">
        <is>
          <t>Front Range Inc</t>
        </is>
      </c>
      <c r="B155" s="30">
        <f t="array" ref="B155">IFERROR(INDEX(B137:I137,MATCH(TRUE,B137:I137&gt;0,0)),0)</f>
        <v/>
      </c>
      <c r="C155" s="30">
        <f t="array" ref="C155">IFERROR(LOOKUP(2,1/(B137:I137&gt;0),B137:I137),0)</f>
        <v/>
      </c>
      <c r="D155" s="30">
        <f>C155-B155</f>
        <v/>
      </c>
      <c r="E155" s="33">
        <f>IFERROR(D155/B155,0)</f>
        <v/>
      </c>
      <c r="F155" s="87">
        <f>IF(D155&gt;0,"▲ Growing",IF(D155&lt;0,"▼ Declining","► Flat"))</f>
        <v/>
      </c>
    </row>
    <row r="156">
      <c r="A156" s="81" t="inlineStr">
        <is>
          <t>High Plains Co</t>
        </is>
      </c>
      <c r="B156" s="41">
        <f t="array" ref="B156">IFERROR(INDEX(B138:I138,MATCH(TRUE,B138:I138&gt;0,0)),0)</f>
        <v/>
      </c>
      <c r="C156" s="41">
        <f t="array" ref="C156">IFERROR(LOOKUP(2,1/(B138:I138&gt;0),B138:I138),0)</f>
        <v/>
      </c>
      <c r="D156" s="41">
        <f>C156-B156</f>
        <v/>
      </c>
      <c r="E156" s="42">
        <f>IFERROR(D156/B156,0)</f>
        <v/>
      </c>
      <c r="F156" s="49">
        <f>IF(D156&gt;0,"▲ Growing",IF(D156&lt;0,"▼ Declining","► Flat"))</f>
        <v/>
      </c>
    </row>
    <row r="157">
      <c r="A157" t="inlineStr">
        <is>
          <t>Mesa Verde Logistics</t>
        </is>
      </c>
      <c r="B157" s="30">
        <f t="array" ref="B157">IFERROR(INDEX(B139:I139,MATCH(TRUE,B139:I139&gt;0,0)),0)</f>
        <v/>
      </c>
      <c r="C157" s="30">
        <f t="array" ref="C157">IFERROR(LOOKUP(2,1/(B139:I139&gt;0),B139:I139),0)</f>
        <v/>
      </c>
      <c r="D157" s="30">
        <f>C157-B157</f>
        <v/>
      </c>
      <c r="E157" s="33">
        <f>IFERROR(D157/B157,0)</f>
        <v/>
      </c>
      <c r="F157" s="87">
        <f>IF(D157&gt;0,"▲ Growing",IF(D157&lt;0,"▼ Declining","► Flat"))</f>
        <v/>
      </c>
    </row>
    <row r="158">
      <c r="A158" s="81" t="inlineStr">
        <is>
          <t>Mountain View Fleet</t>
        </is>
      </c>
      <c r="B158" s="41">
        <f t="array" ref="B158">IFERROR(INDEX(B140:I140,MATCH(TRUE,B140:I140&gt;0,0)),0)</f>
        <v/>
      </c>
      <c r="C158" s="41">
        <f t="array" ref="C158">IFERROR(LOOKUP(2,1/(B140:I140&gt;0),B140:I140),0)</f>
        <v/>
      </c>
      <c r="D158" s="41">
        <f>C158-B158</f>
        <v/>
      </c>
      <c r="E158" s="42">
        <f>IFERROR(D158/B158,0)</f>
        <v/>
      </c>
      <c r="F158" s="49">
        <f>IF(D158&gt;0,"▲ Growing",IF(D158&lt;0,"▼ Declining","► Flat"))</f>
        <v/>
      </c>
    </row>
    <row r="159">
      <c r="A159" t="inlineStr">
        <is>
          <t>Pikes Peak Energy</t>
        </is>
      </c>
      <c r="B159" s="30">
        <f t="array" ref="B159">IFERROR(INDEX(B141:I141,MATCH(TRUE,B141:I141&gt;0,0)),0)</f>
        <v/>
      </c>
      <c r="C159" s="30">
        <f t="array" ref="C159">IFERROR(LOOKUP(2,1/(B141:I141&gt;0),B141:I141),0)</f>
        <v/>
      </c>
      <c r="D159" s="30">
        <f>C159-B159</f>
        <v/>
      </c>
      <c r="E159" s="33">
        <f>IFERROR(D159/B159,0)</f>
        <v/>
      </c>
      <c r="F159" s="87">
        <f>IF(D159&gt;0,"▲ Growing",IF(D159&lt;0,"▼ Declining","► Flat"))</f>
        <v/>
      </c>
    </row>
    <row r="160">
      <c r="A160" s="81" t="inlineStr">
        <is>
          <t>Pueblo Supply Chain</t>
        </is>
      </c>
      <c r="B160" s="41">
        <f t="array" ref="B160">IFERROR(INDEX(B142:I142,MATCH(TRUE,B142:I142&gt;0,0)),0)</f>
        <v/>
      </c>
      <c r="C160" s="41">
        <f t="array" ref="C160">IFERROR(LOOKUP(2,1/(B142:I142&gt;0),B142:I142),0)</f>
        <v/>
      </c>
      <c r="D160" s="41">
        <f>C160-B160</f>
        <v/>
      </c>
      <c r="E160" s="42">
        <f>IFERROR(D160/B160,0)</f>
        <v/>
      </c>
      <c r="F160" s="49">
        <f>IF(D160&gt;0,"▲ Growing",IF(D160&lt;0,"▼ Declining","► Flat"))</f>
        <v/>
      </c>
    </row>
    <row r="161">
      <c r="A161" t="inlineStr">
        <is>
          <t>Royal Gorge Freight</t>
        </is>
      </c>
      <c r="B161" s="30">
        <f t="array" ref="B161">IFERROR(INDEX(B143:I143,MATCH(TRUE,B143:I143&gt;0,0)),0)</f>
        <v/>
      </c>
      <c r="C161" s="30">
        <f t="array" ref="C161">IFERROR(LOOKUP(2,1/(B143:I143&gt;0),B143:I143),0)</f>
        <v/>
      </c>
      <c r="D161" s="30">
        <f>C161-B161</f>
        <v/>
      </c>
      <c r="E161" s="33">
        <f>IFERROR(D161/B161,0)</f>
        <v/>
      </c>
      <c r="F161" s="87">
        <f>IF(D161&gt;0,"▲ Growing",IF(D161&lt;0,"▼ Declining","► Flat"))</f>
        <v/>
      </c>
    </row>
    <row r="162">
      <c r="A162" s="81" t="inlineStr">
        <is>
          <t>San Luis Transport</t>
        </is>
      </c>
      <c r="B162" s="41">
        <f t="array" ref="B162">IFERROR(INDEX(B144:I144,MATCH(TRUE,B144:I144&gt;0,0)),0)</f>
        <v/>
      </c>
      <c r="C162" s="41">
        <f t="array" ref="C162">IFERROR(LOOKUP(2,1/(B144:I144&gt;0),B144:I144),0)</f>
        <v/>
      </c>
      <c r="D162" s="41">
        <f>C162-B162</f>
        <v/>
      </c>
      <c r="E162" s="42">
        <f>IFERROR(D162/B162,0)</f>
        <v/>
      </c>
      <c r="F162" s="49">
        <f>IF(D162&gt;0,"▲ Growing",IF(D162&lt;0,"▼ Declining","► Flat"))</f>
        <v/>
      </c>
    </row>
    <row r="163">
      <c r="A163" t="inlineStr">
        <is>
          <t>Springs Delivery Co</t>
        </is>
      </c>
      <c r="B163" s="30">
        <f t="array" ref="B163">IFERROR(INDEX(B145:I145,MATCH(TRUE,B145:I145&gt;0,0)),0)</f>
        <v/>
      </c>
      <c r="C163" s="30">
        <f t="array" ref="C163">IFERROR(LOOKUP(2,1/(B145:I145&gt;0),B145:I145),0)</f>
        <v/>
      </c>
      <c r="D163" s="30">
        <f>C163-B163</f>
        <v/>
      </c>
      <c r="E163" s="33">
        <f>IFERROR(D163/B163,0)</f>
        <v/>
      </c>
      <c r="F163" s="87">
        <f>IF(D163&gt;0,"▲ Growing",IF(D163&lt;0,"▼ Declining","► Flat"))</f>
        <v/>
      </c>
    </row>
    <row r="164">
      <c r="A164" s="81" t="inlineStr">
        <is>
          <t>Summit Logistics</t>
        </is>
      </c>
      <c r="B164" s="41">
        <f t="array" ref="B164">IFERROR(INDEX(B146:I146,MATCH(TRUE,B146:I146&gt;0,0)),0)</f>
        <v/>
      </c>
      <c r="C164" s="41">
        <f t="array" ref="C164">IFERROR(LOOKUP(2,1/(B146:I146&gt;0),B146:I146),0)</f>
        <v/>
      </c>
      <c r="D164" s="41">
        <f>C164-B164</f>
        <v/>
      </c>
      <c r="E164" s="42">
        <f>IFERROR(D164/B164,0)</f>
        <v/>
      </c>
      <c r="F164" s="49">
        <f>IF(D164&gt;0,"▲ Growing",IF(D164&lt;0,"▼ Declining","► Flat"))</f>
        <v/>
      </c>
    </row>
    <row r="165">
      <c r="A165" t="inlineStr">
        <is>
          <t>Western Slope Transport</t>
        </is>
      </c>
      <c r="B165" s="30">
        <f t="array" ref="B165">IFERROR(INDEX(B147:I147,MATCH(TRUE,B147:I147&gt;0,0)),0)</f>
        <v/>
      </c>
      <c r="C165" s="30">
        <f t="array" ref="C165">IFERROR(LOOKUP(2,1/(B147:I147&gt;0),B147:I147),0)</f>
        <v/>
      </c>
      <c r="D165" s="30">
        <f>C165-B165</f>
        <v/>
      </c>
      <c r="E165" s="33">
        <f>IFERROR(D165/B165,0)</f>
        <v/>
      </c>
      <c r="F165" s="87">
        <f>IF(D165&gt;0,"▲ Growing",IF(D165&lt;0,"▼ Declining","► Flat"))</f>
        <v/>
      </c>
    </row>
    <row r="166"/>
    <row r="167">
      <c r="A167" s="34" t="inlineStr">
        <is>
          <t>Customers Growing</t>
        </is>
      </c>
      <c r="B167" s="35">
        <f>COUNTIF(E151:E165,"&gt;"&amp;0)</f>
        <v/>
      </c>
      <c r="C167" s="35" t="n"/>
      <c r="D167" s="35" t="n"/>
      <c r="E167" s="35" t="n"/>
      <c r="F167" s="35" t="n"/>
    </row>
    <row r="168">
      <c r="A168" s="34" t="inlineStr">
        <is>
          <t>Customers Declining</t>
        </is>
      </c>
      <c r="B168" s="35">
        <f>COUNTIF(E151:E165,"&lt;"&amp;0)</f>
        <v/>
      </c>
      <c r="C168" s="35" t="n"/>
      <c r="D168" s="35" t="n"/>
      <c r="E168" s="35" t="n"/>
      <c r="F168" s="35" t="n"/>
    </row>
    <row r="169">
      <c r="A169" s="34" t="inlineStr">
        <is>
          <t>Avg Growth %</t>
        </is>
      </c>
      <c r="B169" s="36">
        <f>AVERAGE(E151:E165)</f>
        <v/>
      </c>
      <c r="C169" s="35" t="n"/>
      <c r="D169" s="35" t="n"/>
      <c r="E169" s="35" t="n"/>
      <c r="F169" s="35" t="n"/>
    </row>
    <row r="170"/>
    <row r="171"/>
    <row r="172" ht="24.95" customHeight="1" s="89">
      <c r="A172" s="82" t="inlineStr">
        <is>
          <t>REVENUE FORECASTING</t>
        </is>
      </c>
    </row>
    <row r="173">
      <c r="A173" s="27" t="inlineStr">
        <is>
          <t>FORECAST ASSUMPTIONS</t>
        </is>
      </c>
      <c r="B173" s="26" t="n"/>
      <c r="C173" s="26" t="n"/>
      <c r="D173" s="26" t="n"/>
      <c r="E173" s="26" t="n"/>
      <c r="F173" s="26" t="n"/>
      <c r="G173" s="26" t="n"/>
    </row>
    <row r="174">
      <c r="A174" s="50" t="inlineStr">
        <is>
          <t>Base Monthly Revenue (trailing 6-mo avg)</t>
        </is>
      </c>
      <c r="B174" s="51">
        <f>AVERAGE(B27:B32)</f>
        <v/>
      </c>
      <c r="C174" s="52" t="n"/>
    </row>
    <row r="175">
      <c r="A175" s="50" t="inlineStr">
        <is>
          <t>Monthly Growth Rate (trailing trend)</t>
        </is>
      </c>
      <c r="B175" s="53">
        <f>AVERAGE((B28-B27)/B27,(B29-B28)/B28,(B30-B29)/B29,(B31-B30)/B30,(B32-B31)/B31)</f>
        <v/>
      </c>
      <c r="C175" s="52" t="n"/>
    </row>
    <row r="176">
      <c r="A176" s="50" t="inlineStr">
        <is>
          <t>Fuel Price Trend ($/gal per month)</t>
        </is>
      </c>
      <c r="B176" s="54">
        <f>AVERAGE(G96-G95,G97-G96,G98-G97,G99-G98,G100-G99)</f>
        <v/>
      </c>
      <c r="C176" s="52" t="n"/>
    </row>
    <row r="177">
      <c r="A177" s="50" t="inlineStr">
        <is>
          <t>Service Revenue Growth (monthly)</t>
        </is>
      </c>
      <c r="B177" s="53">
        <f>B175</f>
        <v/>
      </c>
      <c r="C177" s="52" t="n"/>
    </row>
    <row r="178">
      <c r="A178" s="50" t="inlineStr">
        <is>
          <t>Forecast Horizon</t>
        </is>
      </c>
      <c r="B178" s="55" t="n">
        <v>6</v>
      </c>
      <c r="C178" s="52" t="inlineStr">
        <is>
          <t>months</t>
        </is>
      </c>
    </row>
    <row r="179"/>
    <row r="180">
      <c r="A180" s="28" t="inlineStr">
        <is>
          <t>Forecast Month</t>
        </is>
      </c>
      <c r="B180" s="28" t="inlineStr">
        <is>
          <t>Projected Revenue</t>
        </is>
      </c>
      <c r="C180" s="28" t="inlineStr">
        <is>
          <t>Projected Fuel Gallons</t>
        </is>
      </c>
      <c r="D180" s="28" t="inlineStr">
        <is>
          <t>Projected Avg $/Gal</t>
        </is>
      </c>
      <c r="E180" s="28" t="inlineStr">
        <is>
          <t>Cumulative Revenue</t>
        </is>
      </c>
      <c r="F180" s="28" t="inlineStr">
        <is>
          <t>Confidence Band (±%)</t>
        </is>
      </c>
    </row>
    <row r="181">
      <c r="A181" s="56">
        <f>EDATE(A32,1)</f>
        <v/>
      </c>
      <c r="B181" s="57">
        <f>B174*(1+B175)^1</f>
        <v/>
      </c>
      <c r="C181" s="58">
        <f>D32*(1+B175)^1</f>
        <v/>
      </c>
      <c r="D181" s="59">
        <f>G32+B176*1</f>
        <v/>
      </c>
      <c r="E181" s="57">
        <f>B181</f>
        <v/>
      </c>
      <c r="F181" s="60" t="inlineStr">
        <is>
          <t>±5%</t>
        </is>
      </c>
    </row>
    <row r="182">
      <c r="A182" s="56">
        <f>EDATE(A32,2)</f>
        <v/>
      </c>
      <c r="B182" s="57">
        <f>B174*(1+B175)^2</f>
        <v/>
      </c>
      <c r="C182" s="58">
        <f>D32*(1+B175)^2</f>
        <v/>
      </c>
      <c r="D182" s="59">
        <f>G32+B176*2</f>
        <v/>
      </c>
      <c r="E182" s="57">
        <f>E181+B182</f>
        <v/>
      </c>
      <c r="F182" s="60" t="inlineStr">
        <is>
          <t>±8%</t>
        </is>
      </c>
    </row>
    <row r="183">
      <c r="A183" s="56">
        <f>EDATE(A32,3)</f>
        <v/>
      </c>
      <c r="B183" s="57">
        <f>B174*(1+B175)^3</f>
        <v/>
      </c>
      <c r="C183" s="58">
        <f>D32*(1+B175)^3</f>
        <v/>
      </c>
      <c r="D183" s="59">
        <f>G32+B176*3</f>
        <v/>
      </c>
      <c r="E183" s="57">
        <f>E182+B183</f>
        <v/>
      </c>
      <c r="F183" s="60" t="inlineStr">
        <is>
          <t>±11%</t>
        </is>
      </c>
    </row>
    <row r="184">
      <c r="A184" s="56">
        <f>EDATE(A32,4)</f>
        <v/>
      </c>
      <c r="B184" s="57">
        <f>B174*(1+B175)^4</f>
        <v/>
      </c>
      <c r="C184" s="58">
        <f>D32*(1+B175)^4</f>
        <v/>
      </c>
      <c r="D184" s="59">
        <f>G32+B176*4</f>
        <v/>
      </c>
      <c r="E184" s="57">
        <f>E183+B184</f>
        <v/>
      </c>
      <c r="F184" s="60" t="inlineStr">
        <is>
          <t>±14%</t>
        </is>
      </c>
    </row>
    <row r="185">
      <c r="A185" s="56">
        <f>EDATE(A32,5)</f>
        <v/>
      </c>
      <c r="B185" s="57">
        <f>B174*(1+B175)^5</f>
        <v/>
      </c>
      <c r="C185" s="58">
        <f>D32*(1+B175)^5</f>
        <v/>
      </c>
      <c r="D185" s="59">
        <f>G32+B176*5</f>
        <v/>
      </c>
      <c r="E185" s="57">
        <f>E184+B185</f>
        <v/>
      </c>
      <c r="F185" s="60" t="inlineStr">
        <is>
          <t>±17%</t>
        </is>
      </c>
    </row>
    <row r="186">
      <c r="A186" s="56">
        <f>EDATE(A32,6)</f>
        <v/>
      </c>
      <c r="B186" s="57">
        <f>B174*(1+B175)^6</f>
        <v/>
      </c>
      <c r="C186" s="58">
        <f>D32*(1+B175)^6</f>
        <v/>
      </c>
      <c r="D186" s="59">
        <f>G32+B176*6</f>
        <v/>
      </c>
      <c r="E186" s="57">
        <f>E185+B186</f>
        <v/>
      </c>
      <c r="F186" s="60" t="inlineStr">
        <is>
          <t>±20%</t>
        </is>
      </c>
    </row>
    <row r="187">
      <c r="A187" s="61" t="inlineStr">
        <is>
          <t>6-Month Forecast Total</t>
        </is>
      </c>
      <c r="B187" s="62">
        <f>SUM(B181:B186)</f>
        <v/>
      </c>
      <c r="C187" s="63" t="n"/>
      <c r="D187" s="63" t="n"/>
      <c r="E187" s="63" t="n"/>
      <c r="F187" s="63" t="n"/>
    </row>
    <row r="188">
      <c r="A188" s="61" t="inlineStr">
        <is>
          <t>Annualized Run Rate</t>
        </is>
      </c>
      <c r="B188" s="62">
        <f>B187/6*12</f>
        <v/>
      </c>
      <c r="C188" s="63" t="n"/>
      <c r="D188" s="63" t="n"/>
      <c r="E188" s="63" t="n"/>
      <c r="F188" s="63" t="n"/>
    </row>
    <row r="189"/>
    <row r="190"/>
    <row r="191"/>
    <row r="192" ht="24.95" customHeight="1" s="89">
      <c r="A192" s="82" t="inlineStr">
        <is>
          <t>CUSTOMER CHURN RISK ANALYSIS</t>
        </is>
      </c>
    </row>
    <row r="193">
      <c r="A193" s="83" t="inlineStr">
        <is>
          <t>Risk scoring: Days Since Last Order + Revenue Trend (recent vs. prior quarter) + Order Frequency decline</t>
        </is>
      </c>
    </row>
    <row r="194">
      <c r="A194" s="28" t="inlineStr">
        <is>
          <t>Customer</t>
        </is>
      </c>
      <c r="B194" s="28" t="inlineStr">
        <is>
          <t>Last Order Date</t>
        </is>
      </c>
      <c r="C194" s="28" t="inlineStr">
        <is>
          <t>Days Since Last Order</t>
        </is>
      </c>
      <c r="D194" s="28" t="inlineStr">
        <is>
          <t>Recent Qtr Rev</t>
        </is>
      </c>
      <c r="E194" s="28" t="inlineStr">
        <is>
          <t>Prior Qtr Rev</t>
        </is>
      </c>
      <c r="F194" s="28" t="inlineStr">
        <is>
          <t>Rev Change %</t>
        </is>
      </c>
      <c r="G194" s="28" t="inlineStr">
        <is>
          <t>Avg Days Between Orders</t>
        </is>
      </c>
      <c r="H194" s="28" t="inlineStr">
        <is>
          <t>Risk Score (1-10)</t>
        </is>
      </c>
      <c r="I194" s="28" t="inlineStr">
        <is>
          <t>Risk Level</t>
        </is>
      </c>
    </row>
    <row r="195">
      <c r="A195" t="inlineStr">
        <is>
          <t>Acme Petroleum</t>
        </is>
      </c>
      <c r="B195" s="64">
        <f>MAXIFS(RAW_INPUT!A5:A445,RAW_INPUT!B5:B445,A195)</f>
        <v/>
      </c>
      <c r="C195" s="31">
        <f>H7-B195</f>
        <v/>
      </c>
      <c r="D195" s="30">
        <f t="array" ref="D195">SUMPRODUCT((RAW_INPUT!B5:B445=A195)*(RAW_INPUT!A5:A445&gt;=DATE(2026,4,1))*(RAW_INPUT!A5:A445&lt;DATE(2026,7,1))*RAW_INPUT!G5:G445)</f>
        <v/>
      </c>
      <c r="E195" s="30">
        <f t="array" ref="E195">SUMPRODUCT((RAW_INPUT!B5:B445=A195)*(RAW_INPUT!A5:A445&gt;=DATE(2026,1,1))*(RAW_INPUT!A5:A445&lt;DATE(2026,4,1))*RAW_INPUT!G5:G445)</f>
        <v/>
      </c>
      <c r="F195" s="33">
        <f>IFERROR((D195-E195)/E195,IF(D195&gt;0,1,-1))</f>
        <v/>
      </c>
      <c r="G195" s="65">
        <f>IFERROR((MAXIFS(RAW_INPUT!A5:A445,RAW_INPUT!B5:B445,A195)-MINIFS(RAW_INPUT!A5:A445,RAW_INPUT!B5:B445,A195))/(COUNTIF(RAW_INPUT!B5:B445,A195)-1),0)</f>
        <v/>
      </c>
      <c r="H195" s="87">
        <f>MIN(10,IF(C195&gt;90,4,IF(C195&gt;60,3,IF(C195&gt;30,2,IF(C195&gt;14,1,0))))+IF(F195&gt;0,0,IF(F195&gt;-0.25,2,3))+IF(G195&lt;10,0,IF(G195&lt;15,1,IF(G195&lt;20,2,3))))</f>
        <v/>
      </c>
      <c r="I195" s="87">
        <f>IF(H195&gt;=7,"🔴 HIGH",IF(H195&gt;=4,"🟡 MEDIUM","🟢 LOW"))</f>
        <v/>
      </c>
    </row>
    <row r="196">
      <c r="A196" s="81" t="inlineStr">
        <is>
          <t>Arkansas Valley Oil</t>
        </is>
      </c>
      <c r="B196" s="66">
        <f>MAXIFS(RAW_INPUT!A5:A445,RAW_INPUT!B5:B445,A196)</f>
        <v/>
      </c>
      <c r="C196" s="43">
        <f>H7-B196</f>
        <v/>
      </c>
      <c r="D196" s="41">
        <f t="array" ref="D196">SUMPRODUCT((RAW_INPUT!B5:B445=A196)*(RAW_INPUT!A5:A445&gt;=DATE(2026,4,1))*(RAW_INPUT!A5:A445&lt;DATE(2026,7,1))*RAW_INPUT!G5:G445)</f>
        <v/>
      </c>
      <c r="E196" s="41">
        <f t="array" ref="E196">SUMPRODUCT((RAW_INPUT!B5:B445=A196)*(RAW_INPUT!A5:A445&gt;=DATE(2026,1,1))*(RAW_INPUT!A5:A445&lt;DATE(2026,4,1))*RAW_INPUT!G5:G445)</f>
        <v/>
      </c>
      <c r="F196" s="42">
        <f>IFERROR((D196-E196)/E196,IF(D196&gt;0,1,-1))</f>
        <v/>
      </c>
      <c r="G196" s="67">
        <f>IFERROR((MAXIFS(RAW_INPUT!A5:A445,RAW_INPUT!B5:B445,A196)-MINIFS(RAW_INPUT!A5:A445,RAW_INPUT!B5:B445,A196))/(COUNTIF(RAW_INPUT!B5:B445,A196)-1),0)</f>
        <v/>
      </c>
      <c r="H196" s="49">
        <f>MIN(10,IF(C196&gt;90,4,IF(C196&gt;60,3,IF(C196&gt;30,2,IF(C196&gt;14,1,0))))+IF(F196&gt;0,0,IF(F196&gt;-0.25,2,3))+IF(G196&lt;10,0,IF(G196&lt;15,1,IF(G196&lt;20,2,3))))</f>
        <v/>
      </c>
      <c r="I196" s="49">
        <f>IF(H196&gt;=7,"🔴 HIGH",IF(H196&gt;=4,"🟡 MEDIUM","🟢 LOW"))</f>
        <v/>
      </c>
    </row>
    <row r="197">
      <c r="A197" t="inlineStr">
        <is>
          <t>Centennial Hauling</t>
        </is>
      </c>
      <c r="B197" s="64">
        <f>MAXIFS(RAW_INPUT!A5:A445,RAW_INPUT!B5:B445,A197)</f>
        <v/>
      </c>
      <c r="C197" s="31">
        <f>H7-B197</f>
        <v/>
      </c>
      <c r="D197" s="30">
        <f t="array" ref="D197">SUMPRODUCT((RAW_INPUT!B5:B445=A197)*(RAW_INPUT!A5:A445&gt;=DATE(2026,4,1))*(RAW_INPUT!A5:A445&lt;DATE(2026,7,1))*RAW_INPUT!G5:G445)</f>
        <v/>
      </c>
      <c r="E197" s="30">
        <f t="array" ref="E197">SUMPRODUCT((RAW_INPUT!B5:B445=A197)*(RAW_INPUT!A5:A445&gt;=DATE(2026,1,1))*(RAW_INPUT!A5:A445&lt;DATE(2026,4,1))*RAW_INPUT!G5:G445)</f>
        <v/>
      </c>
      <c r="F197" s="33">
        <f>IFERROR((D197-E197)/E197,IF(D197&gt;0,1,-1))</f>
        <v/>
      </c>
      <c r="G197" s="65">
        <f>IFERROR((MAXIFS(RAW_INPUT!A5:A445,RAW_INPUT!B5:B445,A197)-MINIFS(RAW_INPUT!A5:A445,RAW_INPUT!B5:B445,A197))/(COUNTIF(RAW_INPUT!B5:B445,A197)-1),0)</f>
        <v/>
      </c>
      <c r="H197" s="87">
        <f>MIN(10,IF(C197&gt;90,4,IF(C197&gt;60,3,IF(C197&gt;30,2,IF(C197&gt;14,1,0))))+IF(F197&gt;0,0,IF(F197&gt;-0.25,2,3))+IF(G197&lt;10,0,IF(G197&lt;15,1,IF(G197&lt;20,2,3))))</f>
        <v/>
      </c>
      <c r="I197" s="87">
        <f>IF(H197&gt;=7,"🔴 HIGH",IF(H197&gt;=4,"🟡 MEDIUM","🟢 LOW"))</f>
        <v/>
      </c>
    </row>
    <row r="198">
      <c r="A198" s="81" t="inlineStr">
        <is>
          <t>Colorado Fuel Corp</t>
        </is>
      </c>
      <c r="B198" s="66">
        <f>MAXIFS(RAW_INPUT!A5:A445,RAW_INPUT!B5:B445,A198)</f>
        <v/>
      </c>
      <c r="C198" s="43">
        <f>H7-B198</f>
        <v/>
      </c>
      <c r="D198" s="41">
        <f t="array" ref="D198">SUMPRODUCT((RAW_INPUT!B5:B445=A198)*(RAW_INPUT!A5:A445&gt;=DATE(2026,4,1))*(RAW_INPUT!A5:A445&lt;DATE(2026,7,1))*RAW_INPUT!G5:G445)</f>
        <v/>
      </c>
      <c r="E198" s="41">
        <f t="array" ref="E198">SUMPRODUCT((RAW_INPUT!B5:B445=A198)*(RAW_INPUT!A5:A445&gt;=DATE(2026,1,1))*(RAW_INPUT!A5:A445&lt;DATE(2026,4,1))*RAW_INPUT!G5:G445)</f>
        <v/>
      </c>
      <c r="F198" s="42">
        <f>IFERROR((D198-E198)/E198,IF(D198&gt;0,1,-1))</f>
        <v/>
      </c>
      <c r="G198" s="67">
        <f>IFERROR((MAXIFS(RAW_INPUT!A5:A445,RAW_INPUT!B5:B445,A198)-MINIFS(RAW_INPUT!A5:A445,RAW_INPUT!B5:B445,A198))/(COUNTIF(RAW_INPUT!B5:B445,A198)-1),0)</f>
        <v/>
      </c>
      <c r="H198" s="49">
        <f>MIN(10,IF(C198&gt;90,4,IF(C198&gt;60,3,IF(C198&gt;30,2,IF(C198&gt;14,1,0))))+IF(F198&gt;0,0,IF(F198&gt;-0.25,2,3))+IF(G198&lt;10,0,IF(G198&lt;15,1,IF(G198&lt;20,2,3))))</f>
        <v/>
      </c>
      <c r="I198" s="49">
        <f>IF(H198&gt;=7,"🔴 HIGH",IF(H198&gt;=4,"🟡 MEDIUM","🟢 LOW"))</f>
        <v/>
      </c>
    </row>
    <row r="199">
      <c r="A199" t="inlineStr">
        <is>
          <t>Front Range Inc</t>
        </is>
      </c>
      <c r="B199" s="64">
        <f>MAXIFS(RAW_INPUT!A5:A445,RAW_INPUT!B5:B445,A199)</f>
        <v/>
      </c>
      <c r="C199" s="31">
        <f>H7-B199</f>
        <v/>
      </c>
      <c r="D199" s="30">
        <f t="array" ref="D199">SUMPRODUCT((RAW_INPUT!B5:B445=A199)*(RAW_INPUT!A5:A445&gt;=DATE(2026,4,1))*(RAW_INPUT!A5:A445&lt;DATE(2026,7,1))*RAW_INPUT!G5:G445)</f>
        <v/>
      </c>
      <c r="E199" s="30">
        <f t="array" ref="E199">SUMPRODUCT((RAW_INPUT!B5:B445=A199)*(RAW_INPUT!A5:A445&gt;=DATE(2026,1,1))*(RAW_INPUT!A5:A445&lt;DATE(2026,4,1))*RAW_INPUT!G5:G445)</f>
        <v/>
      </c>
      <c r="F199" s="33">
        <f>IFERROR((D199-E199)/E199,IF(D199&gt;0,1,-1))</f>
        <v/>
      </c>
      <c r="G199" s="65">
        <f>IFERROR((MAXIFS(RAW_INPUT!A5:A445,RAW_INPUT!B5:B445,A199)-MINIFS(RAW_INPUT!A5:A445,RAW_INPUT!B5:B445,A199))/(COUNTIF(RAW_INPUT!B5:B445,A199)-1),0)</f>
        <v/>
      </c>
      <c r="H199" s="87">
        <f>MIN(10,IF(C199&gt;90,4,IF(C199&gt;60,3,IF(C199&gt;30,2,IF(C199&gt;14,1,0))))+IF(F199&gt;0,0,IF(F199&gt;-0.25,2,3))+IF(G199&lt;10,0,IF(G199&lt;15,1,IF(G199&lt;20,2,3))))</f>
        <v/>
      </c>
      <c r="I199" s="87">
        <f>IF(H199&gt;=7,"🔴 HIGH",IF(H199&gt;=4,"🟡 MEDIUM","🟢 LOW"))</f>
        <v/>
      </c>
    </row>
    <row r="200">
      <c r="A200" s="81" t="inlineStr">
        <is>
          <t>High Plains Co</t>
        </is>
      </c>
      <c r="B200" s="66">
        <f>MAXIFS(RAW_INPUT!A5:A445,RAW_INPUT!B5:B445,A200)</f>
        <v/>
      </c>
      <c r="C200" s="43">
        <f>H7-B200</f>
        <v/>
      </c>
      <c r="D200" s="41">
        <f t="array" ref="D200">SUMPRODUCT((RAW_INPUT!B5:B445=A200)*(RAW_INPUT!A5:A445&gt;=DATE(2026,4,1))*(RAW_INPUT!A5:A445&lt;DATE(2026,7,1))*RAW_INPUT!G5:G445)</f>
        <v/>
      </c>
      <c r="E200" s="41">
        <f t="array" ref="E200">SUMPRODUCT((RAW_INPUT!B5:B445=A200)*(RAW_INPUT!A5:A445&gt;=DATE(2026,1,1))*(RAW_INPUT!A5:A445&lt;DATE(2026,4,1))*RAW_INPUT!G5:G445)</f>
        <v/>
      </c>
      <c r="F200" s="42">
        <f>IFERROR((D200-E200)/E200,IF(D200&gt;0,1,-1))</f>
        <v/>
      </c>
      <c r="G200" s="67">
        <f>IFERROR((MAXIFS(RAW_INPUT!A5:A445,RAW_INPUT!B5:B445,A200)-MINIFS(RAW_INPUT!A5:A445,RAW_INPUT!B5:B445,A200))/(COUNTIF(RAW_INPUT!B5:B445,A200)-1),0)</f>
        <v/>
      </c>
      <c r="H200" s="49">
        <f>MIN(10,IF(C200&gt;90,4,IF(C200&gt;60,3,IF(C200&gt;30,2,IF(C200&gt;14,1,0))))+IF(F200&gt;0,0,IF(F200&gt;-0.25,2,3))+IF(G200&lt;10,0,IF(G200&lt;15,1,IF(G200&lt;20,2,3))))</f>
        <v/>
      </c>
      <c r="I200" s="49">
        <f>IF(H200&gt;=7,"🔴 HIGH",IF(H200&gt;=4,"🟡 MEDIUM","🟢 LOW"))</f>
        <v/>
      </c>
    </row>
    <row r="201">
      <c r="A201" t="inlineStr">
        <is>
          <t>Mesa Verde Logistics</t>
        </is>
      </c>
      <c r="B201" s="64">
        <f>MAXIFS(RAW_INPUT!A5:A445,RAW_INPUT!B5:B445,A201)</f>
        <v/>
      </c>
      <c r="C201" s="31">
        <f>H7-B201</f>
        <v/>
      </c>
      <c r="D201" s="30">
        <f t="array" ref="D201">SUMPRODUCT((RAW_INPUT!B5:B445=A201)*(RAW_INPUT!A5:A445&gt;=DATE(2026,4,1))*(RAW_INPUT!A5:A445&lt;DATE(2026,7,1))*RAW_INPUT!G5:G445)</f>
        <v/>
      </c>
      <c r="E201" s="30">
        <f t="array" ref="E201">SUMPRODUCT((RAW_INPUT!B5:B445=A201)*(RAW_INPUT!A5:A445&gt;=DATE(2026,1,1))*(RAW_INPUT!A5:A445&lt;DATE(2026,4,1))*RAW_INPUT!G5:G445)</f>
        <v/>
      </c>
      <c r="F201" s="33">
        <f>IFERROR((D201-E201)/E201,IF(D201&gt;0,1,-1))</f>
        <v/>
      </c>
      <c r="G201" s="65">
        <f>IFERROR((MAXIFS(RAW_INPUT!A5:A445,RAW_INPUT!B5:B445,A201)-MINIFS(RAW_INPUT!A5:A445,RAW_INPUT!B5:B445,A201))/(COUNTIF(RAW_INPUT!B5:B445,A201)-1),0)</f>
        <v/>
      </c>
      <c r="H201" s="87">
        <f>MIN(10,IF(C201&gt;90,4,IF(C201&gt;60,3,IF(C201&gt;30,2,IF(C201&gt;14,1,0))))+IF(F201&gt;0,0,IF(F201&gt;-0.25,2,3))+IF(G201&lt;10,0,IF(G201&lt;15,1,IF(G201&lt;20,2,3))))</f>
        <v/>
      </c>
      <c r="I201" s="87">
        <f>IF(H201&gt;=7,"🔴 HIGH",IF(H201&gt;=4,"🟡 MEDIUM","🟢 LOW"))</f>
        <v/>
      </c>
    </row>
    <row r="202">
      <c r="A202" s="81" t="inlineStr">
        <is>
          <t>Mountain View Fleet</t>
        </is>
      </c>
      <c r="B202" s="66">
        <f>MAXIFS(RAW_INPUT!A5:A445,RAW_INPUT!B5:B445,A202)</f>
        <v/>
      </c>
      <c r="C202" s="43">
        <f>H7-B202</f>
        <v/>
      </c>
      <c r="D202" s="41">
        <f t="array" ref="D202">SUMPRODUCT((RAW_INPUT!B5:B445=A202)*(RAW_INPUT!A5:A445&gt;=DATE(2026,4,1))*(RAW_INPUT!A5:A445&lt;DATE(2026,7,1))*RAW_INPUT!G5:G445)</f>
        <v/>
      </c>
      <c r="E202" s="41">
        <f t="array" ref="E202">SUMPRODUCT((RAW_INPUT!B5:B445=A202)*(RAW_INPUT!A5:A445&gt;=DATE(2026,1,1))*(RAW_INPUT!A5:A445&lt;DATE(2026,4,1))*RAW_INPUT!G5:G445)</f>
        <v/>
      </c>
      <c r="F202" s="42">
        <f>IFERROR((D202-E202)/E202,IF(D202&gt;0,1,-1))</f>
        <v/>
      </c>
      <c r="G202" s="67">
        <f>IFERROR((MAXIFS(RAW_INPUT!A5:A445,RAW_INPUT!B5:B445,A202)-MINIFS(RAW_INPUT!A5:A445,RAW_INPUT!B5:B445,A202))/(COUNTIF(RAW_INPUT!B5:B445,A202)-1),0)</f>
        <v/>
      </c>
      <c r="H202" s="49">
        <f>MIN(10,IF(C202&gt;90,4,IF(C202&gt;60,3,IF(C202&gt;30,2,IF(C202&gt;14,1,0))))+IF(F202&gt;0,0,IF(F202&gt;-0.25,2,3))+IF(G202&lt;10,0,IF(G202&lt;15,1,IF(G202&lt;20,2,3))))</f>
        <v/>
      </c>
      <c r="I202" s="49">
        <f>IF(H202&gt;=7,"🔴 HIGH",IF(H202&gt;=4,"🟡 MEDIUM","🟢 LOW"))</f>
        <v/>
      </c>
    </row>
    <row r="203">
      <c r="A203" t="inlineStr">
        <is>
          <t>Pikes Peak Energy</t>
        </is>
      </c>
      <c r="B203" s="64">
        <f>MAXIFS(RAW_INPUT!A5:A445,RAW_INPUT!B5:B445,A203)</f>
        <v/>
      </c>
      <c r="C203" s="31">
        <f>H7-B203</f>
        <v/>
      </c>
      <c r="D203" s="30">
        <f t="array" ref="D203">SUMPRODUCT((RAW_INPUT!B5:B445=A203)*(RAW_INPUT!A5:A445&gt;=DATE(2026,4,1))*(RAW_INPUT!A5:A445&lt;DATE(2026,7,1))*RAW_INPUT!G5:G445)</f>
        <v/>
      </c>
      <c r="E203" s="30">
        <f t="array" ref="E203">SUMPRODUCT((RAW_INPUT!B5:B445=A203)*(RAW_INPUT!A5:A445&gt;=DATE(2026,1,1))*(RAW_INPUT!A5:A445&lt;DATE(2026,4,1))*RAW_INPUT!G5:G445)</f>
        <v/>
      </c>
      <c r="F203" s="33">
        <f>IFERROR((D203-E203)/E203,IF(D203&gt;0,1,-1))</f>
        <v/>
      </c>
      <c r="G203" s="65">
        <f>IFERROR((MAXIFS(RAW_INPUT!A5:A445,RAW_INPUT!B5:B445,A203)-MINIFS(RAW_INPUT!A5:A445,RAW_INPUT!B5:B445,A203))/(COUNTIF(RAW_INPUT!B5:B445,A203)-1),0)</f>
        <v/>
      </c>
      <c r="H203" s="87">
        <f>MIN(10,IF(C203&gt;90,4,IF(C203&gt;60,3,IF(C203&gt;30,2,IF(C203&gt;14,1,0))))+IF(F203&gt;0,0,IF(F203&gt;-0.25,2,3))+IF(G203&lt;10,0,IF(G203&lt;15,1,IF(G203&lt;20,2,3))))</f>
        <v/>
      </c>
      <c r="I203" s="87">
        <f>IF(H203&gt;=7,"🔴 HIGH",IF(H203&gt;=4,"🟡 MEDIUM","🟢 LOW"))</f>
        <v/>
      </c>
    </row>
    <row r="204">
      <c r="A204" s="81" t="inlineStr">
        <is>
          <t>Pueblo Supply Chain</t>
        </is>
      </c>
      <c r="B204" s="66">
        <f>MAXIFS(RAW_INPUT!A5:A445,RAW_INPUT!B5:B445,A204)</f>
        <v/>
      </c>
      <c r="C204" s="43">
        <f>H7-B204</f>
        <v/>
      </c>
      <c r="D204" s="41">
        <f t="array" ref="D204">SUMPRODUCT((RAW_INPUT!B5:B445=A204)*(RAW_INPUT!A5:A445&gt;=DATE(2026,4,1))*(RAW_INPUT!A5:A445&lt;DATE(2026,7,1))*RAW_INPUT!G5:G445)</f>
        <v/>
      </c>
      <c r="E204" s="41">
        <f t="array" ref="E204">SUMPRODUCT((RAW_INPUT!B5:B445=A204)*(RAW_INPUT!A5:A445&gt;=DATE(2026,1,1))*(RAW_INPUT!A5:A445&lt;DATE(2026,4,1))*RAW_INPUT!G5:G445)</f>
        <v/>
      </c>
      <c r="F204" s="42">
        <f>IFERROR((D204-E204)/E204,IF(D204&gt;0,1,-1))</f>
        <v/>
      </c>
      <c r="G204" s="67">
        <f>IFERROR((MAXIFS(RAW_INPUT!A5:A445,RAW_INPUT!B5:B445,A204)-MINIFS(RAW_INPUT!A5:A445,RAW_INPUT!B5:B445,A204))/(COUNTIF(RAW_INPUT!B5:B445,A204)-1),0)</f>
        <v/>
      </c>
      <c r="H204" s="49">
        <f>MIN(10,IF(C204&gt;90,4,IF(C204&gt;60,3,IF(C204&gt;30,2,IF(C204&gt;14,1,0))))+IF(F204&gt;0,0,IF(F204&gt;-0.25,2,3))+IF(G204&lt;10,0,IF(G204&lt;15,1,IF(G204&lt;20,2,3))))</f>
        <v/>
      </c>
      <c r="I204" s="49">
        <f>IF(H204&gt;=7,"🔴 HIGH",IF(H204&gt;=4,"🟡 MEDIUM","🟢 LOW"))</f>
        <v/>
      </c>
    </row>
    <row r="205">
      <c r="A205" t="inlineStr">
        <is>
          <t>Royal Gorge Freight</t>
        </is>
      </c>
      <c r="B205" s="64">
        <f>MAXIFS(RAW_INPUT!A5:A445,RAW_INPUT!B5:B445,A205)</f>
        <v/>
      </c>
      <c r="C205" s="31">
        <f>H7-B205</f>
        <v/>
      </c>
      <c r="D205" s="30">
        <f t="array" ref="D205">SUMPRODUCT((RAW_INPUT!B5:B445=A205)*(RAW_INPUT!A5:A445&gt;=DATE(2026,4,1))*(RAW_INPUT!A5:A445&lt;DATE(2026,7,1))*RAW_INPUT!G5:G445)</f>
        <v/>
      </c>
      <c r="E205" s="30">
        <f t="array" ref="E205">SUMPRODUCT((RAW_INPUT!B5:B445=A205)*(RAW_INPUT!A5:A445&gt;=DATE(2026,1,1))*(RAW_INPUT!A5:A445&lt;DATE(2026,4,1))*RAW_INPUT!G5:G445)</f>
        <v/>
      </c>
      <c r="F205" s="33">
        <f>IFERROR((D205-E205)/E205,IF(D205&gt;0,1,-1))</f>
        <v/>
      </c>
      <c r="G205" s="65">
        <f>IFERROR((MAXIFS(RAW_INPUT!A5:A445,RAW_INPUT!B5:B445,A205)-MINIFS(RAW_INPUT!A5:A445,RAW_INPUT!B5:B445,A205))/(COUNTIF(RAW_INPUT!B5:B445,A205)-1),0)</f>
        <v/>
      </c>
      <c r="H205" s="87">
        <f>MIN(10,IF(C205&gt;90,4,IF(C205&gt;60,3,IF(C205&gt;30,2,IF(C205&gt;14,1,0))))+IF(F205&gt;0,0,IF(F205&gt;-0.25,2,3))+IF(G205&lt;10,0,IF(G205&lt;15,1,IF(G205&lt;20,2,3))))</f>
        <v/>
      </c>
      <c r="I205" s="87">
        <f>IF(H205&gt;=7,"🔴 HIGH",IF(H205&gt;=4,"🟡 MEDIUM","🟢 LOW"))</f>
        <v/>
      </c>
    </row>
    <row r="206">
      <c r="A206" s="81" t="inlineStr">
        <is>
          <t>San Luis Transport</t>
        </is>
      </c>
      <c r="B206" s="66">
        <f>MAXIFS(RAW_INPUT!A5:A445,RAW_INPUT!B5:B445,A206)</f>
        <v/>
      </c>
      <c r="C206" s="43">
        <f>H7-B206</f>
        <v/>
      </c>
      <c r="D206" s="41">
        <f t="array" ref="D206">SUMPRODUCT((RAW_INPUT!B5:B445=A206)*(RAW_INPUT!A5:A445&gt;=DATE(2026,4,1))*(RAW_INPUT!A5:A445&lt;DATE(2026,7,1))*RAW_INPUT!G5:G445)</f>
        <v/>
      </c>
      <c r="E206" s="41">
        <f t="array" ref="E206">SUMPRODUCT((RAW_INPUT!B5:B445=A206)*(RAW_INPUT!A5:A445&gt;=DATE(2026,1,1))*(RAW_INPUT!A5:A445&lt;DATE(2026,4,1))*RAW_INPUT!G5:G445)</f>
        <v/>
      </c>
      <c r="F206" s="42">
        <f>IFERROR((D206-E206)/E206,IF(D206&gt;0,1,-1))</f>
        <v/>
      </c>
      <c r="G206" s="67">
        <f>IFERROR((MAXIFS(RAW_INPUT!A5:A445,RAW_INPUT!B5:B445,A206)-MINIFS(RAW_INPUT!A5:A445,RAW_INPUT!B5:B445,A206))/(COUNTIF(RAW_INPUT!B5:B445,A206)-1),0)</f>
        <v/>
      </c>
      <c r="H206" s="49">
        <f>MIN(10,IF(C206&gt;90,4,IF(C206&gt;60,3,IF(C206&gt;30,2,IF(C206&gt;14,1,0))))+IF(F206&gt;0,0,IF(F206&gt;-0.25,2,3))+IF(G206&lt;10,0,IF(G206&lt;15,1,IF(G206&lt;20,2,3))))</f>
        <v/>
      </c>
      <c r="I206" s="49">
        <f>IF(H206&gt;=7,"🔴 HIGH",IF(H206&gt;=4,"🟡 MEDIUM","🟢 LOW"))</f>
        <v/>
      </c>
    </row>
    <row r="207">
      <c r="A207" t="inlineStr">
        <is>
          <t>Springs Delivery Co</t>
        </is>
      </c>
      <c r="B207" s="64">
        <f>MAXIFS(RAW_INPUT!A5:A445,RAW_INPUT!B5:B445,A207)</f>
        <v/>
      </c>
      <c r="C207" s="31">
        <f>H7-B207</f>
        <v/>
      </c>
      <c r="D207" s="30">
        <f t="array" ref="D207">SUMPRODUCT((RAW_INPUT!B5:B445=A207)*(RAW_INPUT!A5:A445&gt;=DATE(2026,4,1))*(RAW_INPUT!A5:A445&lt;DATE(2026,7,1))*RAW_INPUT!G5:G445)</f>
        <v/>
      </c>
      <c r="E207" s="30">
        <f t="array" ref="E207">SUMPRODUCT((RAW_INPUT!B5:B445=A207)*(RAW_INPUT!A5:A445&gt;=DATE(2026,1,1))*(RAW_INPUT!A5:A445&lt;DATE(2026,4,1))*RAW_INPUT!G5:G445)</f>
        <v/>
      </c>
      <c r="F207" s="33">
        <f>IFERROR((D207-E207)/E207,IF(D207&gt;0,1,-1))</f>
        <v/>
      </c>
      <c r="G207" s="65">
        <f>IFERROR((MAXIFS(RAW_INPUT!A5:A445,RAW_INPUT!B5:B445,A207)-MINIFS(RAW_INPUT!A5:A445,RAW_INPUT!B5:B445,A207))/(COUNTIF(RAW_INPUT!B5:B445,A207)-1),0)</f>
        <v/>
      </c>
      <c r="H207" s="87">
        <f>MIN(10,IF(C207&gt;90,4,IF(C207&gt;60,3,IF(C207&gt;30,2,IF(C207&gt;14,1,0))))+IF(F207&gt;0,0,IF(F207&gt;-0.25,2,3))+IF(G207&lt;10,0,IF(G207&lt;15,1,IF(G207&lt;20,2,3))))</f>
        <v/>
      </c>
      <c r="I207" s="87">
        <f>IF(H207&gt;=7,"🔴 HIGH",IF(H207&gt;=4,"🟡 MEDIUM","🟢 LOW"))</f>
        <v/>
      </c>
    </row>
    <row r="208">
      <c r="A208" s="81" t="inlineStr">
        <is>
          <t>Summit Logistics</t>
        </is>
      </c>
      <c r="B208" s="66">
        <f>MAXIFS(RAW_INPUT!A5:A445,RAW_INPUT!B5:B445,A208)</f>
        <v/>
      </c>
      <c r="C208" s="43">
        <f>H7-B208</f>
        <v/>
      </c>
      <c r="D208" s="41">
        <f t="array" ref="D208">SUMPRODUCT((RAW_INPUT!B5:B445=A208)*(RAW_INPUT!A5:A445&gt;=DATE(2026,4,1))*(RAW_INPUT!A5:A445&lt;DATE(2026,7,1))*RAW_INPUT!G5:G445)</f>
        <v/>
      </c>
      <c r="E208" s="41">
        <f t="array" ref="E208">SUMPRODUCT((RAW_INPUT!B5:B445=A208)*(RAW_INPUT!A5:A445&gt;=DATE(2026,1,1))*(RAW_INPUT!A5:A445&lt;DATE(2026,4,1))*RAW_INPUT!G5:G445)</f>
        <v/>
      </c>
      <c r="F208" s="42">
        <f>IFERROR((D208-E208)/E208,IF(D208&gt;0,1,-1))</f>
        <v/>
      </c>
      <c r="G208" s="67">
        <f>IFERROR((MAXIFS(RAW_INPUT!A5:A445,RAW_INPUT!B5:B445,A208)-MINIFS(RAW_INPUT!A5:A445,RAW_INPUT!B5:B445,A208))/(COUNTIF(RAW_INPUT!B5:B445,A208)-1),0)</f>
        <v/>
      </c>
      <c r="H208" s="49">
        <f>MIN(10,IF(C208&gt;90,4,IF(C208&gt;60,3,IF(C208&gt;30,2,IF(C208&gt;14,1,0))))+IF(F208&gt;0,0,IF(F208&gt;-0.25,2,3))+IF(G208&lt;10,0,IF(G208&lt;15,1,IF(G208&lt;20,2,3))))</f>
        <v/>
      </c>
      <c r="I208" s="49">
        <f>IF(H208&gt;=7,"🔴 HIGH",IF(H208&gt;=4,"🟡 MEDIUM","🟢 LOW"))</f>
        <v/>
      </c>
    </row>
    <row r="209">
      <c r="A209" t="inlineStr">
        <is>
          <t>Western Slope Transport</t>
        </is>
      </c>
      <c r="B209" s="64">
        <f>MAXIFS(RAW_INPUT!A5:A445,RAW_INPUT!B5:B445,A209)</f>
        <v/>
      </c>
      <c r="C209" s="31">
        <f>H7-B209</f>
        <v/>
      </c>
      <c r="D209" s="30">
        <f t="array" ref="D209">SUMPRODUCT((RAW_INPUT!B5:B445=A209)*(RAW_INPUT!A5:A445&gt;=DATE(2026,4,1))*(RAW_INPUT!A5:A445&lt;DATE(2026,7,1))*RAW_INPUT!G5:G445)</f>
        <v/>
      </c>
      <c r="E209" s="30">
        <f t="array" ref="E209">SUMPRODUCT((RAW_INPUT!B5:B445=A209)*(RAW_INPUT!A5:A445&gt;=DATE(2026,1,1))*(RAW_INPUT!A5:A445&lt;DATE(2026,4,1))*RAW_INPUT!G5:G445)</f>
        <v/>
      </c>
      <c r="F209" s="33">
        <f>IFERROR((D209-E209)/E209,IF(D209&gt;0,1,-1))</f>
        <v/>
      </c>
      <c r="G209" s="65">
        <f>IFERROR((MAXIFS(RAW_INPUT!A5:A445,RAW_INPUT!B5:B445,A209)-MINIFS(RAW_INPUT!A5:A445,RAW_INPUT!B5:B445,A209))/(COUNTIF(RAW_INPUT!B5:B445,A209)-1),0)</f>
        <v/>
      </c>
      <c r="H209" s="87">
        <f>MIN(10,IF(C209&gt;90,4,IF(C209&gt;60,3,IF(C209&gt;30,2,IF(C209&gt;14,1,0))))+IF(F209&gt;0,0,IF(F209&gt;-0.25,2,3))+IF(G209&lt;10,0,IF(G209&lt;15,1,IF(G209&lt;20,2,3))))</f>
        <v/>
      </c>
      <c r="I209" s="87">
        <f>IF(H209&gt;=7,"🔴 HIGH",IF(H209&gt;=4,"🟡 MEDIUM","🟢 LOW"))</f>
        <v/>
      </c>
    </row>
    <row r="210"/>
    <row r="211">
      <c r="A211" s="34" t="inlineStr">
        <is>
          <t>High Risk Customers</t>
        </is>
      </c>
      <c r="B211" s="35">
        <f>COUNTIF(H195:H209,"&gt;="&amp;7)</f>
        <v/>
      </c>
      <c r="C211" s="35" t="n"/>
      <c r="D211" s="34" t="inlineStr">
        <is>
          <t>Revenue at Risk (High)</t>
        </is>
      </c>
      <c r="E211" s="37">
        <f t="array" ref="E211">SUMPRODUCT((H195:H209&gt;=7)*D195:D209)</f>
        <v/>
      </c>
      <c r="F211" s="35" t="n"/>
      <c r="G211" s="35" t="n"/>
      <c r="H211" s="35" t="n"/>
      <c r="I211" s="35" t="n"/>
    </row>
    <row r="212">
      <c r="A212" s="34" t="inlineStr">
        <is>
          <t>Medium Risk Customers</t>
        </is>
      </c>
      <c r="B212" s="35">
        <f>COUNTIFS(H195:H209,"&gt;="&amp;4,H195:H209,"&lt;"&amp;7)</f>
        <v/>
      </c>
      <c r="C212" s="35" t="n"/>
      <c r="D212" s="34" t="inlineStr">
        <is>
          <t>Revenue at Risk (Medium)</t>
        </is>
      </c>
      <c r="E212" s="37">
        <f t="array" ref="E212">SUMPRODUCT((H195:H209&gt;=4)*(H195:H209&lt;7)*D195:D209)</f>
        <v/>
      </c>
      <c r="F212" s="35" t="n"/>
      <c r="G212" s="35" t="n"/>
      <c r="H212" s="35" t="n"/>
      <c r="I212" s="35" t="n"/>
    </row>
    <row r="213">
      <c r="A213" s="34" t="inlineStr">
        <is>
          <t>Low Risk Customers</t>
        </is>
      </c>
      <c r="B213" s="35">
        <f>COUNTIF(H195:H209,"&lt;"&amp;4)</f>
        <v/>
      </c>
      <c r="C213" s="35" t="n"/>
      <c r="D213" s="35" t="n"/>
      <c r="E213" s="35" t="n"/>
      <c r="F213" s="35" t="n"/>
      <c r="G213" s="35" t="n"/>
      <c r="H213" s="35" t="n"/>
      <c r="I213" s="35" t="n"/>
    </row>
    <row r="214"/>
    <row r="215"/>
    <row r="216" ht="30" customHeight="1" s="89">
      <c r="A216" s="79" t="inlineStr">
        <is>
          <t>EXECUTIVE SUMMARY DASHBOARD</t>
        </is>
      </c>
    </row>
    <row r="217">
      <c r="A217" s="80" t="inlineStr">
        <is>
          <t>Quick-reference scorecard — all values driven by formulas from sections above</t>
        </is>
      </c>
    </row>
    <row r="218"/>
    <row r="219">
      <c r="A219" s="68" t="inlineStr">
        <is>
          <t>💰 TOTAL REVENUE</t>
        </is>
      </c>
      <c r="B219" s="20" t="n"/>
      <c r="C219" s="68" t="inlineStr">
        <is>
          <t>📋 TRANSACTIONS</t>
        </is>
      </c>
      <c r="D219" s="20" t="n"/>
      <c r="E219" s="68" t="inlineStr">
        <is>
          <t>⛽ FUEL GALLONS</t>
        </is>
      </c>
      <c r="F219" s="20" t="n"/>
      <c r="G219" s="68" t="inlineStr">
        <is>
          <t>📊 AVG FUEL PRICE</t>
        </is>
      </c>
      <c r="H219" s="20" t="n"/>
      <c r="I219" s="68" t="inlineStr">
        <is>
          <t>👥 CUSTOMERS</t>
        </is>
      </c>
      <c r="J219" s="20" t="n"/>
      <c r="K219" s="68" t="inlineStr">
        <is>
          <t>🚀 ANN. RUN RATE</t>
        </is>
      </c>
      <c r="L219" s="20" t="n"/>
    </row>
    <row r="220" ht="23.25" customHeight="1" s="89">
      <c r="A220" s="69">
        <f>B6</f>
        <v/>
      </c>
      <c r="B220" s="20" t="n"/>
      <c r="C220" s="70">
        <f>B7</f>
        <v/>
      </c>
      <c r="D220" s="20" t="n"/>
      <c r="E220" s="70">
        <f>B8</f>
        <v/>
      </c>
      <c r="F220" s="20" t="n"/>
      <c r="G220" s="71">
        <f>E7</f>
        <v/>
      </c>
      <c r="H220" s="20" t="n"/>
      <c r="I220" s="70">
        <f>H8</f>
        <v/>
      </c>
      <c r="J220" s="20" t="n"/>
      <c r="K220" s="69">
        <f>B188</f>
        <v/>
      </c>
      <c r="L220" s="20" t="n"/>
    </row>
    <row r="221"/>
    <row r="222">
      <c r="A222" s="68" t="inlineStr">
        <is>
          <t>🏢 TOP 5 CONCENTRATION</t>
        </is>
      </c>
      <c r="B222" s="20" t="n"/>
      <c r="C222" s="68" t="inlineStr">
        <is>
          <t>🛢️ FUEL % OF REVENUE</t>
        </is>
      </c>
      <c r="D222" s="20" t="n"/>
      <c r="E222" s="68" t="inlineStr">
        <is>
          <t>🔧 SERVICE REVENUE</t>
        </is>
      </c>
      <c r="F222" s="20" t="n"/>
      <c r="G222" s="68" t="inlineStr">
        <is>
          <t>⚠️ HIGH RISK CUSTOMERS</t>
        </is>
      </c>
      <c r="H222" s="20" t="n"/>
      <c r="I222" s="68" t="inlineStr">
        <is>
          <t>💸 REVENUE AT RISK</t>
        </is>
      </c>
      <c r="J222" s="20" t="n"/>
      <c r="K222" s="68" t="inlineStr">
        <is>
          <t>📈 GROWING CUSTOMERS</t>
        </is>
      </c>
      <c r="L222" s="20" t="n"/>
    </row>
    <row r="223" ht="23.25" customHeight="1" s="89">
      <c r="A223" s="72">
        <f>B53</f>
        <v/>
      </c>
      <c r="B223" s="20" t="n"/>
      <c r="C223" s="73">
        <f>C73</f>
        <v/>
      </c>
      <c r="D223" s="20" t="n"/>
      <c r="E223" s="69">
        <f>B74</f>
        <v/>
      </c>
      <c r="F223" s="20" t="n"/>
      <c r="G223" s="74">
        <f>B211</f>
        <v/>
      </c>
      <c r="H223" s="20" t="n"/>
      <c r="I223" s="75">
        <f>E211+E212</f>
        <v/>
      </c>
      <c r="J223" s="20" t="n"/>
      <c r="K223" s="76">
        <f>B167</f>
        <v/>
      </c>
      <c r="L223" s="77">
        <f>"of "&amp;H8</f>
        <v/>
      </c>
    </row>
    <row r="224"/>
    <row r="225">
      <c r="A225" s="27" t="inlineStr">
        <is>
          <t>KEY INSIGHTS</t>
        </is>
      </c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</row>
    <row r="226">
      <c r="A226" s="78" t="inlineStr">
        <is>
          <t>📌 Top Customer:</t>
        </is>
      </c>
      <c r="B226" s="81">
        <f>INDEX(A37:A51,MATCH(MAX(B37:B51),B37:B51,0))&amp;" — "&amp;TEXT(MAX(B37:B51),"$#,##0")&amp;" ("&amp;TEXT(INDEX(C37:C51,MATCH(MAX(B37:B51),B37:B51,0)),"0.0%")&amp;" of total)"</f>
        <v/>
      </c>
      <c r="G226" s="81" t="n"/>
      <c r="H226" s="81" t="n"/>
      <c r="I226" s="81" t="n"/>
      <c r="J226" s="81" t="n"/>
      <c r="K226" s="81" t="n"/>
      <c r="L226" s="81" t="n"/>
    </row>
    <row r="227">
      <c r="A227" s="78" t="inlineStr">
        <is>
          <t>📌 Best Quarter:</t>
        </is>
      </c>
      <c r="B227" s="81">
        <f>INDEX(A119:A126,MATCH(MAX(B119:B126),B119:B126,0))&amp;" — "&amp;TEXT(MAX(B119:B126),"$#,##0")</f>
        <v/>
      </c>
      <c r="G227" s="81" t="n"/>
      <c r="H227" s="81" t="n"/>
      <c r="I227" s="81" t="n"/>
      <c r="J227" s="81" t="n"/>
      <c r="K227" s="81" t="n"/>
      <c r="L227" s="81" t="n"/>
    </row>
    <row r="228">
      <c r="A228" s="78" t="inlineStr">
        <is>
          <t>📌 Strongest Day:</t>
        </is>
      </c>
      <c r="B228" s="81">
        <f>INDEX(A111:A115,MATCH(MAX(B111:B115),B111:B115,0))&amp;" — "&amp;TEXT(MAX(B111:B115),"$#,##0")&amp;" ("&amp;TEXT(INDEX(E111:E115,MATCH(MAX(B111:B115),B111:B115,0)),"0.0%")&amp;" of weekly)"</f>
        <v/>
      </c>
      <c r="G228" s="81" t="n"/>
      <c r="H228" s="81" t="n"/>
      <c r="I228" s="81" t="n"/>
      <c r="J228" s="81" t="n"/>
      <c r="K228" s="81" t="n"/>
      <c r="L228" s="81" t="n"/>
    </row>
    <row r="229">
      <c r="A229" s="78" t="inlineStr">
        <is>
          <t>📌 6-Mo Forecast:</t>
        </is>
      </c>
      <c r="B229" s="81">
        <f>TEXT(B187,"$#,##0")&amp;" projected (annualized: "&amp;TEXT(B188,"$#,##0")&amp;")"</f>
        <v/>
      </c>
      <c r="G229" s="81" t="n"/>
      <c r="H229" s="81" t="n"/>
      <c r="I229" s="81" t="n"/>
      <c r="J229" s="81" t="n"/>
      <c r="K229" s="81" t="n"/>
      <c r="L229" s="81" t="n"/>
    </row>
  </sheetData>
  <mergeCells count="18">
    <mergeCell ref="A57:L57"/>
    <mergeCell ref="A172:L172"/>
    <mergeCell ref="A2:L2"/>
    <mergeCell ref="A78:L78"/>
    <mergeCell ref="B227:F227"/>
    <mergeCell ref="A10:L10"/>
    <mergeCell ref="B228:F228"/>
    <mergeCell ref="A108:L108"/>
    <mergeCell ref="A193:L193"/>
    <mergeCell ref="A217:L217"/>
    <mergeCell ref="A1:L1"/>
    <mergeCell ref="A216:L216"/>
    <mergeCell ref="B229:F229"/>
    <mergeCell ref="B226:F226"/>
    <mergeCell ref="A130:L130"/>
    <mergeCell ref="A192:L192"/>
    <mergeCell ref="A35:L35"/>
    <mergeCell ref="A4:L4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2026-03-28T13:43:57Z</dcterms:created>
  <dcterms:modified xmlns:dcterms="http://purl.org/dc/terms/" xmlns:xsi="http://www.w3.org/2001/XMLSchema-instance" xsi:type="dcterms:W3CDTF">2026-03-30T08:57:24Z</dcterms:modified>
  <cp:lastModifiedBy>truenorth</cp:lastModifiedBy>
</cp:coreProperties>
</file>