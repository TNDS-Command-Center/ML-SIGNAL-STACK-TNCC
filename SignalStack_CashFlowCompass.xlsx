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Weekly Position" state="visible" r:id="rId4"/>
    <sheet sheetId="2" name="AR Aging" state="visible" r:id="rId5"/>
    <sheet sheetId="3" name="AP Schedule" state="visible" r:id="rId6"/>
  </sheets>
  <calcPr calcId="171027"/>
</workbook>
</file>

<file path=xl/sharedStrings.xml><?xml version="1.0" encoding="utf-8"?>
<sst xmlns="http://schemas.openxmlformats.org/spreadsheetml/2006/main" count="113" uniqueCount="99">
  <si>
    <t>SignalStack | Cash Flow Compass — Weekly Cash Position</t>
  </si>
  <si>
    <t xml:space="preserve">  Update the blue input cells each Monday. Formulas calculate your position and 30/60/90-day estimate.</t>
  </si>
  <si>
    <t>CASH POSITION — THIS WEEK</t>
  </si>
  <si>
    <t>Cash on Hand</t>
  </si>
  <si>
    <t>AR Due &lt; 30d</t>
  </si>
  <si>
    <t>AP Due &lt; 30d</t>
  </si>
  <si>
    <t>Net 30-Day</t>
  </si>
  <si>
    <t>Weekly Burn</t>
  </si>
  <si>
    <t>Runway (weeks)</t>
  </si>
  <si>
    <t>8-WEEK ROLLING CASH TRACKER</t>
  </si>
  <si>
    <t>Week Of</t>
  </si>
  <si>
    <t>AR Collected</t>
  </si>
  <si>
    <t>AP Paid</t>
  </si>
  <si>
    <t>Revenue In</t>
  </si>
  <si>
    <t>Expenses Out</t>
  </si>
  <si>
    <t>Net Change</t>
  </si>
  <si>
    <t>Ending Balance</t>
  </si>
  <si>
    <t>10/07/2024</t>
  </si>
  <si>
    <t>10/14/2024</t>
  </si>
  <si>
    <t>10/21/2024</t>
  </si>
  <si>
    <t>10/28/2024</t>
  </si>
  <si>
    <t>11/04/2024</t>
  </si>
  <si>
    <t>11/11/2024</t>
  </si>
  <si>
    <t>11/18/2024</t>
  </si>
  <si>
    <t>11/25/2024</t>
  </si>
  <si>
    <t>12/02/2024</t>
  </si>
  <si>
    <t>12/09/2024</t>
  </si>
  <si>
    <t>12/16/2024</t>
  </si>
  <si>
    <t>12/23/2024</t>
  </si>
  <si>
    <t>12/30/2024</t>
  </si>
  <si>
    <t>01/06/2025</t>
  </si>
  <si>
    <t>01/13/2025</t>
  </si>
  <si>
    <t>01/20/2025</t>
  </si>
  <si>
    <t>01/27/2025</t>
  </si>
  <si>
    <t>02/03/2025</t>
  </si>
  <si>
    <t>02/10/2025</t>
  </si>
  <si>
    <t>02/17/2025</t>
  </si>
  <si>
    <t>SignalStack | Cash Flow Compass — Accounts Receivable Aging</t>
  </si>
  <si>
    <t xml:space="preserve">  Track outstanding invoices. Sort by bucket to prioritize collection calls.</t>
  </si>
  <si>
    <t>Customer</t>
  </si>
  <si>
    <t>Invoice #</t>
  </si>
  <si>
    <t>Invoice Date</t>
  </si>
  <si>
    <t>Due Date</t>
  </si>
  <si>
    <t>Amount</t>
  </si>
  <si>
    <t>Days Outstanding</t>
  </si>
  <si>
    <t>Aging Bucket</t>
  </si>
  <si>
    <t>Acme Petroleum</t>
  </si>
  <si>
    <t>INV-1001</t>
  </si>
  <si>
    <t>02/01/2025</t>
  </si>
  <si>
    <t>03/03/2025</t>
  </si>
  <si>
    <t>Summit Logistics</t>
  </si>
  <si>
    <t>INV-1012</t>
  </si>
  <si>
    <t>02/15/2025</t>
  </si>
  <si>
    <t>03/17/2025</t>
  </si>
  <si>
    <t>High Plains Co</t>
  </si>
  <si>
    <t>INV-1018</t>
  </si>
  <si>
    <t>03/01/2025</t>
  </si>
  <si>
    <t>03/31/2025</t>
  </si>
  <si>
    <t>Front Range Inc</t>
  </si>
  <si>
    <t>INV-1024</t>
  </si>
  <si>
    <t>03/10/2025</t>
  </si>
  <si>
    <t>04/09/2025</t>
  </si>
  <si>
    <t>Mountain Fuel</t>
  </si>
  <si>
    <t>INV-1031</t>
  </si>
  <si>
    <t>03/15/2025</t>
  </si>
  <si>
    <t>04/14/2025</t>
  </si>
  <si>
    <t>Valley Services</t>
  </si>
  <si>
    <t>INV-1035</t>
  </si>
  <si>
    <t>03/20/2025</t>
  </si>
  <si>
    <t>04/19/2025</t>
  </si>
  <si>
    <t>Peak Operations</t>
  </si>
  <si>
    <t>INV-1039</t>
  </si>
  <si>
    <t>03/24/2025</t>
  </si>
  <si>
    <t>04/23/2025</t>
  </si>
  <si>
    <t>AGING SUMMARY</t>
  </si>
  <si>
    <t>Current (0-30d)</t>
  </si>
  <si>
    <t>31-60 days</t>
  </si>
  <si>
    <t>61-90 days</t>
  </si>
  <si>
    <t>90+ days</t>
  </si>
  <si>
    <t>SignalStack | Cash Flow Compass — Accounts Payable Schedule</t>
  </si>
  <si>
    <t xml:space="preserve">  Track what you owe and when it's due. Prioritize by due date.</t>
  </si>
  <si>
    <t>Vendor</t>
  </si>
  <si>
    <t>Days Until Due</t>
  </si>
  <si>
    <t>Priority</t>
  </si>
  <si>
    <t>Fuel Supplier Co</t>
  </si>
  <si>
    <t>AP-2201</t>
  </si>
  <si>
    <t>Fleet Maintenance</t>
  </si>
  <si>
    <t>AP-2205</t>
  </si>
  <si>
    <t>03/05/2025</t>
  </si>
  <si>
    <t>04/04/2025</t>
  </si>
  <si>
    <t>Software Stack</t>
  </si>
  <si>
    <t>AP-2210</t>
  </si>
  <si>
    <t>Office Supplies</t>
  </si>
  <si>
    <t>AP-2215</t>
  </si>
  <si>
    <t>Insurance Premium</t>
  </si>
  <si>
    <t>AP-2220</t>
  </si>
  <si>
    <t>Equipment Lease</t>
  </si>
  <si>
    <t>AP-2225</t>
  </si>
  <si>
    <t>04/24/2025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</si>
</sst>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$#,##0"/>
    <numFmt numFmtId="165" formatCode="#,##0.0&quot;w&quot;"/>
    <numFmt numFmtId="166" formatCode="MM/DD/YYYY"/>
    <numFmt numFmtId="167" formatCode="$#,##0.00"/>
  </numFmts>
  <fonts count="8" x14ac:knownFonts="1">
    <font>
      <color theme="1"/>
      <family val="2"/>
      <scheme val="minor"/>
      <sz val="11"/>
      <name val="Calibri"/>
    </font>
    <font>
      <b/>
      <color rgb="00FFFFFF"/>
      <sz val="13"/>
      <name val="Arial"/>
    </font>
    <font>
      <i/>
      <color rgb="001a3a5c"/>
      <sz val="9"/>
      <name val="Arial"/>
    </font>
    <font>
      <b/>
      <color rgb="00FFFFFF"/>
      <sz val="10"/>
      <name val="Arial"/>
    </font>
    <font>
      <b/>
      <color rgb="00FFFFFF"/>
      <sz val="9"/>
      <name val="Arial"/>
    </font>
    <font>
      <b/>
      <color rgb="001a3a5c"/>
      <sz val="14"/>
      <name val="Arial"/>
    </font>
    <font>
      <color rgb="00000000"/>
      <sz val="10"/>
      <name val="Arial"/>
    </font>
    <font>
      <b/>
      <color rgb="00000000"/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001a3a5c"/>
      </patternFill>
    </fill>
    <fill>
      <patternFill patternType="solid">
        <fgColor rgb="00d6e8f5"/>
      </patternFill>
    </fill>
    <fill>
      <patternFill patternType="solid">
        <fgColor rgb="003d8eb9"/>
      </patternFill>
    </fill>
    <fill>
      <patternFill patternType="solid">
        <fgColor rgb="00FFFFFF"/>
      </patternFill>
    </fill>
    <fill>
      <patternFill patternType="solid">
        <fgColor rgb="00F7F9FB"/>
      </patternFill>
    </fill>
    <fill>
      <patternFill patternType="solid">
        <fgColor rgb="00FFF2CC"/>
      </patternFill>
    </fill>
    <fill>
      <patternFill patternType="solid">
        <fgColor rgb="00F5F5F5"/>
      </patternFill>
    </fill>
    <fill>
      <patternFill patternType="solid">
        <fgColor rgb="00EAF3DE"/>
      </patternFill>
    </fill>
    <fill>
      <patternFill patternType="solid">
        <fgColor rgb="00FFE0B2"/>
      </patternFill>
    </fill>
    <fill>
      <patternFill patternType="solid">
        <fgColor rgb="00FCEBE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 indent="1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166" fontId="6" fillId="5" borderId="1" xfId="0" applyNumberFormat="1" applyFont="1" applyFill="1" applyBorder="1" applyAlignment="1">
      <alignment horizontal="left" vertical="center"/>
    </xf>
    <xf numFmtId="164" fontId="6" fillId="3" borderId="1" xfId="0" applyNumberFormat="1" applyFont="1" applyFill="1" applyBorder="1" applyAlignment="1">
      <alignment horizontal="left" vertical="center"/>
    </xf>
    <xf numFmtId="164" fontId="6" fillId="5" borderId="1" xfId="0" applyNumberFormat="1" applyFont="1" applyFill="1" applyBorder="1" applyAlignment="1">
      <alignment horizontal="right" vertical="center"/>
    </xf>
    <xf numFmtId="164" fontId="7" fillId="5" borderId="1" xfId="0" applyNumberFormat="1" applyFont="1" applyFill="1" applyBorder="1" applyAlignment="1">
      <alignment horizontal="right" vertical="center"/>
    </xf>
    <xf numFmtId="166" fontId="6" fillId="6" borderId="1" xfId="0" applyNumberFormat="1" applyFont="1" applyFill="1" applyBorder="1" applyAlignment="1">
      <alignment horizontal="left" vertical="center"/>
    </xf>
    <xf numFmtId="164" fontId="6" fillId="6" borderId="1" xfId="0" applyNumberFormat="1" applyFont="1" applyFill="1" applyBorder="1" applyAlignment="1">
      <alignment horizontal="right" vertical="center"/>
    </xf>
    <xf numFmtId="164" fontId="7" fillId="6" borderId="1" xfId="0" applyNumberFormat="1" applyFont="1" applyFill="1" applyBorder="1" applyAlignment="1">
      <alignment horizontal="right" vertical="center"/>
    </xf>
    <xf numFmtId="164" fontId="6" fillId="7" borderId="1" xfId="0" applyNumberFormat="1" applyFont="1" applyFill="1" applyBorder="1" applyAlignment="1">
      <alignment horizontal="left" vertical="center"/>
    </xf>
    <xf numFmtId="0" fontId="6" fillId="8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167" fontId="6" fillId="5" borderId="1" xfId="0" applyNumberFormat="1" applyFont="1" applyFill="1" applyBorder="1" applyAlignment="1">
      <alignment horizontal="left" vertical="center"/>
    </xf>
    <xf numFmtId="3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left" vertical="center"/>
    </xf>
    <xf numFmtId="167" fontId="6" fillId="6" borderId="1" xfId="0" applyNumberFormat="1" applyFont="1" applyFill="1" applyBorder="1" applyAlignment="1">
      <alignment horizontal="left" vertical="center"/>
    </xf>
    <xf numFmtId="3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left" vertical="center"/>
    </xf>
    <xf numFmtId="167" fontId="7" fillId="9" borderId="1" xfId="0" applyNumberFormat="1" applyFont="1" applyFill="1" applyBorder="1" applyAlignment="1">
      <alignment horizontal="right" vertical="center"/>
    </xf>
    <xf numFmtId="0" fontId="6" fillId="9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167" fontId="7" fillId="7" borderId="1" xfId="0" applyNumberFormat="1" applyFont="1" applyFill="1" applyBorder="1" applyAlignment="1">
      <alignment horizontal="right" vertical="center"/>
    </xf>
    <xf numFmtId="0" fontId="6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left" vertical="center"/>
    </xf>
    <xf numFmtId="167" fontId="7" fillId="10" borderId="1" xfId="0" applyNumberFormat="1" applyFont="1" applyFill="1" applyBorder="1" applyAlignment="1">
      <alignment horizontal="right" vertical="center"/>
    </xf>
    <xf numFmtId="0" fontId="6" fillId="10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167" fontId="7" fillId="11" borderId="1" xfId="0" applyNumberFormat="1" applyFont="1" applyFill="1" applyBorder="1" applyAlignment="1">
      <alignment horizontal="right" vertical="center"/>
    </xf>
    <xf numFmtId="0" fontId="6" fillId="11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H29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13" customWidth="1"/>
    <col min="2" max="3" width="15" customWidth="1"/>
    <col min="4" max="4" width="13" customWidth="1"/>
    <col min="5" max="6" width="15" customWidth="1"/>
    <col min="7" max="7" width="14" customWidth="1"/>
    <col min="8" max="8" width="16" customWidth="1"/>
  </cols>
  <sheetData>
    <row r="1" ht="30" customHeight="1" spans="1:8" x14ac:dyDescent="0.25">
      <c r="A1" s="1" t="s">
        <v>0</v>
      </c>
      <c r="B1"/>
      <c r="C1"/>
      <c r="D1"/>
      <c r="E1"/>
      <c r="F1"/>
      <c r="G1"/>
      <c r="H1"/>
    </row>
    <row r="2" ht="16" customHeight="1" spans="1:8" x14ac:dyDescent="0.25">
      <c r="A2" s="2" t="s">
        <v>1</v>
      </c>
      <c r="B2"/>
      <c r="C2"/>
      <c r="D2"/>
      <c r="E2"/>
      <c r="F2"/>
      <c r="G2"/>
      <c r="H2"/>
    </row>
    <row r="3" ht="8" customHeight="1" x14ac:dyDescent="0.25"/>
    <row r="4" ht="22" customHeight="1" spans="1:8" x14ac:dyDescent="0.25">
      <c r="A4" s="3" t="s">
        <v>2</v>
      </c>
      <c r="B4"/>
      <c r="C4"/>
      <c r="D4"/>
      <c r="E4"/>
      <c r="F4"/>
      <c r="G4"/>
      <c r="H4"/>
    </row>
    <row r="5" ht="18" customHeight="1" spans="1:6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</row>
    <row r="6" ht="28" customHeight="1" spans="1:6" x14ac:dyDescent="0.25">
      <c r="A6" s="5">
        <v>48500</v>
      </c>
      <c r="B6" s="5">
        <v>22400</v>
      </c>
      <c r="C6" s="5">
        <v>14200</v>
      </c>
      <c r="D6" s="5">
        <f>B6+C6-D6</f>
      </c>
      <c r="E6" s="5">
        <v>9800</v>
      </c>
      <c r="F6" s="6">
        <f>B6/F6</f>
      </c>
    </row>
    <row r="7" ht="10" customHeight="1" x14ac:dyDescent="0.25"/>
    <row r="8" ht="22" customHeight="1" spans="1:8" x14ac:dyDescent="0.25">
      <c r="A8" s="3" t="s">
        <v>9</v>
      </c>
      <c r="B8"/>
      <c r="C8"/>
      <c r="D8"/>
      <c r="E8"/>
      <c r="F8"/>
      <c r="G8"/>
      <c r="H8"/>
    </row>
    <row r="9" ht="34" customHeight="1" spans="1:8" x14ac:dyDescent="0.25">
      <c r="A9" s="7" t="s">
        <v>10</v>
      </c>
      <c r="B9" s="7" t="s">
        <v>3</v>
      </c>
      <c r="C9" s="7" t="s">
        <v>11</v>
      </c>
      <c r="D9" s="7" t="s">
        <v>12</v>
      </c>
      <c r="E9" s="7" t="s">
        <v>13</v>
      </c>
      <c r="F9" s="7" t="s">
        <v>14</v>
      </c>
      <c r="G9" s="7" t="s">
        <v>15</v>
      </c>
      <c r="H9" s="7" t="s">
        <v>16</v>
      </c>
    </row>
    <row r="10" spans="1:8" x14ac:dyDescent="0.25">
      <c r="A10" s="8" t="s">
        <v>17</v>
      </c>
      <c r="B10" s="9">
        <v>38200</v>
      </c>
      <c r="C10" s="9">
        <v>14200</v>
      </c>
      <c r="D10" s="9">
        <v>10800</v>
      </c>
      <c r="E10" s="9">
        <v>17500</v>
      </c>
      <c r="F10" s="9">
        <v>13200</v>
      </c>
      <c r="G10" s="10">
        <v>4300</v>
      </c>
      <c r="H10" s="11">
        <v>42500</v>
      </c>
    </row>
    <row r="11" spans="1:8" x14ac:dyDescent="0.25">
      <c r="A11" s="12" t="s">
        <v>18</v>
      </c>
      <c r="B11" s="9">
        <v>42500</v>
      </c>
      <c r="C11" s="9">
        <v>15800</v>
      </c>
      <c r="D11" s="9">
        <v>11200</v>
      </c>
      <c r="E11" s="9">
        <v>18200</v>
      </c>
      <c r="F11" s="9">
        <v>14100</v>
      </c>
      <c r="G11" s="13">
        <v>4100</v>
      </c>
      <c r="H11" s="14">
        <v>46600</v>
      </c>
    </row>
    <row r="12" spans="1:8" x14ac:dyDescent="0.25">
      <c r="A12" s="8" t="s">
        <v>19</v>
      </c>
      <c r="B12" s="9">
        <v>46600</v>
      </c>
      <c r="C12" s="9">
        <v>13900</v>
      </c>
      <c r="D12" s="9">
        <v>12400</v>
      </c>
      <c r="E12" s="9">
        <v>16800</v>
      </c>
      <c r="F12" s="9">
        <v>13600</v>
      </c>
      <c r="G12" s="10">
        <v>3200</v>
      </c>
      <c r="H12" s="11">
        <v>49800</v>
      </c>
    </row>
    <row r="13" spans="1:8" x14ac:dyDescent="0.25">
      <c r="A13" s="12" t="s">
        <v>20</v>
      </c>
      <c r="B13" s="9">
        <v>49800</v>
      </c>
      <c r="C13" s="9">
        <v>16200</v>
      </c>
      <c r="D13" s="9">
        <v>13800</v>
      </c>
      <c r="E13" s="9">
        <v>19100</v>
      </c>
      <c r="F13" s="9">
        <v>14900</v>
      </c>
      <c r="G13" s="13">
        <v>4200</v>
      </c>
      <c r="H13" s="14">
        <v>54000</v>
      </c>
    </row>
    <row r="14" spans="1:8" x14ac:dyDescent="0.25">
      <c r="A14" s="8" t="s">
        <v>21</v>
      </c>
      <c r="B14" s="15">
        <v>54000</v>
      </c>
      <c r="C14" s="15">
        <v>14800</v>
      </c>
      <c r="D14" s="15">
        <v>11600</v>
      </c>
      <c r="E14" s="15">
        <v>17400</v>
      </c>
      <c r="F14" s="15">
        <v>13100</v>
      </c>
      <c r="G14" s="16">
        <v>4300</v>
      </c>
      <c r="H14" s="16">
        <v>58300</v>
      </c>
    </row>
    <row r="15" spans="1:8" x14ac:dyDescent="0.25">
      <c r="A15" s="12" t="s">
        <v>22</v>
      </c>
      <c r="B15" s="15">
        <v>58300</v>
      </c>
      <c r="C15" s="15">
        <v>15100</v>
      </c>
      <c r="D15" s="15">
        <v>12200</v>
      </c>
      <c r="E15" s="15">
        <v>18000</v>
      </c>
      <c r="F15" s="15">
        <v>13800</v>
      </c>
      <c r="G15" s="16">
        <v>4200</v>
      </c>
      <c r="H15" s="16">
        <v>62500</v>
      </c>
    </row>
    <row r="16" spans="1:8" x14ac:dyDescent="0.25">
      <c r="A16" s="8" t="s">
        <v>23</v>
      </c>
      <c r="B16" s="15">
        <v>62500</v>
      </c>
      <c r="C16" s="15">
        <v>13600</v>
      </c>
      <c r="D16" s="15">
        <v>14400</v>
      </c>
      <c r="E16" s="15">
        <v>16500</v>
      </c>
      <c r="F16" s="15">
        <v>15200</v>
      </c>
      <c r="G16" s="16">
        <v>1300</v>
      </c>
      <c r="H16" s="16">
        <v>63800</v>
      </c>
    </row>
    <row r="17" spans="1:8" x14ac:dyDescent="0.25">
      <c r="A17" s="12" t="s">
        <v>24</v>
      </c>
      <c r="B17" s="15">
        <v>63800</v>
      </c>
      <c r="C17" s="15">
        <v>12400</v>
      </c>
      <c r="D17" s="15">
        <v>10800</v>
      </c>
      <c r="E17" s="15">
        <v>15800</v>
      </c>
      <c r="F17" s="15">
        <v>12400</v>
      </c>
      <c r="G17" s="16">
        <v>3400</v>
      </c>
      <c r="H17" s="16">
        <v>67200</v>
      </c>
    </row>
    <row r="18" spans="1:8" x14ac:dyDescent="0.25">
      <c r="A18" t="s">
        <v>25</v>
      </c>
      <c r="B18">
        <v>67200</v>
      </c>
      <c r="C18">
        <v>11800</v>
      </c>
      <c r="D18">
        <v>12600</v>
      </c>
      <c r="E18">
        <v>14900</v>
      </c>
      <c r="F18">
        <v>13500</v>
      </c>
      <c r="G18">
        <v>1400</v>
      </c>
      <c r="H18">
        <v>68600</v>
      </c>
    </row>
    <row r="19" spans="1:8" x14ac:dyDescent="0.25">
      <c r="A19" t="s">
        <v>26</v>
      </c>
      <c r="B19">
        <v>68600</v>
      </c>
      <c r="C19">
        <v>13200</v>
      </c>
      <c r="D19">
        <v>11400</v>
      </c>
      <c r="E19">
        <v>16100</v>
      </c>
      <c r="F19">
        <v>13000</v>
      </c>
      <c r="G19">
        <v>3100</v>
      </c>
      <c r="H19">
        <v>71700</v>
      </c>
    </row>
    <row r="20" spans="1:8" x14ac:dyDescent="0.25">
      <c r="A20" t="s">
        <v>27</v>
      </c>
      <c r="B20">
        <v>71700</v>
      </c>
      <c r="C20">
        <v>9800</v>
      </c>
      <c r="D20">
        <v>8400</v>
      </c>
      <c r="E20">
        <v>13200</v>
      </c>
      <c r="F20">
        <v>10800</v>
      </c>
      <c r="G20">
        <v>2400</v>
      </c>
      <c r="H20">
        <v>74100</v>
      </c>
    </row>
    <row r="21" spans="1:8" x14ac:dyDescent="0.25">
      <c r="A21" t="s">
        <v>28</v>
      </c>
      <c r="B21">
        <v>74100</v>
      </c>
      <c r="C21">
        <v>6200</v>
      </c>
      <c r="D21">
        <v>5600</v>
      </c>
      <c r="E21">
        <v>9400</v>
      </c>
      <c r="F21">
        <v>7800</v>
      </c>
      <c r="G21">
        <v>1600</v>
      </c>
      <c r="H21">
        <v>75700</v>
      </c>
    </row>
    <row r="22" spans="1:8" x14ac:dyDescent="0.25">
      <c r="A22" t="s">
        <v>29</v>
      </c>
      <c r="B22">
        <v>75700</v>
      </c>
      <c r="C22">
        <v>5100</v>
      </c>
      <c r="D22">
        <v>4800</v>
      </c>
      <c r="E22">
        <v>8200</v>
      </c>
      <c r="F22">
        <v>6900</v>
      </c>
      <c r="G22">
        <v>1300</v>
      </c>
      <c r="H22">
        <v>77000</v>
      </c>
    </row>
    <row r="23" spans="1:8" x14ac:dyDescent="0.25">
      <c r="A23" t="s">
        <v>30</v>
      </c>
      <c r="B23">
        <v>77000</v>
      </c>
      <c r="C23">
        <v>14400</v>
      </c>
      <c r="D23">
        <v>11800</v>
      </c>
      <c r="E23">
        <v>17200</v>
      </c>
      <c r="F23">
        <v>13400</v>
      </c>
      <c r="G23">
        <v>3800</v>
      </c>
      <c r="H23">
        <v>80800</v>
      </c>
    </row>
    <row r="24" spans="1:8" x14ac:dyDescent="0.25">
      <c r="A24" t="s">
        <v>31</v>
      </c>
      <c r="B24">
        <v>80800</v>
      </c>
      <c r="C24">
        <v>15200</v>
      </c>
      <c r="D24">
        <v>12600</v>
      </c>
      <c r="E24">
        <v>18400</v>
      </c>
      <c r="F24">
        <v>14200</v>
      </c>
      <c r="G24">
        <v>4200</v>
      </c>
      <c r="H24">
        <v>85000</v>
      </c>
    </row>
    <row r="25" spans="1:8" x14ac:dyDescent="0.25">
      <c r="A25" t="s">
        <v>32</v>
      </c>
      <c r="B25">
        <v>85000</v>
      </c>
      <c r="C25">
        <v>14800</v>
      </c>
      <c r="D25">
        <v>13200</v>
      </c>
      <c r="E25">
        <v>17800</v>
      </c>
      <c r="F25">
        <v>14600</v>
      </c>
      <c r="G25">
        <v>3200</v>
      </c>
      <c r="H25">
        <v>88200</v>
      </c>
    </row>
    <row r="26" spans="1:8" x14ac:dyDescent="0.25">
      <c r="A26" t="s">
        <v>33</v>
      </c>
      <c r="B26">
        <v>88200</v>
      </c>
      <c r="C26">
        <v>16100</v>
      </c>
      <c r="D26">
        <v>12400</v>
      </c>
      <c r="E26">
        <v>19200</v>
      </c>
      <c r="F26">
        <v>13800</v>
      </c>
      <c r="G26">
        <v>5400</v>
      </c>
      <c r="H26">
        <v>93600</v>
      </c>
    </row>
    <row r="27" spans="1:8" x14ac:dyDescent="0.25">
      <c r="A27" t="s">
        <v>34</v>
      </c>
      <c r="B27">
        <v>93600</v>
      </c>
      <c r="C27">
        <v>15400</v>
      </c>
      <c r="D27">
        <v>13800</v>
      </c>
      <c r="E27">
        <v>18600</v>
      </c>
      <c r="F27">
        <v>14900</v>
      </c>
      <c r="G27">
        <v>3700</v>
      </c>
      <c r="H27">
        <v>97300</v>
      </c>
    </row>
    <row r="28" spans="1:8" x14ac:dyDescent="0.25">
      <c r="A28" t="s">
        <v>35</v>
      </c>
      <c r="B28">
        <v>97300</v>
      </c>
      <c r="C28">
        <v>14200</v>
      </c>
      <c r="D28">
        <v>12200</v>
      </c>
      <c r="E28">
        <v>17100</v>
      </c>
      <c r="F28">
        <v>13600</v>
      </c>
      <c r="G28">
        <v>3500</v>
      </c>
      <c r="H28">
        <v>100800</v>
      </c>
    </row>
    <row r="29" spans="1:8" x14ac:dyDescent="0.25">
      <c r="A29" t="s">
        <v>36</v>
      </c>
      <c r="B29">
        <v>100800</v>
      </c>
      <c r="C29">
        <v>15800</v>
      </c>
      <c r="D29">
        <v>14100</v>
      </c>
      <c r="E29">
        <v>19000</v>
      </c>
      <c r="F29">
        <v>15200</v>
      </c>
      <c r="G29">
        <v>3800</v>
      </c>
      <c r="H29">
        <v>104600</v>
      </c>
    </row>
  </sheetData>
  <mergeCells count="4">
    <mergeCell ref="A1:H1"/>
    <mergeCell ref="A2:H2"/>
    <mergeCell ref="A4:H4"/>
    <mergeCell ref="A8:H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G16"/>
  <sheetViews>
    <sheetView workbookViewId="0" zoomScale="100" zoomScaleNormal="100">
      <pane ySplit="3" topLeftCell="A4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22" customWidth="1"/>
    <col min="2" max="2" width="12" customWidth="1"/>
    <col min="3" max="5" width="14" customWidth="1"/>
    <col min="6" max="6" width="18" customWidth="1"/>
    <col min="7" max="7" width="16" customWidth="1"/>
  </cols>
  <sheetData>
    <row r="1" ht="30" customHeight="1" spans="1:7" x14ac:dyDescent="0.25">
      <c r="A1" s="1" t="s">
        <v>37</v>
      </c>
      <c r="B1"/>
      <c r="C1"/>
      <c r="D1"/>
      <c r="E1"/>
      <c r="F1"/>
      <c r="G1"/>
    </row>
    <row r="2" ht="16" customHeight="1" spans="1:7" x14ac:dyDescent="0.25">
      <c r="A2" s="2" t="s">
        <v>38</v>
      </c>
      <c r="B2"/>
      <c r="C2"/>
      <c r="D2"/>
      <c r="E2"/>
      <c r="F2"/>
      <c r="G2"/>
    </row>
    <row r="3" ht="34" customHeight="1" spans="1:7" x14ac:dyDescent="0.25">
      <c r="A3" s="7" t="s">
        <v>39</v>
      </c>
      <c r="B3" s="7" t="s">
        <v>40</v>
      </c>
      <c r="C3" s="7" t="s">
        <v>41</v>
      </c>
      <c r="D3" s="7" t="s">
        <v>42</v>
      </c>
      <c r="E3" s="7" t="s">
        <v>43</v>
      </c>
      <c r="F3" s="7" t="s">
        <v>44</v>
      </c>
      <c r="G3" s="7" t="s">
        <v>45</v>
      </c>
    </row>
    <row r="4" spans="1:7" x14ac:dyDescent="0.25">
      <c r="A4" s="17" t="s">
        <v>46</v>
      </c>
      <c r="B4" s="17" t="s">
        <v>47</v>
      </c>
      <c r="C4" s="8" t="s">
        <v>48</v>
      </c>
      <c r="D4" s="8" t="s">
        <v>49</v>
      </c>
      <c r="E4" s="18">
        <v>4850</v>
      </c>
      <c r="F4" s="19">
        <f>TODAY()-C4</f>
      </c>
      <c r="G4" s="20">
        <f>IF(F4&gt;90,"90+ days",IF(F4&gt;60,"61-90 days",IF(F4&gt;30,"31-60 days","Current")))</f>
      </c>
    </row>
    <row r="5" spans="1:7" x14ac:dyDescent="0.25">
      <c r="A5" s="21" t="s">
        <v>50</v>
      </c>
      <c r="B5" s="21" t="s">
        <v>51</v>
      </c>
      <c r="C5" s="12" t="s">
        <v>52</v>
      </c>
      <c r="D5" s="12" t="s">
        <v>53</v>
      </c>
      <c r="E5" s="22">
        <v>2200</v>
      </c>
      <c r="F5" s="23">
        <f>TODAY()-C5</f>
      </c>
      <c r="G5" s="24">
        <f>IF(F5&gt;90,"90+ days",IF(F5&gt;60,"61-90 days",IF(F5&gt;30,"31-60 days","Current")))</f>
      </c>
    </row>
    <row r="6" spans="1:7" x14ac:dyDescent="0.25">
      <c r="A6" s="17" t="s">
        <v>54</v>
      </c>
      <c r="B6" s="17" t="s">
        <v>55</v>
      </c>
      <c r="C6" s="8" t="s">
        <v>56</v>
      </c>
      <c r="D6" s="8" t="s">
        <v>57</v>
      </c>
      <c r="E6" s="18">
        <v>6100</v>
      </c>
      <c r="F6" s="19">
        <f>TODAY()-C6</f>
      </c>
      <c r="G6" s="20">
        <f>IF(F6&gt;90,"90+ days",IF(F6&gt;60,"61-90 days",IF(F6&gt;30,"31-60 days","Current")))</f>
      </c>
    </row>
    <row r="7" spans="1:7" x14ac:dyDescent="0.25">
      <c r="A7" s="21" t="s">
        <v>58</v>
      </c>
      <c r="B7" s="21" t="s">
        <v>59</v>
      </c>
      <c r="C7" s="12" t="s">
        <v>60</v>
      </c>
      <c r="D7" s="12" t="s">
        <v>61</v>
      </c>
      <c r="E7" s="22">
        <v>1875</v>
      </c>
      <c r="F7" s="23">
        <f>TODAY()-C7</f>
      </c>
      <c r="G7" s="24">
        <f>IF(F7&gt;90,"90+ days",IF(F7&gt;60,"61-90 days",IF(F7&gt;30,"31-60 days","Current")))</f>
      </c>
    </row>
    <row r="8" spans="1:7" x14ac:dyDescent="0.25">
      <c r="A8" s="17" t="s">
        <v>62</v>
      </c>
      <c r="B8" s="17" t="s">
        <v>63</v>
      </c>
      <c r="C8" s="8" t="s">
        <v>64</v>
      </c>
      <c r="D8" s="8" t="s">
        <v>65</v>
      </c>
      <c r="E8" s="18">
        <v>3300</v>
      </c>
      <c r="F8" s="19">
        <f>TODAY()-C8</f>
      </c>
      <c r="G8" s="20">
        <f>IF(F8&gt;90,"90+ days",IF(F8&gt;60,"61-90 days",IF(F8&gt;30,"31-60 days","Current")))</f>
      </c>
    </row>
    <row r="9" spans="1:7" x14ac:dyDescent="0.25">
      <c r="A9" s="21" t="s">
        <v>66</v>
      </c>
      <c r="B9" s="21" t="s">
        <v>67</v>
      </c>
      <c r="C9" s="12" t="s">
        <v>68</v>
      </c>
      <c r="D9" s="12" t="s">
        <v>69</v>
      </c>
      <c r="E9" s="22">
        <v>2750</v>
      </c>
      <c r="F9" s="23">
        <f>TODAY()-C9</f>
      </c>
      <c r="G9" s="24">
        <f>IF(F9&gt;90,"90+ days",IF(F9&gt;60,"61-90 days",IF(F9&gt;30,"31-60 days","Current")))</f>
      </c>
    </row>
    <row r="10" spans="1:7" x14ac:dyDescent="0.25">
      <c r="A10" s="17" t="s">
        <v>70</v>
      </c>
      <c r="B10" s="17" t="s">
        <v>71</v>
      </c>
      <c r="C10" s="8" t="s">
        <v>72</v>
      </c>
      <c r="D10" s="8" t="s">
        <v>73</v>
      </c>
      <c r="E10" s="18">
        <v>5200</v>
      </c>
      <c r="F10" s="19">
        <f>TODAY()-C10</f>
      </c>
      <c r="G10" s="20">
        <f>IF(F10&gt;90,"90+ days",IF(F10&gt;60,"61-90 days",IF(F10&gt;30,"31-60 days","Current")))</f>
      </c>
    </row>
    <row r="12" ht="22" customHeight="1" spans="1:7" x14ac:dyDescent="0.25">
      <c r="A12" s="25" t="s">
        <v>74</v>
      </c>
      <c r="B12"/>
      <c r="C12"/>
      <c r="D12"/>
      <c r="E12"/>
      <c r="F12"/>
      <c r="G12"/>
    </row>
    <row r="13" spans="1:7" x14ac:dyDescent="0.25">
      <c r="A13" s="26" t="s">
        <v>75</v>
      </c>
      <c r="B13" s="27">
        <f>SUMIF(G$4:G$11,A13,E$4:E$11)</f>
      </c>
      <c r="C13" s="28"/>
      <c r="D13" s="28"/>
      <c r="E13" s="28"/>
      <c r="F13" s="28"/>
      <c r="G13" s="28"/>
    </row>
    <row r="14" spans="1:7" x14ac:dyDescent="0.25">
      <c r="A14" s="29" t="s">
        <v>76</v>
      </c>
      <c r="B14" s="30">
        <f>SUMIF(G$4:G$11,A14,E$4:E$11)</f>
      </c>
      <c r="C14" s="31"/>
      <c r="D14" s="31"/>
      <c r="E14" s="31"/>
      <c r="F14" s="31"/>
      <c r="G14" s="31"/>
    </row>
    <row r="15" spans="1:7" x14ac:dyDescent="0.25">
      <c r="A15" s="32" t="s">
        <v>77</v>
      </c>
      <c r="B15" s="33">
        <f>SUMIF(G$4:G$11,A15,E$4:E$11)</f>
      </c>
      <c r="C15" s="34"/>
      <c r="D15" s="34"/>
      <c r="E15" s="34"/>
      <c r="F15" s="34"/>
      <c r="G15" s="34"/>
    </row>
    <row r="16" spans="1:7" x14ac:dyDescent="0.25">
      <c r="A16" s="35" t="s">
        <v>78</v>
      </c>
      <c r="B16" s="36">
        <f>SUMIF(G$4:G$11,A16,E$4:E$11)</f>
      </c>
      <c r="C16" s="37"/>
      <c r="D16" s="37"/>
      <c r="E16" s="37"/>
      <c r="F16" s="37"/>
      <c r="G16" s="37"/>
    </row>
  </sheetData>
  <mergeCells count="3">
    <mergeCell ref="A1:G1"/>
    <mergeCell ref="A2:G2"/>
    <mergeCell ref="A12:G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G9"/>
  <sheetViews>
    <sheetView workbookViewId="0" zoomScale="100" zoomScaleNormal="100">
      <pane ySplit="3" topLeftCell="A4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22" customWidth="1"/>
    <col min="2" max="2" width="12" customWidth="1"/>
    <col min="3" max="5" width="14" customWidth="1"/>
    <col min="6" max="6" width="16" customWidth="1"/>
    <col min="7" max="7" width="14" customWidth="1"/>
  </cols>
  <sheetData>
    <row r="1" ht="30" customHeight="1" spans="1:7" x14ac:dyDescent="0.25">
      <c r="A1" s="1" t="s">
        <v>79</v>
      </c>
      <c r="B1"/>
      <c r="C1"/>
      <c r="D1"/>
      <c r="E1"/>
      <c r="F1"/>
      <c r="G1"/>
    </row>
    <row r="2" ht="16" customHeight="1" spans="1:7" x14ac:dyDescent="0.25">
      <c r="A2" s="2" t="s">
        <v>80</v>
      </c>
      <c r="B2"/>
      <c r="C2"/>
      <c r="D2"/>
      <c r="E2"/>
      <c r="F2"/>
      <c r="G2"/>
    </row>
    <row r="3" ht="34" customHeight="1" spans="1:7" x14ac:dyDescent="0.25">
      <c r="A3" s="7" t="s">
        <v>81</v>
      </c>
      <c r="B3" s="7" t="s">
        <v>40</v>
      </c>
      <c r="C3" s="7" t="s">
        <v>41</v>
      </c>
      <c r="D3" s="7" t="s">
        <v>42</v>
      </c>
      <c r="E3" s="7" t="s">
        <v>43</v>
      </c>
      <c r="F3" s="7" t="s">
        <v>82</v>
      </c>
      <c r="G3" s="7" t="s">
        <v>83</v>
      </c>
    </row>
    <row r="4" spans="1:7" x14ac:dyDescent="0.25">
      <c r="A4" s="17" t="s">
        <v>84</v>
      </c>
      <c r="B4" s="17" t="s">
        <v>85</v>
      </c>
      <c r="C4" s="8" t="s">
        <v>56</v>
      </c>
      <c r="D4" s="8" t="s">
        <v>57</v>
      </c>
      <c r="E4" s="18">
        <v>8400</v>
      </c>
      <c r="F4" s="19">
        <f>D4-TODAY()</f>
      </c>
      <c r="G4" s="20">
        <f>IF(F4&lt;0,"OVERDUE",IF(F4&lt;=7,"Pay Now",IF(F4&lt;=30,"This Month","OK")))</f>
      </c>
    </row>
    <row r="5" spans="1:7" x14ac:dyDescent="0.25">
      <c r="A5" s="21" t="s">
        <v>86</v>
      </c>
      <c r="B5" s="21" t="s">
        <v>87</v>
      </c>
      <c r="C5" s="12" t="s">
        <v>88</v>
      </c>
      <c r="D5" s="12" t="s">
        <v>89</v>
      </c>
      <c r="E5" s="22">
        <v>2200</v>
      </c>
      <c r="F5" s="23">
        <f>D5-TODAY()</f>
      </c>
      <c r="G5" s="24">
        <f>IF(F5&lt;0,"OVERDUE",IF(F5&lt;=7,"Pay Now",IF(F5&lt;=30,"This Month","OK")))</f>
      </c>
    </row>
    <row r="6" spans="1:7" x14ac:dyDescent="0.25">
      <c r="A6" s="17" t="s">
        <v>90</v>
      </c>
      <c r="B6" s="17" t="s">
        <v>91</v>
      </c>
      <c r="C6" s="8" t="s">
        <v>60</v>
      </c>
      <c r="D6" s="8" t="s">
        <v>61</v>
      </c>
      <c r="E6" s="18">
        <v>890</v>
      </c>
      <c r="F6" s="19">
        <f>D6-TODAY()</f>
      </c>
      <c r="G6" s="20">
        <f>IF(F6&lt;0,"OVERDUE",IF(F6&lt;=7,"Pay Now",IF(F6&lt;=30,"This Month","OK")))</f>
      </c>
    </row>
    <row r="7" spans="1:7" x14ac:dyDescent="0.25">
      <c r="A7" s="21" t="s">
        <v>92</v>
      </c>
      <c r="B7" s="21" t="s">
        <v>93</v>
      </c>
      <c r="C7" s="12" t="s">
        <v>64</v>
      </c>
      <c r="D7" s="12" t="s">
        <v>65</v>
      </c>
      <c r="E7" s="22">
        <v>340</v>
      </c>
      <c r="F7" s="23">
        <f>D7-TODAY()</f>
      </c>
      <c r="G7" s="24">
        <f>IF(F7&lt;0,"OVERDUE",IF(F7&lt;=7,"Pay Now",IF(F7&lt;=30,"This Month","OK")))</f>
      </c>
    </row>
    <row r="8" spans="1:7" x14ac:dyDescent="0.25">
      <c r="A8" s="17" t="s">
        <v>94</v>
      </c>
      <c r="B8" s="17" t="s">
        <v>95</v>
      </c>
      <c r="C8" s="8" t="s">
        <v>68</v>
      </c>
      <c r="D8" s="8" t="s">
        <v>89</v>
      </c>
      <c r="E8" s="18">
        <v>3100</v>
      </c>
      <c r="F8" s="19">
        <f>D8-TODAY()</f>
      </c>
      <c r="G8" s="20">
        <f>IF(F8&lt;0,"OVERDUE",IF(F8&lt;=7,"Pay Now",IF(F8&lt;=30,"This Month","OK")))</f>
      </c>
    </row>
    <row r="9" spans="1:7" x14ac:dyDescent="0.25">
      <c r="A9" s="21" t="s">
        <v>96</v>
      </c>
      <c r="B9" s="21" t="s">
        <v>97</v>
      </c>
      <c r="C9" s="12" t="s">
        <v>72</v>
      </c>
      <c r="D9" s="12" t="s">
        <v>98</v>
      </c>
      <c r="E9" s="22">
        <v>1850</v>
      </c>
      <c r="F9" s="23">
        <f>D9-TODAY()</f>
      </c>
      <c r="G9" s="24">
        <f>IF(F9&lt;0,"OVERDUE",IF(F9&lt;=7,"Pay Now",IF(F9&lt;=30,"This Month","OK")))</f>
      </c>
    </row>
  </sheetData>
  <mergeCells count="2">
    <mergeCell ref="A1:G1"/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Weekly Position</vt:lpstr>
      <vt:lpstr>AR Aging</vt:lpstr>
      <vt:lpstr>AP 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2026-03-28T14:09:26Z</dcterms:created>
  <dcterms:modified xsi:type="dcterms:W3CDTF">2026-03-28T14:09:26Z</dcterms:modified>
</cp:coreProperties>
</file>