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Weekly Position" sheetId="1" state="visible" r:id="rId1"/>
    <sheet xmlns:r="http://schemas.openxmlformats.org/officeDocument/2006/relationships" name="AR Aging" sheetId="2" state="visible" r:id="rId2"/>
    <sheet xmlns:r="http://schemas.openxmlformats.org/officeDocument/2006/relationships" name="AP Schedul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#,##0.0"/>
    <numFmt numFmtId="166" formatCode="mm/dd/yyyy"/>
    <numFmt numFmtId="167" formatCode="\$#,##0.00"/>
    <numFmt numFmtId="168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1A3A5C"/>
      <sz val="9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A3A5C"/>
      <sz val="14"/>
    </font>
    <font>
      <name val="Arial"/>
      <color rgb="FF000000"/>
      <sz val="10"/>
    </font>
    <font>
      <name val="Arial"/>
      <b val="1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D6E8F5"/>
      </patternFill>
    </fill>
    <fill>
      <patternFill patternType="solid">
        <fgColor rgb="FF3D8EB9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EAF3DE"/>
      </patternFill>
    </fill>
    <fill>
      <patternFill patternType="solid">
        <fgColor rgb="FFFFE0B2"/>
      </patternFill>
    </fill>
    <fill>
      <patternFill patternType="solid">
        <fgColor rgb="FFFCEBEB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 wrapText="1"/>
    </xf>
    <xf numFmtId="166" fontId="6" fillId="11" borderId="4" applyAlignment="1" pivotButton="0" quotePrefix="0" xfId="0">
      <alignment horizontal="center" vertical="center"/>
    </xf>
    <xf numFmtId="164" fontId="6" fillId="11" borderId="4" applyAlignment="1" pivotButton="0" quotePrefix="0" xfId="0">
      <alignment horizontal="center" vertical="center"/>
    </xf>
    <xf numFmtId="164" fontId="7" fillId="11" borderId="4" applyAlignment="1" pivotButton="0" quotePrefix="0" xfId="0">
      <alignment horizontal="center" vertical="center"/>
    </xf>
    <xf numFmtId="166" fontId="0" fillId="11" borderId="4" applyAlignment="1" pivotButton="0" quotePrefix="0" xfId="0">
      <alignment horizontal="center"/>
    </xf>
    <xf numFmtId="164" fontId="0" fillId="11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7" fontId="7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7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7" fontId="7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7" fontId="7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5" fillId="3" borderId="1" applyAlignment="1" pivotButton="0" quotePrefix="0" xfId="0">
      <alignment horizontal="center" vertical="center"/>
    </xf>
    <xf numFmtId="166" fontId="6" fillId="11" borderId="4" applyAlignment="1" pivotButton="0" quotePrefix="0" xfId="0">
      <alignment horizontal="center" vertical="center"/>
    </xf>
    <xf numFmtId="166" fontId="0" fillId="11" borderId="4" applyAlignment="1" pivotButton="0" quotePrefix="0" xfId="0">
      <alignment horizontal="center"/>
    </xf>
    <xf numFmtId="166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8" fontId="7" fillId="8" borderId="1" applyAlignment="1" pivotButton="0" quotePrefix="0" xfId="0">
      <alignment horizontal="center" vertical="center"/>
    </xf>
    <xf numFmtId="168" fontId="7" fillId="7" borderId="1" applyAlignment="1" pivotButton="0" quotePrefix="0" xfId="0">
      <alignment horizontal="center" vertical="center"/>
    </xf>
    <xf numFmtId="168" fontId="7" fillId="9" borderId="1" applyAlignment="1" pivotButton="0" quotePrefix="0" xfId="0">
      <alignment horizontal="center" vertical="center"/>
    </xf>
    <xf numFmtId="168" fontId="7" fillId="10" borderId="1" applyAlignment="1" pivotButton="0" quotePrefix="0" xfId="0">
      <alignment horizontal="center" vertical="center"/>
    </xf>
    <xf numFmtId="168" fontId="0" fillId="0" borderId="0" pivotButton="0" quotePrefix="0" xfId="0"/>
  </cellXfs>
  <cellStyles count="1">
    <cellStyle name="Normal" xfId="0" builtinId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zoomScaleNormal="100" workbookViewId="0">
      <pane ySplit="9" topLeftCell="A71" activePane="bottomLeft" state="frozen"/>
      <selection pane="bottomLeft" activeCell="A90" sqref="A90"/>
    </sheetView>
  </sheetViews>
  <sheetFormatPr baseColWidth="8" defaultRowHeight="15"/>
  <cols>
    <col width="13" customWidth="1" style="36" min="1" max="1"/>
    <col width="15" customWidth="1" style="36" min="2" max="3"/>
    <col width="13" customWidth="1" style="36" min="4" max="4"/>
    <col width="15" customWidth="1" style="36" min="5" max="6"/>
    <col width="14" customWidth="1" style="36" min="7" max="7"/>
    <col width="16" customWidth="1" style="36" min="8" max="8"/>
    <col width="9.140625" customWidth="1" style="36" min="9" max="16384"/>
  </cols>
  <sheetData>
    <row r="1" ht="30" customHeight="1">
      <c r="A1" s="37" t="inlineStr">
        <is>
          <t>SignalStack | Cash Flow Compass — Weekly Cash Position</t>
        </is>
      </c>
    </row>
    <row r="2" ht="15.95" customHeight="1">
      <c r="A2" s="35" t="inlineStr">
        <is>
          <t xml:space="preserve">  Update the blue input cells each Monday. Formulas calculate your position and 30/60/90-day estimate.</t>
        </is>
      </c>
    </row>
    <row r="3" ht="8.1" customHeight="1"/>
    <row r="4" ht="21.95" customHeight="1">
      <c r="A4" s="32" t="inlineStr">
        <is>
          <t>CASH POSITION — THIS WEEK</t>
        </is>
      </c>
      <c r="B4" s="39" t="n"/>
      <c r="C4" s="39" t="n"/>
      <c r="D4" s="39" t="n"/>
      <c r="E4" s="39" t="n"/>
      <c r="F4" s="39" t="n"/>
      <c r="G4" s="39" t="n"/>
      <c r="H4" s="40" t="n"/>
    </row>
    <row r="5" ht="18" customHeight="1">
      <c r="A5" s="1" t="inlineStr">
        <is>
          <t>Cash on Hand</t>
        </is>
      </c>
      <c r="B5" s="1" t="inlineStr">
        <is>
          <t>AR Due &lt; 30d</t>
        </is>
      </c>
      <c r="C5" s="1" t="inlineStr">
        <is>
          <t>AP Due &lt; 30d</t>
        </is>
      </c>
      <c r="D5" s="1" t="inlineStr">
        <is>
          <t>Net 30-Day</t>
        </is>
      </c>
      <c r="E5" s="1" t="inlineStr">
        <is>
          <t>Weekly Burn</t>
        </is>
      </c>
      <c r="F5" s="1" t="inlineStr">
        <is>
          <t>Runway (weeks)</t>
        </is>
      </c>
    </row>
    <row r="6" ht="27.95" customHeight="1">
      <c r="A6" s="2" t="n">
        <v>48500</v>
      </c>
      <c r="B6" s="2">
        <f>SUMPRODUCT((('AR Aging'!F4:F10&lt;=30)*'AR Aging'!E4:E10))</f>
        <v/>
      </c>
      <c r="C6" s="2">
        <f>SUMPRODUCT((ABS('AP Schedule'!F4:F9)&lt;=30)*'AP Schedule'!E4:E9)</f>
        <v/>
      </c>
      <c r="D6" s="2">
        <f>A6+B6-C6</f>
        <v/>
      </c>
      <c r="E6" s="2" t="n">
        <v>9800</v>
      </c>
      <c r="F6" s="41">
        <f>A6/E6</f>
        <v/>
      </c>
    </row>
    <row r="7" ht="9.949999999999999" customHeight="1"/>
    <row r="8" ht="21.95" customHeight="1">
      <c r="A8" s="32" t="inlineStr">
        <is>
          <t>WEEKLY CASH TRACKER — FULL HISTORY</t>
        </is>
      </c>
      <c r="B8" s="39" t="n"/>
      <c r="C8" s="39" t="n"/>
      <c r="D8" s="39" t="n"/>
      <c r="E8" s="39" t="n"/>
      <c r="F8" s="39" t="n"/>
      <c r="G8" s="39" t="n"/>
      <c r="H8" s="40" t="n"/>
    </row>
    <row r="9" ht="33.95" customHeight="1">
      <c r="A9" s="9" t="inlineStr">
        <is>
          <t>Week Of</t>
        </is>
      </c>
      <c r="B9" s="9" t="inlineStr">
        <is>
          <t>Cash on Hand</t>
        </is>
      </c>
      <c r="C9" s="9" t="inlineStr">
        <is>
          <t>AR Collected</t>
        </is>
      </c>
      <c r="D9" s="9" t="inlineStr">
        <is>
          <t>AP Paid</t>
        </is>
      </c>
      <c r="E9" s="9" t="inlineStr">
        <is>
          <t>Revenue In</t>
        </is>
      </c>
      <c r="F9" s="9" t="inlineStr">
        <is>
          <t>Expenses Out</t>
        </is>
      </c>
      <c r="G9" s="9" t="inlineStr">
        <is>
          <t>Net Change</t>
        </is>
      </c>
      <c r="H9" s="9" t="inlineStr">
        <is>
          <t>Ending Balance</t>
        </is>
      </c>
    </row>
    <row r="10">
      <c r="A10" s="42" t="inlineStr">
        <is>
          <t>10/07/2024</t>
        </is>
      </c>
      <c r="B10" s="11" t="n">
        <v>38200</v>
      </c>
      <c r="C10" s="11" t="n">
        <v>14200</v>
      </c>
      <c r="D10" s="11" t="n">
        <v>10800</v>
      </c>
      <c r="E10" s="11" t="n">
        <v>17500</v>
      </c>
      <c r="F10" s="11" t="n">
        <v>13200</v>
      </c>
      <c r="G10" s="11">
        <f>E10-F10</f>
        <v/>
      </c>
      <c r="H10" s="12">
        <f>B10+G10</f>
        <v/>
      </c>
    </row>
    <row r="11">
      <c r="A11" s="42" t="inlineStr">
        <is>
          <t>10/14/2024</t>
        </is>
      </c>
      <c r="B11" s="11" t="n">
        <v>42500</v>
      </c>
      <c r="C11" s="11" t="n">
        <v>15800</v>
      </c>
      <c r="D11" s="11" t="n">
        <v>11200</v>
      </c>
      <c r="E11" s="11" t="n">
        <v>18200</v>
      </c>
      <c r="F11" s="11" t="n">
        <v>14100</v>
      </c>
      <c r="G11" s="11">
        <f>E11-F11</f>
        <v/>
      </c>
      <c r="H11" s="12">
        <f>B11+G11</f>
        <v/>
      </c>
    </row>
    <row r="12">
      <c r="A12" s="42" t="inlineStr">
        <is>
          <t>10/21/2024</t>
        </is>
      </c>
      <c r="B12" s="11" t="n">
        <v>46600</v>
      </c>
      <c r="C12" s="11" t="n">
        <v>13900</v>
      </c>
      <c r="D12" s="11" t="n">
        <v>12400</v>
      </c>
      <c r="E12" s="11" t="n">
        <v>16800</v>
      </c>
      <c r="F12" s="11" t="n">
        <v>13600</v>
      </c>
      <c r="G12" s="11">
        <f>E12-F12</f>
        <v/>
      </c>
      <c r="H12" s="12">
        <f>B12+G12</f>
        <v/>
      </c>
    </row>
    <row r="13">
      <c r="A13" s="42" t="inlineStr">
        <is>
          <t>10/28/2024</t>
        </is>
      </c>
      <c r="B13" s="11" t="n">
        <v>49800</v>
      </c>
      <c r="C13" s="11" t="n">
        <v>16200</v>
      </c>
      <c r="D13" s="11" t="n">
        <v>13800</v>
      </c>
      <c r="E13" s="11" t="n">
        <v>19100</v>
      </c>
      <c r="F13" s="11" t="n">
        <v>14900</v>
      </c>
      <c r="G13" s="11">
        <f>E13-F13</f>
        <v/>
      </c>
      <c r="H13" s="12">
        <f>B13+G13</f>
        <v/>
      </c>
    </row>
    <row r="14">
      <c r="A14" s="42" t="inlineStr">
        <is>
          <t>11/04/2024</t>
        </is>
      </c>
      <c r="B14" s="11" t="n">
        <v>54000</v>
      </c>
      <c r="C14" s="11" t="n">
        <v>14800</v>
      </c>
      <c r="D14" s="11" t="n">
        <v>11600</v>
      </c>
      <c r="E14" s="11" t="n">
        <v>17400</v>
      </c>
      <c r="F14" s="11" t="n">
        <v>13100</v>
      </c>
      <c r="G14" s="11">
        <f>E14-F14</f>
        <v/>
      </c>
      <c r="H14" s="11">
        <f>B14+G14</f>
        <v/>
      </c>
    </row>
    <row r="15">
      <c r="A15" s="42" t="inlineStr">
        <is>
          <t>11/11/2024</t>
        </is>
      </c>
      <c r="B15" s="11" t="n">
        <v>58300</v>
      </c>
      <c r="C15" s="11" t="n">
        <v>15100</v>
      </c>
      <c r="D15" s="11" t="n">
        <v>12200</v>
      </c>
      <c r="E15" s="11" t="n">
        <v>18000</v>
      </c>
      <c r="F15" s="11" t="n">
        <v>13800</v>
      </c>
      <c r="G15" s="11">
        <f>E15-F15</f>
        <v/>
      </c>
      <c r="H15" s="11">
        <f>B15+G15</f>
        <v/>
      </c>
    </row>
    <row r="16">
      <c r="A16" s="42" t="inlineStr">
        <is>
          <t>11/18/2024</t>
        </is>
      </c>
      <c r="B16" s="11" t="n">
        <v>62500</v>
      </c>
      <c r="C16" s="11" t="n">
        <v>13600</v>
      </c>
      <c r="D16" s="11" t="n">
        <v>14400</v>
      </c>
      <c r="E16" s="11" t="n">
        <v>16500</v>
      </c>
      <c r="F16" s="11" t="n">
        <v>15200</v>
      </c>
      <c r="G16" s="11">
        <f>E16-F16</f>
        <v/>
      </c>
      <c r="H16" s="11">
        <f>B16+G16</f>
        <v/>
      </c>
    </row>
    <row r="17">
      <c r="A17" s="42" t="inlineStr">
        <is>
          <t>11/25/2024</t>
        </is>
      </c>
      <c r="B17" s="11" t="n">
        <v>63800</v>
      </c>
      <c r="C17" s="11" t="n">
        <v>12400</v>
      </c>
      <c r="D17" s="11" t="n">
        <v>10800</v>
      </c>
      <c r="E17" s="11" t="n">
        <v>15800</v>
      </c>
      <c r="F17" s="11" t="n">
        <v>12400</v>
      </c>
      <c r="G17" s="11">
        <f>E17-F17</f>
        <v/>
      </c>
      <c r="H17" s="11">
        <f>B17+G17</f>
        <v/>
      </c>
    </row>
    <row r="18">
      <c r="A18" s="43" t="inlineStr">
        <is>
          <t>12/02/2024</t>
        </is>
      </c>
      <c r="B18" s="14" t="n">
        <v>67200</v>
      </c>
      <c r="C18" s="14" t="n">
        <v>11800</v>
      </c>
      <c r="D18" s="14" t="n">
        <v>12600</v>
      </c>
      <c r="E18" s="14" t="n">
        <v>14900</v>
      </c>
      <c r="F18" s="14" t="n">
        <v>13500</v>
      </c>
      <c r="G18" s="14">
        <f>E18-F18</f>
        <v/>
      </c>
      <c r="H18" s="14">
        <f>B18+G18</f>
        <v/>
      </c>
    </row>
    <row r="19">
      <c r="A19" s="43" t="inlineStr">
        <is>
          <t>12/09/2024</t>
        </is>
      </c>
      <c r="B19" s="14" t="n">
        <v>68600</v>
      </c>
      <c r="C19" s="14" t="n">
        <v>13200</v>
      </c>
      <c r="D19" s="14" t="n">
        <v>11400</v>
      </c>
      <c r="E19" s="14" t="n">
        <v>16100</v>
      </c>
      <c r="F19" s="14" t="n">
        <v>13000</v>
      </c>
      <c r="G19" s="14">
        <f>E19-F19</f>
        <v/>
      </c>
      <c r="H19" s="14">
        <f>B19+G19</f>
        <v/>
      </c>
    </row>
    <row r="20">
      <c r="A20" s="43" t="inlineStr">
        <is>
          <t>12/16/2024</t>
        </is>
      </c>
      <c r="B20" s="14" t="n">
        <v>71700</v>
      </c>
      <c r="C20" s="14" t="n">
        <v>9800</v>
      </c>
      <c r="D20" s="14" t="n">
        <v>8400</v>
      </c>
      <c r="E20" s="14" t="n">
        <v>13200</v>
      </c>
      <c r="F20" s="14" t="n">
        <v>10800</v>
      </c>
      <c r="G20" s="14">
        <f>E20-F20</f>
        <v/>
      </c>
      <c r="H20" s="14">
        <f>B20+G20</f>
        <v/>
      </c>
    </row>
    <row r="21">
      <c r="A21" s="43" t="inlineStr">
        <is>
          <t>12/23/2024</t>
        </is>
      </c>
      <c r="B21" s="14" t="n">
        <v>74100</v>
      </c>
      <c r="C21" s="14" t="n">
        <v>6200</v>
      </c>
      <c r="D21" s="14" t="n">
        <v>5600</v>
      </c>
      <c r="E21" s="14" t="n">
        <v>9400</v>
      </c>
      <c r="F21" s="14" t="n">
        <v>7800</v>
      </c>
      <c r="G21" s="14">
        <f>E21-F21</f>
        <v/>
      </c>
      <c r="H21" s="14">
        <f>B21+G21</f>
        <v/>
      </c>
    </row>
    <row r="22">
      <c r="A22" s="43" t="inlineStr">
        <is>
          <t>12/30/2024</t>
        </is>
      </c>
      <c r="B22" s="14" t="n">
        <v>75700</v>
      </c>
      <c r="C22" s="14" t="n">
        <v>5100</v>
      </c>
      <c r="D22" s="14" t="n">
        <v>4800</v>
      </c>
      <c r="E22" s="14" t="n">
        <v>8200</v>
      </c>
      <c r="F22" s="14" t="n">
        <v>6900</v>
      </c>
      <c r="G22" s="14">
        <f>E22-F22</f>
        <v/>
      </c>
      <c r="H22" s="14">
        <f>B22+G22</f>
        <v/>
      </c>
    </row>
    <row r="23">
      <c r="A23" s="43" t="inlineStr">
        <is>
          <t>01/06/2025</t>
        </is>
      </c>
      <c r="B23" s="14" t="n">
        <v>77000</v>
      </c>
      <c r="C23" s="14" t="n">
        <v>14400</v>
      </c>
      <c r="D23" s="14" t="n">
        <v>11800</v>
      </c>
      <c r="E23" s="14" t="n">
        <v>17200</v>
      </c>
      <c r="F23" s="14" t="n">
        <v>13400</v>
      </c>
      <c r="G23" s="14">
        <f>E23-F23</f>
        <v/>
      </c>
      <c r="H23" s="14">
        <f>B23+G23</f>
        <v/>
      </c>
    </row>
    <row r="24">
      <c r="A24" s="43" t="inlineStr">
        <is>
          <t>01/13/2025</t>
        </is>
      </c>
      <c r="B24" s="14" t="n">
        <v>80800</v>
      </c>
      <c r="C24" s="14" t="n">
        <v>15200</v>
      </c>
      <c r="D24" s="14" t="n">
        <v>12600</v>
      </c>
      <c r="E24" s="14" t="n">
        <v>18400</v>
      </c>
      <c r="F24" s="14" t="n">
        <v>14200</v>
      </c>
      <c r="G24" s="14">
        <f>E24-F24</f>
        <v/>
      </c>
      <c r="H24" s="14">
        <f>B24+G24</f>
        <v/>
      </c>
    </row>
    <row r="25">
      <c r="A25" s="43" t="inlineStr">
        <is>
          <t>01/20/2025</t>
        </is>
      </c>
      <c r="B25" s="14" t="n">
        <v>85000</v>
      </c>
      <c r="C25" s="14" t="n">
        <v>14800</v>
      </c>
      <c r="D25" s="14" t="n">
        <v>13200</v>
      </c>
      <c r="E25" s="14" t="n">
        <v>17800</v>
      </c>
      <c r="F25" s="14" t="n">
        <v>14600</v>
      </c>
      <c r="G25" s="14">
        <f>E25-F25</f>
        <v/>
      </c>
      <c r="H25" s="14">
        <f>B25+G25</f>
        <v/>
      </c>
    </row>
    <row r="26">
      <c r="A26" s="43" t="inlineStr">
        <is>
          <t>01/27/2025</t>
        </is>
      </c>
      <c r="B26" s="14" t="n">
        <v>88200</v>
      </c>
      <c r="C26" s="14" t="n">
        <v>16100</v>
      </c>
      <c r="D26" s="14" t="n">
        <v>12400</v>
      </c>
      <c r="E26" s="14" t="n">
        <v>19200</v>
      </c>
      <c r="F26" s="14" t="n">
        <v>13800</v>
      </c>
      <c r="G26" s="14">
        <f>E26-F26</f>
        <v/>
      </c>
      <c r="H26" s="14">
        <f>B26+G26</f>
        <v/>
      </c>
    </row>
    <row r="27">
      <c r="A27" s="43" t="inlineStr">
        <is>
          <t>02/03/2025</t>
        </is>
      </c>
      <c r="B27" s="14" t="n">
        <v>93600</v>
      </c>
      <c r="C27" s="14" t="n">
        <v>15400</v>
      </c>
      <c r="D27" s="14" t="n">
        <v>13800</v>
      </c>
      <c r="E27" s="14" t="n">
        <v>18600</v>
      </c>
      <c r="F27" s="14" t="n">
        <v>14900</v>
      </c>
      <c r="G27" s="14">
        <f>E27-F27</f>
        <v/>
      </c>
      <c r="H27" s="14">
        <f>B27+G27</f>
        <v/>
      </c>
    </row>
    <row r="28">
      <c r="A28" s="43" t="inlineStr">
        <is>
          <t>02/10/2025</t>
        </is>
      </c>
      <c r="B28" s="14" t="n">
        <v>97300</v>
      </c>
      <c r="C28" s="14" t="n">
        <v>14200</v>
      </c>
      <c r="D28" s="14" t="n">
        <v>12200</v>
      </c>
      <c r="E28" s="14" t="n">
        <v>17100</v>
      </c>
      <c r="F28" s="14" t="n">
        <v>13600</v>
      </c>
      <c r="G28" s="14">
        <f>E28-F28</f>
        <v/>
      </c>
      <c r="H28" s="14">
        <f>B28+G28</f>
        <v/>
      </c>
    </row>
    <row r="29">
      <c r="A29" s="43" t="inlineStr">
        <is>
          <t>02/17/2025</t>
        </is>
      </c>
      <c r="B29" s="14" t="n">
        <v>100800</v>
      </c>
      <c r="C29" s="14" t="n">
        <v>15800</v>
      </c>
      <c r="D29" s="14" t="n">
        <v>14100</v>
      </c>
      <c r="E29" s="14" t="n">
        <v>19000</v>
      </c>
      <c r="F29" s="14" t="n">
        <v>15200</v>
      </c>
      <c r="G29" s="14">
        <f>E29-F29</f>
        <v/>
      </c>
      <c r="H29" s="14">
        <f>B29+G29</f>
        <v/>
      </c>
    </row>
    <row r="30">
      <c r="A30" s="43" t="inlineStr">
        <is>
          <t>02/24/2025</t>
        </is>
      </c>
      <c r="B30" s="14" t="n">
        <v>104600</v>
      </c>
      <c r="C30" s="14" t="n">
        <v>14228</v>
      </c>
      <c r="D30" s="14" t="n">
        <v>10515</v>
      </c>
      <c r="E30" s="14" t="n">
        <v>16832</v>
      </c>
      <c r="F30" s="14" t="n">
        <v>12898</v>
      </c>
      <c r="G30" s="14">
        <f>E30-F30</f>
        <v/>
      </c>
      <c r="H30" s="14">
        <f>B30+G30</f>
        <v/>
      </c>
    </row>
    <row r="31">
      <c r="A31" s="43" t="inlineStr">
        <is>
          <t>03/03/2025</t>
        </is>
      </c>
      <c r="B31" s="14" t="n">
        <v>108534</v>
      </c>
      <c r="C31" s="14" t="n">
        <v>16898</v>
      </c>
      <c r="D31" s="14" t="n">
        <v>10443</v>
      </c>
      <c r="E31" s="14" t="n">
        <v>19349</v>
      </c>
      <c r="F31" s="14" t="n">
        <v>13540</v>
      </c>
      <c r="G31" s="14">
        <f>E31-F31</f>
        <v/>
      </c>
      <c r="H31" s="14">
        <f>B31+G31</f>
        <v/>
      </c>
    </row>
    <row r="32">
      <c r="A32" s="43" t="inlineStr">
        <is>
          <t>03/10/2025</t>
        </is>
      </c>
      <c r="B32" s="14" t="n">
        <v>114343</v>
      </c>
      <c r="C32" s="14" t="n">
        <v>13812</v>
      </c>
      <c r="D32" s="14" t="n">
        <v>12129</v>
      </c>
      <c r="E32" s="14" t="n">
        <v>17349</v>
      </c>
      <c r="F32" s="14" t="n">
        <v>14488</v>
      </c>
      <c r="G32" s="14">
        <f>E32-F32</f>
        <v/>
      </c>
      <c r="H32" s="14">
        <f>B32+G32</f>
        <v/>
      </c>
    </row>
    <row r="33">
      <c r="A33" s="43" t="inlineStr">
        <is>
          <t>03/17/2025</t>
        </is>
      </c>
      <c r="B33" s="14" t="n">
        <v>117204</v>
      </c>
      <c r="C33" s="14" t="n">
        <v>15833</v>
      </c>
      <c r="D33" s="14" t="n">
        <v>11949</v>
      </c>
      <c r="E33" s="14" t="n">
        <v>18707</v>
      </c>
      <c r="F33" s="14" t="n">
        <v>13792</v>
      </c>
      <c r="G33" s="14">
        <f>E33-F33</f>
        <v/>
      </c>
      <c r="H33" s="14">
        <f>B33+G33</f>
        <v/>
      </c>
    </row>
    <row r="34">
      <c r="A34" s="43" t="inlineStr">
        <is>
          <t>03/24/2025</t>
        </is>
      </c>
      <c r="B34" s="14" t="n">
        <v>122119</v>
      </c>
      <c r="C34" s="14" t="n">
        <v>14478</v>
      </c>
      <c r="D34" s="14" t="n">
        <v>11303</v>
      </c>
      <c r="E34" s="14" t="n">
        <v>17220</v>
      </c>
      <c r="F34" s="14" t="n">
        <v>13796</v>
      </c>
      <c r="G34" s="14">
        <f>E34-F34</f>
        <v/>
      </c>
      <c r="H34" s="14">
        <f>B34+G34</f>
        <v/>
      </c>
    </row>
    <row r="35">
      <c r="A35" s="43" t="inlineStr">
        <is>
          <t>03/31/2025</t>
        </is>
      </c>
      <c r="B35" s="14" t="n">
        <v>125543</v>
      </c>
      <c r="C35" s="14" t="n">
        <v>16207</v>
      </c>
      <c r="D35" s="14" t="n">
        <v>12220</v>
      </c>
      <c r="E35" s="14" t="n">
        <v>18837</v>
      </c>
      <c r="F35" s="14" t="n">
        <v>13628</v>
      </c>
      <c r="G35" s="14">
        <f>E35-F35</f>
        <v/>
      </c>
      <c r="H35" s="14">
        <f>B35+G35</f>
        <v/>
      </c>
    </row>
    <row r="36">
      <c r="A36" s="43" t="inlineStr">
        <is>
          <t>04/07/2025</t>
        </is>
      </c>
      <c r="B36" s="14" t="n">
        <v>130752</v>
      </c>
      <c r="C36" s="14" t="n">
        <v>15874</v>
      </c>
      <c r="D36" s="14" t="n">
        <v>12681</v>
      </c>
      <c r="E36" s="14" t="n">
        <v>18456</v>
      </c>
      <c r="F36" s="14" t="n">
        <v>14505</v>
      </c>
      <c r="G36" s="14">
        <f>E36-F36</f>
        <v/>
      </c>
      <c r="H36" s="14">
        <f>B36+G36</f>
        <v/>
      </c>
    </row>
    <row r="37">
      <c r="A37" s="43" t="inlineStr">
        <is>
          <t>04/14/2025</t>
        </is>
      </c>
      <c r="B37" s="14" t="n">
        <v>134703</v>
      </c>
      <c r="C37" s="14" t="n">
        <v>14573</v>
      </c>
      <c r="D37" s="14" t="n">
        <v>13129</v>
      </c>
      <c r="E37" s="14" t="n">
        <v>17849</v>
      </c>
      <c r="F37" s="14" t="n">
        <v>14594</v>
      </c>
      <c r="G37" s="14">
        <f>E37-F37</f>
        <v/>
      </c>
      <c r="H37" s="14">
        <f>B37+G37</f>
        <v/>
      </c>
    </row>
    <row r="38">
      <c r="A38" s="43" t="inlineStr">
        <is>
          <t>04/21/2025</t>
        </is>
      </c>
      <c r="B38" s="14" t="n">
        <v>137958</v>
      </c>
      <c r="C38" s="14" t="n">
        <v>14857</v>
      </c>
      <c r="D38" s="14" t="n">
        <v>11916</v>
      </c>
      <c r="E38" s="14" t="n">
        <v>17165</v>
      </c>
      <c r="F38" s="14" t="n">
        <v>14136</v>
      </c>
      <c r="G38" s="14">
        <f>E38-F38</f>
        <v/>
      </c>
      <c r="H38" s="14">
        <f>B38+G38</f>
        <v/>
      </c>
    </row>
    <row r="39">
      <c r="A39" s="43" t="inlineStr">
        <is>
          <t>04/28/2025</t>
        </is>
      </c>
      <c r="B39" s="14" t="n">
        <v>140987</v>
      </c>
      <c r="C39" s="14" t="n">
        <v>13452</v>
      </c>
      <c r="D39" s="14" t="n">
        <v>11244</v>
      </c>
      <c r="E39" s="14" t="n">
        <v>16760</v>
      </c>
      <c r="F39" s="14" t="n">
        <v>13400</v>
      </c>
      <c r="G39" s="14">
        <f>E39-F39</f>
        <v/>
      </c>
      <c r="H39" s="14">
        <f>B39+G39</f>
        <v/>
      </c>
    </row>
    <row r="40">
      <c r="A40" s="43" t="inlineStr">
        <is>
          <t>05/05/2025</t>
        </is>
      </c>
      <c r="B40" s="14" t="n">
        <v>144347</v>
      </c>
      <c r="C40" s="14" t="n">
        <v>14810</v>
      </c>
      <c r="D40" s="14" t="n">
        <v>10593</v>
      </c>
      <c r="E40" s="14" t="n">
        <v>17616</v>
      </c>
      <c r="F40" s="14" t="n">
        <v>13861</v>
      </c>
      <c r="G40" s="14">
        <f>E40-F40</f>
        <v/>
      </c>
      <c r="H40" s="14">
        <f>B40+G40</f>
        <v/>
      </c>
    </row>
    <row r="41">
      <c r="A41" s="43" t="inlineStr">
        <is>
          <t>05/12/2025</t>
        </is>
      </c>
      <c r="B41" s="14" t="n">
        <v>148102</v>
      </c>
      <c r="C41" s="14" t="n">
        <v>14828</v>
      </c>
      <c r="D41" s="14" t="n">
        <v>11551</v>
      </c>
      <c r="E41" s="14" t="n">
        <v>16988</v>
      </c>
      <c r="F41" s="14" t="n">
        <v>14487</v>
      </c>
      <c r="G41" s="14">
        <f>E41-F41</f>
        <v/>
      </c>
      <c r="H41" s="14">
        <f>B41+G41</f>
        <v/>
      </c>
    </row>
    <row r="42">
      <c r="A42" s="43" t="inlineStr">
        <is>
          <t>05/19/2025</t>
        </is>
      </c>
      <c r="B42" s="14" t="n">
        <v>150603</v>
      </c>
      <c r="C42" s="14" t="n">
        <v>13995</v>
      </c>
      <c r="D42" s="14" t="n">
        <v>11028</v>
      </c>
      <c r="E42" s="14" t="n">
        <v>17848</v>
      </c>
      <c r="F42" s="14" t="n">
        <v>14395</v>
      </c>
      <c r="G42" s="14">
        <f>E42-F42</f>
        <v/>
      </c>
      <c r="H42" s="14">
        <f>B42+G42</f>
        <v/>
      </c>
    </row>
    <row r="43">
      <c r="A43" s="43" t="inlineStr">
        <is>
          <t>05/26/2025</t>
        </is>
      </c>
      <c r="B43" s="14" t="n">
        <v>154056</v>
      </c>
      <c r="C43" s="14" t="n">
        <v>15854</v>
      </c>
      <c r="D43" s="14" t="n">
        <v>11534</v>
      </c>
      <c r="E43" s="14" t="n">
        <v>19020</v>
      </c>
      <c r="F43" s="14" t="n">
        <v>14476</v>
      </c>
      <c r="G43" s="14">
        <f>E43-F43</f>
        <v/>
      </c>
      <c r="H43" s="14">
        <f>B43+G43</f>
        <v/>
      </c>
    </row>
    <row r="44">
      <c r="A44" s="43" t="inlineStr">
        <is>
          <t>06/02/2025</t>
        </is>
      </c>
      <c r="B44" s="14" t="n">
        <v>158600</v>
      </c>
      <c r="C44" s="14" t="n">
        <v>15894</v>
      </c>
      <c r="D44" s="14" t="n">
        <v>10230</v>
      </c>
      <c r="E44" s="14" t="n">
        <v>18256</v>
      </c>
      <c r="F44" s="14" t="n">
        <v>13816</v>
      </c>
      <c r="G44" s="14">
        <f>E44-F44</f>
        <v/>
      </c>
      <c r="H44" s="14">
        <f>B44+G44</f>
        <v/>
      </c>
    </row>
    <row r="45">
      <c r="A45" s="43" t="inlineStr">
        <is>
          <t>06/09/2025</t>
        </is>
      </c>
      <c r="B45" s="14" t="n">
        <v>163040</v>
      </c>
      <c r="C45" s="14" t="n">
        <v>15706</v>
      </c>
      <c r="D45" s="14" t="n">
        <v>12238</v>
      </c>
      <c r="E45" s="14" t="n">
        <v>17987</v>
      </c>
      <c r="F45" s="14" t="n">
        <v>13939</v>
      </c>
      <c r="G45" s="14">
        <f>E45-F45</f>
        <v/>
      </c>
      <c r="H45" s="14">
        <f>B45+G45</f>
        <v/>
      </c>
    </row>
    <row r="46">
      <c r="A46" s="43" t="inlineStr">
        <is>
          <t>06/16/2025</t>
        </is>
      </c>
      <c r="B46" s="14" t="n">
        <v>167088</v>
      </c>
      <c r="C46" s="14" t="n">
        <v>14323</v>
      </c>
      <c r="D46" s="14" t="n">
        <v>10924</v>
      </c>
      <c r="E46" s="14" t="n">
        <v>18476</v>
      </c>
      <c r="F46" s="14" t="n">
        <v>14138</v>
      </c>
      <c r="G46" s="14">
        <f>E46-F46</f>
        <v/>
      </c>
      <c r="H46" s="14">
        <f>B46+G46</f>
        <v/>
      </c>
    </row>
    <row r="47">
      <c r="A47" s="43" t="inlineStr">
        <is>
          <t>06/23/2025</t>
        </is>
      </c>
      <c r="B47" s="14" t="n">
        <v>171426</v>
      </c>
      <c r="C47" s="14" t="n">
        <v>15852</v>
      </c>
      <c r="D47" s="14" t="n">
        <v>11233</v>
      </c>
      <c r="E47" s="14" t="n">
        <v>17619</v>
      </c>
      <c r="F47" s="14" t="n">
        <v>13696</v>
      </c>
      <c r="G47" s="14">
        <f>E47-F47</f>
        <v/>
      </c>
      <c r="H47" s="14">
        <f>B47+G47</f>
        <v/>
      </c>
    </row>
    <row r="48">
      <c r="A48" s="43" t="inlineStr">
        <is>
          <t>06/30/2025</t>
        </is>
      </c>
      <c r="B48" s="14" t="n">
        <v>175349</v>
      </c>
      <c r="C48" s="14" t="n">
        <v>13553</v>
      </c>
      <c r="D48" s="14" t="n">
        <v>12751</v>
      </c>
      <c r="E48" s="14" t="n">
        <v>17137</v>
      </c>
      <c r="F48" s="14" t="n">
        <v>15003</v>
      </c>
      <c r="G48" s="14">
        <f>E48-F48</f>
        <v/>
      </c>
      <c r="H48" s="14">
        <f>B48+G48</f>
        <v/>
      </c>
    </row>
    <row r="49">
      <c r="A49" s="43" t="inlineStr">
        <is>
          <t>07/07/2025</t>
        </is>
      </c>
      <c r="B49" s="14" t="n">
        <v>177483</v>
      </c>
      <c r="C49" s="14" t="n">
        <v>15488</v>
      </c>
      <c r="D49" s="14" t="n">
        <v>12193</v>
      </c>
      <c r="E49" s="14" t="n">
        <v>17692</v>
      </c>
      <c r="F49" s="14" t="n">
        <v>14725</v>
      </c>
      <c r="G49" s="14">
        <f>E49-F49</f>
        <v/>
      </c>
      <c r="H49" s="14">
        <f>B49+G49</f>
        <v/>
      </c>
    </row>
    <row r="50">
      <c r="A50" s="43" t="inlineStr">
        <is>
          <t>07/14/2025</t>
        </is>
      </c>
      <c r="B50" s="14" t="n">
        <v>180450</v>
      </c>
      <c r="C50" s="14" t="n">
        <v>15022</v>
      </c>
      <c r="D50" s="14" t="n">
        <v>11956</v>
      </c>
      <c r="E50" s="14" t="n">
        <v>18559</v>
      </c>
      <c r="F50" s="14" t="n">
        <v>14153</v>
      </c>
      <c r="G50" s="14">
        <f>E50-F50</f>
        <v/>
      </c>
      <c r="H50" s="14">
        <f>B50+G50</f>
        <v/>
      </c>
    </row>
    <row r="51">
      <c r="A51" s="43" t="inlineStr">
        <is>
          <t>07/21/2025</t>
        </is>
      </c>
      <c r="B51" s="14" t="n">
        <v>184856</v>
      </c>
      <c r="C51" s="14" t="n">
        <v>14269</v>
      </c>
      <c r="D51" s="14" t="n">
        <v>11177</v>
      </c>
      <c r="E51" s="14" t="n">
        <v>16200</v>
      </c>
      <c r="F51" s="14" t="n">
        <v>14930</v>
      </c>
      <c r="G51" s="14">
        <f>E51-F51</f>
        <v/>
      </c>
      <c r="H51" s="14">
        <f>B51+G51</f>
        <v/>
      </c>
    </row>
    <row r="52">
      <c r="A52" s="43" t="inlineStr">
        <is>
          <t>07/28/2025</t>
        </is>
      </c>
      <c r="B52" s="14" t="n">
        <v>186126</v>
      </c>
      <c r="C52" s="14" t="n">
        <v>13988</v>
      </c>
      <c r="D52" s="14" t="n">
        <v>13046</v>
      </c>
      <c r="E52" s="14" t="n">
        <v>16263</v>
      </c>
      <c r="F52" s="14" t="n">
        <v>14616</v>
      </c>
      <c r="G52" s="14">
        <f>E52-F52</f>
        <v/>
      </c>
      <c r="H52" s="14">
        <f>B52+G52</f>
        <v/>
      </c>
    </row>
    <row r="53">
      <c r="A53" s="43" t="inlineStr">
        <is>
          <t>08/04/2025</t>
        </is>
      </c>
      <c r="B53" s="14" t="n">
        <v>187773</v>
      </c>
      <c r="C53" s="14" t="n">
        <v>13890</v>
      </c>
      <c r="D53" s="14" t="n">
        <v>12900</v>
      </c>
      <c r="E53" s="14" t="n">
        <v>18024</v>
      </c>
      <c r="F53" s="14" t="n">
        <v>14885</v>
      </c>
      <c r="G53" s="14">
        <f>E53-F53</f>
        <v/>
      </c>
      <c r="H53" s="14">
        <f>B53+G53</f>
        <v/>
      </c>
    </row>
    <row r="54">
      <c r="A54" s="43" t="inlineStr">
        <is>
          <t>08/11/2025</t>
        </is>
      </c>
      <c r="B54" s="14" t="n">
        <v>190912</v>
      </c>
      <c r="C54" s="14" t="n">
        <v>16110</v>
      </c>
      <c r="D54" s="14" t="n">
        <v>12023</v>
      </c>
      <c r="E54" s="14" t="n">
        <v>17922</v>
      </c>
      <c r="F54" s="14" t="n">
        <v>13767</v>
      </c>
      <c r="G54" s="14">
        <f>E54-F54</f>
        <v/>
      </c>
      <c r="H54" s="14">
        <f>B54+G54</f>
        <v/>
      </c>
    </row>
    <row r="55">
      <c r="A55" s="43" t="inlineStr">
        <is>
          <t>08/18/2025</t>
        </is>
      </c>
      <c r="B55" s="14" t="n">
        <v>195067</v>
      </c>
      <c r="C55" s="14" t="n">
        <v>14046</v>
      </c>
      <c r="D55" s="14" t="n">
        <v>12378</v>
      </c>
      <c r="E55" s="14" t="n">
        <v>17464</v>
      </c>
      <c r="F55" s="14" t="n">
        <v>14833</v>
      </c>
      <c r="G55" s="14">
        <f>E55-F55</f>
        <v/>
      </c>
      <c r="H55" s="14">
        <f>B55+G55</f>
        <v/>
      </c>
    </row>
    <row r="56">
      <c r="A56" s="43" t="inlineStr">
        <is>
          <t>08/25/2025</t>
        </is>
      </c>
      <c r="B56" s="14" t="n">
        <v>197698</v>
      </c>
      <c r="C56" s="14" t="n">
        <v>15073</v>
      </c>
      <c r="D56" s="14" t="n">
        <v>11870</v>
      </c>
      <c r="E56" s="14" t="n">
        <v>17834</v>
      </c>
      <c r="F56" s="14" t="n">
        <v>14814</v>
      </c>
      <c r="G56" s="14">
        <f>E56-F56</f>
        <v/>
      </c>
      <c r="H56" s="14">
        <f>B56+G56</f>
        <v/>
      </c>
    </row>
    <row r="57">
      <c r="A57" s="43" t="inlineStr">
        <is>
          <t>09/01/2025</t>
        </is>
      </c>
      <c r="B57" s="14" t="n">
        <v>200718</v>
      </c>
      <c r="C57" s="14" t="n">
        <v>15661</v>
      </c>
      <c r="D57" s="14" t="n">
        <v>11471</v>
      </c>
      <c r="E57" s="14" t="n">
        <v>18954</v>
      </c>
      <c r="F57" s="14" t="n">
        <v>13901</v>
      </c>
      <c r="G57" s="14">
        <f>E57-F57</f>
        <v/>
      </c>
      <c r="H57" s="14">
        <f>B57+G57</f>
        <v/>
      </c>
    </row>
    <row r="58">
      <c r="A58" s="43" t="inlineStr">
        <is>
          <t>09/08/2025</t>
        </is>
      </c>
      <c r="B58" s="14" t="n">
        <v>205771</v>
      </c>
      <c r="C58" s="14" t="n">
        <v>14722</v>
      </c>
      <c r="D58" s="14" t="n">
        <v>13517</v>
      </c>
      <c r="E58" s="14" t="n">
        <v>17430</v>
      </c>
      <c r="F58" s="14" t="n">
        <v>15325</v>
      </c>
      <c r="G58" s="14">
        <f>E58-F58</f>
        <v/>
      </c>
      <c r="H58" s="14">
        <f>B58+G58</f>
        <v/>
      </c>
    </row>
    <row r="59">
      <c r="A59" s="43" t="inlineStr">
        <is>
          <t>09/15/2025</t>
        </is>
      </c>
      <c r="B59" s="14" t="n">
        <v>207876</v>
      </c>
      <c r="C59" s="14" t="n">
        <v>14659</v>
      </c>
      <c r="D59" s="14" t="n">
        <v>11181</v>
      </c>
      <c r="E59" s="14" t="n">
        <v>18252</v>
      </c>
      <c r="F59" s="14" t="n">
        <v>14978</v>
      </c>
      <c r="G59" s="14">
        <f>E59-F59</f>
        <v/>
      </c>
      <c r="H59" s="14">
        <f>B59+G59</f>
        <v/>
      </c>
    </row>
    <row r="60">
      <c r="A60" s="43" t="inlineStr">
        <is>
          <t>09/22/2025</t>
        </is>
      </c>
      <c r="B60" s="14" t="n">
        <v>211150</v>
      </c>
      <c r="C60" s="14" t="n">
        <v>14652</v>
      </c>
      <c r="D60" s="14" t="n">
        <v>12753</v>
      </c>
      <c r="E60" s="14" t="n">
        <v>18707</v>
      </c>
      <c r="F60" s="14" t="n">
        <v>14054</v>
      </c>
      <c r="G60" s="14">
        <f>E60-F60</f>
        <v/>
      </c>
      <c r="H60" s="14">
        <f>B60+G60</f>
        <v/>
      </c>
    </row>
    <row r="61">
      <c r="A61" s="43" t="inlineStr">
        <is>
          <t>09/29/2025</t>
        </is>
      </c>
      <c r="B61" s="14" t="n">
        <v>215803</v>
      </c>
      <c r="C61" s="14" t="n">
        <v>14794</v>
      </c>
      <c r="D61" s="14" t="n">
        <v>12038</v>
      </c>
      <c r="E61" s="14" t="n">
        <v>17813</v>
      </c>
      <c r="F61" s="14" t="n">
        <v>15250</v>
      </c>
      <c r="G61" s="14">
        <f>E61-F61</f>
        <v/>
      </c>
      <c r="H61" s="14">
        <f>B61+G61</f>
        <v/>
      </c>
    </row>
    <row r="62">
      <c r="A62" s="43" t="inlineStr">
        <is>
          <t>10/06/2025</t>
        </is>
      </c>
      <c r="B62" s="14" t="n">
        <v>218366</v>
      </c>
      <c r="C62" s="14" t="n">
        <v>15475</v>
      </c>
      <c r="D62" s="14" t="n">
        <v>13487</v>
      </c>
      <c r="E62" s="14" t="n">
        <v>18183</v>
      </c>
      <c r="F62" s="14" t="n">
        <v>15166</v>
      </c>
      <c r="G62" s="14">
        <f>E62-F62</f>
        <v/>
      </c>
      <c r="H62" s="14">
        <f>B62+G62</f>
        <v/>
      </c>
    </row>
    <row r="63">
      <c r="A63" s="43" t="inlineStr">
        <is>
          <t>10/13/2025</t>
        </is>
      </c>
      <c r="B63" s="14" t="n">
        <v>221383</v>
      </c>
      <c r="C63" s="14" t="n">
        <v>14013</v>
      </c>
      <c r="D63" s="14" t="n">
        <v>12831</v>
      </c>
      <c r="E63" s="14" t="n">
        <v>18169</v>
      </c>
      <c r="F63" s="14" t="n">
        <v>14661</v>
      </c>
      <c r="G63" s="14">
        <f>E63-F63</f>
        <v/>
      </c>
      <c r="H63" s="14">
        <f>B63+G63</f>
        <v/>
      </c>
    </row>
    <row r="64">
      <c r="A64" s="43" t="inlineStr">
        <is>
          <t>10/20/2025</t>
        </is>
      </c>
      <c r="B64" s="14" t="n">
        <v>224891</v>
      </c>
      <c r="C64" s="14" t="n">
        <v>15133</v>
      </c>
      <c r="D64" s="14" t="n">
        <v>11127</v>
      </c>
      <c r="E64" s="14" t="n">
        <v>17393</v>
      </c>
      <c r="F64" s="14" t="n">
        <v>14240</v>
      </c>
      <c r="G64" s="14">
        <f>E64-F64</f>
        <v/>
      </c>
      <c r="H64" s="14">
        <f>B64+G64</f>
        <v/>
      </c>
    </row>
    <row r="65">
      <c r="A65" s="43" t="inlineStr">
        <is>
          <t>10/27/2025</t>
        </is>
      </c>
      <c r="B65" s="14" t="n">
        <v>228044</v>
      </c>
      <c r="C65" s="14" t="n">
        <v>16830</v>
      </c>
      <c r="D65" s="14" t="n">
        <v>12830</v>
      </c>
      <c r="E65" s="14" t="n">
        <v>18774</v>
      </c>
      <c r="F65" s="14" t="n">
        <v>15407</v>
      </c>
      <c r="G65" s="14">
        <f>E65-F65</f>
        <v/>
      </c>
      <c r="H65" s="14">
        <f>B65+G65</f>
        <v/>
      </c>
    </row>
    <row r="66">
      <c r="A66" s="43" t="inlineStr">
        <is>
          <t>11/03/2025</t>
        </is>
      </c>
      <c r="B66" s="14" t="n">
        <v>231411</v>
      </c>
      <c r="C66" s="14" t="n">
        <v>13782</v>
      </c>
      <c r="D66" s="14" t="n">
        <v>10805</v>
      </c>
      <c r="E66" s="14" t="n">
        <v>17498</v>
      </c>
      <c r="F66" s="14" t="n">
        <v>14167</v>
      </c>
      <c r="G66" s="14">
        <f>E66-F66</f>
        <v/>
      </c>
      <c r="H66" s="14">
        <f>B66+G66</f>
        <v/>
      </c>
    </row>
    <row r="67">
      <c r="A67" s="43" t="inlineStr">
        <is>
          <t>11/10/2025</t>
        </is>
      </c>
      <c r="B67" s="14" t="n">
        <v>234742</v>
      </c>
      <c r="C67" s="14" t="n">
        <v>15500</v>
      </c>
      <c r="D67" s="14" t="n">
        <v>12307</v>
      </c>
      <c r="E67" s="14" t="n">
        <v>17384</v>
      </c>
      <c r="F67" s="14" t="n">
        <v>14700</v>
      </c>
      <c r="G67" s="14">
        <f>E67-F67</f>
        <v/>
      </c>
      <c r="H67" s="14">
        <f>B67+G67</f>
        <v/>
      </c>
    </row>
    <row r="68">
      <c r="A68" s="43" t="inlineStr">
        <is>
          <t>11/17/2025</t>
        </is>
      </c>
      <c r="B68" s="14" t="n">
        <v>237426</v>
      </c>
      <c r="C68" s="14" t="n">
        <v>16905</v>
      </c>
      <c r="D68" s="14" t="n">
        <v>13861</v>
      </c>
      <c r="E68" s="14" t="n">
        <v>18794</v>
      </c>
      <c r="F68" s="14" t="n">
        <v>15817</v>
      </c>
      <c r="G68" s="14">
        <f>E68-F68</f>
        <v/>
      </c>
      <c r="H68" s="14">
        <f>B68+G68</f>
        <v/>
      </c>
    </row>
    <row r="69">
      <c r="A69" s="43" t="inlineStr">
        <is>
          <t>11/24/2025</t>
        </is>
      </c>
      <c r="B69" s="14" t="n">
        <v>240403</v>
      </c>
      <c r="C69" s="14" t="n">
        <v>17465</v>
      </c>
      <c r="D69" s="14" t="n">
        <v>13521</v>
      </c>
      <c r="E69" s="14" t="n">
        <v>19687</v>
      </c>
      <c r="F69" s="14" t="n">
        <v>15430</v>
      </c>
      <c r="G69" s="14">
        <f>E69-F69</f>
        <v/>
      </c>
      <c r="H69" s="14">
        <f>B69+G69</f>
        <v/>
      </c>
    </row>
    <row r="70">
      <c r="A70" s="43" t="inlineStr">
        <is>
          <t>12/01/2025</t>
        </is>
      </c>
      <c r="B70" s="14" t="n">
        <v>244660</v>
      </c>
      <c r="C70" s="14" t="n">
        <v>15352</v>
      </c>
      <c r="D70" s="14" t="n">
        <v>11740</v>
      </c>
      <c r="E70" s="14" t="n">
        <v>18910</v>
      </c>
      <c r="F70" s="14" t="n">
        <v>15652</v>
      </c>
      <c r="G70" s="14">
        <f>E70-F70</f>
        <v/>
      </c>
      <c r="H70" s="14">
        <f>B70+G70</f>
        <v/>
      </c>
    </row>
    <row r="71">
      <c r="A71" s="43" t="inlineStr">
        <is>
          <t>12/08/2025</t>
        </is>
      </c>
      <c r="B71" s="14" t="n">
        <v>247918</v>
      </c>
      <c r="C71" s="14" t="n">
        <v>16920</v>
      </c>
      <c r="D71" s="14" t="n">
        <v>14373</v>
      </c>
      <c r="E71" s="14" t="n">
        <v>20105</v>
      </c>
      <c r="F71" s="14" t="n">
        <v>16070</v>
      </c>
      <c r="G71" s="14">
        <f>E71-F71</f>
        <v/>
      </c>
      <c r="H71" s="14">
        <f>B71+G71</f>
        <v/>
      </c>
    </row>
    <row r="72">
      <c r="A72" s="43" t="inlineStr">
        <is>
          <t>12/15/2025</t>
        </is>
      </c>
      <c r="B72" s="14" t="n">
        <v>251953</v>
      </c>
      <c r="C72" s="14" t="n">
        <v>15424</v>
      </c>
      <c r="D72" s="14" t="n">
        <v>11991</v>
      </c>
      <c r="E72" s="14" t="n">
        <v>19349</v>
      </c>
      <c r="F72" s="14" t="n">
        <v>14643</v>
      </c>
      <c r="G72" s="14">
        <f>E72-F72</f>
        <v/>
      </c>
      <c r="H72" s="14">
        <f>B72+G72</f>
        <v/>
      </c>
    </row>
    <row r="73">
      <c r="A73" s="43" t="inlineStr">
        <is>
          <t>12/22/2025</t>
        </is>
      </c>
      <c r="B73" s="14" t="n">
        <v>256659</v>
      </c>
      <c r="C73" s="14" t="n">
        <v>14165</v>
      </c>
      <c r="D73" s="14" t="n">
        <v>13442</v>
      </c>
      <c r="E73" s="14" t="n">
        <v>18388</v>
      </c>
      <c r="F73" s="14" t="n">
        <v>15382</v>
      </c>
      <c r="G73" s="14">
        <f>E73-F73</f>
        <v/>
      </c>
      <c r="H73" s="14">
        <f>B73+G73</f>
        <v/>
      </c>
    </row>
    <row r="74">
      <c r="A74" s="43" t="inlineStr">
        <is>
          <t>12/29/2025</t>
        </is>
      </c>
      <c r="B74" s="14" t="n">
        <v>259665</v>
      </c>
      <c r="C74" s="14" t="n">
        <v>15540</v>
      </c>
      <c r="D74" s="14" t="n">
        <v>12266</v>
      </c>
      <c r="E74" s="14" t="n">
        <v>19865</v>
      </c>
      <c r="F74" s="14" t="n">
        <v>15811</v>
      </c>
      <c r="G74" s="14">
        <f>E74-F74</f>
        <v/>
      </c>
      <c r="H74" s="14">
        <f>B74+G74</f>
        <v/>
      </c>
    </row>
    <row r="75">
      <c r="A75" s="43" t="inlineStr">
        <is>
          <t>01/05/2026</t>
        </is>
      </c>
      <c r="B75" s="14" t="n">
        <v>263719</v>
      </c>
      <c r="C75" s="14" t="n">
        <v>15662</v>
      </c>
      <c r="D75" s="14" t="n">
        <v>13921</v>
      </c>
      <c r="E75" s="14" t="n">
        <v>19507</v>
      </c>
      <c r="F75" s="14" t="n">
        <v>16187</v>
      </c>
      <c r="G75" s="14">
        <f>E75-F75</f>
        <v/>
      </c>
      <c r="H75" s="14">
        <f>B75+G75</f>
        <v/>
      </c>
    </row>
    <row r="76">
      <c r="A76" s="43" t="inlineStr">
        <is>
          <t>01/12/2026</t>
        </is>
      </c>
      <c r="B76" s="14" t="n">
        <v>267039</v>
      </c>
      <c r="C76" s="14" t="n">
        <v>14562</v>
      </c>
      <c r="D76" s="14" t="n">
        <v>14803</v>
      </c>
      <c r="E76" s="14" t="n">
        <v>18853</v>
      </c>
      <c r="F76" s="14" t="n">
        <v>16302</v>
      </c>
      <c r="G76" s="14">
        <f>E76-F76</f>
        <v/>
      </c>
      <c r="H76" s="14">
        <f>B76+G76</f>
        <v/>
      </c>
    </row>
    <row r="77">
      <c r="A77" s="43" t="inlineStr">
        <is>
          <t>01/19/2026</t>
        </is>
      </c>
      <c r="B77" s="14" t="n">
        <v>269590</v>
      </c>
      <c r="C77" s="14" t="n">
        <v>14993</v>
      </c>
      <c r="D77" s="14" t="n">
        <v>13911</v>
      </c>
      <c r="E77" s="14" t="n">
        <v>17993</v>
      </c>
      <c r="F77" s="14" t="n">
        <v>16677</v>
      </c>
      <c r="G77" s="14">
        <f>E77-F77</f>
        <v/>
      </c>
      <c r="H77" s="14">
        <f>B77+G77</f>
        <v/>
      </c>
    </row>
    <row r="78">
      <c r="A78" s="43" t="inlineStr">
        <is>
          <t>01/26/2026</t>
        </is>
      </c>
      <c r="B78" s="14" t="n">
        <v>270906</v>
      </c>
      <c r="C78" s="14" t="n">
        <v>15605</v>
      </c>
      <c r="D78" s="14" t="n">
        <v>13902</v>
      </c>
      <c r="E78" s="14" t="n">
        <v>17714</v>
      </c>
      <c r="F78" s="14" t="n">
        <v>15722</v>
      </c>
      <c r="G78" s="14">
        <f>E78-F78</f>
        <v/>
      </c>
      <c r="H78" s="14">
        <f>B78+G78</f>
        <v/>
      </c>
    </row>
    <row r="79">
      <c r="A79" s="43" t="inlineStr">
        <is>
          <t>02/02/2026</t>
        </is>
      </c>
      <c r="B79" s="14" t="n">
        <v>272898</v>
      </c>
      <c r="C79" s="14" t="n">
        <v>14253</v>
      </c>
      <c r="D79" s="14" t="n">
        <v>13649</v>
      </c>
      <c r="E79" s="14" t="n">
        <v>18508</v>
      </c>
      <c r="F79" s="14" t="n">
        <v>16670</v>
      </c>
      <c r="G79" s="14">
        <f>E79-F79</f>
        <v/>
      </c>
      <c r="H79" s="14">
        <f>B79+G79</f>
        <v/>
      </c>
    </row>
    <row r="80">
      <c r="A80" s="43" t="inlineStr">
        <is>
          <t>02/09/2026</t>
        </is>
      </c>
      <c r="B80" s="14" t="n">
        <v>274736</v>
      </c>
      <c r="C80" s="14" t="n">
        <v>15317</v>
      </c>
      <c r="D80" s="14" t="n">
        <v>14335</v>
      </c>
      <c r="E80" s="14" t="n">
        <v>18997</v>
      </c>
      <c r="F80" s="14" t="n">
        <v>15987</v>
      </c>
      <c r="G80" s="14">
        <f>E80-F80</f>
        <v/>
      </c>
      <c r="H80" s="14">
        <f>B80+G80</f>
        <v/>
      </c>
    </row>
    <row r="81">
      <c r="A81" s="43" t="inlineStr">
        <is>
          <t>02/16/2026</t>
        </is>
      </c>
      <c r="B81" s="14" t="n">
        <v>277746</v>
      </c>
      <c r="C81" s="14" t="n">
        <v>16251</v>
      </c>
      <c r="D81" s="14" t="n">
        <v>12736</v>
      </c>
      <c r="E81" s="14" t="n">
        <v>19001</v>
      </c>
      <c r="F81" s="14" t="n">
        <v>15905</v>
      </c>
      <c r="G81" s="14">
        <f>E81-F81</f>
        <v/>
      </c>
      <c r="H81" s="14">
        <f>B81+G81</f>
        <v/>
      </c>
    </row>
    <row r="82">
      <c r="A82" s="43" t="inlineStr">
        <is>
          <t>02/23/2026</t>
        </is>
      </c>
      <c r="B82" s="14" t="n">
        <v>280842</v>
      </c>
      <c r="C82" s="14" t="n">
        <v>17754</v>
      </c>
      <c r="D82" s="14" t="n">
        <v>13587</v>
      </c>
      <c r="E82" s="14" t="n">
        <v>20679</v>
      </c>
      <c r="F82" s="14" t="n">
        <v>15613</v>
      </c>
      <c r="G82" s="14">
        <f>E82-F82</f>
        <v/>
      </c>
      <c r="H82" s="14">
        <f>B82+G82</f>
        <v/>
      </c>
    </row>
    <row r="83">
      <c r="A83" s="43" t="inlineStr">
        <is>
          <t>03/02/2026</t>
        </is>
      </c>
      <c r="B83" s="14" t="n">
        <v>285908</v>
      </c>
      <c r="C83" s="14" t="n">
        <v>16503</v>
      </c>
      <c r="D83" s="14" t="n">
        <v>14799</v>
      </c>
      <c r="E83" s="14" t="n">
        <v>19158</v>
      </c>
      <c r="F83" s="14" t="n">
        <v>16738</v>
      </c>
      <c r="G83" s="14">
        <f>E83-F83</f>
        <v/>
      </c>
      <c r="H83" s="14">
        <f>B83+G83</f>
        <v/>
      </c>
    </row>
    <row r="84">
      <c r="A84" s="43" t="inlineStr">
        <is>
          <t>03/09/2026</t>
        </is>
      </c>
      <c r="B84" s="14" t="n">
        <v>288328</v>
      </c>
      <c r="C84" s="14" t="n">
        <v>17555</v>
      </c>
      <c r="D84" s="14" t="n">
        <v>11850</v>
      </c>
      <c r="E84" s="14" t="n">
        <v>20705</v>
      </c>
      <c r="F84" s="14" t="n">
        <v>15984</v>
      </c>
      <c r="G84" s="14">
        <f>E84-F84</f>
        <v/>
      </c>
      <c r="H84" s="14">
        <f>B84+G84</f>
        <v/>
      </c>
    </row>
    <row r="85">
      <c r="A85" s="43" t="inlineStr">
        <is>
          <t>03/16/2026</t>
        </is>
      </c>
      <c r="B85" s="14" t="n">
        <v>293049</v>
      </c>
      <c r="C85" s="14" t="n">
        <v>16850</v>
      </c>
      <c r="D85" s="14" t="n">
        <v>14493</v>
      </c>
      <c r="E85" s="14" t="n">
        <v>20200</v>
      </c>
      <c r="F85" s="14" t="n">
        <v>17221</v>
      </c>
      <c r="G85" s="14">
        <f>E85-F85</f>
        <v/>
      </c>
      <c r="H85" s="14">
        <f>B85+G85</f>
        <v/>
      </c>
    </row>
    <row r="86">
      <c r="A86" s="43" t="inlineStr">
        <is>
          <t>03/23/2026</t>
        </is>
      </c>
      <c r="B86" s="14" t="n">
        <v>296028</v>
      </c>
      <c r="C86" s="14" t="n">
        <v>15695</v>
      </c>
      <c r="D86" s="14" t="n">
        <v>12275</v>
      </c>
      <c r="E86" s="14" t="n">
        <v>19707</v>
      </c>
      <c r="F86" s="14" t="n">
        <v>15989</v>
      </c>
      <c r="G86" s="14">
        <f>E86-F86</f>
        <v/>
      </c>
      <c r="H86" s="14">
        <f>B86+G86</f>
        <v/>
      </c>
    </row>
    <row r="87">
      <c r="A87" s="43" t="inlineStr">
        <is>
          <t>03/30/2026</t>
        </is>
      </c>
      <c r="B87" s="14" t="n">
        <v>299746</v>
      </c>
      <c r="C87" s="14" t="n">
        <v>16339</v>
      </c>
      <c r="D87" s="14" t="n">
        <v>14656</v>
      </c>
      <c r="E87" s="14" t="n">
        <v>18889</v>
      </c>
      <c r="F87" s="14" t="n">
        <v>17836</v>
      </c>
      <c r="G87" s="14">
        <f>E87-F87</f>
        <v/>
      </c>
      <c r="H87" s="14">
        <f>B87+G87</f>
        <v/>
      </c>
    </row>
    <row r="88">
      <c r="A88" s="43" t="inlineStr">
        <is>
          <t>04/06/2026</t>
        </is>
      </c>
      <c r="B88" s="14" t="n">
        <v>300799</v>
      </c>
      <c r="C88" s="14" t="n">
        <v>16175</v>
      </c>
      <c r="D88" s="14" t="n">
        <v>14481</v>
      </c>
      <c r="E88" s="14" t="n">
        <v>18562</v>
      </c>
      <c r="F88" s="14" t="n">
        <v>17203</v>
      </c>
      <c r="G88" s="14">
        <f>E88-F88</f>
        <v/>
      </c>
      <c r="H88" s="14">
        <f>B88+G88</f>
        <v/>
      </c>
    </row>
    <row r="89">
      <c r="A89" s="43" t="inlineStr">
        <is>
          <t>04/13/2026</t>
        </is>
      </c>
      <c r="B89" s="14" t="n">
        <v>302158</v>
      </c>
      <c r="C89" s="14" t="n">
        <v>18411</v>
      </c>
      <c r="D89" s="14" t="n">
        <v>14251</v>
      </c>
      <c r="E89" s="14" t="n">
        <v>20631</v>
      </c>
      <c r="F89" s="14" t="n">
        <v>16627</v>
      </c>
      <c r="G89" s="14">
        <f>E89-F89</f>
        <v/>
      </c>
      <c r="H89" s="14">
        <f>B89+G89</f>
        <v/>
      </c>
    </row>
    <row r="90">
      <c r="A90" s="43" t="inlineStr">
        <is>
          <t>04/20/2026</t>
        </is>
      </c>
      <c r="B90" s="14" t="n">
        <v>306162</v>
      </c>
      <c r="C90" s="14" t="n">
        <v>15925</v>
      </c>
      <c r="D90" s="14" t="n">
        <v>14204</v>
      </c>
      <c r="E90" s="14" t="n">
        <v>18787</v>
      </c>
      <c r="F90" s="14" t="n">
        <v>18196</v>
      </c>
      <c r="G90" s="14">
        <f>E90-F90</f>
        <v/>
      </c>
      <c r="H90" s="14">
        <f>B90+G90</f>
        <v/>
      </c>
    </row>
    <row r="91">
      <c r="A91" s="43" t="inlineStr">
        <is>
          <t>04/27/2026</t>
        </is>
      </c>
      <c r="B91" s="14" t="n">
        <v>306753</v>
      </c>
      <c r="C91" s="14" t="n">
        <v>17666</v>
      </c>
      <c r="D91" s="14" t="n">
        <v>14942</v>
      </c>
      <c r="E91" s="14" t="n">
        <v>20748</v>
      </c>
      <c r="F91" s="14" t="n">
        <v>18306</v>
      </c>
      <c r="G91" s="14">
        <f>E91-F91</f>
        <v/>
      </c>
      <c r="H91" s="14">
        <f>B91+G91</f>
        <v/>
      </c>
    </row>
    <row r="92">
      <c r="A92" s="43" t="inlineStr">
        <is>
          <t>05/04/2026</t>
        </is>
      </c>
      <c r="B92" s="14" t="n">
        <v>309195</v>
      </c>
      <c r="C92" s="14" t="n">
        <v>16743</v>
      </c>
      <c r="D92" s="14" t="n">
        <v>12998</v>
      </c>
      <c r="E92" s="14" t="n">
        <v>18809</v>
      </c>
      <c r="F92" s="14" t="n">
        <v>16710</v>
      </c>
      <c r="G92" s="14">
        <f>E92-F92</f>
        <v/>
      </c>
      <c r="H92" s="14">
        <f>B92+G92</f>
        <v/>
      </c>
    </row>
    <row r="93">
      <c r="A93" s="43" t="inlineStr">
        <is>
          <t>05/11/2026</t>
        </is>
      </c>
      <c r="B93" s="14" t="n">
        <v>311294</v>
      </c>
      <c r="C93" s="14" t="n">
        <v>16223</v>
      </c>
      <c r="D93" s="14" t="n">
        <v>15796</v>
      </c>
      <c r="E93" s="14" t="n">
        <v>20495</v>
      </c>
      <c r="F93" s="14" t="n">
        <v>17431</v>
      </c>
      <c r="G93" s="14">
        <f>E93-F93</f>
        <v/>
      </c>
      <c r="H93" s="14">
        <f>B93+G93</f>
        <v/>
      </c>
    </row>
    <row r="94">
      <c r="A94" s="43" t="inlineStr">
        <is>
          <t>05/18/2026</t>
        </is>
      </c>
      <c r="B94" s="14" t="n">
        <v>314358</v>
      </c>
      <c r="C94" s="14" t="n">
        <v>15806</v>
      </c>
      <c r="D94" s="14" t="n">
        <v>16216</v>
      </c>
      <c r="E94" s="14" t="n">
        <v>19423</v>
      </c>
      <c r="F94" s="14" t="n">
        <v>18639</v>
      </c>
      <c r="G94" s="14">
        <f>E94-F94</f>
        <v/>
      </c>
      <c r="H94" s="14">
        <f>B94+G94</f>
        <v/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zoomScaleNormal="100" workbookViewId="0">
      <pane ySplit="3" topLeftCell="A4" activePane="bottomLeft" state="frozen"/>
      <selection pane="bottomLeft" activeCell="M7" sqref="M7"/>
    </sheetView>
  </sheetViews>
  <sheetFormatPr baseColWidth="8" defaultRowHeight="15"/>
  <cols>
    <col width="22" customWidth="1" style="36" min="1" max="1"/>
    <col width="12" customWidth="1" style="36" min="2" max="2"/>
    <col width="14" customWidth="1" style="36" min="3" max="5"/>
    <col width="18" customWidth="1" style="36" min="6" max="6"/>
    <col width="16" customWidth="1" style="36" min="7" max="7"/>
    <col width="9.140625" customWidth="1" style="36" min="8" max="16384"/>
  </cols>
  <sheetData>
    <row r="1" ht="30" customHeight="1">
      <c r="A1" s="37" t="inlineStr">
        <is>
          <t>SignalStack | Cash Flow Compass — Accounts Receivable Aging</t>
        </is>
      </c>
    </row>
    <row r="2" ht="15.95" customHeight="1">
      <c r="A2" s="35" t="inlineStr">
        <is>
          <t xml:space="preserve">  Track outstanding invoices. Sort by bucket to prioritize collection calls.</t>
        </is>
      </c>
    </row>
    <row r="3" ht="33.95" customHeight="1">
      <c r="A3" s="3" t="inlineStr">
        <is>
          <t>Customer</t>
        </is>
      </c>
      <c r="B3" s="3" t="inlineStr">
        <is>
          <t>Invoice #</t>
        </is>
      </c>
      <c r="C3" s="3" t="inlineStr">
        <is>
          <t>Invoice Date</t>
        </is>
      </c>
      <c r="D3" s="3" t="inlineStr">
        <is>
          <t>Due Date</t>
        </is>
      </c>
      <c r="E3" s="3" t="inlineStr">
        <is>
          <t>Amount</t>
        </is>
      </c>
      <c r="F3" s="3" t="inlineStr">
        <is>
          <t>Days Outstanding</t>
        </is>
      </c>
      <c r="G3" s="3" t="inlineStr">
        <is>
          <t>Aging Bucket</t>
        </is>
      </c>
    </row>
    <row r="4">
      <c r="A4" s="5" t="inlineStr">
        <is>
          <t>Acme Petroleum</t>
        </is>
      </c>
      <c r="B4" s="5" t="inlineStr">
        <is>
          <t>INV-1042</t>
        </is>
      </c>
      <c r="C4" s="44" t="n">
        <v>46091</v>
      </c>
      <c r="D4" s="44" t="n">
        <v>46121</v>
      </c>
      <c r="E4" s="45" t="n">
        <v>4850</v>
      </c>
      <c r="F4" s="46">
        <f>TODAY()-C4</f>
        <v/>
      </c>
      <c r="G4" s="5">
        <f>IF(F4&lt;=30,"Current (0-30d)",IF(F4&lt;=60,"31-60 days",IF(F4&lt;=90,"61-90 days",IF(F4&lt;=120,"91-120 days","120+ days"))))</f>
        <v/>
      </c>
    </row>
    <row r="5">
      <c r="A5" s="7" t="inlineStr">
        <is>
          <t>Summit Logistics</t>
        </is>
      </c>
      <c r="B5" s="7" t="inlineStr">
        <is>
          <t>INV-1045</t>
        </is>
      </c>
      <c r="C5" s="47" t="n">
        <v>46099</v>
      </c>
      <c r="D5" s="47" t="n">
        <v>46129</v>
      </c>
      <c r="E5" s="48" t="n">
        <v>2200</v>
      </c>
      <c r="F5" s="49">
        <f>TODAY()-C5</f>
        <v/>
      </c>
      <c r="G5" s="7">
        <f>IF(F5&lt;=30,"Current (0-30d)",IF(F5&lt;=60,"31-60 days",IF(F5&lt;=90,"61-90 days",IF(F5&lt;=120,"91-120 days","120+ days"))))</f>
        <v/>
      </c>
    </row>
    <row r="6">
      <c r="A6" s="5" t="inlineStr">
        <is>
          <t>High Plains Co</t>
        </is>
      </c>
      <c r="B6" s="5" t="inlineStr">
        <is>
          <t>INV-1038</t>
        </is>
      </c>
      <c r="C6" s="44" t="n">
        <v>46068</v>
      </c>
      <c r="D6" s="44" t="n">
        <v>46098</v>
      </c>
      <c r="E6" s="45" t="n">
        <v>6100</v>
      </c>
      <c r="F6" s="46">
        <f>TODAY()-C6</f>
        <v/>
      </c>
      <c r="G6" s="5">
        <f>IF(F6&lt;=30,"Current (0-30d)",IF(F6&lt;=60,"31-60 days",IF(F6&lt;=90,"61-90 days",IF(F6&lt;=120,"91-120 days","120+ days"))))</f>
        <v/>
      </c>
    </row>
    <row r="7">
      <c r="A7" s="7" t="inlineStr">
        <is>
          <t>Front Range Inc</t>
        </is>
      </c>
      <c r="B7" s="7" t="inlineStr">
        <is>
          <t>INV-1035</t>
        </is>
      </c>
      <c r="C7" s="47" t="n">
        <v>46054</v>
      </c>
      <c r="D7" s="47" t="n">
        <v>46084</v>
      </c>
      <c r="E7" s="48" t="n">
        <v>1875</v>
      </c>
      <c r="F7" s="49">
        <f>TODAY()-C7</f>
        <v/>
      </c>
      <c r="G7" s="7">
        <f>IF(F7&lt;=30,"Current (0-30d)",IF(F7&lt;=60,"31-60 days",IF(F7&lt;=90,"61-90 days",IF(F7&lt;=120,"91-120 days","120+ days"))))</f>
        <v/>
      </c>
    </row>
    <row r="8">
      <c r="A8" s="5" t="inlineStr">
        <is>
          <t>Mountain Fuel</t>
        </is>
      </c>
      <c r="B8" s="5" t="inlineStr">
        <is>
          <t>INV-1030</t>
        </is>
      </c>
      <c r="C8" s="44" t="n">
        <v>46032</v>
      </c>
      <c r="D8" s="44" t="n">
        <v>46062</v>
      </c>
      <c r="E8" s="45" t="n">
        <v>3300</v>
      </c>
      <c r="F8" s="46">
        <f>TODAY()-C8</f>
        <v/>
      </c>
      <c r="G8" s="5">
        <f>IF(F8&lt;=30,"Current (0-30d)",IF(F8&lt;=60,"31-60 days",IF(F8&lt;=90,"61-90 days",IF(F8&lt;=120,"91-120 days","120+ days"))))</f>
        <v/>
      </c>
    </row>
    <row r="9">
      <c r="A9" s="7" t="inlineStr">
        <is>
          <t>Valley Services</t>
        </is>
      </c>
      <c r="B9" s="7" t="inlineStr">
        <is>
          <t>INV-1025</t>
        </is>
      </c>
      <c r="C9" s="47" t="n">
        <v>46006</v>
      </c>
      <c r="D9" s="47" t="n">
        <v>46036</v>
      </c>
      <c r="E9" s="48" t="n">
        <v>2750</v>
      </c>
      <c r="F9" s="49">
        <f>TODAY()-C9</f>
        <v/>
      </c>
      <c r="G9" s="7">
        <f>IF(F9&lt;=30,"Current (0-30d)",IF(F9&lt;=60,"31-60 days",IF(F9&lt;=90,"61-90 days",IF(F9&lt;=120,"91-120 days","120+ days"))))</f>
        <v/>
      </c>
    </row>
    <row r="10">
      <c r="A10" s="5" t="inlineStr">
        <is>
          <t>Peak Operations</t>
        </is>
      </c>
      <c r="B10" s="5" t="inlineStr">
        <is>
          <t>INV-1020</t>
        </is>
      </c>
      <c r="C10" s="44" t="n">
        <v>45962</v>
      </c>
      <c r="D10" s="44" t="n">
        <v>45992</v>
      </c>
      <c r="E10" s="45" t="n">
        <v>5200</v>
      </c>
      <c r="F10" s="46">
        <f>TODAY()-C10</f>
        <v/>
      </c>
      <c r="G10" s="5">
        <f>IF(F10&lt;=30,"Current (0-30d)",IF(F10&lt;=60,"31-60 days",IF(F10&lt;=90,"61-90 days",IF(F10&lt;=120,"91-120 days","120+ days"))))</f>
        <v/>
      </c>
    </row>
    <row r="12" ht="21.95" customHeight="1">
      <c r="A12" s="38" t="inlineStr">
        <is>
          <t>AGING SUMMARY</t>
        </is>
      </c>
      <c r="B12" s="39" t="n"/>
      <c r="C12" s="39" t="n"/>
      <c r="D12" s="39" t="n"/>
      <c r="E12" s="39" t="n"/>
      <c r="F12" s="39" t="n"/>
      <c r="G12" s="40" t="n"/>
    </row>
    <row r="13">
      <c r="A13" s="20" t="inlineStr">
        <is>
          <t>Current (0-30d)</t>
        </is>
      </c>
      <c r="B13" s="50">
        <f>SUMPRODUCT((F4:F10&lt;=30)*E4:E10)</f>
        <v/>
      </c>
      <c r="C13" s="22" t="n"/>
      <c r="D13" s="22" t="n"/>
      <c r="E13" s="22" t="n"/>
      <c r="F13" s="22" t="n"/>
      <c r="G13" s="22" t="n"/>
    </row>
    <row r="14">
      <c r="A14" s="23" t="inlineStr">
        <is>
          <t>31-60 days</t>
        </is>
      </c>
      <c r="B14" s="51">
        <f>SUMPRODUCT((F4:F10&gt;30)*(F4:F10&lt;=60)*E4:E10)</f>
        <v/>
      </c>
      <c r="C14" s="25" t="n"/>
      <c r="D14" s="25" t="n"/>
      <c r="E14" s="25" t="n"/>
      <c r="F14" s="25" t="n"/>
      <c r="G14" s="25" t="n"/>
    </row>
    <row r="15">
      <c r="A15" s="26" t="inlineStr">
        <is>
          <t>61-90 days</t>
        </is>
      </c>
      <c r="B15" s="52">
        <f>SUMPRODUCT((F4:F10&gt;60)*(F4:F10&lt;=90)*E4:E10)</f>
        <v/>
      </c>
      <c r="C15" s="28" t="n"/>
      <c r="D15" s="28" t="n"/>
      <c r="E15" s="28" t="n"/>
      <c r="F15" s="28" t="n"/>
      <c r="G15" s="28" t="n"/>
    </row>
    <row r="16">
      <c r="A16" s="29" t="inlineStr">
        <is>
          <t>91-120 days</t>
        </is>
      </c>
      <c r="B16" s="53">
        <f>SUMPRODUCT((F4:F10&gt;90)*(F4:F10&lt;=120)*E4:E10)</f>
        <v/>
      </c>
      <c r="C16" s="31" t="n"/>
      <c r="D16" s="31" t="n"/>
      <c r="E16" s="31" t="n"/>
      <c r="F16" s="31" t="n"/>
      <c r="G16" s="31" t="n"/>
    </row>
    <row r="17">
      <c r="A17" t="inlineStr">
        <is>
          <t>120+ days</t>
        </is>
      </c>
      <c r="B17" s="54">
        <f>SUMPRODUCT((F4:F10&gt;120)*E4:E10)</f>
        <v/>
      </c>
    </row>
    <row r="18">
      <c r="A18" t="inlineStr">
        <is>
          <t>Total Outstanding</t>
        </is>
      </c>
      <c r="B18" s="54">
        <f>SUM(E4:E10)</f>
        <v/>
      </c>
    </row>
  </sheetData>
  <mergeCells count="3">
    <mergeCell ref="A2:G2"/>
    <mergeCell ref="A1:G1"/>
    <mergeCell ref="A12:G12"/>
  </mergeCells>
  <conditionalFormatting sqref="G4:G10">
    <cfRule type="expression" priority="1" dxfId="0" stopIfTrue="1">
      <formula>=AND($F4&gt;=0,$F4&lt;=30)</formula>
    </cfRule>
    <cfRule type="expression" priority="2" dxfId="1" stopIfTrue="1">
      <formula>=AND($F4&gt;30,$F4&lt;=60)</formula>
    </cfRule>
    <cfRule type="expression" priority="3" dxfId="2" stopIfTrue="1">
      <formula>=AND($F4&gt;60,$F4&lt;=90)</formula>
    </cfRule>
    <cfRule type="expression" priority="4" dxfId="3" stopIfTrue="1">
      <formula>=AND($F4&gt;90,$F4&lt;=120)</formula>
    </cfRule>
    <cfRule type="expression" priority="5" dxfId="4" stopIfTrue="1">
      <formula>=$F4&gt;120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Normal="100" workbookViewId="0">
      <pane ySplit="3" topLeftCell="A4" activePane="bottomLeft" state="frozen"/>
      <selection pane="bottomLeft" activeCell="M17" sqref="M17"/>
    </sheetView>
  </sheetViews>
  <sheetFormatPr baseColWidth="8" defaultRowHeight="15"/>
  <cols>
    <col width="22" customWidth="1" style="36" min="1" max="1"/>
    <col width="12" customWidth="1" style="36" min="2" max="2"/>
    <col width="14" customWidth="1" style="36" min="3" max="5"/>
    <col width="16" customWidth="1" style="36" min="6" max="6"/>
    <col width="14" customWidth="1" style="36" min="7" max="7"/>
    <col width="9.140625" customWidth="1" style="36" min="8" max="16384"/>
  </cols>
  <sheetData>
    <row r="1" ht="30" customHeight="1">
      <c r="A1" s="37" t="inlineStr">
        <is>
          <t>SignalStack | Cash Flow Compass — Accounts Payable Schedule</t>
        </is>
      </c>
    </row>
    <row r="2" ht="15.95" customHeight="1">
      <c r="A2" s="35" t="inlineStr">
        <is>
          <t xml:space="preserve">  Track what you owe and when it's due. Prioritize by due date.</t>
        </is>
      </c>
    </row>
    <row r="3" ht="33.95" customHeight="1">
      <c r="A3" s="3" t="inlineStr">
        <is>
          <t>Vendor</t>
        </is>
      </c>
      <c r="B3" s="3" t="inlineStr">
        <is>
          <t>Invoice #</t>
        </is>
      </c>
      <c r="C3" s="3" t="inlineStr">
        <is>
          <t>Invoice Date</t>
        </is>
      </c>
      <c r="D3" s="3" t="inlineStr">
        <is>
          <t>Due Date</t>
        </is>
      </c>
      <c r="E3" s="3" t="inlineStr">
        <is>
          <t>Amount</t>
        </is>
      </c>
      <c r="F3" s="3" t="inlineStr">
        <is>
          <t>Days Until Due</t>
        </is>
      </c>
      <c r="G3" s="3" t="inlineStr">
        <is>
          <t>Priority</t>
        </is>
      </c>
    </row>
    <row r="4">
      <c r="A4" s="5" t="inlineStr">
        <is>
          <t>Fuel Supplier Co</t>
        </is>
      </c>
      <c r="B4" s="5" t="inlineStr">
        <is>
          <t>AP-2301</t>
        </is>
      </c>
      <c r="C4" s="44" t="n">
        <v>46082</v>
      </c>
      <c r="D4" s="44" t="n">
        <v>46106</v>
      </c>
      <c r="E4" s="45" t="n">
        <v>8400</v>
      </c>
      <c r="F4" s="46">
        <f>D4-TODAY()</f>
        <v/>
      </c>
      <c r="G4" s="5">
        <f>IF(F4&lt;0,"OVERDUE",IF(F4&lt;=7,"DUE THIS WEEK",IF(F4&lt;=14,"DUE SOON","SCHEDULED")))</f>
        <v/>
      </c>
    </row>
    <row r="5">
      <c r="A5" s="7" t="inlineStr">
        <is>
          <t>Fleet Maintenance</t>
        </is>
      </c>
      <c r="B5" s="7" t="inlineStr">
        <is>
          <t>AP-2305</t>
        </is>
      </c>
      <c r="C5" s="47" t="n">
        <v>46091</v>
      </c>
      <c r="D5" s="47" t="n">
        <v>46121</v>
      </c>
      <c r="E5" s="48" t="n">
        <v>2200</v>
      </c>
      <c r="F5" s="49">
        <f>D5-TODAY()</f>
        <v/>
      </c>
      <c r="G5" s="7">
        <f>IF(F5&lt;0,"OVERDUE",IF(F5&lt;=7,"DUE THIS WEEK",IF(F5&lt;=14,"DUE SOON","SCHEDULED")))</f>
        <v/>
      </c>
    </row>
    <row r="6">
      <c r="A6" s="5" t="inlineStr">
        <is>
          <t>Software Stack</t>
        </is>
      </c>
      <c r="B6" s="5" t="inlineStr">
        <is>
          <t>AP-2310</t>
        </is>
      </c>
      <c r="C6" s="44" t="n">
        <v>46096</v>
      </c>
      <c r="D6" s="44" t="n">
        <v>46126</v>
      </c>
      <c r="E6" s="45" t="n">
        <v>890</v>
      </c>
      <c r="F6" s="46">
        <f>D6-TODAY()</f>
        <v/>
      </c>
      <c r="G6" s="5">
        <f>IF(F6&lt;0,"OVERDUE",IF(F6&lt;=7,"DUE THIS WEEK",IF(F6&lt;=14,"DUE SOON","SCHEDULED")))</f>
        <v/>
      </c>
    </row>
    <row r="7">
      <c r="A7" s="7" t="inlineStr">
        <is>
          <t>Office Supplies</t>
        </is>
      </c>
      <c r="B7" s="7" t="inlineStr">
        <is>
          <t>AP-2315</t>
        </is>
      </c>
      <c r="C7" s="47" t="n">
        <v>46101</v>
      </c>
      <c r="D7" s="47" t="n">
        <v>46131</v>
      </c>
      <c r="E7" s="48" t="n">
        <v>340</v>
      </c>
      <c r="F7" s="49">
        <f>D7-TODAY()</f>
        <v/>
      </c>
      <c r="G7" s="7">
        <f>IF(F7&lt;0,"OVERDUE",IF(F7&lt;=7,"DUE THIS WEEK",IF(F7&lt;=14,"DUE SOON","SCHEDULED")))</f>
        <v/>
      </c>
    </row>
    <row r="8">
      <c r="A8" s="5" t="inlineStr">
        <is>
          <t>Insurance Premium</t>
        </is>
      </c>
      <c r="B8" s="5" t="inlineStr">
        <is>
          <t>AP-2320</t>
        </is>
      </c>
      <c r="C8" s="44" t="n">
        <v>46106</v>
      </c>
      <c r="D8" s="44" t="n">
        <v>46121</v>
      </c>
      <c r="E8" s="45" t="n">
        <v>3100</v>
      </c>
      <c r="F8" s="46">
        <f>D8-TODAY()</f>
        <v/>
      </c>
      <c r="G8" s="5">
        <f>IF(F8&lt;0,"OVERDUE",IF(F8&lt;=7,"DUE THIS WEEK",IF(F8&lt;=14,"DUE SOON","SCHEDULED")))</f>
        <v/>
      </c>
    </row>
    <row r="9">
      <c r="A9" s="7" t="inlineStr">
        <is>
          <t>Equipment Lease</t>
        </is>
      </c>
      <c r="B9" s="7" t="inlineStr">
        <is>
          <t>AP-2325</t>
        </is>
      </c>
      <c r="C9" s="47" t="n">
        <v>46109</v>
      </c>
      <c r="D9" s="47" t="n">
        <v>46140</v>
      </c>
      <c r="E9" s="48" t="n">
        <v>1850</v>
      </c>
      <c r="F9" s="49">
        <f>D9-TODAY()</f>
        <v/>
      </c>
      <c r="G9" s="7">
        <f>IF(F9&lt;0,"OVERDUE",IF(F9&lt;=7,"DUE THIS WEEK",IF(F9&lt;=14,"DUE SOON","SCHEDULED")))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2026-03-28T14:09:26Z</dcterms:created>
  <dcterms:modified xmlns:dcterms="http://purl.org/dc/terms/" xmlns:xsi="http://www.w3.org/2001/XMLSchema-instance" xsi:type="dcterms:W3CDTF">2026-03-30T06:02:31Z</dcterms:modified>
  <cp:lastModifiedBy>truenorth</cp:lastModifiedBy>
</cp:coreProperties>
</file>