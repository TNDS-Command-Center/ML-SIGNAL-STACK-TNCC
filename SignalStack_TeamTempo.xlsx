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uenorth\Desktop\00 PIPLINE PUNKS GIT\00-FLEET-COMPLIANCE-SENTINEL\tooling\ML-SIGNAL-STACK-TNCC\"/>
    </mc:Choice>
  </mc:AlternateContent>
  <xr:revisionPtr revIDLastSave="0" documentId="8_{AFE2E617-37AA-429B-875E-DB273D8B5CD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shboard" sheetId="1" r:id="rId1"/>
    <sheet name="Roster" sheetId="2" r:id="rId2"/>
    <sheet name="Hours Log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00" i="1" l="1"/>
  <c r="G2000" i="1" s="1"/>
  <c r="J1999" i="1"/>
  <c r="G1999" i="1" s="1"/>
  <c r="F1999" i="1"/>
  <c r="E1999" i="1"/>
  <c r="D1999" i="1"/>
  <c r="C1999" i="1"/>
  <c r="J1998" i="1"/>
  <c r="F1998" i="1" s="1"/>
  <c r="G1998" i="1"/>
  <c r="J1997" i="1"/>
  <c r="F1997" i="1" s="1"/>
  <c r="J1996" i="1"/>
  <c r="D1996" i="1" s="1"/>
  <c r="J1995" i="1"/>
  <c r="J1994" i="1"/>
  <c r="F1994" i="1" s="1"/>
  <c r="C1994" i="1"/>
  <c r="J1993" i="1"/>
  <c r="J1992" i="1"/>
  <c r="J1991" i="1"/>
  <c r="A1991" i="1" s="1"/>
  <c r="J1990" i="1"/>
  <c r="F1990" i="1" s="1"/>
  <c r="A1990" i="1"/>
  <c r="J1989" i="1"/>
  <c r="E1989" i="1" s="1"/>
  <c r="J1988" i="1"/>
  <c r="G1988" i="1" s="1"/>
  <c r="F1988" i="1"/>
  <c r="A1988" i="1"/>
  <c r="J1987" i="1"/>
  <c r="G1987" i="1" s="1"/>
  <c r="J1986" i="1"/>
  <c r="J1985" i="1"/>
  <c r="J1984" i="1"/>
  <c r="F1984" i="1" s="1"/>
  <c r="G1984" i="1"/>
  <c r="E1984" i="1"/>
  <c r="D1984" i="1"/>
  <c r="A1984" i="1"/>
  <c r="J1983" i="1"/>
  <c r="G1983" i="1" s="1"/>
  <c r="E1983" i="1"/>
  <c r="D1983" i="1"/>
  <c r="A1983" i="1"/>
  <c r="J1982" i="1"/>
  <c r="G1982" i="1" s="1"/>
  <c r="J1981" i="1"/>
  <c r="G1981" i="1" s="1"/>
  <c r="J1980" i="1"/>
  <c r="F1980" i="1" s="1"/>
  <c r="E1980" i="1"/>
  <c r="C1980" i="1"/>
  <c r="J1979" i="1"/>
  <c r="G1979" i="1" s="1"/>
  <c r="J1978" i="1"/>
  <c r="J1977" i="1"/>
  <c r="F1977" i="1" s="1"/>
  <c r="D1977" i="1"/>
  <c r="J1976" i="1"/>
  <c r="C1976" i="1" s="1"/>
  <c r="F1976" i="1"/>
  <c r="J1975" i="1"/>
  <c r="D1975" i="1" s="1"/>
  <c r="A1975" i="1"/>
  <c r="J1974" i="1"/>
  <c r="J1973" i="1"/>
  <c r="G1973" i="1" s="1"/>
  <c r="J1972" i="1"/>
  <c r="C1972" i="1" s="1"/>
  <c r="F1972" i="1"/>
  <c r="E1972" i="1"/>
  <c r="J1971" i="1"/>
  <c r="G1971" i="1" s="1"/>
  <c r="E1971" i="1"/>
  <c r="J1970" i="1"/>
  <c r="G1970" i="1" s="1"/>
  <c r="A1970" i="1"/>
  <c r="J1969" i="1"/>
  <c r="F1969" i="1" s="1"/>
  <c r="G1969" i="1"/>
  <c r="E1969" i="1"/>
  <c r="D1969" i="1"/>
  <c r="A1969" i="1"/>
  <c r="J1968" i="1"/>
  <c r="G1968" i="1" s="1"/>
  <c r="A1968" i="1"/>
  <c r="J1967" i="1"/>
  <c r="J1966" i="1"/>
  <c r="E1966" i="1"/>
  <c r="J1965" i="1"/>
  <c r="D1965" i="1" s="1"/>
  <c r="G1965" i="1"/>
  <c r="E1965" i="1"/>
  <c r="J1964" i="1"/>
  <c r="G1964" i="1"/>
  <c r="F1964" i="1"/>
  <c r="E1964" i="1"/>
  <c r="A1964" i="1"/>
  <c r="J1963" i="1"/>
  <c r="G1963" i="1" s="1"/>
  <c r="D1963" i="1"/>
  <c r="A1963" i="1"/>
  <c r="J1962" i="1"/>
  <c r="G1962" i="1" s="1"/>
  <c r="F1962" i="1"/>
  <c r="D1962" i="1"/>
  <c r="J1961" i="1"/>
  <c r="F1961" i="1" s="1"/>
  <c r="J1960" i="1"/>
  <c r="E1960" i="1" s="1"/>
  <c r="J1959" i="1"/>
  <c r="C1959" i="1" s="1"/>
  <c r="E1959" i="1"/>
  <c r="J1958" i="1"/>
  <c r="F1958" i="1" s="1"/>
  <c r="C1958" i="1"/>
  <c r="J1957" i="1"/>
  <c r="E1957" i="1" s="1"/>
  <c r="G1957" i="1"/>
  <c r="F1957" i="1"/>
  <c r="J1956" i="1"/>
  <c r="C1956" i="1" s="1"/>
  <c r="F1956" i="1"/>
  <c r="E1956" i="1"/>
  <c r="D1956" i="1"/>
  <c r="A1956" i="1"/>
  <c r="J1955" i="1"/>
  <c r="G1955" i="1" s="1"/>
  <c r="D1955" i="1"/>
  <c r="J1954" i="1"/>
  <c r="G1954" i="1" s="1"/>
  <c r="F1954" i="1"/>
  <c r="A1954" i="1"/>
  <c r="J1953" i="1"/>
  <c r="J1952" i="1"/>
  <c r="J1951" i="1"/>
  <c r="G1951" i="1" s="1"/>
  <c r="A1951" i="1"/>
  <c r="J1950" i="1"/>
  <c r="D1950" i="1" s="1"/>
  <c r="J1949" i="1"/>
  <c r="J1948" i="1"/>
  <c r="F1948" i="1" s="1"/>
  <c r="C1948" i="1"/>
  <c r="J1947" i="1"/>
  <c r="A1947" i="1" s="1"/>
  <c r="J1946" i="1"/>
  <c r="A1946" i="1" s="1"/>
  <c r="G1946" i="1"/>
  <c r="F1946" i="1"/>
  <c r="E1946" i="1"/>
  <c r="C1946" i="1"/>
  <c r="J1945" i="1"/>
  <c r="F1945" i="1" s="1"/>
  <c r="E1945" i="1"/>
  <c r="D1945" i="1"/>
  <c r="J1944" i="1"/>
  <c r="G1944" i="1" s="1"/>
  <c r="J1943" i="1"/>
  <c r="D1943" i="1" s="1"/>
  <c r="A1943" i="1"/>
  <c r="J1942" i="1"/>
  <c r="J1941" i="1"/>
  <c r="J1940" i="1"/>
  <c r="F1940" i="1" s="1"/>
  <c r="J1939" i="1"/>
  <c r="G1939" i="1"/>
  <c r="E1939" i="1"/>
  <c r="D1939" i="1"/>
  <c r="A1939" i="1"/>
  <c r="J1938" i="1"/>
  <c r="G1938" i="1"/>
  <c r="F1938" i="1"/>
  <c r="E1938" i="1"/>
  <c r="D1938" i="1"/>
  <c r="C1938" i="1"/>
  <c r="A1938" i="1"/>
  <c r="J1937" i="1"/>
  <c r="G1937" i="1" s="1"/>
  <c r="F1937" i="1"/>
  <c r="J1936" i="1"/>
  <c r="F1936" i="1" s="1"/>
  <c r="J1935" i="1"/>
  <c r="J1934" i="1"/>
  <c r="G1934" i="1" s="1"/>
  <c r="E1934" i="1"/>
  <c r="C1934" i="1"/>
  <c r="J1933" i="1"/>
  <c r="F1933" i="1" s="1"/>
  <c r="G1933" i="1"/>
  <c r="J1932" i="1"/>
  <c r="G1932" i="1"/>
  <c r="F1932" i="1"/>
  <c r="E1932" i="1"/>
  <c r="A1932" i="1"/>
  <c r="J1931" i="1"/>
  <c r="G1931" i="1"/>
  <c r="F1931" i="1"/>
  <c r="E1931" i="1"/>
  <c r="D1931" i="1"/>
  <c r="C1931" i="1"/>
  <c r="A1931" i="1"/>
  <c r="J1930" i="1"/>
  <c r="F1930" i="1" s="1"/>
  <c r="D1930" i="1"/>
  <c r="J1929" i="1"/>
  <c r="G1929" i="1" s="1"/>
  <c r="C1929" i="1"/>
  <c r="A1929" i="1"/>
  <c r="J1928" i="1"/>
  <c r="D1928" i="1" s="1"/>
  <c r="C1928" i="1"/>
  <c r="J1927" i="1"/>
  <c r="E1927" i="1" s="1"/>
  <c r="A1927" i="1"/>
  <c r="J1926" i="1"/>
  <c r="A1926" i="1" s="1"/>
  <c r="J1925" i="1"/>
  <c r="E1925" i="1" s="1"/>
  <c r="D1925" i="1"/>
  <c r="A1925" i="1"/>
  <c r="J1924" i="1"/>
  <c r="F1924" i="1" s="1"/>
  <c r="E1924" i="1"/>
  <c r="D1924" i="1"/>
  <c r="J1923" i="1"/>
  <c r="E1923" i="1"/>
  <c r="J1922" i="1"/>
  <c r="F1922" i="1" s="1"/>
  <c r="J1921" i="1"/>
  <c r="D1921" i="1" s="1"/>
  <c r="E1921" i="1"/>
  <c r="J1920" i="1"/>
  <c r="F1920" i="1" s="1"/>
  <c r="G1920" i="1"/>
  <c r="E1920" i="1"/>
  <c r="D1920" i="1"/>
  <c r="C1920" i="1"/>
  <c r="A1920" i="1"/>
  <c r="J1919" i="1"/>
  <c r="C1919" i="1" s="1"/>
  <c r="G1919" i="1"/>
  <c r="E1919" i="1"/>
  <c r="D1919" i="1"/>
  <c r="J1918" i="1"/>
  <c r="G1918" i="1" s="1"/>
  <c r="J1917" i="1"/>
  <c r="D1917" i="1" s="1"/>
  <c r="C1917" i="1"/>
  <c r="J1916" i="1"/>
  <c r="F1916" i="1" s="1"/>
  <c r="J1915" i="1"/>
  <c r="A1915" i="1" s="1"/>
  <c r="D1915" i="1"/>
  <c r="C1915" i="1"/>
  <c r="J1914" i="1"/>
  <c r="D1914" i="1" s="1"/>
  <c r="J1913" i="1"/>
  <c r="F1913" i="1" s="1"/>
  <c r="E1913" i="1"/>
  <c r="J1912" i="1"/>
  <c r="C1912" i="1" s="1"/>
  <c r="G1912" i="1"/>
  <c r="F1912" i="1"/>
  <c r="A1912" i="1"/>
  <c r="J1911" i="1"/>
  <c r="A1911" i="1" s="1"/>
  <c r="F1911" i="1"/>
  <c r="D1911" i="1"/>
  <c r="J1910" i="1"/>
  <c r="A1910" i="1" s="1"/>
  <c r="J1909" i="1"/>
  <c r="J1908" i="1"/>
  <c r="G1908" i="1" s="1"/>
  <c r="F1908" i="1"/>
  <c r="E1908" i="1"/>
  <c r="D1908" i="1"/>
  <c r="C1908" i="1"/>
  <c r="A1908" i="1"/>
  <c r="J1907" i="1"/>
  <c r="D1907" i="1" s="1"/>
  <c r="E1907" i="1"/>
  <c r="A1907" i="1"/>
  <c r="J1906" i="1"/>
  <c r="F1906" i="1" s="1"/>
  <c r="G1906" i="1"/>
  <c r="D1906" i="1"/>
  <c r="A1906" i="1"/>
  <c r="J1905" i="1"/>
  <c r="G1905" i="1" s="1"/>
  <c r="D1905" i="1"/>
  <c r="C1905" i="1"/>
  <c r="A1905" i="1"/>
  <c r="J1904" i="1"/>
  <c r="G1904" i="1" s="1"/>
  <c r="F1904" i="1"/>
  <c r="D1904" i="1"/>
  <c r="C1904" i="1"/>
  <c r="A1904" i="1"/>
  <c r="J1903" i="1"/>
  <c r="D1903" i="1" s="1"/>
  <c r="J1902" i="1"/>
  <c r="C1902" i="1" s="1"/>
  <c r="J1901" i="1"/>
  <c r="D1901" i="1" s="1"/>
  <c r="F1901" i="1"/>
  <c r="J1900" i="1"/>
  <c r="G1900" i="1"/>
  <c r="J1899" i="1"/>
  <c r="G1899" i="1" s="1"/>
  <c r="D1899" i="1"/>
  <c r="A1899" i="1"/>
  <c r="J1898" i="1"/>
  <c r="F1898" i="1" s="1"/>
  <c r="J1897" i="1"/>
  <c r="E1897" i="1" s="1"/>
  <c r="C1897" i="1"/>
  <c r="J1896" i="1"/>
  <c r="E1896" i="1" s="1"/>
  <c r="J1895" i="1"/>
  <c r="E1895" i="1" s="1"/>
  <c r="A1895" i="1"/>
  <c r="J1894" i="1"/>
  <c r="G1894" i="1" s="1"/>
  <c r="J1893" i="1"/>
  <c r="E1893" i="1" s="1"/>
  <c r="G1893" i="1"/>
  <c r="F1893" i="1"/>
  <c r="D1893" i="1"/>
  <c r="A1893" i="1"/>
  <c r="J1892" i="1"/>
  <c r="F1892" i="1"/>
  <c r="D1892" i="1"/>
  <c r="A1892" i="1"/>
  <c r="J1891" i="1"/>
  <c r="E1891" i="1" s="1"/>
  <c r="J1890" i="1"/>
  <c r="G1890" i="1" s="1"/>
  <c r="F1890" i="1"/>
  <c r="D1890" i="1"/>
  <c r="C1890" i="1"/>
  <c r="A1890" i="1"/>
  <c r="J1889" i="1"/>
  <c r="D1889" i="1" s="1"/>
  <c r="C1889" i="1"/>
  <c r="A1889" i="1"/>
  <c r="J1888" i="1"/>
  <c r="F1888" i="1" s="1"/>
  <c r="G1888" i="1"/>
  <c r="E1888" i="1"/>
  <c r="A1888" i="1"/>
  <c r="J1887" i="1"/>
  <c r="J1886" i="1"/>
  <c r="G1886" i="1"/>
  <c r="D1886" i="1"/>
  <c r="A1886" i="1"/>
  <c r="J1885" i="1"/>
  <c r="G1885" i="1" s="1"/>
  <c r="F1885" i="1"/>
  <c r="E1885" i="1"/>
  <c r="D1885" i="1"/>
  <c r="C1885" i="1"/>
  <c r="J1884" i="1"/>
  <c r="E1884" i="1" s="1"/>
  <c r="J1883" i="1"/>
  <c r="F1883" i="1"/>
  <c r="J1882" i="1"/>
  <c r="G1882" i="1"/>
  <c r="J1881" i="1"/>
  <c r="F1881" i="1" s="1"/>
  <c r="G1881" i="1"/>
  <c r="E1881" i="1"/>
  <c r="D1881" i="1"/>
  <c r="A1881" i="1"/>
  <c r="J1880" i="1"/>
  <c r="A1880" i="1" s="1"/>
  <c r="G1880" i="1"/>
  <c r="J1879" i="1"/>
  <c r="C1879" i="1" s="1"/>
  <c r="J1878" i="1"/>
  <c r="D1878" i="1" s="1"/>
  <c r="J1877" i="1"/>
  <c r="G1877" i="1" s="1"/>
  <c r="J1876" i="1"/>
  <c r="C1876" i="1" s="1"/>
  <c r="J1875" i="1"/>
  <c r="E1875" i="1"/>
  <c r="A1875" i="1"/>
  <c r="J1874" i="1"/>
  <c r="G1874" i="1"/>
  <c r="F1874" i="1"/>
  <c r="E1874" i="1"/>
  <c r="D1874" i="1"/>
  <c r="C1874" i="1"/>
  <c r="A1874" i="1"/>
  <c r="J1873" i="1"/>
  <c r="F1873" i="1" s="1"/>
  <c r="J1872" i="1"/>
  <c r="G1872" i="1" s="1"/>
  <c r="J1871" i="1"/>
  <c r="G1871" i="1" s="1"/>
  <c r="J1870" i="1"/>
  <c r="J1869" i="1"/>
  <c r="D1869" i="1" s="1"/>
  <c r="A1869" i="1"/>
  <c r="J1868" i="1"/>
  <c r="D1868" i="1" s="1"/>
  <c r="G1868" i="1"/>
  <c r="J1867" i="1"/>
  <c r="G1867" i="1" s="1"/>
  <c r="F1867" i="1"/>
  <c r="E1867" i="1"/>
  <c r="A1867" i="1"/>
  <c r="J1866" i="1"/>
  <c r="G1866" i="1" s="1"/>
  <c r="F1866" i="1"/>
  <c r="D1866" i="1"/>
  <c r="J1865" i="1"/>
  <c r="G1865" i="1" s="1"/>
  <c r="D1865" i="1"/>
  <c r="C1865" i="1"/>
  <c r="A1865" i="1"/>
  <c r="J1864" i="1"/>
  <c r="J1863" i="1"/>
  <c r="G1863" i="1"/>
  <c r="J1862" i="1"/>
  <c r="G1862" i="1" s="1"/>
  <c r="D1862" i="1"/>
  <c r="C1862" i="1"/>
  <c r="J1861" i="1"/>
  <c r="E1861" i="1" s="1"/>
  <c r="J1860" i="1"/>
  <c r="A1860" i="1" s="1"/>
  <c r="J1859" i="1"/>
  <c r="C1859" i="1"/>
  <c r="J1858" i="1"/>
  <c r="C1858" i="1" s="1"/>
  <c r="G1858" i="1"/>
  <c r="E1858" i="1"/>
  <c r="D1858" i="1"/>
  <c r="J1857" i="1"/>
  <c r="F1857" i="1" s="1"/>
  <c r="G1857" i="1"/>
  <c r="E1857" i="1"/>
  <c r="J1856" i="1"/>
  <c r="D1856" i="1"/>
  <c r="J1855" i="1"/>
  <c r="G1855" i="1" s="1"/>
  <c r="J1854" i="1"/>
  <c r="J1853" i="1"/>
  <c r="E1853" i="1" s="1"/>
  <c r="F1853" i="1"/>
  <c r="D1853" i="1"/>
  <c r="J1852" i="1"/>
  <c r="E1852" i="1" s="1"/>
  <c r="F1852" i="1"/>
  <c r="J1851" i="1"/>
  <c r="A1851" i="1" s="1"/>
  <c r="F1851" i="1"/>
  <c r="E1851" i="1"/>
  <c r="J1850" i="1"/>
  <c r="G1850" i="1" s="1"/>
  <c r="J1849" i="1"/>
  <c r="D1849" i="1" s="1"/>
  <c r="G1849" i="1"/>
  <c r="F1849" i="1"/>
  <c r="E1849" i="1"/>
  <c r="C1849" i="1"/>
  <c r="A1849" i="1"/>
  <c r="J1848" i="1"/>
  <c r="C1848" i="1" s="1"/>
  <c r="G1848" i="1"/>
  <c r="E1848" i="1"/>
  <c r="D1848" i="1"/>
  <c r="A1848" i="1"/>
  <c r="J1847" i="1"/>
  <c r="J1846" i="1"/>
  <c r="J1845" i="1"/>
  <c r="J1844" i="1"/>
  <c r="G1844" i="1" s="1"/>
  <c r="E1844" i="1"/>
  <c r="D1844" i="1"/>
  <c r="C1844" i="1"/>
  <c r="A1844" i="1"/>
  <c r="J1843" i="1"/>
  <c r="E1843" i="1" s="1"/>
  <c r="G1843" i="1"/>
  <c r="D1843" i="1"/>
  <c r="A1843" i="1"/>
  <c r="J1842" i="1"/>
  <c r="E1842" i="1"/>
  <c r="C1842" i="1"/>
  <c r="J1841" i="1"/>
  <c r="G1841" i="1" s="1"/>
  <c r="F1841" i="1"/>
  <c r="E1841" i="1"/>
  <c r="D1841" i="1"/>
  <c r="C1841" i="1"/>
  <c r="A1841" i="1"/>
  <c r="J1840" i="1"/>
  <c r="E1840" i="1" s="1"/>
  <c r="F1840" i="1"/>
  <c r="D1840" i="1"/>
  <c r="C1840" i="1"/>
  <c r="J1839" i="1"/>
  <c r="A1839" i="1" s="1"/>
  <c r="J1838" i="1"/>
  <c r="E1838" i="1" s="1"/>
  <c r="J1837" i="1"/>
  <c r="G1837" i="1" s="1"/>
  <c r="E1837" i="1"/>
  <c r="J1836" i="1"/>
  <c r="F1836" i="1" s="1"/>
  <c r="E1836" i="1"/>
  <c r="J1835" i="1"/>
  <c r="C1835" i="1" s="1"/>
  <c r="J1834" i="1"/>
  <c r="G1834" i="1" s="1"/>
  <c r="J1833" i="1"/>
  <c r="G1833" i="1" s="1"/>
  <c r="C1833" i="1"/>
  <c r="A1833" i="1"/>
  <c r="J1832" i="1"/>
  <c r="D1832" i="1" s="1"/>
  <c r="J1831" i="1"/>
  <c r="E1831" i="1" s="1"/>
  <c r="J1830" i="1"/>
  <c r="G1830" i="1" s="1"/>
  <c r="J1829" i="1"/>
  <c r="E1829" i="1" s="1"/>
  <c r="G1829" i="1"/>
  <c r="F1829" i="1"/>
  <c r="D1829" i="1"/>
  <c r="A1829" i="1"/>
  <c r="J1828" i="1"/>
  <c r="C1828" i="1" s="1"/>
  <c r="F1828" i="1"/>
  <c r="E1828" i="1"/>
  <c r="D1828" i="1"/>
  <c r="A1828" i="1"/>
  <c r="J1827" i="1"/>
  <c r="A1827" i="1" s="1"/>
  <c r="G1827" i="1"/>
  <c r="E1827" i="1"/>
  <c r="D1827" i="1"/>
  <c r="C1827" i="1"/>
  <c r="J1826" i="1"/>
  <c r="A1826" i="1"/>
  <c r="J1825" i="1"/>
  <c r="J1824" i="1"/>
  <c r="D1824" i="1" s="1"/>
  <c r="J1823" i="1"/>
  <c r="F1823" i="1" s="1"/>
  <c r="A1823" i="1"/>
  <c r="J1822" i="1"/>
  <c r="J1821" i="1"/>
  <c r="A1821" i="1" s="1"/>
  <c r="J1820" i="1"/>
  <c r="J1819" i="1"/>
  <c r="A1819" i="1" s="1"/>
  <c r="F1819" i="1"/>
  <c r="E1819" i="1"/>
  <c r="D1819" i="1"/>
  <c r="C1819" i="1"/>
  <c r="J1818" i="1"/>
  <c r="J1817" i="1"/>
  <c r="F1817" i="1" s="1"/>
  <c r="G1817" i="1"/>
  <c r="C1817" i="1"/>
  <c r="A1817" i="1"/>
  <c r="J1816" i="1"/>
  <c r="F1816" i="1" s="1"/>
  <c r="A1816" i="1"/>
  <c r="J1815" i="1"/>
  <c r="D1815" i="1" s="1"/>
  <c r="F1815" i="1"/>
  <c r="A1815" i="1"/>
  <c r="J1814" i="1"/>
  <c r="G1814" i="1"/>
  <c r="J1813" i="1"/>
  <c r="G1813" i="1" s="1"/>
  <c r="J1812" i="1"/>
  <c r="F1812" i="1" s="1"/>
  <c r="J1811" i="1"/>
  <c r="E1811" i="1" s="1"/>
  <c r="J1810" i="1"/>
  <c r="F1810" i="1" s="1"/>
  <c r="G1810" i="1"/>
  <c r="D1810" i="1"/>
  <c r="A1810" i="1"/>
  <c r="J1809" i="1"/>
  <c r="A1809" i="1"/>
  <c r="J1808" i="1"/>
  <c r="G1808" i="1" s="1"/>
  <c r="A1808" i="1"/>
  <c r="J1807" i="1"/>
  <c r="A1807" i="1" s="1"/>
  <c r="G1807" i="1"/>
  <c r="E1807" i="1"/>
  <c r="J1806" i="1"/>
  <c r="G1806" i="1"/>
  <c r="F1806" i="1"/>
  <c r="J1805" i="1"/>
  <c r="D1805" i="1" s="1"/>
  <c r="E1805" i="1"/>
  <c r="C1805" i="1"/>
  <c r="J1804" i="1"/>
  <c r="F1804" i="1" s="1"/>
  <c r="G1804" i="1"/>
  <c r="D1804" i="1"/>
  <c r="A1804" i="1"/>
  <c r="J1803" i="1"/>
  <c r="A1803" i="1" s="1"/>
  <c r="J1802" i="1"/>
  <c r="E1802" i="1" s="1"/>
  <c r="G1802" i="1"/>
  <c r="D1802" i="1"/>
  <c r="C1802" i="1"/>
  <c r="J1801" i="1"/>
  <c r="G1801" i="1" s="1"/>
  <c r="F1801" i="1"/>
  <c r="E1801" i="1"/>
  <c r="D1801" i="1"/>
  <c r="C1801" i="1"/>
  <c r="A1801" i="1"/>
  <c r="J1800" i="1"/>
  <c r="E1800" i="1" s="1"/>
  <c r="D1800" i="1"/>
  <c r="C1800" i="1"/>
  <c r="J1799" i="1"/>
  <c r="E1799" i="1" s="1"/>
  <c r="J1798" i="1"/>
  <c r="G1798" i="1" s="1"/>
  <c r="C1798" i="1"/>
  <c r="J1797" i="1"/>
  <c r="C1797" i="1" s="1"/>
  <c r="G1797" i="1"/>
  <c r="F1797" i="1"/>
  <c r="E1797" i="1"/>
  <c r="D1797" i="1"/>
  <c r="A1797" i="1"/>
  <c r="J1796" i="1"/>
  <c r="C1796" i="1" s="1"/>
  <c r="G1796" i="1"/>
  <c r="E1796" i="1"/>
  <c r="D1796" i="1"/>
  <c r="A1796" i="1"/>
  <c r="J1795" i="1"/>
  <c r="F1795" i="1" s="1"/>
  <c r="G1795" i="1"/>
  <c r="E1795" i="1"/>
  <c r="D1795" i="1"/>
  <c r="C1795" i="1"/>
  <c r="J1794" i="1"/>
  <c r="D1794" i="1" s="1"/>
  <c r="J1793" i="1"/>
  <c r="E1793" i="1"/>
  <c r="A1793" i="1"/>
  <c r="J1792" i="1"/>
  <c r="D1792" i="1" s="1"/>
  <c r="J1791" i="1"/>
  <c r="F1791" i="1" s="1"/>
  <c r="G1791" i="1"/>
  <c r="E1791" i="1"/>
  <c r="D1791" i="1"/>
  <c r="C1791" i="1"/>
  <c r="J1790" i="1"/>
  <c r="A1790" i="1" s="1"/>
  <c r="J1789" i="1"/>
  <c r="F1789" i="1" s="1"/>
  <c r="G1789" i="1"/>
  <c r="E1789" i="1"/>
  <c r="D1789" i="1"/>
  <c r="J1788" i="1"/>
  <c r="F1788" i="1" s="1"/>
  <c r="D1788" i="1"/>
  <c r="C1788" i="1"/>
  <c r="J1787" i="1"/>
  <c r="G1787" i="1" s="1"/>
  <c r="F1787" i="1"/>
  <c r="C1787" i="1"/>
  <c r="J1786" i="1"/>
  <c r="C1786" i="1" s="1"/>
  <c r="A1786" i="1"/>
  <c r="J1785" i="1"/>
  <c r="J1784" i="1"/>
  <c r="C1784" i="1" s="1"/>
  <c r="G1784" i="1"/>
  <c r="F1784" i="1"/>
  <c r="E1784" i="1"/>
  <c r="D1784" i="1"/>
  <c r="A1784" i="1"/>
  <c r="J1783" i="1"/>
  <c r="E1783" i="1" s="1"/>
  <c r="C1783" i="1"/>
  <c r="A1783" i="1"/>
  <c r="J1782" i="1"/>
  <c r="J1781" i="1"/>
  <c r="G1781" i="1" s="1"/>
  <c r="E1781" i="1"/>
  <c r="D1781" i="1"/>
  <c r="C1781" i="1"/>
  <c r="A1781" i="1"/>
  <c r="J1780" i="1"/>
  <c r="G1780" i="1" s="1"/>
  <c r="J1779" i="1"/>
  <c r="G1779" i="1"/>
  <c r="J1778" i="1"/>
  <c r="E1778" i="1" s="1"/>
  <c r="G1778" i="1"/>
  <c r="F1778" i="1"/>
  <c r="J1777" i="1"/>
  <c r="G1777" i="1"/>
  <c r="F1777" i="1"/>
  <c r="E1777" i="1"/>
  <c r="D1777" i="1"/>
  <c r="C1777" i="1"/>
  <c r="A1777" i="1"/>
  <c r="J1776" i="1"/>
  <c r="A1776" i="1" s="1"/>
  <c r="F1776" i="1"/>
  <c r="E1776" i="1"/>
  <c r="J1775" i="1"/>
  <c r="G1775" i="1"/>
  <c r="F1775" i="1"/>
  <c r="J1774" i="1"/>
  <c r="J1773" i="1"/>
  <c r="D1773" i="1" s="1"/>
  <c r="E1773" i="1"/>
  <c r="C1773" i="1"/>
  <c r="A1773" i="1"/>
  <c r="J1772" i="1"/>
  <c r="G1772" i="1" s="1"/>
  <c r="D1772" i="1"/>
  <c r="C1772" i="1"/>
  <c r="J1771" i="1"/>
  <c r="G1771" i="1"/>
  <c r="F1771" i="1"/>
  <c r="J1770" i="1"/>
  <c r="G1770" i="1" s="1"/>
  <c r="J1769" i="1"/>
  <c r="F1769" i="1" s="1"/>
  <c r="E1769" i="1"/>
  <c r="D1769" i="1"/>
  <c r="C1769" i="1"/>
  <c r="J1768" i="1"/>
  <c r="A1768" i="1"/>
  <c r="J1767" i="1"/>
  <c r="D1767" i="1" s="1"/>
  <c r="G1767" i="1"/>
  <c r="E1767" i="1"/>
  <c r="J1766" i="1"/>
  <c r="F1766" i="1" s="1"/>
  <c r="E1766" i="1"/>
  <c r="J1765" i="1"/>
  <c r="G1765" i="1" s="1"/>
  <c r="D1765" i="1"/>
  <c r="A1765" i="1"/>
  <c r="J1764" i="1"/>
  <c r="G1764" i="1"/>
  <c r="E1764" i="1"/>
  <c r="D1764" i="1"/>
  <c r="J1763" i="1"/>
  <c r="J1762" i="1"/>
  <c r="J1761" i="1"/>
  <c r="E1761" i="1" s="1"/>
  <c r="G1761" i="1"/>
  <c r="F1761" i="1"/>
  <c r="D1761" i="1"/>
  <c r="C1761" i="1"/>
  <c r="A1761" i="1"/>
  <c r="J1760" i="1"/>
  <c r="G1760" i="1"/>
  <c r="C1760" i="1"/>
  <c r="A1760" i="1"/>
  <c r="J1759" i="1"/>
  <c r="J1758" i="1"/>
  <c r="F1758" i="1" s="1"/>
  <c r="J1757" i="1"/>
  <c r="G1757" i="1" s="1"/>
  <c r="F1757" i="1"/>
  <c r="D1757" i="1"/>
  <c r="C1757" i="1"/>
  <c r="A1757" i="1"/>
  <c r="J1756" i="1"/>
  <c r="G1756" i="1" s="1"/>
  <c r="J1755" i="1"/>
  <c r="G1755" i="1"/>
  <c r="F1755" i="1"/>
  <c r="E1755" i="1"/>
  <c r="J1754" i="1"/>
  <c r="J1753" i="1"/>
  <c r="G1753" i="1"/>
  <c r="F1753" i="1"/>
  <c r="E1753" i="1"/>
  <c r="D1753" i="1"/>
  <c r="C1753" i="1"/>
  <c r="A1753" i="1"/>
  <c r="J1752" i="1"/>
  <c r="G1752" i="1" s="1"/>
  <c r="J1751" i="1"/>
  <c r="D1751" i="1" s="1"/>
  <c r="F1751" i="1"/>
  <c r="J1750" i="1"/>
  <c r="J1749" i="1"/>
  <c r="J1748" i="1"/>
  <c r="D1748" i="1" s="1"/>
  <c r="G1748" i="1"/>
  <c r="A1748" i="1"/>
  <c r="J1747" i="1"/>
  <c r="G1747" i="1" s="1"/>
  <c r="D1747" i="1"/>
  <c r="J1746" i="1"/>
  <c r="G1746" i="1" s="1"/>
  <c r="J1745" i="1"/>
  <c r="F1745" i="1" s="1"/>
  <c r="C1745" i="1"/>
  <c r="J1744" i="1"/>
  <c r="D1744" i="1"/>
  <c r="J1743" i="1"/>
  <c r="D1743" i="1" s="1"/>
  <c r="J1742" i="1"/>
  <c r="E1742" i="1" s="1"/>
  <c r="C1742" i="1"/>
  <c r="A1742" i="1"/>
  <c r="J1741" i="1"/>
  <c r="J1740" i="1"/>
  <c r="G1740" i="1" s="1"/>
  <c r="J1739" i="1"/>
  <c r="E1739" i="1" s="1"/>
  <c r="D1739" i="1"/>
  <c r="J1738" i="1"/>
  <c r="F1738" i="1" s="1"/>
  <c r="E1738" i="1"/>
  <c r="J1737" i="1"/>
  <c r="G1737" i="1" s="1"/>
  <c r="F1737" i="1"/>
  <c r="E1737" i="1"/>
  <c r="A1737" i="1"/>
  <c r="J1736" i="1"/>
  <c r="J1735" i="1"/>
  <c r="G1735" i="1"/>
  <c r="F1735" i="1"/>
  <c r="E1735" i="1"/>
  <c r="D1735" i="1"/>
  <c r="J1734" i="1"/>
  <c r="G1734" i="1"/>
  <c r="F1734" i="1"/>
  <c r="E1734" i="1"/>
  <c r="D1734" i="1"/>
  <c r="C1734" i="1"/>
  <c r="A1734" i="1"/>
  <c r="J1733" i="1"/>
  <c r="C1733" i="1" s="1"/>
  <c r="G1733" i="1"/>
  <c r="F1733" i="1"/>
  <c r="E1733" i="1"/>
  <c r="D1733" i="1"/>
  <c r="A1733" i="1"/>
  <c r="J1732" i="1"/>
  <c r="J1731" i="1"/>
  <c r="E1731" i="1" s="1"/>
  <c r="G1731" i="1"/>
  <c r="F1731" i="1"/>
  <c r="J1730" i="1"/>
  <c r="G1730" i="1" s="1"/>
  <c r="J1729" i="1"/>
  <c r="G1729" i="1"/>
  <c r="F1729" i="1"/>
  <c r="E1729" i="1"/>
  <c r="D1729" i="1"/>
  <c r="C1729" i="1"/>
  <c r="A1729" i="1"/>
  <c r="J1728" i="1"/>
  <c r="G1728" i="1"/>
  <c r="E1728" i="1"/>
  <c r="J1727" i="1"/>
  <c r="D1727" i="1" s="1"/>
  <c r="G1727" i="1"/>
  <c r="A1727" i="1"/>
  <c r="J1726" i="1"/>
  <c r="G1726" i="1"/>
  <c r="C1726" i="1"/>
  <c r="J1725" i="1"/>
  <c r="F1725" i="1" s="1"/>
  <c r="J1724" i="1"/>
  <c r="F1724" i="1"/>
  <c r="E1724" i="1"/>
  <c r="D1724" i="1"/>
  <c r="J1723" i="1"/>
  <c r="G1723" i="1" s="1"/>
  <c r="J1722" i="1"/>
  <c r="J1721" i="1"/>
  <c r="J1720" i="1"/>
  <c r="J1719" i="1"/>
  <c r="J1718" i="1"/>
  <c r="C1718" i="1" s="1"/>
  <c r="G1718" i="1"/>
  <c r="D1718" i="1"/>
  <c r="A1718" i="1"/>
  <c r="J1717" i="1"/>
  <c r="G1717" i="1" s="1"/>
  <c r="J1716" i="1"/>
  <c r="J1715" i="1"/>
  <c r="A1715" i="1" s="1"/>
  <c r="J1714" i="1"/>
  <c r="G1714" i="1" s="1"/>
  <c r="F1714" i="1"/>
  <c r="E1714" i="1"/>
  <c r="D1714" i="1"/>
  <c r="C1714" i="1"/>
  <c r="A1714" i="1"/>
  <c r="J1713" i="1"/>
  <c r="F1713" i="1" s="1"/>
  <c r="G1713" i="1"/>
  <c r="E1713" i="1"/>
  <c r="J1712" i="1"/>
  <c r="G1712" i="1"/>
  <c r="F1712" i="1"/>
  <c r="J1711" i="1"/>
  <c r="J1710" i="1"/>
  <c r="D1710" i="1" s="1"/>
  <c r="G1710" i="1"/>
  <c r="F1710" i="1"/>
  <c r="E1710" i="1"/>
  <c r="C1710" i="1"/>
  <c r="J1709" i="1"/>
  <c r="J1708" i="1"/>
  <c r="A1708" i="1" s="1"/>
  <c r="E1708" i="1"/>
  <c r="C1708" i="1"/>
  <c r="J1707" i="1"/>
  <c r="A1707" i="1" s="1"/>
  <c r="G1707" i="1"/>
  <c r="F1707" i="1"/>
  <c r="E1707" i="1"/>
  <c r="D1707" i="1"/>
  <c r="J1706" i="1"/>
  <c r="G1706" i="1"/>
  <c r="F1706" i="1"/>
  <c r="E1706" i="1"/>
  <c r="J1705" i="1"/>
  <c r="F1705" i="1" s="1"/>
  <c r="J1704" i="1"/>
  <c r="G1704" i="1" s="1"/>
  <c r="F1704" i="1"/>
  <c r="E1704" i="1"/>
  <c r="D1704" i="1"/>
  <c r="C1704" i="1"/>
  <c r="A1704" i="1"/>
  <c r="J1703" i="1"/>
  <c r="D1703" i="1" s="1"/>
  <c r="A1703" i="1"/>
  <c r="J1702" i="1"/>
  <c r="F1702" i="1"/>
  <c r="E1702" i="1"/>
  <c r="D1702" i="1"/>
  <c r="A1702" i="1"/>
  <c r="J1701" i="1"/>
  <c r="J1700" i="1"/>
  <c r="F1700" i="1" s="1"/>
  <c r="G1700" i="1"/>
  <c r="J1699" i="1"/>
  <c r="J1698" i="1"/>
  <c r="D1698" i="1" s="1"/>
  <c r="J1697" i="1"/>
  <c r="F1697" i="1"/>
  <c r="E1697" i="1"/>
  <c r="J1696" i="1"/>
  <c r="G1696" i="1" s="1"/>
  <c r="J1695" i="1"/>
  <c r="J1694" i="1"/>
  <c r="J1693" i="1"/>
  <c r="G1693" i="1" s="1"/>
  <c r="E1693" i="1"/>
  <c r="J1692" i="1"/>
  <c r="A1692" i="1" s="1"/>
  <c r="G1692" i="1"/>
  <c r="F1692" i="1"/>
  <c r="E1692" i="1"/>
  <c r="D1692" i="1"/>
  <c r="C1692" i="1"/>
  <c r="J1691" i="1"/>
  <c r="G1691" i="1" s="1"/>
  <c r="J1690" i="1"/>
  <c r="A1690" i="1" s="1"/>
  <c r="F1690" i="1"/>
  <c r="D1690" i="1"/>
  <c r="C1690" i="1"/>
  <c r="J1689" i="1"/>
  <c r="G1689" i="1" s="1"/>
  <c r="C1689" i="1"/>
  <c r="A1689" i="1"/>
  <c r="J1688" i="1"/>
  <c r="J1687" i="1"/>
  <c r="G1687" i="1" s="1"/>
  <c r="C1687" i="1"/>
  <c r="J1686" i="1"/>
  <c r="J1685" i="1"/>
  <c r="G1685" i="1"/>
  <c r="J1684" i="1"/>
  <c r="A1684" i="1" s="1"/>
  <c r="J1683" i="1"/>
  <c r="G1683" i="1" s="1"/>
  <c r="J1682" i="1"/>
  <c r="G1682" i="1" s="1"/>
  <c r="D1682" i="1"/>
  <c r="A1682" i="1"/>
  <c r="J1681" i="1"/>
  <c r="G1681" i="1"/>
  <c r="J1680" i="1"/>
  <c r="E1680" i="1" s="1"/>
  <c r="D1680" i="1"/>
  <c r="C1680" i="1"/>
  <c r="J1679" i="1"/>
  <c r="G1679" i="1" s="1"/>
  <c r="E1679" i="1"/>
  <c r="D1679" i="1"/>
  <c r="C1679" i="1"/>
  <c r="A1679" i="1"/>
  <c r="J1678" i="1"/>
  <c r="G1678" i="1"/>
  <c r="F1678" i="1"/>
  <c r="J1677" i="1"/>
  <c r="G1677" i="1" s="1"/>
  <c r="F1677" i="1"/>
  <c r="J1676" i="1"/>
  <c r="F1676" i="1" s="1"/>
  <c r="E1676" i="1"/>
  <c r="D1676" i="1"/>
  <c r="J1675" i="1"/>
  <c r="C1675" i="1" s="1"/>
  <c r="A1675" i="1"/>
  <c r="J1674" i="1"/>
  <c r="E1674" i="1"/>
  <c r="D1674" i="1"/>
  <c r="C1674" i="1"/>
  <c r="J1673" i="1"/>
  <c r="G1673" i="1" s="1"/>
  <c r="F1673" i="1"/>
  <c r="E1673" i="1"/>
  <c r="D1673" i="1"/>
  <c r="C1673" i="1"/>
  <c r="A1673" i="1"/>
  <c r="J1672" i="1"/>
  <c r="J1671" i="1"/>
  <c r="D1671" i="1" s="1"/>
  <c r="F1671" i="1"/>
  <c r="E1671" i="1"/>
  <c r="A1671" i="1"/>
  <c r="J1670" i="1"/>
  <c r="C1670" i="1" s="1"/>
  <c r="G1670" i="1"/>
  <c r="F1670" i="1"/>
  <c r="E1670" i="1"/>
  <c r="J1669" i="1"/>
  <c r="G1669" i="1" s="1"/>
  <c r="J1668" i="1"/>
  <c r="J1667" i="1"/>
  <c r="G1667" i="1" s="1"/>
  <c r="J1666" i="1"/>
  <c r="D1666" i="1" s="1"/>
  <c r="G1666" i="1"/>
  <c r="F1666" i="1"/>
  <c r="J1665" i="1"/>
  <c r="J1664" i="1"/>
  <c r="G1664" i="1"/>
  <c r="E1664" i="1"/>
  <c r="D1664" i="1"/>
  <c r="C1664" i="1"/>
  <c r="J1663" i="1"/>
  <c r="E1663" i="1"/>
  <c r="A1663" i="1"/>
  <c r="J1662" i="1"/>
  <c r="G1662" i="1" s="1"/>
  <c r="A1662" i="1"/>
  <c r="J1661" i="1"/>
  <c r="E1661" i="1"/>
  <c r="D1661" i="1"/>
  <c r="A1661" i="1"/>
  <c r="J1660" i="1"/>
  <c r="F1660" i="1" s="1"/>
  <c r="J1659" i="1"/>
  <c r="G1659" i="1" s="1"/>
  <c r="J1658" i="1"/>
  <c r="G1658" i="1" s="1"/>
  <c r="J1657" i="1"/>
  <c r="A1657" i="1" s="1"/>
  <c r="J1656" i="1"/>
  <c r="G1656" i="1" s="1"/>
  <c r="J1655" i="1"/>
  <c r="G1655" i="1" s="1"/>
  <c r="J1654" i="1"/>
  <c r="G1654" i="1" s="1"/>
  <c r="J1653" i="1"/>
  <c r="A1653" i="1" s="1"/>
  <c r="F1653" i="1"/>
  <c r="E1653" i="1"/>
  <c r="D1653" i="1"/>
  <c r="C1653" i="1"/>
  <c r="J1652" i="1"/>
  <c r="G1652" i="1" s="1"/>
  <c r="D1652" i="1"/>
  <c r="C1652" i="1"/>
  <c r="A1652" i="1"/>
  <c r="J1651" i="1"/>
  <c r="F1651" i="1" s="1"/>
  <c r="J1650" i="1"/>
  <c r="G1650" i="1" s="1"/>
  <c r="E1650" i="1"/>
  <c r="A1650" i="1"/>
  <c r="J1649" i="1"/>
  <c r="C1649" i="1" s="1"/>
  <c r="F1649" i="1"/>
  <c r="J1648" i="1"/>
  <c r="G1648" i="1" s="1"/>
  <c r="F1648" i="1"/>
  <c r="E1648" i="1"/>
  <c r="J1647" i="1"/>
  <c r="G1647" i="1"/>
  <c r="J1646" i="1"/>
  <c r="F1646" i="1"/>
  <c r="E1646" i="1"/>
  <c r="A1646" i="1"/>
  <c r="J1645" i="1"/>
  <c r="J1644" i="1"/>
  <c r="C1644" i="1" s="1"/>
  <c r="E1644" i="1"/>
  <c r="D1644" i="1"/>
  <c r="A1644" i="1"/>
  <c r="J1643" i="1"/>
  <c r="G1643" i="1" s="1"/>
  <c r="J1642" i="1"/>
  <c r="G1642" i="1" s="1"/>
  <c r="J1641" i="1"/>
  <c r="E1641" i="1" s="1"/>
  <c r="J1640" i="1"/>
  <c r="G1640" i="1" s="1"/>
  <c r="E1640" i="1"/>
  <c r="C1640" i="1"/>
  <c r="A1640" i="1"/>
  <c r="J1639" i="1"/>
  <c r="J1638" i="1"/>
  <c r="G1638" i="1" s="1"/>
  <c r="J1637" i="1"/>
  <c r="E1637" i="1" s="1"/>
  <c r="A1637" i="1"/>
  <c r="J1636" i="1"/>
  <c r="G1636" i="1" s="1"/>
  <c r="J1635" i="1"/>
  <c r="G1635" i="1" s="1"/>
  <c r="F1635" i="1"/>
  <c r="J1634" i="1"/>
  <c r="F1634" i="1"/>
  <c r="E1634" i="1"/>
  <c r="J1633" i="1"/>
  <c r="C1633" i="1"/>
  <c r="A1633" i="1"/>
  <c r="J1632" i="1"/>
  <c r="F1632" i="1" s="1"/>
  <c r="E1632" i="1"/>
  <c r="C1632" i="1"/>
  <c r="J1631" i="1"/>
  <c r="E1631" i="1" s="1"/>
  <c r="G1631" i="1"/>
  <c r="J1630" i="1"/>
  <c r="G1630" i="1" s="1"/>
  <c r="F1630" i="1"/>
  <c r="E1630" i="1"/>
  <c r="D1630" i="1"/>
  <c r="C1630" i="1"/>
  <c r="A1630" i="1"/>
  <c r="J1629" i="1"/>
  <c r="G1629" i="1"/>
  <c r="F1629" i="1"/>
  <c r="J1628" i="1"/>
  <c r="D1628" i="1" s="1"/>
  <c r="J1627" i="1"/>
  <c r="G1627" i="1" s="1"/>
  <c r="E1627" i="1"/>
  <c r="D1627" i="1"/>
  <c r="J1626" i="1"/>
  <c r="F1626" i="1" s="1"/>
  <c r="G1626" i="1"/>
  <c r="E1626" i="1"/>
  <c r="D1626" i="1"/>
  <c r="C1626" i="1"/>
  <c r="A1626" i="1"/>
  <c r="J1625" i="1"/>
  <c r="J1624" i="1"/>
  <c r="G1624" i="1"/>
  <c r="D1624" i="1"/>
  <c r="C1624" i="1"/>
  <c r="A1624" i="1"/>
  <c r="J1623" i="1"/>
  <c r="E1623" i="1" s="1"/>
  <c r="F1623" i="1"/>
  <c r="D1623" i="1"/>
  <c r="C1623" i="1"/>
  <c r="A1623" i="1"/>
  <c r="J1622" i="1"/>
  <c r="G1622" i="1"/>
  <c r="F1622" i="1"/>
  <c r="C1622" i="1"/>
  <c r="A1622" i="1"/>
  <c r="J1621" i="1"/>
  <c r="G1621" i="1" s="1"/>
  <c r="J1620" i="1"/>
  <c r="C1620" i="1" s="1"/>
  <c r="J1619" i="1"/>
  <c r="A1619" i="1" s="1"/>
  <c r="G1619" i="1"/>
  <c r="F1619" i="1"/>
  <c r="E1619" i="1"/>
  <c r="D1619" i="1"/>
  <c r="C1619" i="1"/>
  <c r="J1618" i="1"/>
  <c r="F1618" i="1" s="1"/>
  <c r="A1618" i="1"/>
  <c r="J1617" i="1"/>
  <c r="A1617" i="1" s="1"/>
  <c r="G1617" i="1"/>
  <c r="F1617" i="1"/>
  <c r="E1617" i="1"/>
  <c r="D1617" i="1"/>
  <c r="C1617" i="1"/>
  <c r="J1616" i="1"/>
  <c r="A1616" i="1" s="1"/>
  <c r="F1616" i="1"/>
  <c r="E1616" i="1"/>
  <c r="D1616" i="1"/>
  <c r="J1615" i="1"/>
  <c r="E1615" i="1" s="1"/>
  <c r="C1615" i="1"/>
  <c r="J1614" i="1"/>
  <c r="J1613" i="1"/>
  <c r="A1613" i="1" s="1"/>
  <c r="F1613" i="1"/>
  <c r="C1613" i="1"/>
  <c r="J1612" i="1"/>
  <c r="J1611" i="1"/>
  <c r="G1611" i="1" s="1"/>
  <c r="D1611" i="1"/>
  <c r="C1611" i="1"/>
  <c r="J1610" i="1"/>
  <c r="C1610" i="1" s="1"/>
  <c r="J1609" i="1"/>
  <c r="J1608" i="1"/>
  <c r="J1607" i="1"/>
  <c r="G1607" i="1" s="1"/>
  <c r="J1606" i="1"/>
  <c r="G1606" i="1"/>
  <c r="E1606" i="1"/>
  <c r="D1606" i="1"/>
  <c r="J1605" i="1"/>
  <c r="G1605" i="1" s="1"/>
  <c r="J1604" i="1"/>
  <c r="A1604" i="1" s="1"/>
  <c r="J1603" i="1"/>
  <c r="G1603" i="1" s="1"/>
  <c r="D1603" i="1"/>
  <c r="J1602" i="1"/>
  <c r="E1602" i="1"/>
  <c r="A1602" i="1"/>
  <c r="J1601" i="1"/>
  <c r="G1601" i="1"/>
  <c r="J1600" i="1"/>
  <c r="J1599" i="1"/>
  <c r="C1599" i="1" s="1"/>
  <c r="J1598" i="1"/>
  <c r="E1598" i="1" s="1"/>
  <c r="J1597" i="1"/>
  <c r="E1597" i="1"/>
  <c r="J1596" i="1"/>
  <c r="F1596" i="1" s="1"/>
  <c r="G1596" i="1"/>
  <c r="C1596" i="1"/>
  <c r="J1595" i="1"/>
  <c r="G1595" i="1" s="1"/>
  <c r="E1595" i="1"/>
  <c r="D1595" i="1"/>
  <c r="J1594" i="1"/>
  <c r="D1594" i="1"/>
  <c r="J1593" i="1"/>
  <c r="G1593" i="1" s="1"/>
  <c r="F1593" i="1"/>
  <c r="D1593" i="1"/>
  <c r="C1593" i="1"/>
  <c r="J1592" i="1"/>
  <c r="D1592" i="1" s="1"/>
  <c r="F1592" i="1"/>
  <c r="C1592" i="1"/>
  <c r="J1591" i="1"/>
  <c r="J1590" i="1"/>
  <c r="G1590" i="1" s="1"/>
  <c r="D1590" i="1"/>
  <c r="C1590" i="1"/>
  <c r="A1590" i="1"/>
  <c r="J1589" i="1"/>
  <c r="J1588" i="1"/>
  <c r="C1588" i="1" s="1"/>
  <c r="E1588" i="1"/>
  <c r="A1588" i="1"/>
  <c r="J1587" i="1"/>
  <c r="G1587" i="1" s="1"/>
  <c r="D1587" i="1"/>
  <c r="C1587" i="1"/>
  <c r="A1587" i="1"/>
  <c r="J1586" i="1"/>
  <c r="G1586" i="1"/>
  <c r="F1586" i="1"/>
  <c r="E1586" i="1"/>
  <c r="D1586" i="1"/>
  <c r="C1586" i="1"/>
  <c r="A1586" i="1"/>
  <c r="J1585" i="1"/>
  <c r="G1585" i="1" s="1"/>
  <c r="F1585" i="1"/>
  <c r="D1585" i="1"/>
  <c r="J1584" i="1"/>
  <c r="G1584" i="1"/>
  <c r="F1584" i="1"/>
  <c r="J1583" i="1"/>
  <c r="E1583" i="1"/>
  <c r="J1582" i="1"/>
  <c r="J1581" i="1"/>
  <c r="D1581" i="1" s="1"/>
  <c r="F1581" i="1"/>
  <c r="C1581" i="1"/>
  <c r="A1581" i="1"/>
  <c r="J1580" i="1"/>
  <c r="J1579" i="1"/>
  <c r="G1579" i="1" s="1"/>
  <c r="J1578" i="1"/>
  <c r="G1578" i="1" s="1"/>
  <c r="J1577" i="1"/>
  <c r="J1576" i="1"/>
  <c r="G1576" i="1" s="1"/>
  <c r="A1576" i="1"/>
  <c r="J1575" i="1"/>
  <c r="C1575" i="1"/>
  <c r="J1574" i="1"/>
  <c r="J1573" i="1"/>
  <c r="C1573" i="1" s="1"/>
  <c r="F1573" i="1"/>
  <c r="E1573" i="1"/>
  <c r="A1573" i="1"/>
  <c r="J1572" i="1"/>
  <c r="F1572" i="1" s="1"/>
  <c r="G1572" i="1"/>
  <c r="J1571" i="1"/>
  <c r="F1571" i="1"/>
  <c r="J1570" i="1"/>
  <c r="F1570" i="1" s="1"/>
  <c r="G1570" i="1"/>
  <c r="E1570" i="1"/>
  <c r="D1570" i="1"/>
  <c r="C1570" i="1"/>
  <c r="A1570" i="1"/>
  <c r="J1569" i="1"/>
  <c r="J1568" i="1"/>
  <c r="J1567" i="1"/>
  <c r="G1567" i="1"/>
  <c r="E1567" i="1"/>
  <c r="D1567" i="1"/>
  <c r="J1566" i="1"/>
  <c r="G1566" i="1"/>
  <c r="F1566" i="1"/>
  <c r="E1566" i="1"/>
  <c r="C1566" i="1"/>
  <c r="J1565" i="1"/>
  <c r="J1564" i="1"/>
  <c r="C1564" i="1"/>
  <c r="J1563" i="1"/>
  <c r="A1563" i="1" s="1"/>
  <c r="C1563" i="1"/>
  <c r="J1562" i="1"/>
  <c r="A1562" i="1" s="1"/>
  <c r="G1562" i="1"/>
  <c r="E1562" i="1"/>
  <c r="D1562" i="1"/>
  <c r="C1562" i="1"/>
  <c r="J1561" i="1"/>
  <c r="F1561" i="1" s="1"/>
  <c r="G1561" i="1"/>
  <c r="E1561" i="1"/>
  <c r="D1561" i="1"/>
  <c r="A1561" i="1"/>
  <c r="J1560" i="1"/>
  <c r="J1559" i="1"/>
  <c r="E1559" i="1" s="1"/>
  <c r="F1559" i="1"/>
  <c r="D1559" i="1"/>
  <c r="C1559" i="1"/>
  <c r="A1559" i="1"/>
  <c r="J1558" i="1"/>
  <c r="G1558" i="1" s="1"/>
  <c r="J1557" i="1"/>
  <c r="G1557" i="1" s="1"/>
  <c r="E1557" i="1"/>
  <c r="J1556" i="1"/>
  <c r="G1556" i="1" s="1"/>
  <c r="F1556" i="1"/>
  <c r="E1556" i="1"/>
  <c r="D1556" i="1"/>
  <c r="C1556" i="1"/>
  <c r="A1556" i="1"/>
  <c r="J1555" i="1"/>
  <c r="D1555" i="1" s="1"/>
  <c r="G1555" i="1"/>
  <c r="F1555" i="1"/>
  <c r="E1555" i="1"/>
  <c r="J1554" i="1"/>
  <c r="F1554" i="1" s="1"/>
  <c r="J1553" i="1"/>
  <c r="J1552" i="1"/>
  <c r="E1552" i="1" s="1"/>
  <c r="A1552" i="1"/>
  <c r="J1551" i="1"/>
  <c r="G1551" i="1"/>
  <c r="F1551" i="1"/>
  <c r="E1551" i="1"/>
  <c r="D1551" i="1"/>
  <c r="J1550" i="1"/>
  <c r="G1550" i="1"/>
  <c r="F1550" i="1"/>
  <c r="J1549" i="1"/>
  <c r="G1549" i="1"/>
  <c r="F1549" i="1"/>
  <c r="E1549" i="1"/>
  <c r="D1549" i="1"/>
  <c r="C1549" i="1"/>
  <c r="A1549" i="1"/>
  <c r="J1548" i="1"/>
  <c r="G1548" i="1" s="1"/>
  <c r="E1548" i="1"/>
  <c r="C1548" i="1"/>
  <c r="A1548" i="1"/>
  <c r="J1547" i="1"/>
  <c r="E1547" i="1" s="1"/>
  <c r="J1546" i="1"/>
  <c r="G1546" i="1" s="1"/>
  <c r="E1546" i="1"/>
  <c r="A1546" i="1"/>
  <c r="J1545" i="1"/>
  <c r="A1545" i="1" s="1"/>
  <c r="J1544" i="1"/>
  <c r="E1544" i="1"/>
  <c r="J1543" i="1"/>
  <c r="A1543" i="1" s="1"/>
  <c r="D1543" i="1"/>
  <c r="C1543" i="1"/>
  <c r="J1542" i="1"/>
  <c r="J1541" i="1"/>
  <c r="D1541" i="1" s="1"/>
  <c r="E1541" i="1"/>
  <c r="A1541" i="1"/>
  <c r="J1540" i="1"/>
  <c r="E1540" i="1" s="1"/>
  <c r="F1540" i="1"/>
  <c r="C1540" i="1"/>
  <c r="A1540" i="1"/>
  <c r="J1539" i="1"/>
  <c r="F1539" i="1" s="1"/>
  <c r="E1539" i="1"/>
  <c r="J1538" i="1"/>
  <c r="F1538" i="1" s="1"/>
  <c r="A1538" i="1"/>
  <c r="J1537" i="1"/>
  <c r="G1537" i="1"/>
  <c r="E1537" i="1"/>
  <c r="J1536" i="1"/>
  <c r="G1536" i="1"/>
  <c r="F1536" i="1"/>
  <c r="E1536" i="1"/>
  <c r="D1536" i="1"/>
  <c r="J1535" i="1"/>
  <c r="C1535" i="1" s="1"/>
  <c r="G1535" i="1"/>
  <c r="F1535" i="1"/>
  <c r="E1535" i="1"/>
  <c r="D1535" i="1"/>
  <c r="A1535" i="1"/>
  <c r="J1534" i="1"/>
  <c r="G1534" i="1" s="1"/>
  <c r="F1534" i="1"/>
  <c r="D1534" i="1"/>
  <c r="J1533" i="1"/>
  <c r="E1533" i="1" s="1"/>
  <c r="C1533" i="1"/>
  <c r="J1532" i="1"/>
  <c r="J1531" i="1"/>
  <c r="J1530" i="1"/>
  <c r="C1530" i="1" s="1"/>
  <c r="J1529" i="1"/>
  <c r="D1529" i="1" s="1"/>
  <c r="F1529" i="1"/>
  <c r="A1529" i="1"/>
  <c r="J1528" i="1"/>
  <c r="G1528" i="1" s="1"/>
  <c r="D1528" i="1"/>
  <c r="C1528" i="1"/>
  <c r="A1528" i="1"/>
  <c r="J1527" i="1"/>
  <c r="G1527" i="1" s="1"/>
  <c r="J1526" i="1"/>
  <c r="E1526" i="1" s="1"/>
  <c r="G1526" i="1"/>
  <c r="D1526" i="1"/>
  <c r="C1526" i="1"/>
  <c r="A1526" i="1"/>
  <c r="J1525" i="1"/>
  <c r="G1525" i="1" s="1"/>
  <c r="C1525" i="1"/>
  <c r="A1525" i="1"/>
  <c r="J1524" i="1"/>
  <c r="F1524" i="1" s="1"/>
  <c r="D1524" i="1"/>
  <c r="J1523" i="1"/>
  <c r="A1523" i="1" s="1"/>
  <c r="G1523" i="1"/>
  <c r="F1523" i="1"/>
  <c r="E1523" i="1"/>
  <c r="D1523" i="1"/>
  <c r="C1523" i="1"/>
  <c r="J1522" i="1"/>
  <c r="G1522" i="1" s="1"/>
  <c r="F1522" i="1"/>
  <c r="J1521" i="1"/>
  <c r="G1521" i="1"/>
  <c r="F1521" i="1"/>
  <c r="E1521" i="1"/>
  <c r="D1521" i="1"/>
  <c r="C1521" i="1"/>
  <c r="A1521" i="1"/>
  <c r="J1520" i="1"/>
  <c r="J1519" i="1"/>
  <c r="G1519" i="1" s="1"/>
  <c r="J1518" i="1"/>
  <c r="D1518" i="1" s="1"/>
  <c r="F1518" i="1"/>
  <c r="E1518" i="1"/>
  <c r="C1518" i="1"/>
  <c r="A1518" i="1"/>
  <c r="J1517" i="1"/>
  <c r="J1516" i="1"/>
  <c r="D1516" i="1"/>
  <c r="J1515" i="1"/>
  <c r="E1515" i="1" s="1"/>
  <c r="D1515" i="1"/>
  <c r="C1515" i="1"/>
  <c r="J1514" i="1"/>
  <c r="G1514" i="1" s="1"/>
  <c r="F1514" i="1"/>
  <c r="E1514" i="1"/>
  <c r="D1514" i="1"/>
  <c r="A1514" i="1"/>
  <c r="J1513" i="1"/>
  <c r="G1513" i="1" s="1"/>
  <c r="C1513" i="1"/>
  <c r="J1512" i="1"/>
  <c r="C1512" i="1" s="1"/>
  <c r="J1511" i="1"/>
  <c r="G1511" i="1" s="1"/>
  <c r="J1510" i="1"/>
  <c r="J1509" i="1"/>
  <c r="J1508" i="1"/>
  <c r="G1508" i="1"/>
  <c r="J1507" i="1"/>
  <c r="G1507" i="1" s="1"/>
  <c r="D1507" i="1"/>
  <c r="C1507" i="1"/>
  <c r="J1506" i="1"/>
  <c r="J1505" i="1"/>
  <c r="G1505" i="1"/>
  <c r="F1505" i="1"/>
  <c r="E1505" i="1"/>
  <c r="J1504" i="1"/>
  <c r="G1504" i="1"/>
  <c r="F1504" i="1"/>
  <c r="E1504" i="1"/>
  <c r="D1504" i="1"/>
  <c r="J1503" i="1"/>
  <c r="J1502" i="1"/>
  <c r="A1502" i="1"/>
  <c r="J1501" i="1"/>
  <c r="G1501" i="1" s="1"/>
  <c r="J1500" i="1"/>
  <c r="E1500" i="1" s="1"/>
  <c r="F1500" i="1"/>
  <c r="D1500" i="1"/>
  <c r="C1500" i="1"/>
  <c r="A1500" i="1"/>
  <c r="J1499" i="1"/>
  <c r="J1498" i="1"/>
  <c r="C1498" i="1" s="1"/>
  <c r="J1497" i="1"/>
  <c r="D1497" i="1" s="1"/>
  <c r="C1497" i="1"/>
  <c r="A1497" i="1"/>
  <c r="J1496" i="1"/>
  <c r="A1496" i="1" s="1"/>
  <c r="E1496" i="1"/>
  <c r="D1496" i="1"/>
  <c r="C1496" i="1"/>
  <c r="J1495" i="1"/>
  <c r="F1495" i="1" s="1"/>
  <c r="G1495" i="1"/>
  <c r="E1495" i="1"/>
  <c r="D1495" i="1"/>
  <c r="A1495" i="1"/>
  <c r="J1494" i="1"/>
  <c r="J1493" i="1"/>
  <c r="G1493" i="1" s="1"/>
  <c r="C1493" i="1"/>
  <c r="A1493" i="1"/>
  <c r="J1492" i="1"/>
  <c r="A1492" i="1" s="1"/>
  <c r="J1491" i="1"/>
  <c r="J1490" i="1"/>
  <c r="G1490" i="1" s="1"/>
  <c r="C1490" i="1"/>
  <c r="J1489" i="1"/>
  <c r="F1489" i="1" s="1"/>
  <c r="G1489" i="1"/>
  <c r="E1489" i="1"/>
  <c r="J1488" i="1"/>
  <c r="C1488" i="1" s="1"/>
  <c r="G1488" i="1"/>
  <c r="F1488" i="1"/>
  <c r="E1488" i="1"/>
  <c r="D1488" i="1"/>
  <c r="A1488" i="1"/>
  <c r="J1487" i="1"/>
  <c r="F1487" i="1" s="1"/>
  <c r="G1487" i="1"/>
  <c r="J1486" i="1"/>
  <c r="G1486" i="1" s="1"/>
  <c r="D1486" i="1"/>
  <c r="A1486" i="1"/>
  <c r="J1485" i="1"/>
  <c r="C1485" i="1" s="1"/>
  <c r="A1485" i="1"/>
  <c r="J1484" i="1"/>
  <c r="A1484" i="1" s="1"/>
  <c r="G1484" i="1"/>
  <c r="J1483" i="1"/>
  <c r="J1482" i="1"/>
  <c r="G1482" i="1" s="1"/>
  <c r="E1482" i="1"/>
  <c r="J1481" i="1"/>
  <c r="F1481" i="1" s="1"/>
  <c r="G1481" i="1"/>
  <c r="E1481" i="1"/>
  <c r="D1481" i="1"/>
  <c r="C1481" i="1"/>
  <c r="A1481" i="1"/>
  <c r="J1480" i="1"/>
  <c r="J1479" i="1"/>
  <c r="A1479" i="1" s="1"/>
  <c r="G1479" i="1"/>
  <c r="F1479" i="1"/>
  <c r="E1479" i="1"/>
  <c r="D1479" i="1"/>
  <c r="C1479" i="1"/>
  <c r="J1478" i="1"/>
  <c r="D1478" i="1" s="1"/>
  <c r="J1477" i="1"/>
  <c r="J1476" i="1"/>
  <c r="C1476" i="1" s="1"/>
  <c r="D1476" i="1"/>
  <c r="J1475" i="1"/>
  <c r="J1474" i="1"/>
  <c r="F1474" i="1"/>
  <c r="D1474" i="1"/>
  <c r="J1473" i="1"/>
  <c r="G1473" i="1" s="1"/>
  <c r="D1473" i="1"/>
  <c r="C1473" i="1"/>
  <c r="A1473" i="1"/>
  <c r="J1472" i="1"/>
  <c r="J1471" i="1"/>
  <c r="J1470" i="1"/>
  <c r="J1469" i="1"/>
  <c r="G1469" i="1"/>
  <c r="F1469" i="1"/>
  <c r="E1469" i="1"/>
  <c r="D1469" i="1"/>
  <c r="C1469" i="1"/>
  <c r="A1469" i="1"/>
  <c r="J1468" i="1"/>
  <c r="E1468" i="1" s="1"/>
  <c r="C1468" i="1"/>
  <c r="J1467" i="1"/>
  <c r="J1466" i="1"/>
  <c r="A1466" i="1" s="1"/>
  <c r="F1466" i="1"/>
  <c r="E1466" i="1"/>
  <c r="D1466" i="1"/>
  <c r="C1466" i="1"/>
  <c r="J1465" i="1"/>
  <c r="E1465" i="1" s="1"/>
  <c r="C1465" i="1"/>
  <c r="J1464" i="1"/>
  <c r="F1464" i="1" s="1"/>
  <c r="C1464" i="1"/>
  <c r="A1464" i="1"/>
  <c r="J1463" i="1"/>
  <c r="J1462" i="1"/>
  <c r="G1462" i="1" s="1"/>
  <c r="J1461" i="1"/>
  <c r="G1461" i="1"/>
  <c r="F1461" i="1"/>
  <c r="E1461" i="1"/>
  <c r="D1461" i="1"/>
  <c r="J1460" i="1"/>
  <c r="C1460" i="1" s="1"/>
  <c r="E1460" i="1"/>
  <c r="D1460" i="1"/>
  <c r="A1460" i="1"/>
  <c r="J1459" i="1"/>
  <c r="J1458" i="1"/>
  <c r="F1458" i="1"/>
  <c r="E1458" i="1"/>
  <c r="D1458" i="1"/>
  <c r="C1458" i="1"/>
  <c r="J1457" i="1"/>
  <c r="J1456" i="1"/>
  <c r="F1456" i="1"/>
  <c r="J1455" i="1"/>
  <c r="J1454" i="1"/>
  <c r="E1454" i="1" s="1"/>
  <c r="G1454" i="1"/>
  <c r="F1454" i="1"/>
  <c r="D1454" i="1"/>
  <c r="C1454" i="1"/>
  <c r="A1454" i="1"/>
  <c r="J1453" i="1"/>
  <c r="G1453" i="1"/>
  <c r="J1452" i="1"/>
  <c r="F1452" i="1" s="1"/>
  <c r="G1452" i="1"/>
  <c r="J1451" i="1"/>
  <c r="A1451" i="1" s="1"/>
  <c r="J1450" i="1"/>
  <c r="G1450" i="1" s="1"/>
  <c r="F1450" i="1"/>
  <c r="J1449" i="1"/>
  <c r="D1449" i="1" s="1"/>
  <c r="G1449" i="1"/>
  <c r="J1448" i="1"/>
  <c r="E1448" i="1"/>
  <c r="D1448" i="1"/>
  <c r="C1448" i="1"/>
  <c r="A1448" i="1"/>
  <c r="J1447" i="1"/>
  <c r="G1447" i="1" s="1"/>
  <c r="J1446" i="1"/>
  <c r="F1446" i="1"/>
  <c r="E1446" i="1"/>
  <c r="D1446" i="1"/>
  <c r="J1445" i="1"/>
  <c r="G1445" i="1" s="1"/>
  <c r="E1445" i="1"/>
  <c r="D1445" i="1"/>
  <c r="J1444" i="1"/>
  <c r="G1444" i="1" s="1"/>
  <c r="F1444" i="1"/>
  <c r="E1444" i="1"/>
  <c r="A1444" i="1"/>
  <c r="J1443" i="1"/>
  <c r="C1443" i="1" s="1"/>
  <c r="J1442" i="1"/>
  <c r="J1441" i="1"/>
  <c r="J1440" i="1"/>
  <c r="G1440" i="1" s="1"/>
  <c r="J1439" i="1"/>
  <c r="E1439" i="1" s="1"/>
  <c r="G1439" i="1"/>
  <c r="J1438" i="1"/>
  <c r="J1437" i="1"/>
  <c r="G1437" i="1" s="1"/>
  <c r="F1437" i="1"/>
  <c r="E1437" i="1"/>
  <c r="D1437" i="1"/>
  <c r="C1437" i="1"/>
  <c r="A1437" i="1"/>
  <c r="J1436" i="1"/>
  <c r="G1436" i="1"/>
  <c r="F1436" i="1"/>
  <c r="J1435" i="1"/>
  <c r="G1435" i="1" s="1"/>
  <c r="J1434" i="1"/>
  <c r="F1434" i="1" s="1"/>
  <c r="D1434" i="1"/>
  <c r="A1434" i="1"/>
  <c r="J1433" i="1"/>
  <c r="J1432" i="1"/>
  <c r="F1432" i="1"/>
  <c r="D1432" i="1"/>
  <c r="A1432" i="1"/>
  <c r="J1431" i="1"/>
  <c r="C1431" i="1"/>
  <c r="A1431" i="1"/>
  <c r="J1430" i="1"/>
  <c r="G1430" i="1"/>
  <c r="F1430" i="1"/>
  <c r="J1429" i="1"/>
  <c r="J1428" i="1"/>
  <c r="C1428" i="1" s="1"/>
  <c r="A1428" i="1"/>
  <c r="J1427" i="1"/>
  <c r="F1427" i="1" s="1"/>
  <c r="D1427" i="1"/>
  <c r="J1426" i="1"/>
  <c r="G1426" i="1" s="1"/>
  <c r="F1426" i="1"/>
  <c r="D1426" i="1"/>
  <c r="C1426" i="1"/>
  <c r="A1426" i="1"/>
  <c r="J1425" i="1"/>
  <c r="G1425" i="1" s="1"/>
  <c r="J1424" i="1"/>
  <c r="G1424" i="1" s="1"/>
  <c r="J1423" i="1"/>
  <c r="G1423" i="1" s="1"/>
  <c r="E1423" i="1"/>
  <c r="D1423" i="1"/>
  <c r="J1422" i="1"/>
  <c r="G1422" i="1"/>
  <c r="E1422" i="1"/>
  <c r="J1421" i="1"/>
  <c r="G1421" i="1" s="1"/>
  <c r="E1421" i="1"/>
  <c r="D1421" i="1"/>
  <c r="C1421" i="1"/>
  <c r="A1421" i="1"/>
  <c r="J1420" i="1"/>
  <c r="G1420" i="1" s="1"/>
  <c r="J1419" i="1"/>
  <c r="J1418" i="1"/>
  <c r="F1418" i="1" s="1"/>
  <c r="J1417" i="1"/>
  <c r="J1416" i="1"/>
  <c r="E1416" i="1" s="1"/>
  <c r="G1416" i="1"/>
  <c r="F1416" i="1"/>
  <c r="C1416" i="1"/>
  <c r="A1416" i="1"/>
  <c r="J1415" i="1"/>
  <c r="G1415" i="1" s="1"/>
  <c r="F1415" i="1"/>
  <c r="J1414" i="1"/>
  <c r="F1414" i="1" s="1"/>
  <c r="E1414" i="1"/>
  <c r="D1414" i="1"/>
  <c r="C1414" i="1"/>
  <c r="J1413" i="1"/>
  <c r="F1413" i="1" s="1"/>
  <c r="A1413" i="1"/>
  <c r="J1412" i="1"/>
  <c r="G1412" i="1" s="1"/>
  <c r="J1411" i="1"/>
  <c r="F1411" i="1" s="1"/>
  <c r="J1410" i="1"/>
  <c r="F1410" i="1" s="1"/>
  <c r="G1410" i="1"/>
  <c r="J1409" i="1"/>
  <c r="J1408" i="1"/>
  <c r="E1408" i="1"/>
  <c r="D1408" i="1"/>
  <c r="J1407" i="1"/>
  <c r="D1407" i="1" s="1"/>
  <c r="G1407" i="1"/>
  <c r="E1407" i="1"/>
  <c r="C1407" i="1"/>
  <c r="J1406" i="1"/>
  <c r="E1406" i="1" s="1"/>
  <c r="C1406" i="1"/>
  <c r="J1405" i="1"/>
  <c r="F1405" i="1" s="1"/>
  <c r="G1405" i="1"/>
  <c r="E1405" i="1"/>
  <c r="D1405" i="1"/>
  <c r="C1405" i="1"/>
  <c r="A1405" i="1"/>
  <c r="J1404" i="1"/>
  <c r="E1404" i="1" s="1"/>
  <c r="G1404" i="1"/>
  <c r="F1404" i="1"/>
  <c r="D1404" i="1"/>
  <c r="C1404" i="1"/>
  <c r="A1404" i="1"/>
  <c r="J1403" i="1"/>
  <c r="C1403" i="1" s="1"/>
  <c r="J1402" i="1"/>
  <c r="J1401" i="1"/>
  <c r="G1401" i="1" s="1"/>
  <c r="J1400" i="1"/>
  <c r="E1400" i="1" s="1"/>
  <c r="G1400" i="1"/>
  <c r="D1400" i="1"/>
  <c r="A1400" i="1"/>
  <c r="J1399" i="1"/>
  <c r="G1399" i="1" s="1"/>
  <c r="D1399" i="1"/>
  <c r="C1399" i="1"/>
  <c r="J1398" i="1"/>
  <c r="J1397" i="1"/>
  <c r="J1396" i="1"/>
  <c r="J1395" i="1"/>
  <c r="F1395" i="1" s="1"/>
  <c r="G1395" i="1"/>
  <c r="J1394" i="1"/>
  <c r="E1394" i="1" s="1"/>
  <c r="D1394" i="1"/>
  <c r="C1394" i="1"/>
  <c r="A1394" i="1"/>
  <c r="J1393" i="1"/>
  <c r="A1393" i="1" s="1"/>
  <c r="F1393" i="1"/>
  <c r="C1393" i="1"/>
  <c r="J1392" i="1"/>
  <c r="G1392" i="1" s="1"/>
  <c r="J1391" i="1"/>
  <c r="G1391" i="1"/>
  <c r="F1391" i="1"/>
  <c r="E1391" i="1"/>
  <c r="D1391" i="1"/>
  <c r="C1391" i="1"/>
  <c r="A1391" i="1"/>
  <c r="J1390" i="1"/>
  <c r="F1390" i="1" s="1"/>
  <c r="J1389" i="1"/>
  <c r="J1388" i="1"/>
  <c r="E1388" i="1" s="1"/>
  <c r="D1388" i="1"/>
  <c r="C1388" i="1"/>
  <c r="A1388" i="1"/>
  <c r="J1387" i="1"/>
  <c r="J1386" i="1"/>
  <c r="G1386" i="1" s="1"/>
  <c r="F1386" i="1"/>
  <c r="E1386" i="1"/>
  <c r="D1386" i="1"/>
  <c r="C1386" i="1"/>
  <c r="A1386" i="1"/>
  <c r="J1385" i="1"/>
  <c r="G1385" i="1" s="1"/>
  <c r="F1385" i="1"/>
  <c r="E1385" i="1"/>
  <c r="J1384" i="1"/>
  <c r="F1384" i="1" s="1"/>
  <c r="G1384" i="1"/>
  <c r="E1384" i="1"/>
  <c r="D1384" i="1"/>
  <c r="C1384" i="1"/>
  <c r="A1384" i="1"/>
  <c r="J1383" i="1"/>
  <c r="D1383" i="1" s="1"/>
  <c r="J1382" i="1"/>
  <c r="F1382" i="1" s="1"/>
  <c r="E1382" i="1"/>
  <c r="D1382" i="1"/>
  <c r="C1382" i="1"/>
  <c r="J1381" i="1"/>
  <c r="G1381" i="1" s="1"/>
  <c r="F1381" i="1"/>
  <c r="E1381" i="1"/>
  <c r="D1381" i="1"/>
  <c r="C1381" i="1"/>
  <c r="A1381" i="1"/>
  <c r="J1380" i="1"/>
  <c r="J1379" i="1"/>
  <c r="E1379" i="1" s="1"/>
  <c r="F1379" i="1"/>
  <c r="J1378" i="1"/>
  <c r="F1378" i="1" s="1"/>
  <c r="G1378" i="1"/>
  <c r="A1378" i="1"/>
  <c r="J1377" i="1"/>
  <c r="G1377" i="1"/>
  <c r="F1377" i="1"/>
  <c r="E1377" i="1"/>
  <c r="J1376" i="1"/>
  <c r="G1376" i="1" s="1"/>
  <c r="J1375" i="1"/>
  <c r="J1374" i="1"/>
  <c r="F1374" i="1"/>
  <c r="J1373" i="1"/>
  <c r="C1373" i="1" s="1"/>
  <c r="G1373" i="1"/>
  <c r="F1373" i="1"/>
  <c r="E1373" i="1"/>
  <c r="D1373" i="1"/>
  <c r="A1373" i="1"/>
  <c r="J1372" i="1"/>
  <c r="C1372" i="1" s="1"/>
  <c r="J1371" i="1"/>
  <c r="F1371" i="1" s="1"/>
  <c r="A1371" i="1"/>
  <c r="J1370" i="1"/>
  <c r="E1370" i="1" s="1"/>
  <c r="J1369" i="1"/>
  <c r="F1369" i="1"/>
  <c r="J1368" i="1"/>
  <c r="J1367" i="1"/>
  <c r="D1367" i="1"/>
  <c r="J1366" i="1"/>
  <c r="G1366" i="1" s="1"/>
  <c r="J1365" i="1"/>
  <c r="F1365" i="1" s="1"/>
  <c r="J1364" i="1"/>
  <c r="J1363" i="1"/>
  <c r="A1363" i="1" s="1"/>
  <c r="G1363" i="1"/>
  <c r="F1363" i="1"/>
  <c r="E1363" i="1"/>
  <c r="D1363" i="1"/>
  <c r="C1363" i="1"/>
  <c r="J1362" i="1"/>
  <c r="A1362" i="1"/>
  <c r="J1361" i="1"/>
  <c r="G1361" i="1"/>
  <c r="D1361" i="1"/>
  <c r="A1361" i="1"/>
  <c r="J1360" i="1"/>
  <c r="D1360" i="1" s="1"/>
  <c r="J1359" i="1"/>
  <c r="F1359" i="1"/>
  <c r="J1358" i="1"/>
  <c r="J1357" i="1"/>
  <c r="G1357" i="1" s="1"/>
  <c r="F1357" i="1"/>
  <c r="E1357" i="1"/>
  <c r="D1357" i="1"/>
  <c r="C1357" i="1"/>
  <c r="A1357" i="1"/>
  <c r="J1356" i="1"/>
  <c r="D1356" i="1" s="1"/>
  <c r="A1356" i="1"/>
  <c r="J1355" i="1"/>
  <c r="E1355" i="1" s="1"/>
  <c r="C1355" i="1"/>
  <c r="A1355" i="1"/>
  <c r="J1354" i="1"/>
  <c r="D1354" i="1"/>
  <c r="A1354" i="1"/>
  <c r="J1353" i="1"/>
  <c r="J1352" i="1"/>
  <c r="A1352" i="1" s="1"/>
  <c r="J1351" i="1"/>
  <c r="J1350" i="1"/>
  <c r="D1350" i="1"/>
  <c r="J1349" i="1"/>
  <c r="A1349" i="1" s="1"/>
  <c r="G1349" i="1"/>
  <c r="F1349" i="1"/>
  <c r="C1349" i="1"/>
  <c r="J1348" i="1"/>
  <c r="J1347" i="1"/>
  <c r="F1347" i="1" s="1"/>
  <c r="G1347" i="1"/>
  <c r="E1347" i="1"/>
  <c r="C1347" i="1"/>
  <c r="A1347" i="1"/>
  <c r="J1346" i="1"/>
  <c r="A1346" i="1" s="1"/>
  <c r="J1345" i="1"/>
  <c r="J1344" i="1"/>
  <c r="J1343" i="1"/>
  <c r="C1343" i="1" s="1"/>
  <c r="J1342" i="1"/>
  <c r="F1342" i="1" s="1"/>
  <c r="J1341" i="1"/>
  <c r="J1340" i="1"/>
  <c r="G1340" i="1" s="1"/>
  <c r="F1340" i="1"/>
  <c r="E1340" i="1"/>
  <c r="J1339" i="1"/>
  <c r="F1339" i="1" s="1"/>
  <c r="E1339" i="1"/>
  <c r="J1338" i="1"/>
  <c r="J1337" i="1"/>
  <c r="E1337" i="1" s="1"/>
  <c r="J1336" i="1"/>
  <c r="E1336" i="1" s="1"/>
  <c r="G1336" i="1"/>
  <c r="F1336" i="1"/>
  <c r="D1336" i="1"/>
  <c r="C1336" i="1"/>
  <c r="A1336" i="1"/>
  <c r="J1335" i="1"/>
  <c r="D1335" i="1" s="1"/>
  <c r="F1335" i="1"/>
  <c r="E1335" i="1"/>
  <c r="J1334" i="1"/>
  <c r="J1333" i="1"/>
  <c r="F1333" i="1" s="1"/>
  <c r="E1333" i="1"/>
  <c r="D1333" i="1"/>
  <c r="C1333" i="1"/>
  <c r="A1333" i="1"/>
  <c r="J1332" i="1"/>
  <c r="F1332" i="1"/>
  <c r="J1331" i="1"/>
  <c r="E1331" i="1" s="1"/>
  <c r="F1331" i="1"/>
  <c r="J1330" i="1"/>
  <c r="G1330" i="1" s="1"/>
  <c r="C1330" i="1"/>
  <c r="J1329" i="1"/>
  <c r="C1329" i="1" s="1"/>
  <c r="A1329" i="1"/>
  <c r="J1328" i="1"/>
  <c r="J1327" i="1"/>
  <c r="F1327" i="1"/>
  <c r="E1327" i="1"/>
  <c r="D1327" i="1"/>
  <c r="C1327" i="1"/>
  <c r="J1326" i="1"/>
  <c r="J1325" i="1"/>
  <c r="E1325" i="1" s="1"/>
  <c r="G1325" i="1"/>
  <c r="J1324" i="1"/>
  <c r="G1324" i="1"/>
  <c r="J1323" i="1"/>
  <c r="J1322" i="1"/>
  <c r="G1322" i="1"/>
  <c r="E1322" i="1"/>
  <c r="J1321" i="1"/>
  <c r="D1321" i="1" s="1"/>
  <c r="J1320" i="1"/>
  <c r="G1320" i="1" s="1"/>
  <c r="J1319" i="1"/>
  <c r="G1319" i="1" s="1"/>
  <c r="F1319" i="1"/>
  <c r="J1318" i="1"/>
  <c r="G1318" i="1"/>
  <c r="F1318" i="1"/>
  <c r="D1318" i="1"/>
  <c r="C1318" i="1"/>
  <c r="J1317" i="1"/>
  <c r="E1317" i="1" s="1"/>
  <c r="J1316" i="1"/>
  <c r="J1315" i="1"/>
  <c r="J1314" i="1"/>
  <c r="A1314" i="1"/>
  <c r="J1313" i="1"/>
  <c r="G1313" i="1"/>
  <c r="E1313" i="1"/>
  <c r="D1313" i="1"/>
  <c r="A1313" i="1"/>
  <c r="J1312" i="1"/>
  <c r="G1312" i="1" s="1"/>
  <c r="J1311" i="1"/>
  <c r="G1311" i="1"/>
  <c r="F1311" i="1"/>
  <c r="E1311" i="1"/>
  <c r="D1311" i="1"/>
  <c r="J1310" i="1"/>
  <c r="F1310" i="1" s="1"/>
  <c r="J1309" i="1"/>
  <c r="E1309" i="1" s="1"/>
  <c r="A1309" i="1"/>
  <c r="J1308" i="1"/>
  <c r="C1308" i="1" s="1"/>
  <c r="J1307" i="1"/>
  <c r="G1307" i="1"/>
  <c r="F1307" i="1"/>
  <c r="J1306" i="1"/>
  <c r="J1305" i="1"/>
  <c r="G1305" i="1" s="1"/>
  <c r="J1304" i="1"/>
  <c r="F1304" i="1"/>
  <c r="E1304" i="1"/>
  <c r="D1304" i="1"/>
  <c r="J1303" i="1"/>
  <c r="F1303" i="1"/>
  <c r="J1302" i="1"/>
  <c r="G1302" i="1" s="1"/>
  <c r="F1302" i="1"/>
  <c r="E1302" i="1"/>
  <c r="D1302" i="1"/>
  <c r="J1301" i="1"/>
  <c r="A1301" i="1" s="1"/>
  <c r="J1300" i="1"/>
  <c r="E1300" i="1"/>
  <c r="J1299" i="1"/>
  <c r="E1299" i="1" s="1"/>
  <c r="F1299" i="1"/>
  <c r="A1299" i="1"/>
  <c r="J1298" i="1"/>
  <c r="G1298" i="1" s="1"/>
  <c r="J1297" i="1"/>
  <c r="G1297" i="1" s="1"/>
  <c r="J1296" i="1"/>
  <c r="J1295" i="1"/>
  <c r="D1295" i="1" s="1"/>
  <c r="J1294" i="1"/>
  <c r="A1294" i="1" s="1"/>
  <c r="J1293" i="1"/>
  <c r="A1293" i="1" s="1"/>
  <c r="J1292" i="1"/>
  <c r="G1292" i="1" s="1"/>
  <c r="C1292" i="1"/>
  <c r="J1291" i="1"/>
  <c r="J1290" i="1"/>
  <c r="D1290" i="1" s="1"/>
  <c r="G1290" i="1"/>
  <c r="A1290" i="1"/>
  <c r="J1289" i="1"/>
  <c r="J1288" i="1"/>
  <c r="G1288" i="1" s="1"/>
  <c r="F1288" i="1"/>
  <c r="E1288" i="1"/>
  <c r="J1287" i="1"/>
  <c r="J1286" i="1"/>
  <c r="G1286" i="1" s="1"/>
  <c r="J1285" i="1"/>
  <c r="G1285" i="1" s="1"/>
  <c r="F1285" i="1"/>
  <c r="E1285" i="1"/>
  <c r="D1285" i="1"/>
  <c r="C1285" i="1"/>
  <c r="A1285" i="1"/>
  <c r="J1284" i="1"/>
  <c r="F1284" i="1" s="1"/>
  <c r="G1284" i="1"/>
  <c r="C1284" i="1"/>
  <c r="A1284" i="1"/>
  <c r="J1283" i="1"/>
  <c r="J1282" i="1"/>
  <c r="F1282" i="1" s="1"/>
  <c r="D1282" i="1"/>
  <c r="J1281" i="1"/>
  <c r="J1280" i="1"/>
  <c r="J1279" i="1"/>
  <c r="G1279" i="1" s="1"/>
  <c r="J1278" i="1"/>
  <c r="D1278" i="1"/>
  <c r="C1278" i="1"/>
  <c r="J1277" i="1"/>
  <c r="G1277" i="1" s="1"/>
  <c r="J1276" i="1"/>
  <c r="G1276" i="1" s="1"/>
  <c r="E1276" i="1"/>
  <c r="D1276" i="1"/>
  <c r="J1275" i="1"/>
  <c r="E1275" i="1" s="1"/>
  <c r="J1274" i="1"/>
  <c r="G1274" i="1" s="1"/>
  <c r="J1273" i="1"/>
  <c r="G1273" i="1"/>
  <c r="J1272" i="1"/>
  <c r="F1272" i="1" s="1"/>
  <c r="J1271" i="1"/>
  <c r="G1271" i="1"/>
  <c r="C1271" i="1"/>
  <c r="J1270" i="1"/>
  <c r="J1269" i="1"/>
  <c r="G1269" i="1"/>
  <c r="F1269" i="1"/>
  <c r="D1269" i="1"/>
  <c r="A1269" i="1"/>
  <c r="J1268" i="1"/>
  <c r="A1268" i="1" s="1"/>
  <c r="J1267" i="1"/>
  <c r="E1267" i="1" s="1"/>
  <c r="G1267" i="1"/>
  <c r="F1267" i="1"/>
  <c r="C1267" i="1"/>
  <c r="J1266" i="1"/>
  <c r="D1266" i="1"/>
  <c r="C1266" i="1"/>
  <c r="A1266" i="1"/>
  <c r="J1265" i="1"/>
  <c r="J1264" i="1"/>
  <c r="F1264" i="1" s="1"/>
  <c r="E1264" i="1"/>
  <c r="D1264" i="1"/>
  <c r="J1263" i="1"/>
  <c r="J1262" i="1"/>
  <c r="G1262" i="1" s="1"/>
  <c r="F1262" i="1"/>
  <c r="J1261" i="1"/>
  <c r="F1261" i="1" s="1"/>
  <c r="J1260" i="1"/>
  <c r="D1260" i="1"/>
  <c r="C1260" i="1"/>
  <c r="J1259" i="1"/>
  <c r="J1258" i="1"/>
  <c r="G1258" i="1" s="1"/>
  <c r="E1258" i="1"/>
  <c r="J1257" i="1"/>
  <c r="E1257" i="1" s="1"/>
  <c r="G1257" i="1"/>
  <c r="D1257" i="1"/>
  <c r="C1257" i="1"/>
  <c r="A1257" i="1"/>
  <c r="J1256" i="1"/>
  <c r="G1256" i="1"/>
  <c r="E1256" i="1"/>
  <c r="J1255" i="1"/>
  <c r="G1255" i="1" s="1"/>
  <c r="E1255" i="1"/>
  <c r="J1254" i="1"/>
  <c r="G1254" i="1"/>
  <c r="F1254" i="1"/>
  <c r="E1254" i="1"/>
  <c r="D1254" i="1"/>
  <c r="C1254" i="1"/>
  <c r="A1254" i="1"/>
  <c r="J1253" i="1"/>
  <c r="E1253" i="1" s="1"/>
  <c r="J1252" i="1"/>
  <c r="G1252" i="1" s="1"/>
  <c r="J1251" i="1"/>
  <c r="J1250" i="1"/>
  <c r="F1250" i="1" s="1"/>
  <c r="D1250" i="1"/>
  <c r="C1250" i="1"/>
  <c r="J1249" i="1"/>
  <c r="C1249" i="1" s="1"/>
  <c r="G1249" i="1"/>
  <c r="E1249" i="1"/>
  <c r="D1249" i="1"/>
  <c r="A1249" i="1"/>
  <c r="J1248" i="1"/>
  <c r="G1248" i="1" s="1"/>
  <c r="J1247" i="1"/>
  <c r="J1246" i="1"/>
  <c r="G1246" i="1" s="1"/>
  <c r="F1246" i="1"/>
  <c r="E1246" i="1"/>
  <c r="D1246" i="1"/>
  <c r="C1246" i="1"/>
  <c r="A1246" i="1"/>
  <c r="J1245" i="1"/>
  <c r="G1245" i="1" s="1"/>
  <c r="A1245" i="1"/>
  <c r="J1244" i="1"/>
  <c r="J1243" i="1"/>
  <c r="F1243" i="1" s="1"/>
  <c r="G1243" i="1"/>
  <c r="E1243" i="1"/>
  <c r="D1243" i="1"/>
  <c r="C1243" i="1"/>
  <c r="A1243" i="1"/>
  <c r="J1242" i="1"/>
  <c r="J1241" i="1"/>
  <c r="J1240" i="1"/>
  <c r="G1240" i="1" s="1"/>
  <c r="J1239" i="1"/>
  <c r="G1239" i="1" s="1"/>
  <c r="F1239" i="1"/>
  <c r="J1238" i="1"/>
  <c r="F1238" i="1"/>
  <c r="E1238" i="1"/>
  <c r="D1238" i="1"/>
  <c r="J1237" i="1"/>
  <c r="J1236" i="1"/>
  <c r="E1236" i="1" s="1"/>
  <c r="G1236" i="1"/>
  <c r="A1236" i="1"/>
  <c r="J1235" i="1"/>
  <c r="E1235" i="1" s="1"/>
  <c r="G1235" i="1"/>
  <c r="D1235" i="1"/>
  <c r="C1235" i="1"/>
  <c r="A1235" i="1"/>
  <c r="J1234" i="1"/>
  <c r="J1233" i="1"/>
  <c r="G1233" i="1" s="1"/>
  <c r="F1233" i="1"/>
  <c r="J1232" i="1"/>
  <c r="G1232" i="1" s="1"/>
  <c r="D1232" i="1"/>
  <c r="A1232" i="1"/>
  <c r="J1231" i="1"/>
  <c r="J1230" i="1"/>
  <c r="F1230" i="1"/>
  <c r="E1230" i="1"/>
  <c r="J1229" i="1"/>
  <c r="G1229" i="1" s="1"/>
  <c r="J1228" i="1"/>
  <c r="G1228" i="1" s="1"/>
  <c r="F1228" i="1"/>
  <c r="D1228" i="1"/>
  <c r="C1228" i="1"/>
  <c r="A1228" i="1"/>
  <c r="J1227" i="1"/>
  <c r="G1227" i="1"/>
  <c r="D1227" i="1"/>
  <c r="A1227" i="1"/>
  <c r="J1226" i="1"/>
  <c r="E1226" i="1" s="1"/>
  <c r="J1225" i="1"/>
  <c r="D1225" i="1" s="1"/>
  <c r="C1225" i="1"/>
  <c r="J1224" i="1"/>
  <c r="G1224" i="1"/>
  <c r="J1223" i="1"/>
  <c r="G1223" i="1" s="1"/>
  <c r="J1222" i="1"/>
  <c r="E1222" i="1" s="1"/>
  <c r="J1221" i="1"/>
  <c r="E1221" i="1"/>
  <c r="D1221" i="1"/>
  <c r="J1220" i="1"/>
  <c r="G1220" i="1"/>
  <c r="F1220" i="1"/>
  <c r="E1220" i="1"/>
  <c r="D1220" i="1"/>
  <c r="C1220" i="1"/>
  <c r="A1220" i="1"/>
  <c r="J1219" i="1"/>
  <c r="J1218" i="1"/>
  <c r="E1218" i="1"/>
  <c r="C1218" i="1"/>
  <c r="A1218" i="1"/>
  <c r="J1217" i="1"/>
  <c r="C1217" i="1" s="1"/>
  <c r="E1217" i="1"/>
  <c r="J1216" i="1"/>
  <c r="E1216" i="1" s="1"/>
  <c r="J1215" i="1"/>
  <c r="G1215" i="1"/>
  <c r="F1215" i="1"/>
  <c r="D1215" i="1"/>
  <c r="J1214" i="1"/>
  <c r="F1214" i="1" s="1"/>
  <c r="J1213" i="1"/>
  <c r="F1213" i="1" s="1"/>
  <c r="J1212" i="1"/>
  <c r="G1212" i="1" s="1"/>
  <c r="J1211" i="1"/>
  <c r="F1211" i="1" s="1"/>
  <c r="C1211" i="1"/>
  <c r="A1211" i="1"/>
  <c r="J1210" i="1"/>
  <c r="J1209" i="1"/>
  <c r="G1209" i="1" s="1"/>
  <c r="J1208" i="1"/>
  <c r="F1208" i="1" s="1"/>
  <c r="D1208" i="1"/>
  <c r="J1207" i="1"/>
  <c r="J1206" i="1"/>
  <c r="C1206" i="1" s="1"/>
  <c r="J1205" i="1"/>
  <c r="D1205" i="1" s="1"/>
  <c r="F1205" i="1"/>
  <c r="A1205" i="1"/>
  <c r="J1204" i="1"/>
  <c r="C1204" i="1" s="1"/>
  <c r="J1203" i="1"/>
  <c r="J1202" i="1"/>
  <c r="J1201" i="1"/>
  <c r="F1201" i="1" s="1"/>
  <c r="G1201" i="1"/>
  <c r="E1201" i="1"/>
  <c r="C1201" i="1"/>
  <c r="J1200" i="1"/>
  <c r="F1200" i="1" s="1"/>
  <c r="D1200" i="1"/>
  <c r="J1199" i="1"/>
  <c r="C1199" i="1" s="1"/>
  <c r="J1198" i="1"/>
  <c r="J1197" i="1"/>
  <c r="E1197" i="1"/>
  <c r="C1197" i="1"/>
  <c r="J1196" i="1"/>
  <c r="D1196" i="1" s="1"/>
  <c r="J1195" i="1"/>
  <c r="D1195" i="1"/>
  <c r="C1195" i="1"/>
  <c r="A1195" i="1"/>
  <c r="J1194" i="1"/>
  <c r="G1194" i="1" s="1"/>
  <c r="J1193" i="1"/>
  <c r="G1193" i="1" s="1"/>
  <c r="E1193" i="1"/>
  <c r="A1193" i="1"/>
  <c r="J1192" i="1"/>
  <c r="G1192" i="1" s="1"/>
  <c r="E1192" i="1"/>
  <c r="J1191" i="1"/>
  <c r="E1191" i="1" s="1"/>
  <c r="G1191" i="1"/>
  <c r="D1191" i="1"/>
  <c r="J1190" i="1"/>
  <c r="D1190" i="1" s="1"/>
  <c r="J1189" i="1"/>
  <c r="G1189" i="1" s="1"/>
  <c r="F1189" i="1"/>
  <c r="E1189" i="1"/>
  <c r="D1189" i="1"/>
  <c r="C1189" i="1"/>
  <c r="A1189" i="1"/>
  <c r="J1188" i="1"/>
  <c r="G1188" i="1" s="1"/>
  <c r="D1188" i="1"/>
  <c r="J1187" i="1"/>
  <c r="J1186" i="1"/>
  <c r="G1186" i="1" s="1"/>
  <c r="F1186" i="1"/>
  <c r="E1186" i="1"/>
  <c r="J1185" i="1"/>
  <c r="G1185" i="1" s="1"/>
  <c r="J1184" i="1"/>
  <c r="G1184" i="1" s="1"/>
  <c r="D1184" i="1"/>
  <c r="C1184" i="1"/>
  <c r="J1183" i="1"/>
  <c r="G1183" i="1" s="1"/>
  <c r="J1182" i="1"/>
  <c r="G1182" i="1"/>
  <c r="E1182" i="1"/>
  <c r="C1182" i="1"/>
  <c r="J1181" i="1"/>
  <c r="E1181" i="1" s="1"/>
  <c r="G1181" i="1"/>
  <c r="A1181" i="1"/>
  <c r="J1180" i="1"/>
  <c r="J1179" i="1"/>
  <c r="F1179" i="1" s="1"/>
  <c r="E1179" i="1"/>
  <c r="J1178" i="1"/>
  <c r="F1178" i="1" s="1"/>
  <c r="G1178" i="1"/>
  <c r="A1178" i="1"/>
  <c r="J1177" i="1"/>
  <c r="J1176" i="1"/>
  <c r="F1176" i="1" s="1"/>
  <c r="G1176" i="1"/>
  <c r="J1175" i="1"/>
  <c r="J1174" i="1"/>
  <c r="F1174" i="1" s="1"/>
  <c r="J1173" i="1"/>
  <c r="F1173" i="1" s="1"/>
  <c r="G1173" i="1"/>
  <c r="A1173" i="1"/>
  <c r="J1172" i="1"/>
  <c r="F1172" i="1"/>
  <c r="D1172" i="1"/>
  <c r="A1172" i="1"/>
  <c r="J1171" i="1"/>
  <c r="F1171" i="1" s="1"/>
  <c r="J1170" i="1"/>
  <c r="G1170" i="1" s="1"/>
  <c r="D1170" i="1"/>
  <c r="J1169" i="1"/>
  <c r="J1168" i="1"/>
  <c r="J1167" i="1"/>
  <c r="F1167" i="1" s="1"/>
  <c r="G1167" i="1"/>
  <c r="E1167" i="1"/>
  <c r="D1167" i="1"/>
  <c r="C1167" i="1"/>
  <c r="A1167" i="1"/>
  <c r="J1166" i="1"/>
  <c r="G1166" i="1"/>
  <c r="E1166" i="1"/>
  <c r="D1166" i="1"/>
  <c r="A1166" i="1"/>
  <c r="J1165" i="1"/>
  <c r="G1165" i="1"/>
  <c r="D1165" i="1"/>
  <c r="C1165" i="1"/>
  <c r="J1164" i="1"/>
  <c r="F1164" i="1" s="1"/>
  <c r="J1163" i="1"/>
  <c r="E1163" i="1" s="1"/>
  <c r="J1162" i="1"/>
  <c r="E1162" i="1" s="1"/>
  <c r="J1161" i="1"/>
  <c r="E1161" i="1" s="1"/>
  <c r="G1161" i="1"/>
  <c r="D1161" i="1"/>
  <c r="J1160" i="1"/>
  <c r="G1160" i="1" s="1"/>
  <c r="J1159" i="1"/>
  <c r="J1158" i="1"/>
  <c r="G1158" i="1" s="1"/>
  <c r="J1157" i="1"/>
  <c r="J1156" i="1"/>
  <c r="A1156" i="1" s="1"/>
  <c r="E1156" i="1"/>
  <c r="D1156" i="1"/>
  <c r="C1156" i="1"/>
  <c r="J1155" i="1"/>
  <c r="G1155" i="1" s="1"/>
  <c r="E1155" i="1"/>
  <c r="D1155" i="1"/>
  <c r="J1154" i="1"/>
  <c r="E1154" i="1"/>
  <c r="D1154" i="1"/>
  <c r="A1154" i="1"/>
  <c r="J1153" i="1"/>
  <c r="G1153" i="1" s="1"/>
  <c r="D1153" i="1"/>
  <c r="J1152" i="1"/>
  <c r="E1152" i="1" s="1"/>
  <c r="D1152" i="1"/>
  <c r="C1152" i="1"/>
  <c r="J1151" i="1"/>
  <c r="G1151" i="1" s="1"/>
  <c r="J1150" i="1"/>
  <c r="F1150" i="1" s="1"/>
  <c r="G1150" i="1"/>
  <c r="J1149" i="1"/>
  <c r="J1148" i="1"/>
  <c r="A1148" i="1" s="1"/>
  <c r="G1148" i="1"/>
  <c r="J1147" i="1"/>
  <c r="G1147" i="1"/>
  <c r="F1147" i="1"/>
  <c r="E1147" i="1"/>
  <c r="D1147" i="1"/>
  <c r="C1147" i="1"/>
  <c r="A1147" i="1"/>
  <c r="J1146" i="1"/>
  <c r="A1146" i="1" s="1"/>
  <c r="J1145" i="1"/>
  <c r="F1145" i="1" s="1"/>
  <c r="E1145" i="1"/>
  <c r="D1145" i="1"/>
  <c r="C1145" i="1"/>
  <c r="J1144" i="1"/>
  <c r="A1144" i="1" s="1"/>
  <c r="E1144" i="1"/>
  <c r="D1144" i="1"/>
  <c r="J1143" i="1"/>
  <c r="G1143" i="1" s="1"/>
  <c r="F1143" i="1"/>
  <c r="E1143" i="1"/>
  <c r="A1143" i="1"/>
  <c r="J1142" i="1"/>
  <c r="J1141" i="1"/>
  <c r="D1141" i="1" s="1"/>
  <c r="G1141" i="1"/>
  <c r="F1141" i="1"/>
  <c r="E1141" i="1"/>
  <c r="C1141" i="1"/>
  <c r="A1141" i="1"/>
  <c r="J1140" i="1"/>
  <c r="D1140" i="1" s="1"/>
  <c r="G1140" i="1"/>
  <c r="F1140" i="1"/>
  <c r="E1140" i="1"/>
  <c r="A1140" i="1"/>
  <c r="J1139" i="1"/>
  <c r="F1139" i="1" s="1"/>
  <c r="J1138" i="1"/>
  <c r="E1138" i="1"/>
  <c r="D1138" i="1"/>
  <c r="C1138" i="1"/>
  <c r="A1138" i="1"/>
  <c r="J1137" i="1"/>
  <c r="D1137" i="1"/>
  <c r="J1136" i="1"/>
  <c r="F1136" i="1" s="1"/>
  <c r="E1136" i="1"/>
  <c r="C1136" i="1"/>
  <c r="J1135" i="1"/>
  <c r="D1135" i="1" s="1"/>
  <c r="G1135" i="1"/>
  <c r="C1135" i="1"/>
  <c r="A1135" i="1"/>
  <c r="J1134" i="1"/>
  <c r="G1134" i="1"/>
  <c r="J1133" i="1"/>
  <c r="G1133" i="1"/>
  <c r="F1133" i="1"/>
  <c r="E1133" i="1"/>
  <c r="D1133" i="1"/>
  <c r="C1133" i="1"/>
  <c r="A1133" i="1"/>
  <c r="J1132" i="1"/>
  <c r="G1132" i="1"/>
  <c r="J1131" i="1"/>
  <c r="F1131" i="1" s="1"/>
  <c r="J1130" i="1"/>
  <c r="G1130" i="1" s="1"/>
  <c r="J1129" i="1"/>
  <c r="D1129" i="1"/>
  <c r="C1129" i="1"/>
  <c r="A1129" i="1"/>
  <c r="J1128" i="1"/>
  <c r="G1128" i="1" s="1"/>
  <c r="C1128" i="1"/>
  <c r="A1128" i="1"/>
  <c r="J1127" i="1"/>
  <c r="J1126" i="1"/>
  <c r="G1126" i="1" s="1"/>
  <c r="F1126" i="1"/>
  <c r="E1126" i="1"/>
  <c r="D1126" i="1"/>
  <c r="A1126" i="1"/>
  <c r="J1125" i="1"/>
  <c r="C1125" i="1" s="1"/>
  <c r="J1124" i="1"/>
  <c r="G1124" i="1"/>
  <c r="J1123" i="1"/>
  <c r="G1123" i="1" s="1"/>
  <c r="J1122" i="1"/>
  <c r="F1122" i="1" s="1"/>
  <c r="D1122" i="1"/>
  <c r="C1122" i="1"/>
  <c r="A1122" i="1"/>
  <c r="J1121" i="1"/>
  <c r="G1121" i="1" s="1"/>
  <c r="F1121" i="1"/>
  <c r="J1120" i="1"/>
  <c r="D1120" i="1" s="1"/>
  <c r="E1120" i="1"/>
  <c r="J1119" i="1"/>
  <c r="G1119" i="1" s="1"/>
  <c r="F1119" i="1"/>
  <c r="J1118" i="1"/>
  <c r="G1118" i="1"/>
  <c r="J1117" i="1"/>
  <c r="G1117" i="1" s="1"/>
  <c r="F1117" i="1"/>
  <c r="E1117" i="1"/>
  <c r="D1117" i="1"/>
  <c r="C1117" i="1"/>
  <c r="J1116" i="1"/>
  <c r="J1115" i="1"/>
  <c r="G1115" i="1" s="1"/>
  <c r="J1114" i="1"/>
  <c r="F1114" i="1" s="1"/>
  <c r="D1114" i="1"/>
  <c r="C1114" i="1"/>
  <c r="A1114" i="1"/>
  <c r="J1113" i="1"/>
  <c r="G1113" i="1" s="1"/>
  <c r="F1113" i="1"/>
  <c r="E1113" i="1"/>
  <c r="J1112" i="1"/>
  <c r="A1112" i="1" s="1"/>
  <c r="G1112" i="1"/>
  <c r="F1112" i="1"/>
  <c r="E1112" i="1"/>
  <c r="D1112" i="1"/>
  <c r="C1112" i="1"/>
  <c r="J1111" i="1"/>
  <c r="F1111" i="1" s="1"/>
  <c r="J1110" i="1"/>
  <c r="C1110" i="1" s="1"/>
  <c r="G1110" i="1"/>
  <c r="F1110" i="1"/>
  <c r="E1110" i="1"/>
  <c r="D1110" i="1"/>
  <c r="A1110" i="1"/>
  <c r="J1109" i="1"/>
  <c r="D1109" i="1" s="1"/>
  <c r="J1108" i="1"/>
  <c r="J1107" i="1"/>
  <c r="G1107" i="1"/>
  <c r="F1107" i="1"/>
  <c r="J1106" i="1"/>
  <c r="J1105" i="1"/>
  <c r="J1104" i="1"/>
  <c r="G1104" i="1" s="1"/>
  <c r="E1104" i="1"/>
  <c r="D1104" i="1"/>
  <c r="C1104" i="1"/>
  <c r="A1104" i="1"/>
  <c r="J1103" i="1"/>
  <c r="G1103" i="1" s="1"/>
  <c r="J1102" i="1"/>
  <c r="G1102" i="1" s="1"/>
  <c r="E1102" i="1"/>
  <c r="D1102" i="1"/>
  <c r="J1101" i="1"/>
  <c r="G1101" i="1"/>
  <c r="F1101" i="1"/>
  <c r="E1101" i="1"/>
  <c r="C1101" i="1"/>
  <c r="J1100" i="1"/>
  <c r="J1099" i="1"/>
  <c r="G1099" i="1" s="1"/>
  <c r="J1098" i="1"/>
  <c r="G1098" i="1" s="1"/>
  <c r="F1098" i="1"/>
  <c r="J1097" i="1"/>
  <c r="G1097" i="1" s="1"/>
  <c r="J1096" i="1"/>
  <c r="G1096" i="1"/>
  <c r="F1096" i="1"/>
  <c r="E1096" i="1"/>
  <c r="D1096" i="1"/>
  <c r="C1096" i="1"/>
  <c r="A1096" i="1"/>
  <c r="J1095" i="1"/>
  <c r="E1095" i="1" s="1"/>
  <c r="A1095" i="1"/>
  <c r="J1094" i="1"/>
  <c r="A1094" i="1"/>
  <c r="J1093" i="1"/>
  <c r="D1093" i="1" s="1"/>
  <c r="C1093" i="1"/>
  <c r="J1092" i="1"/>
  <c r="G1092" i="1" s="1"/>
  <c r="F1092" i="1"/>
  <c r="E1092" i="1"/>
  <c r="D1092" i="1"/>
  <c r="J1091" i="1"/>
  <c r="E1091" i="1" s="1"/>
  <c r="D1091" i="1"/>
  <c r="C1091" i="1"/>
  <c r="J1090" i="1"/>
  <c r="J1089" i="1"/>
  <c r="G1089" i="1" s="1"/>
  <c r="F1089" i="1"/>
  <c r="E1089" i="1"/>
  <c r="D1089" i="1"/>
  <c r="J1088" i="1"/>
  <c r="G1088" i="1"/>
  <c r="F1088" i="1"/>
  <c r="E1088" i="1"/>
  <c r="D1088" i="1"/>
  <c r="C1088" i="1"/>
  <c r="A1088" i="1"/>
  <c r="J1087" i="1"/>
  <c r="D1087" i="1" s="1"/>
  <c r="E1087" i="1"/>
  <c r="J1086" i="1"/>
  <c r="G1086" i="1"/>
  <c r="F1086" i="1"/>
  <c r="D1086" i="1"/>
  <c r="A1086" i="1"/>
  <c r="J1085" i="1"/>
  <c r="E1085" i="1" s="1"/>
  <c r="C1085" i="1"/>
  <c r="J1084" i="1"/>
  <c r="A1084" i="1" s="1"/>
  <c r="J1083" i="1"/>
  <c r="E1083" i="1"/>
  <c r="J1082" i="1"/>
  <c r="C1082" i="1" s="1"/>
  <c r="J1081" i="1"/>
  <c r="G1081" i="1"/>
  <c r="F1081" i="1"/>
  <c r="E1081" i="1"/>
  <c r="D1081" i="1"/>
  <c r="C1081" i="1"/>
  <c r="A1081" i="1"/>
  <c r="J1080" i="1"/>
  <c r="J1079" i="1"/>
  <c r="G1079" i="1" s="1"/>
  <c r="F1079" i="1"/>
  <c r="E1079" i="1"/>
  <c r="D1079" i="1"/>
  <c r="C1079" i="1"/>
  <c r="A1079" i="1"/>
  <c r="J1078" i="1"/>
  <c r="G1078" i="1" s="1"/>
  <c r="D1078" i="1"/>
  <c r="C1078" i="1"/>
  <c r="A1078" i="1"/>
  <c r="J1077" i="1"/>
  <c r="C1077" i="1" s="1"/>
  <c r="F1077" i="1"/>
  <c r="E1077" i="1"/>
  <c r="J1076" i="1"/>
  <c r="G1076" i="1" s="1"/>
  <c r="E1076" i="1"/>
  <c r="A1076" i="1"/>
  <c r="J1075" i="1"/>
  <c r="A1075" i="1" s="1"/>
  <c r="J1074" i="1"/>
  <c r="D1074" i="1" s="1"/>
  <c r="C1074" i="1"/>
  <c r="A1074" i="1"/>
  <c r="J1073" i="1"/>
  <c r="G1073" i="1" s="1"/>
  <c r="J1072" i="1"/>
  <c r="J1071" i="1"/>
  <c r="J1070" i="1"/>
  <c r="E1070" i="1"/>
  <c r="D1070" i="1"/>
  <c r="C1070" i="1"/>
  <c r="A1070" i="1"/>
  <c r="J1069" i="1"/>
  <c r="E1069" i="1"/>
  <c r="D1069" i="1"/>
  <c r="C1069" i="1"/>
  <c r="J1068" i="1"/>
  <c r="J1067" i="1"/>
  <c r="G1067" i="1" s="1"/>
  <c r="F1067" i="1"/>
  <c r="J1066" i="1"/>
  <c r="G1066" i="1" s="1"/>
  <c r="J1065" i="1"/>
  <c r="G1065" i="1"/>
  <c r="F1065" i="1"/>
  <c r="E1065" i="1"/>
  <c r="J1064" i="1"/>
  <c r="G1064" i="1" s="1"/>
  <c r="J1063" i="1"/>
  <c r="G1063" i="1" s="1"/>
  <c r="C1063" i="1"/>
  <c r="A1063" i="1"/>
  <c r="J1062" i="1"/>
  <c r="G1062" i="1" s="1"/>
  <c r="J1061" i="1"/>
  <c r="C1061" i="1" s="1"/>
  <c r="D1061" i="1"/>
  <c r="A1061" i="1"/>
  <c r="J1060" i="1"/>
  <c r="F1060" i="1" s="1"/>
  <c r="J1059" i="1"/>
  <c r="C1059" i="1" s="1"/>
  <c r="J1058" i="1"/>
  <c r="F1058" i="1" s="1"/>
  <c r="J1057" i="1"/>
  <c r="G1057" i="1"/>
  <c r="F1057" i="1"/>
  <c r="E1057" i="1"/>
  <c r="D1057" i="1"/>
  <c r="J1056" i="1"/>
  <c r="E1056" i="1" s="1"/>
  <c r="G1056" i="1"/>
  <c r="F1056" i="1"/>
  <c r="D1056" i="1"/>
  <c r="C1056" i="1"/>
  <c r="J1055" i="1"/>
  <c r="G1055" i="1"/>
  <c r="J1054" i="1"/>
  <c r="G1054" i="1" s="1"/>
  <c r="J1053" i="1"/>
  <c r="D1053" i="1" s="1"/>
  <c r="J1052" i="1"/>
  <c r="J1051" i="1"/>
  <c r="F1051" i="1" s="1"/>
  <c r="G1051" i="1"/>
  <c r="E1051" i="1"/>
  <c r="J1050" i="1"/>
  <c r="G1050" i="1"/>
  <c r="F1050" i="1"/>
  <c r="E1050" i="1"/>
  <c r="D1050" i="1"/>
  <c r="C1050" i="1"/>
  <c r="A1050" i="1"/>
  <c r="J1049" i="1"/>
  <c r="G1049" i="1"/>
  <c r="F1049" i="1"/>
  <c r="J1048" i="1"/>
  <c r="G1048" i="1" s="1"/>
  <c r="C1048" i="1"/>
  <c r="J1047" i="1"/>
  <c r="F1047" i="1"/>
  <c r="D1047" i="1"/>
  <c r="C1047" i="1"/>
  <c r="J1046" i="1"/>
  <c r="F1046" i="1" s="1"/>
  <c r="J1045" i="1"/>
  <c r="D1045" i="1" s="1"/>
  <c r="E1045" i="1"/>
  <c r="C1045" i="1"/>
  <c r="A1045" i="1"/>
  <c r="J1044" i="1"/>
  <c r="J1043" i="1"/>
  <c r="G1043" i="1"/>
  <c r="J1042" i="1"/>
  <c r="G1042" i="1" s="1"/>
  <c r="J1041" i="1"/>
  <c r="J1040" i="1"/>
  <c r="D1040" i="1" s="1"/>
  <c r="J1039" i="1"/>
  <c r="G1039" i="1"/>
  <c r="F1039" i="1"/>
  <c r="E1039" i="1"/>
  <c r="J1038" i="1"/>
  <c r="G1038" i="1" s="1"/>
  <c r="J1037" i="1"/>
  <c r="F1037" i="1"/>
  <c r="J1036" i="1"/>
  <c r="G1036" i="1" s="1"/>
  <c r="J1035" i="1"/>
  <c r="F1035" i="1"/>
  <c r="J1034" i="1"/>
  <c r="G1034" i="1" s="1"/>
  <c r="J1033" i="1"/>
  <c r="E1033" i="1" s="1"/>
  <c r="G1033" i="1"/>
  <c r="C1033" i="1"/>
  <c r="A1033" i="1"/>
  <c r="J1032" i="1"/>
  <c r="E1032" i="1" s="1"/>
  <c r="F1032" i="1"/>
  <c r="J1031" i="1"/>
  <c r="G1031" i="1" s="1"/>
  <c r="J1030" i="1"/>
  <c r="D1030" i="1"/>
  <c r="J1029" i="1"/>
  <c r="F1029" i="1" s="1"/>
  <c r="J1028" i="1"/>
  <c r="D1028" i="1" s="1"/>
  <c r="J1027" i="1"/>
  <c r="A1027" i="1" s="1"/>
  <c r="F1027" i="1"/>
  <c r="C1027" i="1"/>
  <c r="J1026" i="1"/>
  <c r="J1025" i="1"/>
  <c r="J1024" i="1"/>
  <c r="G1024" i="1"/>
  <c r="F1024" i="1"/>
  <c r="E1024" i="1"/>
  <c r="D1024" i="1"/>
  <c r="C1024" i="1"/>
  <c r="A1024" i="1"/>
  <c r="J1023" i="1"/>
  <c r="D1023" i="1"/>
  <c r="A1023" i="1"/>
  <c r="J1022" i="1"/>
  <c r="E1022" i="1" s="1"/>
  <c r="G1022" i="1"/>
  <c r="C1022" i="1"/>
  <c r="A1022" i="1"/>
  <c r="J1021" i="1"/>
  <c r="C1021" i="1" s="1"/>
  <c r="A1021" i="1"/>
  <c r="J1020" i="1"/>
  <c r="E1020" i="1" s="1"/>
  <c r="C1020" i="1"/>
  <c r="A1020" i="1"/>
  <c r="J1019" i="1"/>
  <c r="C1019" i="1" s="1"/>
  <c r="J1018" i="1"/>
  <c r="F1018" i="1"/>
  <c r="E1018" i="1"/>
  <c r="J1017" i="1"/>
  <c r="G1017" i="1" s="1"/>
  <c r="D1017" i="1"/>
  <c r="C1017" i="1"/>
  <c r="A1017" i="1"/>
  <c r="J1016" i="1"/>
  <c r="G1016" i="1" s="1"/>
  <c r="J1015" i="1"/>
  <c r="D1015" i="1" s="1"/>
  <c r="J1014" i="1"/>
  <c r="C1014" i="1"/>
  <c r="J1013" i="1"/>
  <c r="D1013" i="1" s="1"/>
  <c r="G1013" i="1"/>
  <c r="F1013" i="1"/>
  <c r="E1013" i="1"/>
  <c r="C1013" i="1"/>
  <c r="A1013" i="1"/>
  <c r="J1012" i="1"/>
  <c r="J1011" i="1"/>
  <c r="G1011" i="1" s="1"/>
  <c r="A1011" i="1"/>
  <c r="J1010" i="1"/>
  <c r="J1009" i="1"/>
  <c r="E1009" i="1" s="1"/>
  <c r="D1009" i="1"/>
  <c r="C1009" i="1"/>
  <c r="J1008" i="1"/>
  <c r="J1007" i="1"/>
  <c r="G1007" i="1" s="1"/>
  <c r="E1007" i="1"/>
  <c r="D1007" i="1"/>
  <c r="J1006" i="1"/>
  <c r="F1006" i="1" s="1"/>
  <c r="E1006" i="1"/>
  <c r="D1006" i="1"/>
  <c r="C1006" i="1"/>
  <c r="A1006" i="1"/>
  <c r="J1005" i="1"/>
  <c r="E1005" i="1"/>
  <c r="J1004" i="1"/>
  <c r="J1003" i="1"/>
  <c r="G1003" i="1" s="1"/>
  <c r="F1003" i="1"/>
  <c r="E1003" i="1"/>
  <c r="D1003" i="1"/>
  <c r="C1003" i="1"/>
  <c r="A1003" i="1"/>
  <c r="J1002" i="1"/>
  <c r="G1002" i="1"/>
  <c r="F1002" i="1"/>
  <c r="J1001" i="1"/>
  <c r="G1001" i="1" s="1"/>
  <c r="J1000" i="1"/>
  <c r="G1000" i="1" s="1"/>
  <c r="F1000" i="1"/>
  <c r="E1000" i="1"/>
  <c r="D1000" i="1"/>
  <c r="J999" i="1"/>
  <c r="A999" i="1" s="1"/>
  <c r="J998" i="1"/>
  <c r="E998" i="1" s="1"/>
  <c r="F998" i="1"/>
  <c r="J997" i="1"/>
  <c r="F997" i="1" s="1"/>
  <c r="J996" i="1"/>
  <c r="D996" i="1"/>
  <c r="J995" i="1"/>
  <c r="G995" i="1" s="1"/>
  <c r="J994" i="1"/>
  <c r="F994" i="1" s="1"/>
  <c r="D994" i="1"/>
  <c r="C994" i="1"/>
  <c r="A994" i="1"/>
  <c r="J993" i="1"/>
  <c r="J992" i="1"/>
  <c r="G992" i="1"/>
  <c r="F992" i="1"/>
  <c r="E992" i="1"/>
  <c r="D992" i="1"/>
  <c r="C992" i="1"/>
  <c r="A992" i="1"/>
  <c r="J991" i="1"/>
  <c r="J990" i="1"/>
  <c r="E990" i="1" s="1"/>
  <c r="J989" i="1"/>
  <c r="D989" i="1" s="1"/>
  <c r="F989" i="1"/>
  <c r="E989" i="1"/>
  <c r="J988" i="1"/>
  <c r="G988" i="1" s="1"/>
  <c r="J987" i="1"/>
  <c r="D987" i="1" s="1"/>
  <c r="J986" i="1"/>
  <c r="A986" i="1" s="1"/>
  <c r="G986" i="1"/>
  <c r="D986" i="1"/>
  <c r="J985" i="1"/>
  <c r="G985" i="1"/>
  <c r="F985" i="1"/>
  <c r="E985" i="1"/>
  <c r="D985" i="1"/>
  <c r="J984" i="1"/>
  <c r="F984" i="1" s="1"/>
  <c r="G984" i="1"/>
  <c r="C984" i="1"/>
  <c r="A984" i="1"/>
  <c r="J983" i="1"/>
  <c r="E983" i="1" s="1"/>
  <c r="F983" i="1"/>
  <c r="J982" i="1"/>
  <c r="D982" i="1" s="1"/>
  <c r="E982" i="1"/>
  <c r="C982" i="1"/>
  <c r="A982" i="1"/>
  <c r="J981" i="1"/>
  <c r="F981" i="1" s="1"/>
  <c r="A981" i="1"/>
  <c r="J980" i="1"/>
  <c r="E980" i="1" s="1"/>
  <c r="J979" i="1"/>
  <c r="G979" i="1" s="1"/>
  <c r="E979" i="1"/>
  <c r="J978" i="1"/>
  <c r="J977" i="1"/>
  <c r="J976" i="1"/>
  <c r="D976" i="1" s="1"/>
  <c r="G976" i="1"/>
  <c r="A976" i="1"/>
  <c r="J975" i="1"/>
  <c r="G975" i="1"/>
  <c r="F975" i="1"/>
  <c r="E975" i="1"/>
  <c r="D975" i="1"/>
  <c r="C975" i="1"/>
  <c r="A975" i="1"/>
  <c r="J974" i="1"/>
  <c r="J973" i="1"/>
  <c r="D973" i="1" s="1"/>
  <c r="G973" i="1"/>
  <c r="E973" i="1"/>
  <c r="C973" i="1"/>
  <c r="J972" i="1"/>
  <c r="C972" i="1" s="1"/>
  <c r="F972" i="1"/>
  <c r="E972" i="1"/>
  <c r="D972" i="1"/>
  <c r="J971" i="1"/>
  <c r="G971" i="1" s="1"/>
  <c r="F971" i="1"/>
  <c r="C971" i="1"/>
  <c r="J970" i="1"/>
  <c r="F970" i="1"/>
  <c r="J969" i="1"/>
  <c r="G969" i="1" s="1"/>
  <c r="F969" i="1"/>
  <c r="J968" i="1"/>
  <c r="G968" i="1"/>
  <c r="F968" i="1"/>
  <c r="E968" i="1"/>
  <c r="D968" i="1"/>
  <c r="C968" i="1"/>
  <c r="A968" i="1"/>
  <c r="J967" i="1"/>
  <c r="J966" i="1"/>
  <c r="A966" i="1" s="1"/>
  <c r="J965" i="1"/>
  <c r="E965" i="1" s="1"/>
  <c r="A965" i="1"/>
  <c r="J964" i="1"/>
  <c r="G964" i="1"/>
  <c r="F964" i="1"/>
  <c r="J963" i="1"/>
  <c r="E963" i="1" s="1"/>
  <c r="G963" i="1"/>
  <c r="A963" i="1"/>
  <c r="J962" i="1"/>
  <c r="G962" i="1" s="1"/>
  <c r="J961" i="1"/>
  <c r="F961" i="1" s="1"/>
  <c r="E961" i="1"/>
  <c r="J960" i="1"/>
  <c r="G960" i="1"/>
  <c r="F960" i="1"/>
  <c r="E960" i="1"/>
  <c r="D960" i="1"/>
  <c r="C960" i="1"/>
  <c r="A960" i="1"/>
  <c r="J959" i="1"/>
  <c r="E959" i="1" s="1"/>
  <c r="D959" i="1"/>
  <c r="C959" i="1"/>
  <c r="J958" i="1"/>
  <c r="F958" i="1" s="1"/>
  <c r="J957" i="1"/>
  <c r="G957" i="1" s="1"/>
  <c r="A957" i="1"/>
  <c r="J956" i="1"/>
  <c r="D956" i="1" s="1"/>
  <c r="F956" i="1"/>
  <c r="E956" i="1"/>
  <c r="C956" i="1"/>
  <c r="J955" i="1"/>
  <c r="J954" i="1"/>
  <c r="G954" i="1"/>
  <c r="F954" i="1"/>
  <c r="E954" i="1"/>
  <c r="D954" i="1"/>
  <c r="C954" i="1"/>
  <c r="A954" i="1"/>
  <c r="J953" i="1"/>
  <c r="D953" i="1" s="1"/>
  <c r="J952" i="1"/>
  <c r="C952" i="1" s="1"/>
  <c r="J951" i="1"/>
  <c r="J950" i="1"/>
  <c r="J949" i="1"/>
  <c r="C949" i="1" s="1"/>
  <c r="J948" i="1"/>
  <c r="A948" i="1" s="1"/>
  <c r="G948" i="1"/>
  <c r="F948" i="1"/>
  <c r="C948" i="1"/>
  <c r="J947" i="1"/>
  <c r="D947" i="1" s="1"/>
  <c r="F947" i="1"/>
  <c r="E947" i="1"/>
  <c r="A947" i="1"/>
  <c r="J946" i="1"/>
  <c r="G946" i="1" s="1"/>
  <c r="D946" i="1"/>
  <c r="A946" i="1"/>
  <c r="J945" i="1"/>
  <c r="C945" i="1" s="1"/>
  <c r="J944" i="1"/>
  <c r="F944" i="1" s="1"/>
  <c r="J943" i="1"/>
  <c r="E943" i="1" s="1"/>
  <c r="C943" i="1"/>
  <c r="J942" i="1"/>
  <c r="F942" i="1" s="1"/>
  <c r="E942" i="1"/>
  <c r="D942" i="1"/>
  <c r="A942" i="1"/>
  <c r="J941" i="1"/>
  <c r="D941" i="1" s="1"/>
  <c r="J940" i="1"/>
  <c r="J939" i="1"/>
  <c r="J938" i="1"/>
  <c r="E938" i="1" s="1"/>
  <c r="C938" i="1"/>
  <c r="J937" i="1"/>
  <c r="G937" i="1" s="1"/>
  <c r="J936" i="1"/>
  <c r="G936" i="1" s="1"/>
  <c r="J935" i="1"/>
  <c r="G935" i="1" s="1"/>
  <c r="J934" i="1"/>
  <c r="G934" i="1" s="1"/>
  <c r="F934" i="1"/>
  <c r="J933" i="1"/>
  <c r="G933" i="1" s="1"/>
  <c r="J932" i="1"/>
  <c r="F932" i="1"/>
  <c r="E932" i="1"/>
  <c r="A932" i="1"/>
  <c r="J931" i="1"/>
  <c r="J930" i="1"/>
  <c r="G930" i="1" s="1"/>
  <c r="F930" i="1"/>
  <c r="E930" i="1"/>
  <c r="D930" i="1"/>
  <c r="A930" i="1"/>
  <c r="J929" i="1"/>
  <c r="G929" i="1" s="1"/>
  <c r="A929" i="1"/>
  <c r="J928" i="1"/>
  <c r="A928" i="1" s="1"/>
  <c r="F928" i="1"/>
  <c r="E928" i="1"/>
  <c r="D928" i="1"/>
  <c r="C928" i="1"/>
  <c r="J927" i="1"/>
  <c r="A927" i="1" s="1"/>
  <c r="G927" i="1"/>
  <c r="F927" i="1"/>
  <c r="E927" i="1"/>
  <c r="D927" i="1"/>
  <c r="C927" i="1"/>
  <c r="J926" i="1"/>
  <c r="G926" i="1" s="1"/>
  <c r="E926" i="1"/>
  <c r="D926" i="1"/>
  <c r="C926" i="1"/>
  <c r="A926" i="1"/>
  <c r="J925" i="1"/>
  <c r="E925" i="1" s="1"/>
  <c r="F925" i="1"/>
  <c r="D925" i="1"/>
  <c r="C925" i="1"/>
  <c r="J924" i="1"/>
  <c r="F924" i="1"/>
  <c r="E924" i="1"/>
  <c r="C924" i="1"/>
  <c r="A924" i="1"/>
  <c r="J923" i="1"/>
  <c r="D923" i="1" s="1"/>
  <c r="G923" i="1"/>
  <c r="J922" i="1"/>
  <c r="J921" i="1"/>
  <c r="G921" i="1"/>
  <c r="F921" i="1"/>
  <c r="E921" i="1"/>
  <c r="D921" i="1"/>
  <c r="C921" i="1"/>
  <c r="A921" i="1"/>
  <c r="J920" i="1"/>
  <c r="G920" i="1" s="1"/>
  <c r="J919" i="1"/>
  <c r="D919" i="1" s="1"/>
  <c r="F919" i="1"/>
  <c r="C919" i="1"/>
  <c r="A919" i="1"/>
  <c r="J918" i="1"/>
  <c r="D918" i="1" s="1"/>
  <c r="J917" i="1"/>
  <c r="J916" i="1"/>
  <c r="E916" i="1"/>
  <c r="D916" i="1"/>
  <c r="C916" i="1"/>
  <c r="A916" i="1"/>
  <c r="J915" i="1"/>
  <c r="G915" i="1" s="1"/>
  <c r="A915" i="1"/>
  <c r="J914" i="1"/>
  <c r="G914" i="1" s="1"/>
  <c r="E914" i="1"/>
  <c r="D914" i="1"/>
  <c r="A914" i="1"/>
  <c r="J913" i="1"/>
  <c r="F913" i="1"/>
  <c r="J912" i="1"/>
  <c r="F912" i="1" s="1"/>
  <c r="E912" i="1"/>
  <c r="D912" i="1"/>
  <c r="C912" i="1"/>
  <c r="A912" i="1"/>
  <c r="J911" i="1"/>
  <c r="G911" i="1"/>
  <c r="J910" i="1"/>
  <c r="E910" i="1" s="1"/>
  <c r="J909" i="1"/>
  <c r="G909" i="1" s="1"/>
  <c r="D909" i="1"/>
  <c r="J908" i="1"/>
  <c r="G908" i="1" s="1"/>
  <c r="F908" i="1"/>
  <c r="J907" i="1"/>
  <c r="G907" i="1"/>
  <c r="F907" i="1"/>
  <c r="E907" i="1"/>
  <c r="J906" i="1"/>
  <c r="A906" i="1" s="1"/>
  <c r="C906" i="1"/>
  <c r="J905" i="1"/>
  <c r="G905" i="1" s="1"/>
  <c r="F905" i="1"/>
  <c r="E905" i="1"/>
  <c r="A905" i="1"/>
  <c r="J904" i="1"/>
  <c r="D904" i="1"/>
  <c r="A904" i="1"/>
  <c r="J903" i="1"/>
  <c r="J902" i="1"/>
  <c r="G902" i="1"/>
  <c r="E902" i="1"/>
  <c r="J901" i="1"/>
  <c r="J900" i="1"/>
  <c r="G900" i="1"/>
  <c r="E900" i="1"/>
  <c r="D900" i="1"/>
  <c r="C900" i="1"/>
  <c r="J899" i="1"/>
  <c r="G899" i="1" s="1"/>
  <c r="A899" i="1"/>
  <c r="J898" i="1"/>
  <c r="J897" i="1"/>
  <c r="G897" i="1" s="1"/>
  <c r="F897" i="1"/>
  <c r="E897" i="1"/>
  <c r="D897" i="1"/>
  <c r="C897" i="1"/>
  <c r="A897" i="1"/>
  <c r="J896" i="1"/>
  <c r="C896" i="1" s="1"/>
  <c r="F896" i="1"/>
  <c r="E896" i="1"/>
  <c r="D896" i="1"/>
  <c r="A896" i="1"/>
  <c r="J895" i="1"/>
  <c r="F895" i="1" s="1"/>
  <c r="E895" i="1"/>
  <c r="D895" i="1"/>
  <c r="J894" i="1"/>
  <c r="C894" i="1" s="1"/>
  <c r="E894" i="1"/>
  <c r="J893" i="1"/>
  <c r="G893" i="1" s="1"/>
  <c r="F893" i="1"/>
  <c r="J892" i="1"/>
  <c r="C892" i="1" s="1"/>
  <c r="J891" i="1"/>
  <c r="J890" i="1"/>
  <c r="G890" i="1" s="1"/>
  <c r="E890" i="1"/>
  <c r="A890" i="1"/>
  <c r="J889" i="1"/>
  <c r="G889" i="1" s="1"/>
  <c r="D889" i="1"/>
  <c r="J888" i="1"/>
  <c r="A888" i="1" s="1"/>
  <c r="G888" i="1"/>
  <c r="F888" i="1"/>
  <c r="E888" i="1"/>
  <c r="D888" i="1"/>
  <c r="C888" i="1"/>
  <c r="J887" i="1"/>
  <c r="F887" i="1"/>
  <c r="E887" i="1"/>
  <c r="D887" i="1"/>
  <c r="A887" i="1"/>
  <c r="J886" i="1"/>
  <c r="C886" i="1" s="1"/>
  <c r="J885" i="1"/>
  <c r="J884" i="1"/>
  <c r="J883" i="1"/>
  <c r="E883" i="1" s="1"/>
  <c r="J882" i="1"/>
  <c r="G882" i="1" s="1"/>
  <c r="J881" i="1"/>
  <c r="G881" i="1"/>
  <c r="J880" i="1"/>
  <c r="C880" i="1"/>
  <c r="J879" i="1"/>
  <c r="F879" i="1" s="1"/>
  <c r="D879" i="1"/>
  <c r="J878" i="1"/>
  <c r="F878" i="1" s="1"/>
  <c r="G878" i="1"/>
  <c r="C878" i="1"/>
  <c r="A878" i="1"/>
  <c r="J877" i="1"/>
  <c r="G877" i="1" s="1"/>
  <c r="E877" i="1"/>
  <c r="D877" i="1"/>
  <c r="J876" i="1"/>
  <c r="F876" i="1" s="1"/>
  <c r="J875" i="1"/>
  <c r="J874" i="1"/>
  <c r="A874" i="1" s="1"/>
  <c r="F874" i="1"/>
  <c r="E874" i="1"/>
  <c r="D874" i="1"/>
  <c r="C874" i="1"/>
  <c r="J873" i="1"/>
  <c r="A873" i="1" s="1"/>
  <c r="J872" i="1"/>
  <c r="J871" i="1"/>
  <c r="D871" i="1" s="1"/>
  <c r="G871" i="1"/>
  <c r="C871" i="1"/>
  <c r="J870" i="1"/>
  <c r="G870" i="1" s="1"/>
  <c r="J869" i="1"/>
  <c r="F869" i="1"/>
  <c r="C869" i="1"/>
  <c r="A869" i="1"/>
  <c r="J868" i="1"/>
  <c r="D868" i="1" s="1"/>
  <c r="C868" i="1"/>
  <c r="J867" i="1"/>
  <c r="C867" i="1" s="1"/>
  <c r="G867" i="1"/>
  <c r="F867" i="1"/>
  <c r="E867" i="1"/>
  <c r="D867" i="1"/>
  <c r="A867" i="1"/>
  <c r="J866" i="1"/>
  <c r="E866" i="1" s="1"/>
  <c r="G866" i="1"/>
  <c r="F866" i="1"/>
  <c r="D866" i="1"/>
  <c r="C866" i="1"/>
  <c r="A866" i="1"/>
  <c r="J865" i="1"/>
  <c r="D865" i="1" s="1"/>
  <c r="C865" i="1"/>
  <c r="J864" i="1"/>
  <c r="J863" i="1"/>
  <c r="D863" i="1" s="1"/>
  <c r="J862" i="1"/>
  <c r="G862" i="1"/>
  <c r="J861" i="1"/>
  <c r="J860" i="1"/>
  <c r="F860" i="1" s="1"/>
  <c r="J859" i="1"/>
  <c r="F859" i="1" s="1"/>
  <c r="J858" i="1"/>
  <c r="E858" i="1"/>
  <c r="A858" i="1"/>
  <c r="J857" i="1"/>
  <c r="G857" i="1" s="1"/>
  <c r="E857" i="1"/>
  <c r="D857" i="1"/>
  <c r="J856" i="1"/>
  <c r="F856" i="1" s="1"/>
  <c r="D856" i="1"/>
  <c r="C856" i="1"/>
  <c r="J855" i="1"/>
  <c r="G855" i="1" s="1"/>
  <c r="F855" i="1"/>
  <c r="J854" i="1"/>
  <c r="G854" i="1"/>
  <c r="F854" i="1"/>
  <c r="E854" i="1"/>
  <c r="D854" i="1"/>
  <c r="C854" i="1"/>
  <c r="A854" i="1"/>
  <c r="J853" i="1"/>
  <c r="J852" i="1"/>
  <c r="J851" i="1"/>
  <c r="G851" i="1" s="1"/>
  <c r="F851" i="1"/>
  <c r="E851" i="1"/>
  <c r="D851" i="1"/>
  <c r="C851" i="1"/>
  <c r="A851" i="1"/>
  <c r="J850" i="1"/>
  <c r="J849" i="1"/>
  <c r="G849" i="1" s="1"/>
  <c r="F849" i="1"/>
  <c r="E849" i="1"/>
  <c r="D849" i="1"/>
  <c r="J848" i="1"/>
  <c r="E848" i="1" s="1"/>
  <c r="A848" i="1"/>
  <c r="J847" i="1"/>
  <c r="J846" i="1"/>
  <c r="G846" i="1" s="1"/>
  <c r="C846" i="1"/>
  <c r="A846" i="1"/>
  <c r="J845" i="1"/>
  <c r="J844" i="1"/>
  <c r="D844" i="1" s="1"/>
  <c r="G844" i="1"/>
  <c r="F844" i="1"/>
  <c r="E844" i="1"/>
  <c r="C844" i="1"/>
  <c r="A844" i="1"/>
  <c r="J843" i="1"/>
  <c r="A843" i="1" s="1"/>
  <c r="F843" i="1"/>
  <c r="J842" i="1"/>
  <c r="G842" i="1" s="1"/>
  <c r="J841" i="1"/>
  <c r="G841" i="1" s="1"/>
  <c r="J840" i="1"/>
  <c r="G840" i="1" s="1"/>
  <c r="F840" i="1"/>
  <c r="A840" i="1"/>
  <c r="J839" i="1"/>
  <c r="G839" i="1" s="1"/>
  <c r="J838" i="1"/>
  <c r="A838" i="1" s="1"/>
  <c r="G838" i="1"/>
  <c r="D838" i="1"/>
  <c r="J837" i="1"/>
  <c r="G837" i="1" s="1"/>
  <c r="J836" i="1"/>
  <c r="F836" i="1" s="1"/>
  <c r="E836" i="1"/>
  <c r="D836" i="1"/>
  <c r="J835" i="1"/>
  <c r="G835" i="1"/>
  <c r="D835" i="1"/>
  <c r="C835" i="1"/>
  <c r="A835" i="1"/>
  <c r="J834" i="1"/>
  <c r="J833" i="1"/>
  <c r="E833" i="1" s="1"/>
  <c r="G833" i="1"/>
  <c r="A833" i="1"/>
  <c r="J832" i="1"/>
  <c r="G832" i="1" s="1"/>
  <c r="J831" i="1"/>
  <c r="G831" i="1" s="1"/>
  <c r="J830" i="1"/>
  <c r="F830" i="1" s="1"/>
  <c r="G830" i="1"/>
  <c r="A830" i="1"/>
  <c r="J829" i="1"/>
  <c r="E829" i="1" s="1"/>
  <c r="G829" i="1"/>
  <c r="F829" i="1"/>
  <c r="J828" i="1"/>
  <c r="D828" i="1" s="1"/>
  <c r="A828" i="1"/>
  <c r="J827" i="1"/>
  <c r="E827" i="1" s="1"/>
  <c r="J826" i="1"/>
  <c r="G826" i="1" s="1"/>
  <c r="J825" i="1"/>
  <c r="E825" i="1" s="1"/>
  <c r="J824" i="1"/>
  <c r="D824" i="1" s="1"/>
  <c r="A824" i="1"/>
  <c r="J823" i="1"/>
  <c r="F823" i="1"/>
  <c r="E823" i="1"/>
  <c r="J822" i="1"/>
  <c r="F822" i="1" s="1"/>
  <c r="A822" i="1"/>
  <c r="J821" i="1"/>
  <c r="J820" i="1"/>
  <c r="C820" i="1" s="1"/>
  <c r="E820" i="1"/>
  <c r="D820" i="1"/>
  <c r="J819" i="1"/>
  <c r="F819" i="1" s="1"/>
  <c r="G819" i="1"/>
  <c r="J818" i="1"/>
  <c r="G818" i="1"/>
  <c r="J817" i="1"/>
  <c r="A817" i="1" s="1"/>
  <c r="E817" i="1"/>
  <c r="J816" i="1"/>
  <c r="G816" i="1" s="1"/>
  <c r="F816" i="1"/>
  <c r="E816" i="1"/>
  <c r="D816" i="1"/>
  <c r="C816" i="1"/>
  <c r="A816" i="1"/>
  <c r="J815" i="1"/>
  <c r="E815" i="1" s="1"/>
  <c r="G815" i="1"/>
  <c r="J814" i="1"/>
  <c r="J813" i="1"/>
  <c r="G813" i="1" s="1"/>
  <c r="J812" i="1"/>
  <c r="J811" i="1"/>
  <c r="G811" i="1" s="1"/>
  <c r="J810" i="1"/>
  <c r="E810" i="1" s="1"/>
  <c r="J809" i="1"/>
  <c r="E809" i="1"/>
  <c r="C809" i="1"/>
  <c r="A809" i="1"/>
  <c r="J808" i="1"/>
  <c r="J807" i="1"/>
  <c r="G807" i="1" s="1"/>
  <c r="E807" i="1"/>
  <c r="J806" i="1"/>
  <c r="G806" i="1" s="1"/>
  <c r="F806" i="1"/>
  <c r="D806" i="1"/>
  <c r="A806" i="1"/>
  <c r="J805" i="1"/>
  <c r="F805" i="1" s="1"/>
  <c r="G805" i="1"/>
  <c r="C805" i="1"/>
  <c r="J804" i="1"/>
  <c r="G804" i="1"/>
  <c r="D804" i="1"/>
  <c r="C804" i="1"/>
  <c r="J803" i="1"/>
  <c r="E803" i="1"/>
  <c r="D803" i="1"/>
  <c r="C803" i="1"/>
  <c r="J802" i="1"/>
  <c r="J801" i="1"/>
  <c r="F801" i="1" s="1"/>
  <c r="G801" i="1"/>
  <c r="E801" i="1"/>
  <c r="D801" i="1"/>
  <c r="C801" i="1"/>
  <c r="A801" i="1"/>
  <c r="J800" i="1"/>
  <c r="E800" i="1"/>
  <c r="A800" i="1"/>
  <c r="J799" i="1"/>
  <c r="G799" i="1" s="1"/>
  <c r="F799" i="1"/>
  <c r="D799" i="1"/>
  <c r="A799" i="1"/>
  <c r="J798" i="1"/>
  <c r="E798" i="1"/>
  <c r="A798" i="1"/>
  <c r="J797" i="1"/>
  <c r="J796" i="1"/>
  <c r="E796" i="1" s="1"/>
  <c r="D796" i="1"/>
  <c r="C796" i="1"/>
  <c r="J795" i="1"/>
  <c r="G795" i="1"/>
  <c r="J794" i="1"/>
  <c r="F794" i="1" s="1"/>
  <c r="G794" i="1"/>
  <c r="J793" i="1"/>
  <c r="G793" i="1"/>
  <c r="F793" i="1"/>
  <c r="J792" i="1"/>
  <c r="D792" i="1" s="1"/>
  <c r="J791" i="1"/>
  <c r="G791" i="1"/>
  <c r="F791" i="1"/>
  <c r="E791" i="1"/>
  <c r="C791" i="1"/>
  <c r="J790" i="1"/>
  <c r="G790" i="1" s="1"/>
  <c r="E790" i="1"/>
  <c r="J789" i="1"/>
  <c r="G789" i="1" s="1"/>
  <c r="E789" i="1"/>
  <c r="J788" i="1"/>
  <c r="G788" i="1"/>
  <c r="J787" i="1"/>
  <c r="D787" i="1" s="1"/>
  <c r="G787" i="1"/>
  <c r="F787" i="1"/>
  <c r="E787" i="1"/>
  <c r="C787" i="1"/>
  <c r="A787" i="1"/>
  <c r="J786" i="1"/>
  <c r="A786" i="1" s="1"/>
  <c r="J785" i="1"/>
  <c r="G785" i="1" s="1"/>
  <c r="F785" i="1"/>
  <c r="E785" i="1"/>
  <c r="C785" i="1"/>
  <c r="A785" i="1"/>
  <c r="J784" i="1"/>
  <c r="G784" i="1" s="1"/>
  <c r="F784" i="1"/>
  <c r="E784" i="1"/>
  <c r="D784" i="1"/>
  <c r="C784" i="1"/>
  <c r="J783" i="1"/>
  <c r="J782" i="1"/>
  <c r="J781" i="1"/>
  <c r="G781" i="1" s="1"/>
  <c r="J780" i="1"/>
  <c r="J779" i="1"/>
  <c r="A779" i="1" s="1"/>
  <c r="E779" i="1"/>
  <c r="D779" i="1"/>
  <c r="C779" i="1"/>
  <c r="J778" i="1"/>
  <c r="G778" i="1" s="1"/>
  <c r="J777" i="1"/>
  <c r="J776" i="1"/>
  <c r="G776" i="1" s="1"/>
  <c r="F776" i="1"/>
  <c r="E776" i="1"/>
  <c r="C776" i="1"/>
  <c r="A776" i="1"/>
  <c r="J775" i="1"/>
  <c r="G775" i="1" s="1"/>
  <c r="J774" i="1"/>
  <c r="G774" i="1"/>
  <c r="J773" i="1"/>
  <c r="G773" i="1"/>
  <c r="F773" i="1"/>
  <c r="J772" i="1"/>
  <c r="G772" i="1" s="1"/>
  <c r="D772" i="1"/>
  <c r="J771" i="1"/>
  <c r="F771" i="1" s="1"/>
  <c r="D771" i="1"/>
  <c r="J770" i="1"/>
  <c r="D770" i="1" s="1"/>
  <c r="J769" i="1"/>
  <c r="J768" i="1"/>
  <c r="G768" i="1" s="1"/>
  <c r="F768" i="1"/>
  <c r="A768" i="1"/>
  <c r="J767" i="1"/>
  <c r="E767" i="1" s="1"/>
  <c r="G767" i="1"/>
  <c r="F767" i="1"/>
  <c r="C767" i="1"/>
  <c r="A767" i="1"/>
  <c r="J766" i="1"/>
  <c r="F766" i="1" s="1"/>
  <c r="G766" i="1"/>
  <c r="D766" i="1"/>
  <c r="A766" i="1"/>
  <c r="J765" i="1"/>
  <c r="J764" i="1"/>
  <c r="A764" i="1" s="1"/>
  <c r="J763" i="1"/>
  <c r="J762" i="1"/>
  <c r="E762" i="1" s="1"/>
  <c r="D762" i="1"/>
  <c r="J761" i="1"/>
  <c r="G761" i="1" s="1"/>
  <c r="J760" i="1"/>
  <c r="J759" i="1"/>
  <c r="D759" i="1" s="1"/>
  <c r="J758" i="1"/>
  <c r="G758" i="1" s="1"/>
  <c r="J757" i="1"/>
  <c r="G757" i="1" s="1"/>
  <c r="F757" i="1"/>
  <c r="E757" i="1"/>
  <c r="C757" i="1"/>
  <c r="J756" i="1"/>
  <c r="G756" i="1" s="1"/>
  <c r="E756" i="1"/>
  <c r="J755" i="1"/>
  <c r="G755" i="1" s="1"/>
  <c r="F755" i="1"/>
  <c r="J754" i="1"/>
  <c r="G754" i="1"/>
  <c r="F754" i="1"/>
  <c r="E754" i="1"/>
  <c r="J753" i="1"/>
  <c r="A753" i="1"/>
  <c r="J752" i="1"/>
  <c r="G752" i="1" s="1"/>
  <c r="J751" i="1"/>
  <c r="D751" i="1" s="1"/>
  <c r="A751" i="1"/>
  <c r="J750" i="1"/>
  <c r="A750" i="1"/>
  <c r="J749" i="1"/>
  <c r="J748" i="1"/>
  <c r="J747" i="1"/>
  <c r="G747" i="1" s="1"/>
  <c r="J746" i="1"/>
  <c r="J745" i="1"/>
  <c r="G745" i="1" s="1"/>
  <c r="D745" i="1"/>
  <c r="C745" i="1"/>
  <c r="A745" i="1"/>
  <c r="J744" i="1"/>
  <c r="D744" i="1" s="1"/>
  <c r="G744" i="1"/>
  <c r="F744" i="1"/>
  <c r="J743" i="1"/>
  <c r="G743" i="1"/>
  <c r="F743" i="1"/>
  <c r="E743" i="1"/>
  <c r="J742" i="1"/>
  <c r="E742" i="1" s="1"/>
  <c r="G742" i="1"/>
  <c r="F742" i="1"/>
  <c r="J741" i="1"/>
  <c r="G741" i="1" s="1"/>
  <c r="J740" i="1"/>
  <c r="G740" i="1" s="1"/>
  <c r="F740" i="1"/>
  <c r="J739" i="1"/>
  <c r="A739" i="1" s="1"/>
  <c r="F739" i="1"/>
  <c r="J738" i="1"/>
  <c r="G738" i="1" s="1"/>
  <c r="E738" i="1"/>
  <c r="A738" i="1"/>
  <c r="J737" i="1"/>
  <c r="D737" i="1" s="1"/>
  <c r="J736" i="1"/>
  <c r="G736" i="1"/>
  <c r="J735" i="1"/>
  <c r="J734" i="1"/>
  <c r="J733" i="1"/>
  <c r="G733" i="1" s="1"/>
  <c r="J732" i="1"/>
  <c r="G732" i="1" s="1"/>
  <c r="F732" i="1"/>
  <c r="D732" i="1"/>
  <c r="C732" i="1"/>
  <c r="J731" i="1"/>
  <c r="F731" i="1" s="1"/>
  <c r="G731" i="1"/>
  <c r="E731" i="1"/>
  <c r="D731" i="1"/>
  <c r="C731" i="1"/>
  <c r="A731" i="1"/>
  <c r="J730" i="1"/>
  <c r="G730" i="1" s="1"/>
  <c r="J729" i="1"/>
  <c r="G729" i="1" s="1"/>
  <c r="F729" i="1"/>
  <c r="E729" i="1"/>
  <c r="C729" i="1"/>
  <c r="A729" i="1"/>
  <c r="J728" i="1"/>
  <c r="G728" i="1" s="1"/>
  <c r="J727" i="1"/>
  <c r="J726" i="1"/>
  <c r="E726" i="1"/>
  <c r="D726" i="1"/>
  <c r="J725" i="1"/>
  <c r="G725" i="1" s="1"/>
  <c r="J724" i="1"/>
  <c r="F724" i="1" s="1"/>
  <c r="G724" i="1"/>
  <c r="J723" i="1"/>
  <c r="G723" i="1"/>
  <c r="F723" i="1"/>
  <c r="E723" i="1"/>
  <c r="J722" i="1"/>
  <c r="G722" i="1" s="1"/>
  <c r="J721" i="1"/>
  <c r="G721" i="1"/>
  <c r="J720" i="1"/>
  <c r="C720" i="1" s="1"/>
  <c r="G720" i="1"/>
  <c r="J719" i="1"/>
  <c r="D719" i="1" s="1"/>
  <c r="C719" i="1"/>
  <c r="A719" i="1"/>
  <c r="J718" i="1"/>
  <c r="G718" i="1" s="1"/>
  <c r="E718" i="1"/>
  <c r="D718" i="1"/>
  <c r="J717" i="1"/>
  <c r="G717" i="1"/>
  <c r="C717" i="1"/>
  <c r="A717" i="1"/>
  <c r="J716" i="1"/>
  <c r="F716" i="1" s="1"/>
  <c r="J715" i="1"/>
  <c r="J714" i="1"/>
  <c r="G714" i="1" s="1"/>
  <c r="D714" i="1"/>
  <c r="C714" i="1"/>
  <c r="J713" i="1"/>
  <c r="J712" i="1"/>
  <c r="G712" i="1"/>
  <c r="C712" i="1"/>
  <c r="J711" i="1"/>
  <c r="E711" i="1" s="1"/>
  <c r="G711" i="1"/>
  <c r="D711" i="1"/>
  <c r="J710" i="1"/>
  <c r="E710" i="1" s="1"/>
  <c r="G710" i="1"/>
  <c r="J709" i="1"/>
  <c r="G709" i="1" s="1"/>
  <c r="C709" i="1"/>
  <c r="J708" i="1"/>
  <c r="J707" i="1"/>
  <c r="G707" i="1" s="1"/>
  <c r="D707" i="1"/>
  <c r="J706" i="1"/>
  <c r="E706" i="1" s="1"/>
  <c r="G706" i="1"/>
  <c r="F706" i="1"/>
  <c r="C706" i="1"/>
  <c r="A706" i="1"/>
  <c r="J705" i="1"/>
  <c r="G705" i="1" s="1"/>
  <c r="J704" i="1"/>
  <c r="F704" i="1" s="1"/>
  <c r="G704" i="1"/>
  <c r="J703" i="1"/>
  <c r="A703" i="1"/>
  <c r="J702" i="1"/>
  <c r="G702" i="1" s="1"/>
  <c r="E702" i="1"/>
  <c r="A702" i="1"/>
  <c r="J701" i="1"/>
  <c r="E701" i="1" s="1"/>
  <c r="J700" i="1"/>
  <c r="G700" i="1" s="1"/>
  <c r="F700" i="1"/>
  <c r="E700" i="1"/>
  <c r="A700" i="1"/>
  <c r="J699" i="1"/>
  <c r="G699" i="1" s="1"/>
  <c r="J698" i="1"/>
  <c r="G698" i="1" s="1"/>
  <c r="C698" i="1"/>
  <c r="A698" i="1"/>
  <c r="J697" i="1"/>
  <c r="D697" i="1" s="1"/>
  <c r="J696" i="1"/>
  <c r="E696" i="1" s="1"/>
  <c r="F696" i="1"/>
  <c r="D696" i="1"/>
  <c r="C696" i="1"/>
  <c r="A696" i="1"/>
  <c r="J695" i="1"/>
  <c r="G695" i="1" s="1"/>
  <c r="J694" i="1"/>
  <c r="G694" i="1" s="1"/>
  <c r="J693" i="1"/>
  <c r="G693" i="1" s="1"/>
  <c r="F693" i="1"/>
  <c r="E693" i="1"/>
  <c r="D693" i="1"/>
  <c r="C693" i="1"/>
  <c r="A693" i="1"/>
  <c r="J692" i="1"/>
  <c r="G692" i="1" s="1"/>
  <c r="J691" i="1"/>
  <c r="F691" i="1" s="1"/>
  <c r="G691" i="1"/>
  <c r="E691" i="1"/>
  <c r="D691" i="1"/>
  <c r="J690" i="1"/>
  <c r="D690" i="1" s="1"/>
  <c r="J689" i="1"/>
  <c r="A689" i="1" s="1"/>
  <c r="J688" i="1"/>
  <c r="C688" i="1" s="1"/>
  <c r="G688" i="1"/>
  <c r="J687" i="1"/>
  <c r="E687" i="1" s="1"/>
  <c r="C687" i="1"/>
  <c r="J686" i="1"/>
  <c r="J685" i="1"/>
  <c r="J684" i="1"/>
  <c r="J683" i="1"/>
  <c r="J682" i="1"/>
  <c r="G682" i="1" s="1"/>
  <c r="F682" i="1"/>
  <c r="E682" i="1"/>
  <c r="D682" i="1"/>
  <c r="C682" i="1"/>
  <c r="A682" i="1"/>
  <c r="J681" i="1"/>
  <c r="G681" i="1" s="1"/>
  <c r="C681" i="1"/>
  <c r="J680" i="1"/>
  <c r="G680" i="1" s="1"/>
  <c r="J679" i="1"/>
  <c r="G679" i="1" s="1"/>
  <c r="E679" i="1"/>
  <c r="D679" i="1"/>
  <c r="J678" i="1"/>
  <c r="J677" i="1"/>
  <c r="F677" i="1" s="1"/>
  <c r="G677" i="1"/>
  <c r="E677" i="1"/>
  <c r="D677" i="1"/>
  <c r="C677" i="1"/>
  <c r="A677" i="1"/>
  <c r="J676" i="1"/>
  <c r="A676" i="1"/>
  <c r="J675" i="1"/>
  <c r="G675" i="1" s="1"/>
  <c r="J674" i="1"/>
  <c r="G674" i="1" s="1"/>
  <c r="J673" i="1"/>
  <c r="J672" i="1"/>
  <c r="F672" i="1" s="1"/>
  <c r="G672" i="1"/>
  <c r="J671" i="1"/>
  <c r="G671" i="1" s="1"/>
  <c r="J670" i="1"/>
  <c r="G670" i="1"/>
  <c r="F670" i="1"/>
  <c r="E670" i="1"/>
  <c r="J669" i="1"/>
  <c r="G669" i="1" s="1"/>
  <c r="J668" i="1"/>
  <c r="A668" i="1" s="1"/>
  <c r="E668" i="1"/>
  <c r="J667" i="1"/>
  <c r="G667" i="1" s="1"/>
  <c r="D667" i="1"/>
  <c r="J666" i="1"/>
  <c r="G666" i="1"/>
  <c r="F666" i="1"/>
  <c r="E666" i="1"/>
  <c r="D666" i="1"/>
  <c r="J665" i="1"/>
  <c r="G665" i="1" s="1"/>
  <c r="J664" i="1"/>
  <c r="G664" i="1" s="1"/>
  <c r="D664" i="1"/>
  <c r="C664" i="1"/>
  <c r="J663" i="1"/>
  <c r="G663" i="1" s="1"/>
  <c r="J662" i="1"/>
  <c r="F662" i="1" s="1"/>
  <c r="G662" i="1"/>
  <c r="E662" i="1"/>
  <c r="D662" i="1"/>
  <c r="C662" i="1"/>
  <c r="A662" i="1"/>
  <c r="J661" i="1"/>
  <c r="F661" i="1"/>
  <c r="J660" i="1"/>
  <c r="D660" i="1" s="1"/>
  <c r="G660" i="1"/>
  <c r="F660" i="1"/>
  <c r="E660" i="1"/>
  <c r="C660" i="1"/>
  <c r="A660" i="1"/>
  <c r="J659" i="1"/>
  <c r="G659" i="1" s="1"/>
  <c r="J658" i="1"/>
  <c r="G658" i="1"/>
  <c r="F658" i="1"/>
  <c r="E658" i="1"/>
  <c r="D658" i="1"/>
  <c r="C658" i="1"/>
  <c r="A658" i="1"/>
  <c r="J657" i="1"/>
  <c r="A657" i="1" s="1"/>
  <c r="J656" i="1"/>
  <c r="J655" i="1"/>
  <c r="E655" i="1" s="1"/>
  <c r="G655" i="1"/>
  <c r="F655" i="1"/>
  <c r="A655" i="1"/>
  <c r="J654" i="1"/>
  <c r="G654" i="1" s="1"/>
  <c r="F654" i="1"/>
  <c r="E654" i="1"/>
  <c r="C654" i="1"/>
  <c r="A654" i="1"/>
  <c r="J653" i="1"/>
  <c r="D653" i="1" s="1"/>
  <c r="G653" i="1"/>
  <c r="F653" i="1"/>
  <c r="E653" i="1"/>
  <c r="J652" i="1"/>
  <c r="G652" i="1"/>
  <c r="F652" i="1"/>
  <c r="E652" i="1"/>
  <c r="J651" i="1"/>
  <c r="F651" i="1" s="1"/>
  <c r="E651" i="1"/>
  <c r="D651" i="1"/>
  <c r="J650" i="1"/>
  <c r="G650" i="1" s="1"/>
  <c r="J649" i="1"/>
  <c r="F649" i="1" s="1"/>
  <c r="C649" i="1"/>
  <c r="J648" i="1"/>
  <c r="G648" i="1" s="1"/>
  <c r="J647" i="1"/>
  <c r="A647" i="1"/>
  <c r="J646" i="1"/>
  <c r="F646" i="1" s="1"/>
  <c r="E646" i="1"/>
  <c r="D646" i="1"/>
  <c r="A646" i="1"/>
  <c r="J645" i="1"/>
  <c r="J644" i="1"/>
  <c r="G644" i="1" s="1"/>
  <c r="J643" i="1"/>
  <c r="J642" i="1"/>
  <c r="G642" i="1" s="1"/>
  <c r="F642" i="1"/>
  <c r="C642" i="1"/>
  <c r="A642" i="1"/>
  <c r="J641" i="1"/>
  <c r="F641" i="1" s="1"/>
  <c r="J640" i="1"/>
  <c r="G640" i="1" s="1"/>
  <c r="J639" i="1"/>
  <c r="F639" i="1"/>
  <c r="A639" i="1"/>
  <c r="J638" i="1"/>
  <c r="G638" i="1" s="1"/>
  <c r="J637" i="1"/>
  <c r="J636" i="1"/>
  <c r="G636" i="1" s="1"/>
  <c r="J635" i="1"/>
  <c r="E635" i="1" s="1"/>
  <c r="G635" i="1"/>
  <c r="F635" i="1"/>
  <c r="D635" i="1"/>
  <c r="C635" i="1"/>
  <c r="A635" i="1"/>
  <c r="J634" i="1"/>
  <c r="J633" i="1"/>
  <c r="G633" i="1" s="1"/>
  <c r="F633" i="1"/>
  <c r="D633" i="1"/>
  <c r="C633" i="1"/>
  <c r="A633" i="1"/>
  <c r="J632" i="1"/>
  <c r="A632" i="1" s="1"/>
  <c r="G632" i="1"/>
  <c r="E632" i="1"/>
  <c r="D632" i="1"/>
  <c r="C632" i="1"/>
  <c r="J631" i="1"/>
  <c r="E631" i="1" s="1"/>
  <c r="F631" i="1"/>
  <c r="A631" i="1"/>
  <c r="J630" i="1"/>
  <c r="E630" i="1"/>
  <c r="D630" i="1"/>
  <c r="J629" i="1"/>
  <c r="J628" i="1"/>
  <c r="G628" i="1" s="1"/>
  <c r="F628" i="1"/>
  <c r="E628" i="1"/>
  <c r="C628" i="1"/>
  <c r="A628" i="1"/>
  <c r="J627" i="1"/>
  <c r="C627" i="1"/>
  <c r="J626" i="1"/>
  <c r="D626" i="1" s="1"/>
  <c r="J625" i="1"/>
  <c r="G625" i="1"/>
  <c r="J624" i="1"/>
  <c r="G624" i="1" s="1"/>
  <c r="F624" i="1"/>
  <c r="E624" i="1"/>
  <c r="D624" i="1"/>
  <c r="C624" i="1"/>
  <c r="A624" i="1"/>
  <c r="J623" i="1"/>
  <c r="G623" i="1"/>
  <c r="J622" i="1"/>
  <c r="A622" i="1" s="1"/>
  <c r="C622" i="1"/>
  <c r="J621" i="1"/>
  <c r="G621" i="1"/>
  <c r="J620" i="1"/>
  <c r="J619" i="1"/>
  <c r="F619" i="1" s="1"/>
  <c r="E619" i="1"/>
  <c r="J618" i="1"/>
  <c r="E618" i="1" s="1"/>
  <c r="G618" i="1"/>
  <c r="A618" i="1"/>
  <c r="J617" i="1"/>
  <c r="E617" i="1"/>
  <c r="D617" i="1"/>
  <c r="C617" i="1"/>
  <c r="A617" i="1"/>
  <c r="J616" i="1"/>
  <c r="J615" i="1"/>
  <c r="A615" i="1" s="1"/>
  <c r="J614" i="1"/>
  <c r="F614" i="1" s="1"/>
  <c r="J613" i="1"/>
  <c r="A613" i="1" s="1"/>
  <c r="E613" i="1"/>
  <c r="D613" i="1"/>
  <c r="J612" i="1"/>
  <c r="E612" i="1" s="1"/>
  <c r="F612" i="1"/>
  <c r="D612" i="1"/>
  <c r="J611" i="1"/>
  <c r="D611" i="1" s="1"/>
  <c r="F611" i="1"/>
  <c r="E611" i="1"/>
  <c r="J610" i="1"/>
  <c r="G610" i="1" s="1"/>
  <c r="J609" i="1"/>
  <c r="G609" i="1" s="1"/>
  <c r="J608" i="1"/>
  <c r="E608" i="1"/>
  <c r="D608" i="1"/>
  <c r="C608" i="1"/>
  <c r="A608" i="1"/>
  <c r="J607" i="1"/>
  <c r="E607" i="1" s="1"/>
  <c r="D607" i="1"/>
  <c r="A607" i="1"/>
  <c r="J606" i="1"/>
  <c r="G606" i="1" s="1"/>
  <c r="J605" i="1"/>
  <c r="G605" i="1"/>
  <c r="F605" i="1"/>
  <c r="E605" i="1"/>
  <c r="D605" i="1"/>
  <c r="C605" i="1"/>
  <c r="A605" i="1"/>
  <c r="J604" i="1"/>
  <c r="G604" i="1"/>
  <c r="J603" i="1"/>
  <c r="G603" i="1" s="1"/>
  <c r="J602" i="1"/>
  <c r="E602" i="1"/>
  <c r="J601" i="1"/>
  <c r="D601" i="1" s="1"/>
  <c r="J600" i="1"/>
  <c r="C600" i="1"/>
  <c r="J599" i="1"/>
  <c r="G599" i="1"/>
  <c r="F599" i="1"/>
  <c r="E599" i="1"/>
  <c r="D599" i="1"/>
  <c r="C599" i="1"/>
  <c r="A599" i="1"/>
  <c r="J598" i="1"/>
  <c r="G598" i="1" s="1"/>
  <c r="J597" i="1"/>
  <c r="F597" i="1" s="1"/>
  <c r="G597" i="1"/>
  <c r="J596" i="1"/>
  <c r="G596" i="1"/>
  <c r="F596" i="1"/>
  <c r="E596" i="1"/>
  <c r="D596" i="1"/>
  <c r="C596" i="1"/>
  <c r="A596" i="1"/>
  <c r="J595" i="1"/>
  <c r="A595" i="1" s="1"/>
  <c r="J594" i="1"/>
  <c r="D594" i="1" s="1"/>
  <c r="E594" i="1"/>
  <c r="C594" i="1"/>
  <c r="A594" i="1"/>
  <c r="J593" i="1"/>
  <c r="A593" i="1" s="1"/>
  <c r="E593" i="1"/>
  <c r="J592" i="1"/>
  <c r="G592" i="1"/>
  <c r="F592" i="1"/>
  <c r="E592" i="1"/>
  <c r="D592" i="1"/>
  <c r="C592" i="1"/>
  <c r="A592" i="1"/>
  <c r="J591" i="1"/>
  <c r="J590" i="1"/>
  <c r="J589" i="1"/>
  <c r="A589" i="1" s="1"/>
  <c r="D589" i="1"/>
  <c r="C589" i="1"/>
  <c r="J588" i="1"/>
  <c r="E588" i="1" s="1"/>
  <c r="J587" i="1"/>
  <c r="F587" i="1"/>
  <c r="E587" i="1"/>
  <c r="C587" i="1"/>
  <c r="J586" i="1"/>
  <c r="G586" i="1" s="1"/>
  <c r="J585" i="1"/>
  <c r="J584" i="1"/>
  <c r="E584" i="1" s="1"/>
  <c r="D584" i="1"/>
  <c r="A584" i="1"/>
  <c r="J583" i="1"/>
  <c r="A583" i="1" s="1"/>
  <c r="J582" i="1"/>
  <c r="E582" i="1" s="1"/>
  <c r="G582" i="1"/>
  <c r="F582" i="1"/>
  <c r="D582" i="1"/>
  <c r="C582" i="1"/>
  <c r="A582" i="1"/>
  <c r="J581" i="1"/>
  <c r="E581" i="1" s="1"/>
  <c r="J580" i="1"/>
  <c r="F580" i="1" s="1"/>
  <c r="G580" i="1"/>
  <c r="E580" i="1"/>
  <c r="D580" i="1"/>
  <c r="A580" i="1"/>
  <c r="J579" i="1"/>
  <c r="G579" i="1"/>
  <c r="F579" i="1"/>
  <c r="E579" i="1"/>
  <c r="D579" i="1"/>
  <c r="J578" i="1"/>
  <c r="G578" i="1"/>
  <c r="A578" i="1"/>
  <c r="J577" i="1"/>
  <c r="F577" i="1" s="1"/>
  <c r="J576" i="1"/>
  <c r="C576" i="1" s="1"/>
  <c r="A576" i="1"/>
  <c r="J575" i="1"/>
  <c r="G575" i="1" s="1"/>
  <c r="J574" i="1"/>
  <c r="G574" i="1"/>
  <c r="J573" i="1"/>
  <c r="G573" i="1" s="1"/>
  <c r="F573" i="1"/>
  <c r="E573" i="1"/>
  <c r="D573" i="1"/>
  <c r="C573" i="1"/>
  <c r="A573" i="1"/>
  <c r="J572" i="1"/>
  <c r="F572" i="1" s="1"/>
  <c r="J571" i="1"/>
  <c r="F571" i="1" s="1"/>
  <c r="G571" i="1"/>
  <c r="D571" i="1"/>
  <c r="C571" i="1"/>
  <c r="J570" i="1"/>
  <c r="G570" i="1" s="1"/>
  <c r="J569" i="1"/>
  <c r="F569" i="1"/>
  <c r="D569" i="1"/>
  <c r="C569" i="1"/>
  <c r="J568" i="1"/>
  <c r="C568" i="1" s="1"/>
  <c r="E568" i="1"/>
  <c r="D568" i="1"/>
  <c r="J567" i="1"/>
  <c r="G567" i="1"/>
  <c r="F567" i="1"/>
  <c r="E567" i="1"/>
  <c r="D567" i="1"/>
  <c r="C567" i="1"/>
  <c r="A567" i="1"/>
  <c r="J566" i="1"/>
  <c r="G566" i="1" s="1"/>
  <c r="C566" i="1"/>
  <c r="A566" i="1"/>
  <c r="J565" i="1"/>
  <c r="G565" i="1"/>
  <c r="F565" i="1"/>
  <c r="J564" i="1"/>
  <c r="G564" i="1"/>
  <c r="A564" i="1"/>
  <c r="J563" i="1"/>
  <c r="D563" i="1" s="1"/>
  <c r="F563" i="1"/>
  <c r="C563" i="1"/>
  <c r="A563" i="1"/>
  <c r="J562" i="1"/>
  <c r="G562" i="1"/>
  <c r="F562" i="1"/>
  <c r="E562" i="1"/>
  <c r="D562" i="1"/>
  <c r="C562" i="1"/>
  <c r="A562" i="1"/>
  <c r="J561" i="1"/>
  <c r="G561" i="1" s="1"/>
  <c r="J560" i="1"/>
  <c r="F560" i="1"/>
  <c r="J559" i="1"/>
  <c r="J558" i="1"/>
  <c r="J557" i="1"/>
  <c r="D557" i="1" s="1"/>
  <c r="G557" i="1"/>
  <c r="C557" i="1"/>
  <c r="A557" i="1"/>
  <c r="J556" i="1"/>
  <c r="G556" i="1" s="1"/>
  <c r="J555" i="1"/>
  <c r="G555" i="1" s="1"/>
  <c r="F555" i="1"/>
  <c r="E555" i="1"/>
  <c r="D555" i="1"/>
  <c r="A555" i="1"/>
  <c r="J554" i="1"/>
  <c r="G554" i="1" s="1"/>
  <c r="J553" i="1"/>
  <c r="F553" i="1"/>
  <c r="E553" i="1"/>
  <c r="C553" i="1"/>
  <c r="J552" i="1"/>
  <c r="J551" i="1"/>
  <c r="A551" i="1"/>
  <c r="J550" i="1"/>
  <c r="G550" i="1"/>
  <c r="E550" i="1"/>
  <c r="J549" i="1"/>
  <c r="G549" i="1" s="1"/>
  <c r="J548" i="1"/>
  <c r="J547" i="1"/>
  <c r="G547" i="1" s="1"/>
  <c r="J546" i="1"/>
  <c r="G546" i="1" s="1"/>
  <c r="F546" i="1"/>
  <c r="E546" i="1"/>
  <c r="C546" i="1"/>
  <c r="J545" i="1"/>
  <c r="A545" i="1" s="1"/>
  <c r="G545" i="1"/>
  <c r="J544" i="1"/>
  <c r="C544" i="1" s="1"/>
  <c r="G544" i="1"/>
  <c r="E544" i="1"/>
  <c r="J543" i="1"/>
  <c r="J542" i="1"/>
  <c r="G542" i="1" s="1"/>
  <c r="J541" i="1"/>
  <c r="C541" i="1" s="1"/>
  <c r="J540" i="1"/>
  <c r="G540" i="1" s="1"/>
  <c r="F540" i="1"/>
  <c r="C540" i="1"/>
  <c r="J539" i="1"/>
  <c r="F539" i="1" s="1"/>
  <c r="G539" i="1"/>
  <c r="J538" i="1"/>
  <c r="A538" i="1" s="1"/>
  <c r="D538" i="1"/>
  <c r="C538" i="1"/>
  <c r="J537" i="1"/>
  <c r="F537" i="1" s="1"/>
  <c r="J536" i="1"/>
  <c r="F536" i="1" s="1"/>
  <c r="G536" i="1"/>
  <c r="J535" i="1"/>
  <c r="E535" i="1" s="1"/>
  <c r="D535" i="1"/>
  <c r="C535" i="1"/>
  <c r="A535" i="1"/>
  <c r="J534" i="1"/>
  <c r="E534" i="1" s="1"/>
  <c r="F534" i="1"/>
  <c r="J533" i="1"/>
  <c r="J532" i="1"/>
  <c r="G532" i="1"/>
  <c r="J531" i="1"/>
  <c r="D531" i="1" s="1"/>
  <c r="G531" i="1"/>
  <c r="C531" i="1"/>
  <c r="A531" i="1"/>
  <c r="J530" i="1"/>
  <c r="G530" i="1"/>
  <c r="J529" i="1"/>
  <c r="D529" i="1" s="1"/>
  <c r="E529" i="1"/>
  <c r="J528" i="1"/>
  <c r="G528" i="1"/>
  <c r="F528" i="1"/>
  <c r="E528" i="1"/>
  <c r="D528" i="1"/>
  <c r="C528" i="1"/>
  <c r="A528" i="1"/>
  <c r="J527" i="1"/>
  <c r="G527" i="1" s="1"/>
  <c r="J526" i="1"/>
  <c r="F526" i="1" s="1"/>
  <c r="E526" i="1"/>
  <c r="A526" i="1"/>
  <c r="J525" i="1"/>
  <c r="J524" i="1"/>
  <c r="G524" i="1" s="1"/>
  <c r="J523" i="1"/>
  <c r="G523" i="1" s="1"/>
  <c r="F523" i="1"/>
  <c r="C523" i="1"/>
  <c r="A523" i="1"/>
  <c r="J522" i="1"/>
  <c r="C522" i="1" s="1"/>
  <c r="G522" i="1"/>
  <c r="E522" i="1"/>
  <c r="A522" i="1"/>
  <c r="J521" i="1"/>
  <c r="G521" i="1" s="1"/>
  <c r="F521" i="1"/>
  <c r="E521" i="1"/>
  <c r="A521" i="1"/>
  <c r="J520" i="1"/>
  <c r="E520" i="1"/>
  <c r="D520" i="1"/>
  <c r="A520" i="1"/>
  <c r="J519" i="1"/>
  <c r="A519" i="1" s="1"/>
  <c r="J518" i="1"/>
  <c r="G518" i="1" s="1"/>
  <c r="C518" i="1"/>
  <c r="J517" i="1"/>
  <c r="J516" i="1"/>
  <c r="F516" i="1"/>
  <c r="E516" i="1"/>
  <c r="J515" i="1"/>
  <c r="G515" i="1" s="1"/>
  <c r="E515" i="1"/>
  <c r="J514" i="1"/>
  <c r="E514" i="1"/>
  <c r="D514" i="1"/>
  <c r="C514" i="1"/>
  <c r="A514" i="1"/>
  <c r="J513" i="1"/>
  <c r="F513" i="1" s="1"/>
  <c r="E513" i="1"/>
  <c r="D513" i="1"/>
  <c r="J512" i="1"/>
  <c r="G512" i="1" s="1"/>
  <c r="J511" i="1"/>
  <c r="A511" i="1" s="1"/>
  <c r="D511" i="1"/>
  <c r="C511" i="1"/>
  <c r="J510" i="1"/>
  <c r="G510" i="1" s="1"/>
  <c r="J509" i="1"/>
  <c r="G509" i="1" s="1"/>
  <c r="J508" i="1"/>
  <c r="C508" i="1" s="1"/>
  <c r="F508" i="1"/>
  <c r="D508" i="1"/>
  <c r="J507" i="1"/>
  <c r="G507" i="1" s="1"/>
  <c r="J506" i="1"/>
  <c r="G506" i="1" s="1"/>
  <c r="D506" i="1"/>
  <c r="J505" i="1"/>
  <c r="G505" i="1" s="1"/>
  <c r="D505" i="1"/>
  <c r="C505" i="1"/>
  <c r="J504" i="1"/>
  <c r="G504" i="1" s="1"/>
  <c r="D504" i="1"/>
  <c r="C504" i="1"/>
  <c r="J503" i="1"/>
  <c r="G503" i="1" s="1"/>
  <c r="F503" i="1"/>
  <c r="E503" i="1"/>
  <c r="D503" i="1"/>
  <c r="C503" i="1"/>
  <c r="A503" i="1"/>
  <c r="J502" i="1"/>
  <c r="G502" i="1"/>
  <c r="F502" i="1"/>
  <c r="C502" i="1"/>
  <c r="A502" i="1"/>
  <c r="J501" i="1"/>
  <c r="G501" i="1" s="1"/>
  <c r="J500" i="1"/>
  <c r="J499" i="1"/>
  <c r="D499" i="1" s="1"/>
  <c r="F499" i="1"/>
  <c r="A499" i="1"/>
  <c r="J498" i="1"/>
  <c r="E498" i="1" s="1"/>
  <c r="G498" i="1"/>
  <c r="F498" i="1"/>
  <c r="D498" i="1"/>
  <c r="A498" i="1"/>
  <c r="J497" i="1"/>
  <c r="A497" i="1"/>
  <c r="J496" i="1"/>
  <c r="G496" i="1" s="1"/>
  <c r="J495" i="1"/>
  <c r="G495" i="1" s="1"/>
  <c r="J494" i="1"/>
  <c r="E494" i="1" s="1"/>
  <c r="J493" i="1"/>
  <c r="J492" i="1"/>
  <c r="E492" i="1"/>
  <c r="J491" i="1"/>
  <c r="G491" i="1" s="1"/>
  <c r="F491" i="1"/>
  <c r="E491" i="1"/>
  <c r="C491" i="1"/>
  <c r="J490" i="1"/>
  <c r="C490" i="1" s="1"/>
  <c r="G490" i="1"/>
  <c r="D490" i="1"/>
  <c r="J489" i="1"/>
  <c r="F489" i="1" s="1"/>
  <c r="J488" i="1"/>
  <c r="G488" i="1" s="1"/>
  <c r="C488" i="1"/>
  <c r="A488" i="1"/>
  <c r="J487" i="1"/>
  <c r="A487" i="1"/>
  <c r="J486" i="1"/>
  <c r="F486" i="1" s="1"/>
  <c r="G486" i="1"/>
  <c r="D486" i="1"/>
  <c r="C486" i="1"/>
  <c r="A486" i="1"/>
  <c r="J485" i="1"/>
  <c r="D485" i="1" s="1"/>
  <c r="G485" i="1"/>
  <c r="J484" i="1"/>
  <c r="C484" i="1" s="1"/>
  <c r="J483" i="1"/>
  <c r="G483" i="1"/>
  <c r="F483" i="1"/>
  <c r="E483" i="1"/>
  <c r="D483" i="1"/>
  <c r="J482" i="1"/>
  <c r="F482" i="1" s="1"/>
  <c r="G482" i="1"/>
  <c r="E482" i="1"/>
  <c r="D482" i="1"/>
  <c r="J481" i="1"/>
  <c r="G481" i="1" s="1"/>
  <c r="D481" i="1"/>
  <c r="C481" i="1"/>
  <c r="J480" i="1"/>
  <c r="G480" i="1" s="1"/>
  <c r="E480" i="1"/>
  <c r="J479" i="1"/>
  <c r="A479" i="1" s="1"/>
  <c r="C479" i="1"/>
  <c r="J478" i="1"/>
  <c r="J477" i="1"/>
  <c r="J476" i="1"/>
  <c r="G476" i="1" s="1"/>
  <c r="F476" i="1"/>
  <c r="J475" i="1"/>
  <c r="G475" i="1" s="1"/>
  <c r="J474" i="1"/>
  <c r="A474" i="1" s="1"/>
  <c r="F474" i="1"/>
  <c r="E474" i="1"/>
  <c r="C474" i="1"/>
  <c r="J473" i="1"/>
  <c r="G473" i="1" s="1"/>
  <c r="F473" i="1"/>
  <c r="D473" i="1"/>
  <c r="J472" i="1"/>
  <c r="J471" i="1"/>
  <c r="F471" i="1" s="1"/>
  <c r="D471" i="1"/>
  <c r="J470" i="1"/>
  <c r="F470" i="1" s="1"/>
  <c r="G470" i="1"/>
  <c r="E470" i="1"/>
  <c r="A470" i="1"/>
  <c r="J469" i="1"/>
  <c r="G469" i="1" s="1"/>
  <c r="J468" i="1"/>
  <c r="C468" i="1" s="1"/>
  <c r="G468" i="1"/>
  <c r="F468" i="1"/>
  <c r="E468" i="1"/>
  <c r="D468" i="1"/>
  <c r="J467" i="1"/>
  <c r="J466" i="1"/>
  <c r="F466" i="1" s="1"/>
  <c r="G466" i="1"/>
  <c r="D466" i="1"/>
  <c r="C466" i="1"/>
  <c r="A466" i="1"/>
  <c r="J465" i="1"/>
  <c r="J464" i="1"/>
  <c r="G464" i="1"/>
  <c r="J463" i="1"/>
  <c r="G463" i="1"/>
  <c r="F463" i="1"/>
  <c r="J462" i="1"/>
  <c r="E462" i="1" s="1"/>
  <c r="F462" i="1"/>
  <c r="A462" i="1"/>
  <c r="J461" i="1"/>
  <c r="G461" i="1" s="1"/>
  <c r="C461" i="1"/>
  <c r="J460" i="1"/>
  <c r="F460" i="1" s="1"/>
  <c r="J459" i="1"/>
  <c r="J458" i="1"/>
  <c r="C458" i="1" s="1"/>
  <c r="J457" i="1"/>
  <c r="F457" i="1" s="1"/>
  <c r="D457" i="1"/>
  <c r="J456" i="1"/>
  <c r="F456" i="1" s="1"/>
  <c r="J455" i="1"/>
  <c r="A455" i="1" s="1"/>
  <c r="J454" i="1"/>
  <c r="F454" i="1" s="1"/>
  <c r="J453" i="1"/>
  <c r="J452" i="1"/>
  <c r="E452" i="1" s="1"/>
  <c r="D452" i="1"/>
  <c r="C452" i="1"/>
  <c r="A452" i="1"/>
  <c r="J451" i="1"/>
  <c r="G451" i="1" s="1"/>
  <c r="J450" i="1"/>
  <c r="G450" i="1"/>
  <c r="F450" i="1"/>
  <c r="E450" i="1"/>
  <c r="A450" i="1"/>
  <c r="J449" i="1"/>
  <c r="F449" i="1" s="1"/>
  <c r="G449" i="1"/>
  <c r="D449" i="1"/>
  <c r="J448" i="1"/>
  <c r="D448" i="1" s="1"/>
  <c r="E448" i="1"/>
  <c r="J447" i="1"/>
  <c r="G447" i="1" s="1"/>
  <c r="D447" i="1"/>
  <c r="C447" i="1"/>
  <c r="A447" i="1"/>
  <c r="J446" i="1"/>
  <c r="J445" i="1"/>
  <c r="J444" i="1"/>
  <c r="J443" i="1"/>
  <c r="G443" i="1" s="1"/>
  <c r="F443" i="1"/>
  <c r="E443" i="1"/>
  <c r="J442" i="1"/>
  <c r="A442" i="1" s="1"/>
  <c r="C442" i="1"/>
  <c r="J441" i="1"/>
  <c r="G441" i="1" s="1"/>
  <c r="D441" i="1"/>
  <c r="C441" i="1"/>
  <c r="A441" i="1"/>
  <c r="J440" i="1"/>
  <c r="G440" i="1" s="1"/>
  <c r="J439" i="1"/>
  <c r="A439" i="1" s="1"/>
  <c r="F439" i="1"/>
  <c r="E439" i="1"/>
  <c r="D439" i="1"/>
  <c r="C439" i="1"/>
  <c r="J438" i="1"/>
  <c r="D438" i="1" s="1"/>
  <c r="J437" i="1"/>
  <c r="G437" i="1" s="1"/>
  <c r="F437" i="1"/>
  <c r="J436" i="1"/>
  <c r="A436" i="1" s="1"/>
  <c r="F436" i="1"/>
  <c r="D436" i="1"/>
  <c r="J435" i="1"/>
  <c r="G435" i="1" s="1"/>
  <c r="J434" i="1"/>
  <c r="G434" i="1"/>
  <c r="D434" i="1"/>
  <c r="C434" i="1"/>
  <c r="A434" i="1"/>
  <c r="J433" i="1"/>
  <c r="G433" i="1" s="1"/>
  <c r="E433" i="1"/>
  <c r="J432" i="1"/>
  <c r="G432" i="1" s="1"/>
  <c r="D432" i="1"/>
  <c r="J431" i="1"/>
  <c r="J430" i="1"/>
  <c r="F430" i="1" s="1"/>
  <c r="J429" i="1"/>
  <c r="F429" i="1" s="1"/>
  <c r="G429" i="1"/>
  <c r="J428" i="1"/>
  <c r="J427" i="1"/>
  <c r="G427" i="1" s="1"/>
  <c r="F427" i="1"/>
  <c r="E427" i="1"/>
  <c r="C427" i="1"/>
  <c r="J426" i="1"/>
  <c r="E426" i="1" s="1"/>
  <c r="J425" i="1"/>
  <c r="F425" i="1"/>
  <c r="E425" i="1"/>
  <c r="D425" i="1"/>
  <c r="J424" i="1"/>
  <c r="F424" i="1" s="1"/>
  <c r="G424" i="1"/>
  <c r="D424" i="1"/>
  <c r="J423" i="1"/>
  <c r="A423" i="1" s="1"/>
  <c r="J422" i="1"/>
  <c r="F422" i="1" s="1"/>
  <c r="E422" i="1"/>
  <c r="C422" i="1"/>
  <c r="J421" i="1"/>
  <c r="G421" i="1" s="1"/>
  <c r="J420" i="1"/>
  <c r="G420" i="1" s="1"/>
  <c r="J419" i="1"/>
  <c r="G419" i="1" s="1"/>
  <c r="E419" i="1"/>
  <c r="J418" i="1"/>
  <c r="E418" i="1" s="1"/>
  <c r="G418" i="1"/>
  <c r="F418" i="1"/>
  <c r="D418" i="1"/>
  <c r="A418" i="1"/>
  <c r="J417" i="1"/>
  <c r="F417" i="1" s="1"/>
  <c r="J416" i="1"/>
  <c r="D416" i="1" s="1"/>
  <c r="J415" i="1"/>
  <c r="E415" i="1" s="1"/>
  <c r="G415" i="1"/>
  <c r="C415" i="1"/>
  <c r="J414" i="1"/>
  <c r="G414" i="1" s="1"/>
  <c r="J413" i="1"/>
  <c r="G413" i="1" s="1"/>
  <c r="J412" i="1"/>
  <c r="G412" i="1" s="1"/>
  <c r="C412" i="1"/>
  <c r="J411" i="1"/>
  <c r="A411" i="1" s="1"/>
  <c r="J410" i="1"/>
  <c r="F410" i="1" s="1"/>
  <c r="C410" i="1"/>
  <c r="J409" i="1"/>
  <c r="F409" i="1"/>
  <c r="J408" i="1"/>
  <c r="J407" i="1"/>
  <c r="G407" i="1" s="1"/>
  <c r="F407" i="1"/>
  <c r="C407" i="1"/>
  <c r="A407" i="1"/>
  <c r="J406" i="1"/>
  <c r="G406" i="1" s="1"/>
  <c r="J405" i="1"/>
  <c r="J404" i="1"/>
  <c r="G404" i="1" s="1"/>
  <c r="F404" i="1"/>
  <c r="E404" i="1"/>
  <c r="A404" i="1"/>
  <c r="J403" i="1"/>
  <c r="D403" i="1" s="1"/>
  <c r="G403" i="1"/>
  <c r="E403" i="1"/>
  <c r="C403" i="1"/>
  <c r="A403" i="1"/>
  <c r="J402" i="1"/>
  <c r="E402" i="1" s="1"/>
  <c r="G402" i="1"/>
  <c r="C402" i="1"/>
  <c r="J401" i="1"/>
  <c r="F401" i="1"/>
  <c r="J400" i="1"/>
  <c r="G400" i="1" s="1"/>
  <c r="E400" i="1"/>
  <c r="D400" i="1"/>
  <c r="C400" i="1"/>
  <c r="A400" i="1"/>
  <c r="J399" i="1"/>
  <c r="G399" i="1" s="1"/>
  <c r="J398" i="1"/>
  <c r="F398" i="1" s="1"/>
  <c r="J397" i="1"/>
  <c r="E397" i="1"/>
  <c r="J396" i="1"/>
  <c r="J395" i="1"/>
  <c r="G395" i="1" s="1"/>
  <c r="A395" i="1"/>
  <c r="J394" i="1"/>
  <c r="C394" i="1" s="1"/>
  <c r="A394" i="1"/>
  <c r="J393" i="1"/>
  <c r="D393" i="1" s="1"/>
  <c r="E393" i="1"/>
  <c r="J392" i="1"/>
  <c r="J391" i="1"/>
  <c r="J390" i="1"/>
  <c r="G390" i="1"/>
  <c r="J389" i="1"/>
  <c r="G389" i="1" s="1"/>
  <c r="E389" i="1"/>
  <c r="J388" i="1"/>
  <c r="F388" i="1" s="1"/>
  <c r="G388" i="1"/>
  <c r="J387" i="1"/>
  <c r="F387" i="1"/>
  <c r="D387" i="1"/>
  <c r="J386" i="1"/>
  <c r="E386" i="1" s="1"/>
  <c r="G386" i="1"/>
  <c r="F386" i="1"/>
  <c r="C386" i="1"/>
  <c r="A386" i="1"/>
  <c r="J385" i="1"/>
  <c r="A385" i="1" s="1"/>
  <c r="E385" i="1"/>
  <c r="D385" i="1"/>
  <c r="C385" i="1"/>
  <c r="J384" i="1"/>
  <c r="J383" i="1"/>
  <c r="A383" i="1" s="1"/>
  <c r="G383" i="1"/>
  <c r="D383" i="1"/>
  <c r="C383" i="1"/>
  <c r="J382" i="1"/>
  <c r="C382" i="1" s="1"/>
  <c r="G382" i="1"/>
  <c r="J381" i="1"/>
  <c r="F381" i="1" s="1"/>
  <c r="G381" i="1"/>
  <c r="J380" i="1"/>
  <c r="G380" i="1" s="1"/>
  <c r="F380" i="1"/>
  <c r="C380" i="1"/>
  <c r="J379" i="1"/>
  <c r="G379" i="1"/>
  <c r="D379" i="1"/>
  <c r="J378" i="1"/>
  <c r="F378" i="1" s="1"/>
  <c r="G378" i="1"/>
  <c r="J377" i="1"/>
  <c r="G377" i="1" s="1"/>
  <c r="D377" i="1"/>
  <c r="C377" i="1"/>
  <c r="A377" i="1"/>
  <c r="J376" i="1"/>
  <c r="G376" i="1" s="1"/>
  <c r="E376" i="1"/>
  <c r="J375" i="1"/>
  <c r="C375" i="1" s="1"/>
  <c r="F375" i="1"/>
  <c r="J374" i="1"/>
  <c r="G374" i="1"/>
  <c r="J373" i="1"/>
  <c r="G373" i="1" s="1"/>
  <c r="D373" i="1"/>
  <c r="A373" i="1"/>
  <c r="J372" i="1"/>
  <c r="G372" i="1"/>
  <c r="E372" i="1"/>
  <c r="C372" i="1"/>
  <c r="A372" i="1"/>
  <c r="J371" i="1"/>
  <c r="G371" i="1" s="1"/>
  <c r="J370" i="1"/>
  <c r="G370" i="1"/>
  <c r="F370" i="1"/>
  <c r="E370" i="1"/>
  <c r="D370" i="1"/>
  <c r="C370" i="1"/>
  <c r="A370" i="1"/>
  <c r="J369" i="1"/>
  <c r="A369" i="1" s="1"/>
  <c r="G369" i="1"/>
  <c r="E369" i="1"/>
  <c r="D369" i="1"/>
  <c r="C369" i="1"/>
  <c r="J368" i="1"/>
  <c r="G368" i="1"/>
  <c r="F368" i="1"/>
  <c r="J367" i="1"/>
  <c r="E367" i="1" s="1"/>
  <c r="J366" i="1"/>
  <c r="F366" i="1"/>
  <c r="J365" i="1"/>
  <c r="G365" i="1" s="1"/>
  <c r="C365" i="1"/>
  <c r="A365" i="1"/>
  <c r="J364" i="1"/>
  <c r="G364" i="1" s="1"/>
  <c r="C364" i="1"/>
  <c r="J363" i="1"/>
  <c r="G363" i="1"/>
  <c r="F363" i="1"/>
  <c r="E363" i="1"/>
  <c r="C363" i="1"/>
  <c r="J362" i="1"/>
  <c r="F362" i="1" s="1"/>
  <c r="G362" i="1"/>
  <c r="J361" i="1"/>
  <c r="D361" i="1" s="1"/>
  <c r="J360" i="1"/>
  <c r="G360" i="1" s="1"/>
  <c r="J359" i="1"/>
  <c r="F359" i="1" s="1"/>
  <c r="J358" i="1"/>
  <c r="E358" i="1"/>
  <c r="C358" i="1"/>
  <c r="J357" i="1"/>
  <c r="G357" i="1" s="1"/>
  <c r="D357" i="1"/>
  <c r="J356" i="1"/>
  <c r="A356" i="1" s="1"/>
  <c r="J355" i="1"/>
  <c r="C355" i="1" s="1"/>
  <c r="E355" i="1"/>
  <c r="A355" i="1"/>
  <c r="J354" i="1"/>
  <c r="E354" i="1" s="1"/>
  <c r="G354" i="1"/>
  <c r="F354" i="1"/>
  <c r="D354" i="1"/>
  <c r="C354" i="1"/>
  <c r="A354" i="1"/>
  <c r="J353" i="1"/>
  <c r="F353" i="1" s="1"/>
  <c r="J352" i="1"/>
  <c r="J351" i="1"/>
  <c r="G351" i="1" s="1"/>
  <c r="J350" i="1"/>
  <c r="G350" i="1" s="1"/>
  <c r="C350" i="1"/>
  <c r="J349" i="1"/>
  <c r="E349" i="1" s="1"/>
  <c r="F349" i="1"/>
  <c r="J348" i="1"/>
  <c r="G348" i="1" s="1"/>
  <c r="J347" i="1"/>
  <c r="G347" i="1" s="1"/>
  <c r="F347" i="1"/>
  <c r="D347" i="1"/>
  <c r="J346" i="1"/>
  <c r="D346" i="1"/>
  <c r="C346" i="1"/>
  <c r="J345" i="1"/>
  <c r="J344" i="1"/>
  <c r="D344" i="1" s="1"/>
  <c r="E344" i="1"/>
  <c r="C344" i="1"/>
  <c r="A344" i="1"/>
  <c r="J343" i="1"/>
  <c r="F343" i="1" s="1"/>
  <c r="E343" i="1"/>
  <c r="C343" i="1"/>
  <c r="J342" i="1"/>
  <c r="F342" i="1" s="1"/>
  <c r="J341" i="1"/>
  <c r="F341" i="1" s="1"/>
  <c r="J340" i="1"/>
  <c r="J339" i="1"/>
  <c r="F339" i="1" s="1"/>
  <c r="C339" i="1"/>
  <c r="A339" i="1"/>
  <c r="J338" i="1"/>
  <c r="D338" i="1" s="1"/>
  <c r="J337" i="1"/>
  <c r="C337" i="1" s="1"/>
  <c r="F337" i="1"/>
  <c r="J336" i="1"/>
  <c r="C336" i="1" s="1"/>
  <c r="F336" i="1"/>
  <c r="E336" i="1"/>
  <c r="D336" i="1"/>
  <c r="A336" i="1"/>
  <c r="J335" i="1"/>
  <c r="G335" i="1" s="1"/>
  <c r="C335" i="1"/>
  <c r="J334" i="1"/>
  <c r="F334" i="1"/>
  <c r="J333" i="1"/>
  <c r="E333" i="1" s="1"/>
  <c r="D333" i="1"/>
  <c r="C333" i="1"/>
  <c r="A333" i="1"/>
  <c r="J332" i="1"/>
  <c r="G332" i="1" s="1"/>
  <c r="J331" i="1"/>
  <c r="G331" i="1" s="1"/>
  <c r="J330" i="1"/>
  <c r="C330" i="1" s="1"/>
  <c r="J329" i="1"/>
  <c r="G329" i="1"/>
  <c r="F329" i="1"/>
  <c r="E329" i="1"/>
  <c r="D329" i="1"/>
  <c r="C329" i="1"/>
  <c r="A329" i="1"/>
  <c r="J328" i="1"/>
  <c r="F328" i="1" s="1"/>
  <c r="J327" i="1"/>
  <c r="F327" i="1"/>
  <c r="J326" i="1"/>
  <c r="J325" i="1"/>
  <c r="F325" i="1" s="1"/>
  <c r="A325" i="1"/>
  <c r="J324" i="1"/>
  <c r="C324" i="1" s="1"/>
  <c r="G324" i="1"/>
  <c r="F324" i="1"/>
  <c r="E324" i="1"/>
  <c r="D324" i="1"/>
  <c r="A324" i="1"/>
  <c r="J323" i="1"/>
  <c r="F323" i="1" s="1"/>
  <c r="D323" i="1"/>
  <c r="J322" i="1"/>
  <c r="F322" i="1" s="1"/>
  <c r="G322" i="1"/>
  <c r="J321" i="1"/>
  <c r="G321" i="1"/>
  <c r="F321" i="1"/>
  <c r="E321" i="1"/>
  <c r="D321" i="1"/>
  <c r="J320" i="1"/>
  <c r="J319" i="1"/>
  <c r="G319" i="1" s="1"/>
  <c r="C319" i="1"/>
  <c r="J318" i="1"/>
  <c r="F318" i="1" s="1"/>
  <c r="G318" i="1"/>
  <c r="C318" i="1"/>
  <c r="A318" i="1"/>
  <c r="J317" i="1"/>
  <c r="J316" i="1"/>
  <c r="J315" i="1"/>
  <c r="G315" i="1" s="1"/>
  <c r="E315" i="1"/>
  <c r="A315" i="1"/>
  <c r="J314" i="1"/>
  <c r="F314" i="1" s="1"/>
  <c r="G314" i="1"/>
  <c r="J313" i="1"/>
  <c r="J312" i="1"/>
  <c r="D312" i="1" s="1"/>
  <c r="J311" i="1"/>
  <c r="E311" i="1" s="1"/>
  <c r="C311" i="1"/>
  <c r="A311" i="1"/>
  <c r="J310" i="1"/>
  <c r="G310" i="1" s="1"/>
  <c r="F310" i="1"/>
  <c r="D310" i="1"/>
  <c r="C310" i="1"/>
  <c r="A310" i="1"/>
  <c r="J309" i="1"/>
  <c r="G309" i="1" s="1"/>
  <c r="F309" i="1"/>
  <c r="D309" i="1"/>
  <c r="J308" i="1"/>
  <c r="C308" i="1" s="1"/>
  <c r="J307" i="1"/>
  <c r="D307" i="1" s="1"/>
  <c r="F307" i="1"/>
  <c r="J306" i="1"/>
  <c r="G306" i="1" s="1"/>
  <c r="J305" i="1"/>
  <c r="F305" i="1" s="1"/>
  <c r="G305" i="1"/>
  <c r="E305" i="1"/>
  <c r="D305" i="1"/>
  <c r="C305" i="1"/>
  <c r="A305" i="1"/>
  <c r="J304" i="1"/>
  <c r="A304" i="1" s="1"/>
  <c r="F304" i="1"/>
  <c r="E304" i="1"/>
  <c r="J303" i="1"/>
  <c r="F303" i="1" s="1"/>
  <c r="D303" i="1"/>
  <c r="J302" i="1"/>
  <c r="D302" i="1" s="1"/>
  <c r="F302" i="1"/>
  <c r="J301" i="1"/>
  <c r="G301" i="1" s="1"/>
  <c r="D301" i="1"/>
  <c r="A301" i="1"/>
  <c r="J300" i="1"/>
  <c r="G300" i="1"/>
  <c r="F300" i="1"/>
  <c r="J299" i="1"/>
  <c r="G299" i="1" s="1"/>
  <c r="F299" i="1"/>
  <c r="C299" i="1"/>
  <c r="A299" i="1"/>
  <c r="J298" i="1"/>
  <c r="G298" i="1"/>
  <c r="J297" i="1"/>
  <c r="F297" i="1" s="1"/>
  <c r="J296" i="1"/>
  <c r="C296" i="1" s="1"/>
  <c r="J295" i="1"/>
  <c r="G295" i="1" s="1"/>
  <c r="F295" i="1"/>
  <c r="E295" i="1"/>
  <c r="C295" i="1"/>
  <c r="A295" i="1"/>
  <c r="J294" i="1"/>
  <c r="A294" i="1" s="1"/>
  <c r="J293" i="1"/>
  <c r="E293" i="1" s="1"/>
  <c r="A293" i="1"/>
  <c r="J292" i="1"/>
  <c r="F292" i="1" s="1"/>
  <c r="J291" i="1"/>
  <c r="G291" i="1"/>
  <c r="J290" i="1"/>
  <c r="D290" i="1" s="1"/>
  <c r="F290" i="1"/>
  <c r="J289" i="1"/>
  <c r="J288" i="1"/>
  <c r="E288" i="1"/>
  <c r="A288" i="1"/>
  <c r="J287" i="1"/>
  <c r="E287" i="1" s="1"/>
  <c r="J286" i="1"/>
  <c r="A286" i="1" s="1"/>
  <c r="G286" i="1"/>
  <c r="C286" i="1"/>
  <c r="J285" i="1"/>
  <c r="E285" i="1" s="1"/>
  <c r="F285" i="1"/>
  <c r="C285" i="1"/>
  <c r="J284" i="1"/>
  <c r="F284" i="1" s="1"/>
  <c r="G284" i="1"/>
  <c r="D284" i="1"/>
  <c r="J283" i="1"/>
  <c r="J282" i="1"/>
  <c r="F282" i="1" s="1"/>
  <c r="C282" i="1"/>
  <c r="A282" i="1"/>
  <c r="J281" i="1"/>
  <c r="C281" i="1" s="1"/>
  <c r="G281" i="1"/>
  <c r="E281" i="1"/>
  <c r="J280" i="1"/>
  <c r="G280" i="1" s="1"/>
  <c r="D280" i="1"/>
  <c r="J279" i="1"/>
  <c r="E279" i="1" s="1"/>
  <c r="G279" i="1"/>
  <c r="F279" i="1"/>
  <c r="D279" i="1"/>
  <c r="C279" i="1"/>
  <c r="A279" i="1"/>
  <c r="J278" i="1"/>
  <c r="E278" i="1" s="1"/>
  <c r="C278" i="1"/>
  <c r="J277" i="1"/>
  <c r="G277" i="1"/>
  <c r="J276" i="1"/>
  <c r="C276" i="1" s="1"/>
  <c r="J275" i="1"/>
  <c r="G275" i="1"/>
  <c r="F275" i="1"/>
  <c r="E275" i="1"/>
  <c r="D275" i="1"/>
  <c r="C275" i="1"/>
  <c r="A275" i="1"/>
  <c r="J274" i="1"/>
  <c r="F274" i="1" s="1"/>
  <c r="J273" i="1"/>
  <c r="F273" i="1"/>
  <c r="J272" i="1"/>
  <c r="E272" i="1" s="1"/>
  <c r="D272" i="1"/>
  <c r="C272" i="1"/>
  <c r="J271" i="1"/>
  <c r="G271" i="1" s="1"/>
  <c r="J270" i="1"/>
  <c r="E270" i="1" s="1"/>
  <c r="D270" i="1"/>
  <c r="J269" i="1"/>
  <c r="C269" i="1" s="1"/>
  <c r="J268" i="1"/>
  <c r="J267" i="1"/>
  <c r="G267" i="1"/>
  <c r="F267" i="1"/>
  <c r="E267" i="1"/>
  <c r="D267" i="1"/>
  <c r="C267" i="1"/>
  <c r="A267" i="1"/>
  <c r="J266" i="1"/>
  <c r="A266" i="1" s="1"/>
  <c r="F266" i="1"/>
  <c r="J265" i="1"/>
  <c r="C265" i="1" s="1"/>
  <c r="D265" i="1"/>
  <c r="J264" i="1"/>
  <c r="G264" i="1" s="1"/>
  <c r="J263" i="1"/>
  <c r="G263" i="1"/>
  <c r="J262" i="1"/>
  <c r="G262" i="1" s="1"/>
  <c r="E262" i="1"/>
  <c r="D262" i="1"/>
  <c r="J261" i="1"/>
  <c r="G261" i="1" s="1"/>
  <c r="E261" i="1"/>
  <c r="J260" i="1"/>
  <c r="F260" i="1" s="1"/>
  <c r="J259" i="1"/>
  <c r="C259" i="1"/>
  <c r="J258" i="1"/>
  <c r="G258" i="1" s="1"/>
  <c r="J257" i="1"/>
  <c r="F257" i="1" s="1"/>
  <c r="C257" i="1"/>
  <c r="J256" i="1"/>
  <c r="D256" i="1" s="1"/>
  <c r="G256" i="1"/>
  <c r="F256" i="1"/>
  <c r="E256" i="1"/>
  <c r="C256" i="1"/>
  <c r="A256" i="1"/>
  <c r="J255" i="1"/>
  <c r="G255" i="1" s="1"/>
  <c r="D255" i="1"/>
  <c r="J254" i="1"/>
  <c r="F254" i="1" s="1"/>
  <c r="C254" i="1"/>
  <c r="A254" i="1"/>
  <c r="J253" i="1"/>
  <c r="A253" i="1" s="1"/>
  <c r="G253" i="1"/>
  <c r="J252" i="1"/>
  <c r="G252" i="1" s="1"/>
  <c r="F252" i="1"/>
  <c r="E252" i="1"/>
  <c r="D252" i="1"/>
  <c r="C252" i="1"/>
  <c r="A252" i="1"/>
  <c r="J251" i="1"/>
  <c r="F251" i="1" s="1"/>
  <c r="J250" i="1"/>
  <c r="F250" i="1" s="1"/>
  <c r="D250" i="1"/>
  <c r="C250" i="1"/>
  <c r="A250" i="1"/>
  <c r="J249" i="1"/>
  <c r="A249" i="1" s="1"/>
  <c r="F249" i="1"/>
  <c r="E249" i="1"/>
  <c r="D249" i="1"/>
  <c r="C249" i="1"/>
  <c r="J248" i="1"/>
  <c r="G248" i="1" s="1"/>
  <c r="F248" i="1"/>
  <c r="J247" i="1"/>
  <c r="J246" i="1"/>
  <c r="G246" i="1" s="1"/>
  <c r="J245" i="1"/>
  <c r="G245" i="1"/>
  <c r="F245" i="1"/>
  <c r="E245" i="1"/>
  <c r="D245" i="1"/>
  <c r="C245" i="1"/>
  <c r="A245" i="1"/>
  <c r="J244" i="1"/>
  <c r="G244" i="1" s="1"/>
  <c r="J243" i="1"/>
  <c r="G243" i="1" s="1"/>
  <c r="F243" i="1"/>
  <c r="J242" i="1"/>
  <c r="E242" i="1" s="1"/>
  <c r="F242" i="1"/>
  <c r="J241" i="1"/>
  <c r="F241" i="1" s="1"/>
  <c r="J240" i="1"/>
  <c r="E240" i="1" s="1"/>
  <c r="A240" i="1"/>
  <c r="J239" i="1"/>
  <c r="J238" i="1"/>
  <c r="F238" i="1" s="1"/>
  <c r="D238" i="1"/>
  <c r="C238" i="1"/>
  <c r="A238" i="1"/>
  <c r="J237" i="1"/>
  <c r="A237" i="1"/>
  <c r="J236" i="1"/>
  <c r="D236" i="1" s="1"/>
  <c r="G236" i="1"/>
  <c r="F236" i="1"/>
  <c r="E236" i="1"/>
  <c r="C236" i="1"/>
  <c r="A236" i="1"/>
  <c r="J235" i="1"/>
  <c r="C235" i="1" s="1"/>
  <c r="F235" i="1"/>
  <c r="E235" i="1"/>
  <c r="D235" i="1"/>
  <c r="J234" i="1"/>
  <c r="C234" i="1" s="1"/>
  <c r="G234" i="1"/>
  <c r="F234" i="1"/>
  <c r="E234" i="1"/>
  <c r="D234" i="1"/>
  <c r="J233" i="1"/>
  <c r="G233" i="1" s="1"/>
  <c r="F233" i="1"/>
  <c r="J232" i="1"/>
  <c r="G232" i="1" s="1"/>
  <c r="J231" i="1"/>
  <c r="F231" i="1" s="1"/>
  <c r="G231" i="1"/>
  <c r="E231" i="1"/>
  <c r="C231" i="1"/>
  <c r="J230" i="1"/>
  <c r="F230" i="1" s="1"/>
  <c r="J229" i="1"/>
  <c r="F229" i="1" s="1"/>
  <c r="E229" i="1"/>
  <c r="C229" i="1"/>
  <c r="J228" i="1"/>
  <c r="A228" i="1" s="1"/>
  <c r="E228" i="1"/>
  <c r="C228" i="1"/>
  <c r="J227" i="1"/>
  <c r="J226" i="1"/>
  <c r="A226" i="1" s="1"/>
  <c r="D226" i="1"/>
  <c r="J225" i="1"/>
  <c r="F225" i="1"/>
  <c r="J224" i="1"/>
  <c r="D224" i="1" s="1"/>
  <c r="J223" i="1"/>
  <c r="F223" i="1" s="1"/>
  <c r="J222" i="1"/>
  <c r="E222" i="1" s="1"/>
  <c r="G222" i="1"/>
  <c r="F222" i="1"/>
  <c r="D222" i="1"/>
  <c r="C222" i="1"/>
  <c r="A222" i="1"/>
  <c r="J221" i="1"/>
  <c r="D221" i="1" s="1"/>
  <c r="G221" i="1"/>
  <c r="F221" i="1"/>
  <c r="E221" i="1"/>
  <c r="C221" i="1"/>
  <c r="A221" i="1"/>
  <c r="J220" i="1"/>
  <c r="C220" i="1" s="1"/>
  <c r="G220" i="1"/>
  <c r="F220" i="1"/>
  <c r="A220" i="1"/>
  <c r="J219" i="1"/>
  <c r="G219" i="1" s="1"/>
  <c r="J218" i="1"/>
  <c r="C218" i="1" s="1"/>
  <c r="D218" i="1"/>
  <c r="J217" i="1"/>
  <c r="G217" i="1" s="1"/>
  <c r="J216" i="1"/>
  <c r="G216" i="1" s="1"/>
  <c r="E216" i="1"/>
  <c r="D216" i="1"/>
  <c r="J215" i="1"/>
  <c r="F215" i="1" s="1"/>
  <c r="A215" i="1"/>
  <c r="J214" i="1"/>
  <c r="G214" i="1" s="1"/>
  <c r="J213" i="1"/>
  <c r="G213" i="1" s="1"/>
  <c r="J212" i="1"/>
  <c r="F212" i="1"/>
  <c r="J211" i="1"/>
  <c r="F211" i="1"/>
  <c r="E211" i="1"/>
  <c r="C211" i="1"/>
  <c r="J210" i="1"/>
  <c r="E210" i="1" s="1"/>
  <c r="J209" i="1"/>
  <c r="F209" i="1"/>
  <c r="C209" i="1"/>
  <c r="J208" i="1"/>
  <c r="G208" i="1" s="1"/>
  <c r="F208" i="1"/>
  <c r="E208" i="1"/>
  <c r="D208" i="1"/>
  <c r="C208" i="1"/>
  <c r="A208" i="1"/>
  <c r="J207" i="1"/>
  <c r="E207" i="1"/>
  <c r="J206" i="1"/>
  <c r="A206" i="1"/>
  <c r="J205" i="1"/>
  <c r="G205" i="1" s="1"/>
  <c r="J204" i="1"/>
  <c r="C204" i="1" s="1"/>
  <c r="G204" i="1"/>
  <c r="F204" i="1"/>
  <c r="J203" i="1"/>
  <c r="F203" i="1" s="1"/>
  <c r="E203" i="1"/>
  <c r="J202" i="1"/>
  <c r="J201" i="1"/>
  <c r="G201" i="1" s="1"/>
  <c r="E201" i="1"/>
  <c r="D201" i="1"/>
  <c r="C201" i="1"/>
  <c r="A201" i="1"/>
  <c r="J200" i="1"/>
  <c r="A200" i="1" s="1"/>
  <c r="G200" i="1"/>
  <c r="J199" i="1"/>
  <c r="G199" i="1" s="1"/>
  <c r="E199" i="1"/>
  <c r="C199" i="1"/>
  <c r="J198" i="1"/>
  <c r="G198" i="1" s="1"/>
  <c r="J197" i="1"/>
  <c r="G197" i="1" s="1"/>
  <c r="F197" i="1"/>
  <c r="E197" i="1"/>
  <c r="J196" i="1"/>
  <c r="A196" i="1" s="1"/>
  <c r="E196" i="1"/>
  <c r="C196" i="1"/>
  <c r="J195" i="1"/>
  <c r="E195" i="1" s="1"/>
  <c r="C195" i="1"/>
  <c r="J194" i="1"/>
  <c r="C194" i="1" s="1"/>
  <c r="F194" i="1"/>
  <c r="E194" i="1"/>
  <c r="D194" i="1"/>
  <c r="J193" i="1"/>
  <c r="G193" i="1" s="1"/>
  <c r="F193" i="1"/>
  <c r="C193" i="1"/>
  <c r="A193" i="1"/>
  <c r="J192" i="1"/>
  <c r="G192" i="1" s="1"/>
  <c r="F192" i="1"/>
  <c r="J191" i="1"/>
  <c r="G191" i="1" s="1"/>
  <c r="D191" i="1"/>
  <c r="J190" i="1"/>
  <c r="A190" i="1" s="1"/>
  <c r="F190" i="1"/>
  <c r="D190" i="1"/>
  <c r="C190" i="1"/>
  <c r="J189" i="1"/>
  <c r="G189" i="1" s="1"/>
  <c r="D189" i="1"/>
  <c r="A189" i="1"/>
  <c r="J188" i="1"/>
  <c r="G188" i="1" s="1"/>
  <c r="F188" i="1"/>
  <c r="E188" i="1"/>
  <c r="J187" i="1"/>
  <c r="A187" i="1" s="1"/>
  <c r="J186" i="1"/>
  <c r="G186" i="1" s="1"/>
  <c r="D186" i="1"/>
  <c r="C186" i="1"/>
  <c r="J185" i="1"/>
  <c r="J184" i="1"/>
  <c r="E184" i="1" s="1"/>
  <c r="G184" i="1"/>
  <c r="F184" i="1"/>
  <c r="D184" i="1"/>
  <c r="A184" i="1"/>
  <c r="J183" i="1"/>
  <c r="E183" i="1"/>
  <c r="D183" i="1"/>
  <c r="C183" i="1"/>
  <c r="A183" i="1"/>
  <c r="J182" i="1"/>
  <c r="G182" i="1" s="1"/>
  <c r="D182" i="1"/>
  <c r="J181" i="1"/>
  <c r="F181" i="1" s="1"/>
  <c r="G181" i="1"/>
  <c r="E181" i="1"/>
  <c r="C181" i="1"/>
  <c r="A181" i="1"/>
  <c r="J180" i="1"/>
  <c r="E180" i="1"/>
  <c r="J179" i="1"/>
  <c r="C179" i="1" s="1"/>
  <c r="A179" i="1"/>
  <c r="J178" i="1"/>
  <c r="A178" i="1" s="1"/>
  <c r="G178" i="1"/>
  <c r="F178" i="1"/>
  <c r="D178" i="1"/>
  <c r="J177" i="1"/>
  <c r="F177" i="1" s="1"/>
  <c r="G177" i="1"/>
  <c r="J176" i="1"/>
  <c r="J175" i="1"/>
  <c r="C175" i="1" s="1"/>
  <c r="E175" i="1"/>
  <c r="D175" i="1"/>
  <c r="A175" i="1"/>
  <c r="J174" i="1"/>
  <c r="C174" i="1" s="1"/>
  <c r="J173" i="1"/>
  <c r="G173" i="1" s="1"/>
  <c r="D173" i="1"/>
  <c r="C173" i="1"/>
  <c r="A173" i="1"/>
  <c r="J172" i="1"/>
  <c r="F172" i="1" s="1"/>
  <c r="G172" i="1"/>
  <c r="J171" i="1"/>
  <c r="E171" i="1" s="1"/>
  <c r="G171" i="1"/>
  <c r="F171" i="1"/>
  <c r="D171" i="1"/>
  <c r="C171" i="1"/>
  <c r="A171" i="1"/>
  <c r="J170" i="1"/>
  <c r="G170" i="1"/>
  <c r="E170" i="1"/>
  <c r="A170" i="1"/>
  <c r="J169" i="1"/>
  <c r="F169" i="1" s="1"/>
  <c r="D169" i="1"/>
  <c r="C169" i="1"/>
  <c r="A169" i="1"/>
  <c r="J168" i="1"/>
  <c r="G168" i="1" s="1"/>
  <c r="J167" i="1"/>
  <c r="G167" i="1" s="1"/>
  <c r="J166" i="1"/>
  <c r="E166" i="1" s="1"/>
  <c r="D166" i="1"/>
  <c r="C166" i="1"/>
  <c r="A166" i="1"/>
  <c r="J165" i="1"/>
  <c r="J164" i="1"/>
  <c r="J163" i="1"/>
  <c r="E163" i="1" s="1"/>
  <c r="J162" i="1"/>
  <c r="G162" i="1" s="1"/>
  <c r="F162" i="1"/>
  <c r="J161" i="1"/>
  <c r="G161" i="1"/>
  <c r="D161" i="1"/>
  <c r="C161" i="1"/>
  <c r="A161" i="1"/>
  <c r="J160" i="1"/>
  <c r="A160" i="1" s="1"/>
  <c r="C160" i="1"/>
  <c r="J159" i="1"/>
  <c r="J158" i="1"/>
  <c r="E158" i="1" s="1"/>
  <c r="D158" i="1"/>
  <c r="A158" i="1"/>
  <c r="J157" i="1"/>
  <c r="G157" i="1" s="1"/>
  <c r="J156" i="1"/>
  <c r="E156" i="1" s="1"/>
  <c r="G156" i="1"/>
  <c r="F156" i="1"/>
  <c r="D156" i="1"/>
  <c r="C156" i="1"/>
  <c r="A156" i="1"/>
  <c r="J155" i="1"/>
  <c r="F155" i="1" s="1"/>
  <c r="G155" i="1"/>
  <c r="J154" i="1"/>
  <c r="G154" i="1" s="1"/>
  <c r="A154" i="1"/>
  <c r="J153" i="1"/>
  <c r="G153" i="1" s="1"/>
  <c r="F153" i="1"/>
  <c r="E153" i="1"/>
  <c r="D153" i="1"/>
  <c r="C153" i="1"/>
  <c r="A153" i="1"/>
  <c r="J152" i="1"/>
  <c r="G152" i="1" s="1"/>
  <c r="J151" i="1"/>
  <c r="G151" i="1"/>
  <c r="D151" i="1"/>
  <c r="J150" i="1"/>
  <c r="E150" i="1" s="1"/>
  <c r="J149" i="1"/>
  <c r="G149" i="1" s="1"/>
  <c r="F149" i="1"/>
  <c r="D149" i="1"/>
  <c r="C149" i="1"/>
  <c r="J148" i="1"/>
  <c r="G148" i="1"/>
  <c r="F148" i="1"/>
  <c r="D148" i="1"/>
  <c r="C148" i="1"/>
  <c r="J147" i="1"/>
  <c r="J146" i="1"/>
  <c r="G146" i="1"/>
  <c r="F146" i="1"/>
  <c r="E146" i="1"/>
  <c r="D146" i="1"/>
  <c r="C146" i="1"/>
  <c r="A146" i="1"/>
  <c r="J145" i="1"/>
  <c r="F145" i="1" s="1"/>
  <c r="G145" i="1"/>
  <c r="J144" i="1"/>
  <c r="G144" i="1" s="1"/>
  <c r="D144" i="1"/>
  <c r="C144" i="1"/>
  <c r="J143" i="1"/>
  <c r="A143" i="1" s="1"/>
  <c r="G143" i="1"/>
  <c r="F143" i="1"/>
  <c r="E143" i="1"/>
  <c r="C143" i="1"/>
  <c r="J142" i="1"/>
  <c r="G142" i="1" s="1"/>
  <c r="D142" i="1"/>
  <c r="J141" i="1"/>
  <c r="C141" i="1" s="1"/>
  <c r="E141" i="1"/>
  <c r="J140" i="1"/>
  <c r="E140" i="1" s="1"/>
  <c r="G140" i="1"/>
  <c r="F140" i="1"/>
  <c r="D140" i="1"/>
  <c r="C140" i="1"/>
  <c r="A140" i="1"/>
  <c r="J139" i="1"/>
  <c r="E139" i="1"/>
  <c r="D139" i="1"/>
  <c r="J138" i="1"/>
  <c r="F138" i="1" s="1"/>
  <c r="G138" i="1"/>
  <c r="J137" i="1"/>
  <c r="E137" i="1" s="1"/>
  <c r="G137" i="1"/>
  <c r="F137" i="1"/>
  <c r="D137" i="1"/>
  <c r="C137" i="1"/>
  <c r="A137" i="1"/>
  <c r="J136" i="1"/>
  <c r="G136" i="1" s="1"/>
  <c r="E136" i="1"/>
  <c r="J135" i="1"/>
  <c r="D135" i="1" s="1"/>
  <c r="F135" i="1"/>
  <c r="C135" i="1"/>
  <c r="A135" i="1"/>
  <c r="J134" i="1"/>
  <c r="G134" i="1" s="1"/>
  <c r="F134" i="1"/>
  <c r="J133" i="1"/>
  <c r="G133" i="1"/>
  <c r="J132" i="1"/>
  <c r="F132" i="1" s="1"/>
  <c r="A132" i="1"/>
  <c r="J131" i="1"/>
  <c r="D131" i="1" s="1"/>
  <c r="A131" i="1"/>
  <c r="J130" i="1"/>
  <c r="E130" i="1" s="1"/>
  <c r="J129" i="1"/>
  <c r="E129" i="1"/>
  <c r="A129" i="1"/>
  <c r="J128" i="1"/>
  <c r="A128" i="1" s="1"/>
  <c r="J127" i="1"/>
  <c r="F127" i="1" s="1"/>
  <c r="J126" i="1"/>
  <c r="E126" i="1" s="1"/>
  <c r="C126" i="1"/>
  <c r="J125" i="1"/>
  <c r="F125" i="1" s="1"/>
  <c r="D125" i="1"/>
  <c r="A125" i="1"/>
  <c r="J124" i="1"/>
  <c r="D124" i="1" s="1"/>
  <c r="J123" i="1"/>
  <c r="F123" i="1"/>
  <c r="E123" i="1"/>
  <c r="D123" i="1"/>
  <c r="C123" i="1"/>
  <c r="J122" i="1"/>
  <c r="J121" i="1"/>
  <c r="G121" i="1" s="1"/>
  <c r="E121" i="1"/>
  <c r="D121" i="1"/>
  <c r="C121" i="1"/>
  <c r="A121" i="1"/>
  <c r="J120" i="1"/>
  <c r="G120" i="1" s="1"/>
  <c r="D120" i="1"/>
  <c r="C120" i="1"/>
  <c r="A120" i="1"/>
  <c r="J119" i="1"/>
  <c r="G119" i="1" s="1"/>
  <c r="E119" i="1"/>
  <c r="D119" i="1"/>
  <c r="J118" i="1"/>
  <c r="A118" i="1" s="1"/>
  <c r="F118" i="1"/>
  <c r="E118" i="1"/>
  <c r="D118" i="1"/>
  <c r="C118" i="1"/>
  <c r="J117" i="1"/>
  <c r="A117" i="1" s="1"/>
  <c r="F117" i="1"/>
  <c r="E117" i="1"/>
  <c r="D117" i="1"/>
  <c r="J116" i="1"/>
  <c r="J115" i="1"/>
  <c r="G115" i="1" s="1"/>
  <c r="C115" i="1"/>
  <c r="A115" i="1"/>
  <c r="J114" i="1"/>
  <c r="G114" i="1"/>
  <c r="F114" i="1"/>
  <c r="E114" i="1"/>
  <c r="J113" i="1"/>
  <c r="A113" i="1" s="1"/>
  <c r="F113" i="1"/>
  <c r="J112" i="1"/>
  <c r="C112" i="1" s="1"/>
  <c r="D112" i="1"/>
  <c r="J111" i="1"/>
  <c r="C111" i="1" s="1"/>
  <c r="G111" i="1"/>
  <c r="F111" i="1"/>
  <c r="E111" i="1"/>
  <c r="D111" i="1"/>
  <c r="A111" i="1"/>
  <c r="J110" i="1"/>
  <c r="G110" i="1" s="1"/>
  <c r="E110" i="1"/>
  <c r="D110" i="1"/>
  <c r="C110" i="1"/>
  <c r="A110" i="1"/>
  <c r="J109" i="1"/>
  <c r="G109" i="1" s="1"/>
  <c r="J108" i="1"/>
  <c r="G108" i="1" s="1"/>
  <c r="F108" i="1"/>
  <c r="C108" i="1"/>
  <c r="A108" i="1"/>
  <c r="J107" i="1"/>
  <c r="F107" i="1" s="1"/>
  <c r="J106" i="1"/>
  <c r="F106" i="1" s="1"/>
  <c r="G106" i="1"/>
  <c r="D106" i="1"/>
  <c r="C106" i="1"/>
  <c r="A106" i="1"/>
  <c r="J105" i="1"/>
  <c r="G105" i="1" s="1"/>
  <c r="J104" i="1"/>
  <c r="D104" i="1" s="1"/>
  <c r="F104" i="1"/>
  <c r="C104" i="1"/>
  <c r="A104" i="1"/>
  <c r="J103" i="1"/>
  <c r="G103" i="1" s="1"/>
  <c r="F103" i="1"/>
  <c r="E103" i="1"/>
  <c r="C103" i="1"/>
  <c r="A103" i="1"/>
  <c r="J102" i="1"/>
  <c r="G102" i="1"/>
  <c r="F102" i="1"/>
  <c r="D102" i="1"/>
  <c r="J101" i="1"/>
  <c r="G101" i="1" s="1"/>
  <c r="E101" i="1"/>
  <c r="D101" i="1"/>
  <c r="C101" i="1"/>
  <c r="A101" i="1"/>
  <c r="J100" i="1"/>
  <c r="F100" i="1" s="1"/>
  <c r="G100" i="1"/>
  <c r="J99" i="1"/>
  <c r="G99" i="1" s="1"/>
  <c r="J98" i="1"/>
  <c r="J97" i="1"/>
  <c r="C97" i="1" s="1"/>
  <c r="F97" i="1"/>
  <c r="E97" i="1"/>
  <c r="D97" i="1"/>
  <c r="A97" i="1"/>
  <c r="J96" i="1"/>
  <c r="G96" i="1" s="1"/>
  <c r="J95" i="1"/>
  <c r="G95" i="1" s="1"/>
  <c r="J94" i="1"/>
  <c r="D94" i="1" s="1"/>
  <c r="J93" i="1"/>
  <c r="F93" i="1" s="1"/>
  <c r="G93" i="1"/>
  <c r="J92" i="1"/>
  <c r="G92" i="1"/>
  <c r="F92" i="1"/>
  <c r="D92" i="1"/>
  <c r="C92" i="1"/>
  <c r="A92" i="1"/>
  <c r="J91" i="1"/>
  <c r="C91" i="1" s="1"/>
  <c r="E91" i="1" s="1"/>
  <c r="G91" i="1"/>
  <c r="F91" i="1"/>
  <c r="J90" i="1"/>
  <c r="A90" i="1" s="1"/>
  <c r="J89" i="1"/>
  <c r="A89" i="1"/>
  <c r="J88" i="1"/>
  <c r="G88" i="1" s="1"/>
  <c r="J87" i="1"/>
  <c r="G87" i="1" s="1"/>
  <c r="D87" i="1"/>
  <c r="C87" i="1"/>
  <c r="E87" i="1" s="1"/>
  <c r="A87" i="1"/>
  <c r="J86" i="1"/>
  <c r="F86" i="1" s="1"/>
  <c r="G86" i="1"/>
  <c r="D86" i="1"/>
  <c r="J85" i="1"/>
  <c r="J84" i="1"/>
  <c r="G84" i="1"/>
  <c r="F84" i="1"/>
  <c r="D84" i="1"/>
  <c r="C84" i="1"/>
  <c r="E84" i="1" s="1"/>
  <c r="A84" i="1"/>
  <c r="J83" i="1"/>
  <c r="A83" i="1" s="1"/>
  <c r="G83" i="1"/>
  <c r="J82" i="1"/>
  <c r="D82" i="1" s="1"/>
  <c r="F82" i="1"/>
  <c r="C82" i="1"/>
  <c r="E82" i="1" s="1"/>
  <c r="A82" i="1"/>
  <c r="J81" i="1"/>
  <c r="G81" i="1" s="1"/>
  <c r="D81" i="1"/>
  <c r="J80" i="1"/>
  <c r="G80" i="1" s="1"/>
  <c r="F80" i="1"/>
  <c r="J79" i="1"/>
  <c r="G79" i="1" s="1"/>
  <c r="J78" i="1"/>
  <c r="F78" i="1"/>
  <c r="C78" i="1"/>
  <c r="E78" i="1" s="1"/>
  <c r="J77" i="1"/>
  <c r="J76" i="1"/>
  <c r="G76" i="1" s="1"/>
  <c r="F76" i="1"/>
  <c r="D76" i="1"/>
  <c r="C76" i="1"/>
  <c r="E76" i="1" s="1"/>
  <c r="A76" i="1"/>
  <c r="J75" i="1"/>
  <c r="F75" i="1" s="1"/>
  <c r="G75" i="1"/>
  <c r="D75" i="1"/>
  <c r="A75" i="1"/>
  <c r="J74" i="1"/>
  <c r="G74" i="1" s="1"/>
  <c r="J73" i="1"/>
  <c r="G73" i="1" s="1"/>
  <c r="D73" i="1"/>
  <c r="C73" i="1"/>
  <c r="A73" i="1"/>
  <c r="J72" i="1"/>
  <c r="A72" i="1" s="1"/>
  <c r="D72" i="1"/>
  <c r="C72" i="1"/>
  <c r="J71" i="1"/>
  <c r="D71" i="1" s="1"/>
  <c r="G71" i="1"/>
  <c r="F71" i="1"/>
  <c r="C71" i="1"/>
  <c r="E71" i="1" s="1"/>
  <c r="A71" i="1"/>
  <c r="J70" i="1"/>
  <c r="J69" i="1"/>
  <c r="C69" i="1" s="1"/>
  <c r="J68" i="1"/>
  <c r="G68" i="1" s="1"/>
  <c r="A68" i="1"/>
  <c r="J67" i="1"/>
  <c r="G67" i="1" s="1"/>
  <c r="C67" i="1"/>
  <c r="A67" i="1"/>
  <c r="J66" i="1"/>
  <c r="D66" i="1" s="1"/>
  <c r="A66" i="1"/>
  <c r="J65" i="1"/>
  <c r="F65" i="1" s="1"/>
  <c r="G65" i="1"/>
  <c r="D65" i="1"/>
  <c r="A65" i="1"/>
  <c r="J64" i="1"/>
  <c r="F64" i="1" s="1"/>
  <c r="J63" i="1"/>
  <c r="G63" i="1"/>
  <c r="F63" i="1"/>
  <c r="D63" i="1"/>
  <c r="C63" i="1"/>
  <c r="E63" i="1" s="1"/>
  <c r="A63" i="1"/>
  <c r="J62" i="1"/>
  <c r="F62" i="1"/>
  <c r="D62" i="1"/>
  <c r="C62" i="1"/>
  <c r="E62" i="1" s="1"/>
  <c r="J61" i="1"/>
  <c r="J60" i="1"/>
  <c r="A60" i="1" s="1"/>
  <c r="F60" i="1"/>
  <c r="D60" i="1"/>
  <c r="C60" i="1"/>
  <c r="E60" i="1" s="1"/>
  <c r="J59" i="1"/>
  <c r="G59" i="1" s="1"/>
  <c r="J58" i="1"/>
  <c r="G58" i="1" s="1"/>
  <c r="J57" i="1"/>
  <c r="G57" i="1" s="1"/>
  <c r="C57" i="1"/>
  <c r="A57" i="1"/>
  <c r="J56" i="1"/>
  <c r="F56" i="1" s="1"/>
  <c r="J55" i="1"/>
  <c r="G55" i="1" s="1"/>
  <c r="J54" i="1"/>
  <c r="G54" i="1" s="1"/>
  <c r="J53" i="1"/>
  <c r="C53" i="1"/>
  <c r="A53" i="1"/>
  <c r="J52" i="1"/>
  <c r="J51" i="1"/>
  <c r="G51" i="1"/>
  <c r="F51" i="1"/>
  <c r="C51" i="1"/>
  <c r="A51" i="1"/>
  <c r="J50" i="1"/>
  <c r="G50" i="1"/>
  <c r="F50" i="1"/>
  <c r="D50" i="1"/>
  <c r="C50" i="1"/>
  <c r="E50" i="1" s="1"/>
  <c r="A50" i="1"/>
  <c r="J49" i="1"/>
  <c r="G49" i="1" s="1"/>
  <c r="J48" i="1"/>
  <c r="F48" i="1" s="1"/>
  <c r="G48" i="1"/>
  <c r="D48" i="1"/>
  <c r="C48" i="1"/>
  <c r="E48" i="1" s="1"/>
  <c r="A48" i="1"/>
  <c r="J47" i="1"/>
  <c r="G47" i="1" s="1"/>
  <c r="J46" i="1"/>
  <c r="G46" i="1" s="1"/>
  <c r="D46" i="1"/>
  <c r="J45" i="1"/>
  <c r="G45" i="1"/>
  <c r="F45" i="1"/>
  <c r="J44" i="1"/>
  <c r="J43" i="1"/>
  <c r="G43" i="1" s="1"/>
  <c r="D43" i="1"/>
  <c r="C43" i="1"/>
  <c r="E43" i="1" s="1"/>
  <c r="A43" i="1"/>
  <c r="J42" i="1"/>
  <c r="G42" i="1" s="1"/>
  <c r="D42" i="1"/>
  <c r="C42" i="1"/>
  <c r="E42" i="1" s="1"/>
  <c r="A42" i="1"/>
  <c r="J41" i="1"/>
  <c r="G41" i="1" s="1"/>
  <c r="D41" i="1"/>
  <c r="C41" i="1"/>
  <c r="E41" i="1" s="1"/>
  <c r="A41" i="1"/>
  <c r="J40" i="1"/>
  <c r="A40" i="1" s="1"/>
  <c r="G40" i="1"/>
  <c r="F40" i="1"/>
  <c r="J39" i="1"/>
  <c r="G39" i="1"/>
  <c r="F39" i="1"/>
  <c r="D39" i="1"/>
  <c r="C39" i="1"/>
  <c r="E39" i="1" s="1"/>
  <c r="A39" i="1"/>
  <c r="J38" i="1"/>
  <c r="A38" i="1" s="1"/>
  <c r="F38" i="1"/>
  <c r="J37" i="1"/>
  <c r="F37" i="1" s="1"/>
  <c r="J36" i="1"/>
  <c r="G36" i="1"/>
  <c r="F36" i="1"/>
  <c r="D36" i="1"/>
  <c r="C36" i="1"/>
  <c r="E36" i="1" s="1"/>
  <c r="A36" i="1"/>
  <c r="J35" i="1"/>
  <c r="G35" i="1" s="1"/>
  <c r="J34" i="1"/>
  <c r="F34" i="1" s="1"/>
  <c r="D34" i="1"/>
  <c r="A34" i="1"/>
  <c r="J33" i="1"/>
  <c r="F33" i="1" s="1"/>
  <c r="D33" i="1"/>
  <c r="J32" i="1"/>
  <c r="C32" i="1" s="1"/>
  <c r="E32" i="1" s="1"/>
  <c r="G32" i="1"/>
  <c r="J31" i="1"/>
  <c r="G31" i="1"/>
  <c r="F31" i="1"/>
  <c r="D31" i="1"/>
  <c r="C31" i="1"/>
  <c r="E31" i="1" s="1"/>
  <c r="A31" i="1"/>
  <c r="J30" i="1"/>
  <c r="D30" i="1" s="1"/>
  <c r="J29" i="1"/>
  <c r="G29" i="1" s="1"/>
  <c r="F29" i="1"/>
  <c r="D29" i="1"/>
  <c r="C29" i="1"/>
  <c r="E29" i="1" s="1"/>
  <c r="A29" i="1"/>
  <c r="J28" i="1"/>
  <c r="G28" i="1"/>
  <c r="F28" i="1"/>
  <c r="C28" i="1"/>
  <c r="A28" i="1"/>
  <c r="J27" i="1"/>
  <c r="G27" i="1" s="1"/>
  <c r="C27" i="1"/>
  <c r="A27" i="1"/>
  <c r="J26" i="1"/>
  <c r="G26" i="1" s="1"/>
  <c r="F26" i="1"/>
  <c r="A26" i="1"/>
  <c r="J25" i="1"/>
  <c r="F25" i="1" s="1"/>
  <c r="J24" i="1"/>
  <c r="F24" i="1" s="1"/>
  <c r="G24" i="1"/>
  <c r="D24" i="1"/>
  <c r="J23" i="1"/>
  <c r="D23" i="1"/>
  <c r="C23" i="1"/>
  <c r="J22" i="1"/>
  <c r="J21" i="1"/>
  <c r="D21" i="1" s="1"/>
  <c r="C21" i="1"/>
  <c r="E21" i="1" s="1"/>
  <c r="A21" i="1"/>
  <c r="J20" i="1"/>
  <c r="G20" i="1" s="1"/>
  <c r="J19" i="1"/>
  <c r="G19" i="1" s="1"/>
  <c r="D19" i="1"/>
  <c r="C19" i="1"/>
  <c r="E19" i="1" s="1"/>
  <c r="A19" i="1"/>
  <c r="J18" i="1"/>
  <c r="G18" i="1" s="1"/>
  <c r="A18" i="1"/>
  <c r="J17" i="1"/>
  <c r="A17" i="1" s="1"/>
  <c r="D17" i="1"/>
  <c r="C17" i="1"/>
  <c r="E17" i="1" s="1"/>
  <c r="J16" i="1"/>
  <c r="A16" i="1" s="1"/>
  <c r="F16" i="1"/>
  <c r="D16" i="1"/>
  <c r="J15" i="1"/>
  <c r="G15" i="1"/>
  <c r="F15" i="1"/>
  <c r="D15" i="1"/>
  <c r="C15" i="1"/>
  <c r="J14" i="1"/>
  <c r="G14" i="1"/>
  <c r="J13" i="1"/>
  <c r="G13" i="1" s="1"/>
  <c r="J12" i="1"/>
  <c r="G12" i="1"/>
  <c r="F12" i="1"/>
  <c r="D12" i="1"/>
  <c r="C12" i="1"/>
  <c r="A12" i="1"/>
  <c r="J11" i="1"/>
  <c r="D11" i="1" s="1"/>
  <c r="J10" i="1"/>
  <c r="E6" i="1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97" i="1" l="1"/>
  <c r="C397" i="1"/>
  <c r="G61" i="1"/>
  <c r="F61" i="1"/>
  <c r="C61" i="1"/>
  <c r="E61" i="1" s="1"/>
  <c r="A61" i="1"/>
  <c r="F81" i="1"/>
  <c r="F109" i="1"/>
  <c r="G117" i="1"/>
  <c r="E125" i="1"/>
  <c r="F166" i="1"/>
  <c r="F175" i="1"/>
  <c r="G194" i="1"/>
  <c r="A205" i="1"/>
  <c r="D225" i="1"/>
  <c r="E225" i="1"/>
  <c r="C225" i="1"/>
  <c r="A225" i="1"/>
  <c r="G235" i="1"/>
  <c r="D254" i="1"/>
  <c r="A265" i="1"/>
  <c r="D318" i="1"/>
  <c r="E365" i="1"/>
  <c r="A375" i="1"/>
  <c r="F385" i="1"/>
  <c r="C465" i="1"/>
  <c r="G465" i="1"/>
  <c r="F465" i="1"/>
  <c r="E465" i="1"/>
  <c r="D488" i="1"/>
  <c r="G500" i="1"/>
  <c r="E500" i="1"/>
  <c r="C500" i="1"/>
  <c r="A500" i="1"/>
  <c r="F500" i="1"/>
  <c r="D500" i="1"/>
  <c r="C673" i="1"/>
  <c r="G673" i="1"/>
  <c r="A673" i="1"/>
  <c r="G726" i="1"/>
  <c r="F726" i="1"/>
  <c r="C726" i="1"/>
  <c r="A726" i="1"/>
  <c r="F804" i="1"/>
  <c r="E804" i="1"/>
  <c r="A804" i="1"/>
  <c r="C847" i="1"/>
  <c r="G847" i="1"/>
  <c r="E847" i="1"/>
  <c r="A847" i="1"/>
  <c r="G1072" i="1"/>
  <c r="C1072" i="1"/>
  <c r="A1072" i="1"/>
  <c r="D1083" i="1"/>
  <c r="C1083" i="1"/>
  <c r="A1083" i="1"/>
  <c r="G1083" i="1"/>
  <c r="F1083" i="1"/>
  <c r="E1177" i="1"/>
  <c r="D1177" i="1"/>
  <c r="C1177" i="1"/>
  <c r="A1177" i="1"/>
  <c r="G1177" i="1"/>
  <c r="F1177" i="1"/>
  <c r="E1601" i="1"/>
  <c r="C1601" i="1"/>
  <c r="F1601" i="1"/>
  <c r="A1601" i="1"/>
  <c r="G125" i="1"/>
  <c r="G166" i="1"/>
  <c r="G175" i="1"/>
  <c r="G185" i="1"/>
  <c r="F185" i="1"/>
  <c r="E185" i="1"/>
  <c r="D185" i="1"/>
  <c r="A185" i="1"/>
  <c r="C185" i="1"/>
  <c r="F205" i="1"/>
  <c r="D215" i="1"/>
  <c r="G215" i="1"/>
  <c r="A285" i="1"/>
  <c r="E297" i="1"/>
  <c r="G297" i="1"/>
  <c r="F308" i="1"/>
  <c r="E318" i="1"/>
  <c r="G385" i="1"/>
  <c r="F488" i="1"/>
  <c r="A1152" i="1"/>
  <c r="E1289" i="1"/>
  <c r="G1289" i="1"/>
  <c r="D1289" i="1"/>
  <c r="C1289" i="1"/>
  <c r="C1520" i="1"/>
  <c r="A1520" i="1"/>
  <c r="E1520" i="1"/>
  <c r="G1520" i="1"/>
  <c r="F1520" i="1"/>
  <c r="D604" i="1"/>
  <c r="C604" i="1"/>
  <c r="G206" i="1"/>
  <c r="E206" i="1"/>
  <c r="D206" i="1"/>
  <c r="F255" i="1"/>
  <c r="G285" i="1"/>
  <c r="A319" i="1"/>
  <c r="D343" i="1"/>
  <c r="D376" i="1"/>
  <c r="F412" i="1"/>
  <c r="D450" i="1"/>
  <c r="C450" i="1"/>
  <c r="C480" i="1"/>
  <c r="G639" i="1"/>
  <c r="D639" i="1"/>
  <c r="C639" i="1"/>
  <c r="F676" i="1"/>
  <c r="G676" i="1"/>
  <c r="D676" i="1"/>
  <c r="G861" i="1"/>
  <c r="F861" i="1"/>
  <c r="E861" i="1"/>
  <c r="C861" i="1"/>
  <c r="D911" i="1"/>
  <c r="F911" i="1"/>
  <c r="E911" i="1"/>
  <c r="C911" i="1"/>
  <c r="A911" i="1"/>
  <c r="E970" i="1"/>
  <c r="D970" i="1"/>
  <c r="C970" i="1"/>
  <c r="D1553" i="1"/>
  <c r="G1553" i="1"/>
  <c r="F1553" i="1"/>
  <c r="E1553" i="1"/>
  <c r="G139" i="1"/>
  <c r="F139" i="1"/>
  <c r="D187" i="1"/>
  <c r="F196" i="1"/>
  <c r="G207" i="1"/>
  <c r="F207" i="1"/>
  <c r="D228" i="1"/>
  <c r="D248" i="1"/>
  <c r="F277" i="1"/>
  <c r="E277" i="1"/>
  <c r="D277" i="1"/>
  <c r="C277" i="1"/>
  <c r="A277" i="1"/>
  <c r="F376" i="1"/>
  <c r="E502" i="1"/>
  <c r="D502" i="1"/>
  <c r="F550" i="1"/>
  <c r="A550" i="1"/>
  <c r="F835" i="1"/>
  <c r="E835" i="1"/>
  <c r="G1237" i="1"/>
  <c r="F1237" i="1"/>
  <c r="E1237" i="1"/>
  <c r="D1237" i="1"/>
  <c r="C1237" i="1"/>
  <c r="A1237" i="1"/>
  <c r="G1263" i="1"/>
  <c r="F1263" i="1"/>
  <c r="E1263" i="1"/>
  <c r="F89" i="1"/>
  <c r="C89" i="1"/>
  <c r="E89" i="1" s="1"/>
  <c r="F1273" i="1"/>
  <c r="E1273" i="1"/>
  <c r="D1273" i="1"/>
  <c r="C1273" i="1"/>
  <c r="A1273" i="1"/>
  <c r="F795" i="1"/>
  <c r="D795" i="1"/>
  <c r="C795" i="1"/>
  <c r="F186" i="1"/>
  <c r="A186" i="1"/>
  <c r="F480" i="1"/>
  <c r="D480" i="1"/>
  <c r="A480" i="1"/>
  <c r="G525" i="1"/>
  <c r="C525" i="1"/>
  <c r="D641" i="1"/>
  <c r="G641" i="1"/>
  <c r="E641" i="1"/>
  <c r="G70" i="1"/>
  <c r="D70" i="1"/>
  <c r="F263" i="1"/>
  <c r="A263" i="1"/>
  <c r="G320" i="1"/>
  <c r="C320" i="1"/>
  <c r="E368" i="1"/>
  <c r="D368" i="1"/>
  <c r="C368" i="1"/>
  <c r="A368" i="1"/>
  <c r="G401" i="1"/>
  <c r="E401" i="1"/>
  <c r="D401" i="1"/>
  <c r="C401" i="1"/>
  <c r="A401" i="1"/>
  <c r="G594" i="1"/>
  <c r="F594" i="1"/>
  <c r="G630" i="1"/>
  <c r="C630" i="1"/>
  <c r="F717" i="1"/>
  <c r="E717" i="1"/>
  <c r="D717" i="1"/>
  <c r="E786" i="1"/>
  <c r="F923" i="1"/>
  <c r="E923" i="1"/>
  <c r="A1049" i="1"/>
  <c r="E1049" i="1"/>
  <c r="D1049" i="1"/>
  <c r="C1049" i="1"/>
  <c r="F352" i="1"/>
  <c r="A352" i="1"/>
  <c r="G1287" i="1"/>
  <c r="E1287" i="1"/>
  <c r="F1287" i="1"/>
  <c r="A1287" i="1"/>
  <c r="F464" i="1"/>
  <c r="D464" i="1"/>
  <c r="A464" i="1"/>
  <c r="E464" i="1"/>
  <c r="C464" i="1"/>
  <c r="D1455" i="1"/>
  <c r="C1455" i="1"/>
  <c r="A1455" i="1"/>
  <c r="G1455" i="1"/>
  <c r="E1455" i="1"/>
  <c r="F1455" i="1"/>
  <c r="G1152" i="1"/>
  <c r="F1152" i="1"/>
  <c r="F286" i="1"/>
  <c r="E286" i="1"/>
  <c r="D286" i="1"/>
  <c r="G537" i="1"/>
  <c r="D537" i="1"/>
  <c r="C537" i="1"/>
  <c r="A537" i="1"/>
  <c r="E552" i="1"/>
  <c r="G552" i="1"/>
  <c r="C552" i="1"/>
  <c r="A552" i="1"/>
  <c r="F552" i="1"/>
  <c r="F663" i="1"/>
  <c r="E663" i="1"/>
  <c r="D663" i="1"/>
  <c r="C663" i="1"/>
  <c r="A663" i="1"/>
  <c r="C1251" i="1"/>
  <c r="A1251" i="1"/>
  <c r="A685" i="1"/>
  <c r="C685" i="1"/>
  <c r="D532" i="1"/>
  <c r="C532" i="1"/>
  <c r="A532" i="1"/>
  <c r="A374" i="1"/>
  <c r="F374" i="1"/>
  <c r="E374" i="1"/>
  <c r="D374" i="1"/>
  <c r="C374" i="1"/>
  <c r="F1259" i="1"/>
  <c r="E1259" i="1"/>
  <c r="C1259" i="1"/>
  <c r="G1259" i="1"/>
  <c r="D1259" i="1"/>
  <c r="A1259" i="1"/>
  <c r="C44" i="1"/>
  <c r="G44" i="1"/>
  <c r="D44" i="1"/>
  <c r="A44" i="1"/>
  <c r="E53" i="1"/>
  <c r="G129" i="1"/>
  <c r="C129" i="1"/>
  <c r="D300" i="1"/>
  <c r="E300" i="1"/>
  <c r="C300" i="1"/>
  <c r="A300" i="1"/>
  <c r="G387" i="1"/>
  <c r="E387" i="1"/>
  <c r="D743" i="1"/>
  <c r="C743" i="1"/>
  <c r="A743" i="1"/>
  <c r="E996" i="1"/>
  <c r="C996" i="1"/>
  <c r="A996" i="1"/>
  <c r="G996" i="1"/>
  <c r="F996" i="1"/>
  <c r="F1004" i="1"/>
  <c r="E1004" i="1"/>
  <c r="D1004" i="1"/>
  <c r="C1004" i="1"/>
  <c r="A1004" i="1"/>
  <c r="G1004" i="1"/>
  <c r="F627" i="1"/>
  <c r="G627" i="1"/>
  <c r="A627" i="1"/>
  <c r="F126" i="1"/>
  <c r="D126" i="1"/>
  <c r="G922" i="1"/>
  <c r="C922" i="1"/>
  <c r="F922" i="1"/>
  <c r="E922" i="1"/>
  <c r="F319" i="1"/>
  <c r="E319" i="1"/>
  <c r="D319" i="1"/>
  <c r="A119" i="1"/>
  <c r="F119" i="1"/>
  <c r="F865" i="1"/>
  <c r="G865" i="1"/>
  <c r="E865" i="1"/>
  <c r="A865" i="1"/>
  <c r="F218" i="1"/>
  <c r="A218" i="1"/>
  <c r="E28" i="1"/>
  <c r="E148" i="1"/>
  <c r="A148" i="1"/>
  <c r="D402" i="1"/>
  <c r="A402" i="1"/>
  <c r="F402" i="1"/>
  <c r="G643" i="1"/>
  <c r="D643" i="1"/>
  <c r="A317" i="1"/>
  <c r="G317" i="1"/>
  <c r="G1175" i="1"/>
  <c r="C1175" i="1"/>
  <c r="A1175" i="1"/>
  <c r="G560" i="1"/>
  <c r="E560" i="1"/>
  <c r="D560" i="1"/>
  <c r="A560" i="1"/>
  <c r="G637" i="1"/>
  <c r="D637" i="1"/>
  <c r="G715" i="1"/>
  <c r="F715" i="1"/>
  <c r="E715" i="1"/>
  <c r="C715" i="1"/>
  <c r="A715" i="1"/>
  <c r="G34" i="1"/>
  <c r="G247" i="1"/>
  <c r="E247" i="1"/>
  <c r="D247" i="1"/>
  <c r="C247" i="1"/>
  <c r="A247" i="1"/>
  <c r="G1457" i="1"/>
  <c r="A1457" i="1"/>
  <c r="E102" i="1"/>
  <c r="C102" i="1"/>
  <c r="A102" i="1"/>
  <c r="C219" i="1"/>
  <c r="F219" i="1"/>
  <c r="C18" i="1"/>
  <c r="E18" i="1" s="1"/>
  <c r="A45" i="1"/>
  <c r="D45" i="1"/>
  <c r="A55" i="1"/>
  <c r="A94" i="1"/>
  <c r="F170" i="1"/>
  <c r="D170" i="1"/>
  <c r="C170" i="1"/>
  <c r="F344" i="1"/>
  <c r="G344" i="1"/>
  <c r="G631" i="1"/>
  <c r="D631" i="1"/>
  <c r="C631" i="1"/>
  <c r="D18" i="1"/>
  <c r="A46" i="1"/>
  <c r="C55" i="1"/>
  <c r="C65" i="1"/>
  <c r="E65" i="1" s="1"/>
  <c r="C75" i="1"/>
  <c r="E75" i="1" s="1"/>
  <c r="C94" i="1"/>
  <c r="E94" i="1" s="1"/>
  <c r="A149" i="1"/>
  <c r="G158" i="1"/>
  <c r="C180" i="1"/>
  <c r="F180" i="1"/>
  <c r="D180" i="1"/>
  <c r="A180" i="1"/>
  <c r="E189" i="1"/>
  <c r="E220" i="1"/>
  <c r="C230" i="1"/>
  <c r="G249" i="1"/>
  <c r="D257" i="1"/>
  <c r="G268" i="1"/>
  <c r="F268" i="1"/>
  <c r="E268" i="1"/>
  <c r="D268" i="1"/>
  <c r="C268" i="1"/>
  <c r="A268" i="1"/>
  <c r="F288" i="1"/>
  <c r="C288" i="1"/>
  <c r="D311" i="1"/>
  <c r="G358" i="1"/>
  <c r="D358" i="1"/>
  <c r="A358" i="1"/>
  <c r="F441" i="1"/>
  <c r="G493" i="1"/>
  <c r="F493" i="1"/>
  <c r="E493" i="1"/>
  <c r="D493" i="1"/>
  <c r="C493" i="1"/>
  <c r="A493" i="1"/>
  <c r="G553" i="1"/>
  <c r="A553" i="1"/>
  <c r="D553" i="1"/>
  <c r="F564" i="1"/>
  <c r="E564" i="1"/>
  <c r="D564" i="1"/>
  <c r="C564" i="1"/>
  <c r="F774" i="1"/>
  <c r="E774" i="1"/>
  <c r="G823" i="1"/>
  <c r="D823" i="1"/>
  <c r="C823" i="1"/>
  <c r="A823" i="1"/>
  <c r="F1433" i="1"/>
  <c r="E1433" i="1"/>
  <c r="G1433" i="1"/>
  <c r="G533" i="1"/>
  <c r="F533" i="1"/>
  <c r="F365" i="1"/>
  <c r="D365" i="1"/>
  <c r="G176" i="1"/>
  <c r="D176" i="1"/>
  <c r="C176" i="1"/>
  <c r="G278" i="1"/>
  <c r="F278" i="1"/>
  <c r="G37" i="1"/>
  <c r="D37" i="1"/>
  <c r="C37" i="1"/>
  <c r="E37" i="1" s="1"/>
  <c r="A37" i="1"/>
  <c r="C46" i="1"/>
  <c r="D55" i="1"/>
  <c r="F189" i="1"/>
  <c r="F239" i="1"/>
  <c r="G239" i="1"/>
  <c r="E239" i="1"/>
  <c r="D239" i="1"/>
  <c r="C239" i="1"/>
  <c r="A239" i="1"/>
  <c r="D269" i="1"/>
  <c r="F301" i="1"/>
  <c r="C301" i="1"/>
  <c r="G333" i="1"/>
  <c r="F333" i="1"/>
  <c r="G431" i="1"/>
  <c r="F431" i="1"/>
  <c r="G456" i="1"/>
  <c r="A456" i="1"/>
  <c r="E456" i="1"/>
  <c r="D456" i="1"/>
  <c r="C644" i="1"/>
  <c r="F644" i="1"/>
  <c r="E644" i="1"/>
  <c r="D644" i="1"/>
  <c r="A644" i="1"/>
  <c r="F665" i="1"/>
  <c r="E665" i="1"/>
  <c r="D665" i="1"/>
  <c r="A665" i="1"/>
  <c r="C665" i="1"/>
  <c r="D761" i="1"/>
  <c r="F1038" i="1"/>
  <c r="E1038" i="1"/>
  <c r="D1038" i="1"/>
  <c r="C1038" i="1"/>
  <c r="A1038" i="1"/>
  <c r="G1111" i="1"/>
  <c r="A1111" i="1"/>
  <c r="E1111" i="1"/>
  <c r="D1111" i="1"/>
  <c r="C1111" i="1"/>
  <c r="F872" i="1"/>
  <c r="E872" i="1"/>
  <c r="G375" i="1"/>
  <c r="E375" i="1"/>
  <c r="D375" i="1"/>
  <c r="G16" i="1"/>
  <c r="C38" i="1"/>
  <c r="E38" i="1" s="1"/>
  <c r="F55" i="1"/>
  <c r="F94" i="1"/>
  <c r="A142" i="1"/>
  <c r="G257" i="1"/>
  <c r="E257" i="1"/>
  <c r="A257" i="1"/>
  <c r="G311" i="1"/>
  <c r="F311" i="1"/>
  <c r="A432" i="1"/>
  <c r="F494" i="1"/>
  <c r="C494" i="1"/>
  <c r="A494" i="1"/>
  <c r="E517" i="1"/>
  <c r="G517" i="1"/>
  <c r="A517" i="1"/>
  <c r="E539" i="1"/>
  <c r="D539" i="1"/>
  <c r="C539" i="1"/>
  <c r="A539" i="1"/>
  <c r="F621" i="1"/>
  <c r="D621" i="1"/>
  <c r="G656" i="1"/>
  <c r="F656" i="1"/>
  <c r="E656" i="1"/>
  <c r="D656" i="1"/>
  <c r="C656" i="1"/>
  <c r="A656" i="1"/>
  <c r="A707" i="1"/>
  <c r="E761" i="1"/>
  <c r="E853" i="1"/>
  <c r="G853" i="1"/>
  <c r="F853" i="1"/>
  <c r="C853" i="1"/>
  <c r="A853" i="1"/>
  <c r="F902" i="1"/>
  <c r="D902" i="1"/>
  <c r="E753" i="1"/>
  <c r="G753" i="1"/>
  <c r="F753" i="1"/>
  <c r="C753" i="1"/>
  <c r="C33" i="1"/>
  <c r="E33" i="1" s="1"/>
  <c r="G33" i="1"/>
  <c r="G1275" i="1"/>
  <c r="A1275" i="1"/>
  <c r="C1275" i="1"/>
  <c r="D688" i="1"/>
  <c r="A688" i="1"/>
  <c r="F688" i="1"/>
  <c r="E688" i="1"/>
  <c r="G147" i="1"/>
  <c r="F147" i="1"/>
  <c r="E147" i="1"/>
  <c r="D147" i="1"/>
  <c r="C147" i="1"/>
  <c r="A147" i="1"/>
  <c r="C237" i="1"/>
  <c r="E237" i="1"/>
  <c r="D38" i="1"/>
  <c r="G85" i="1"/>
  <c r="F85" i="1"/>
  <c r="D85" i="1"/>
  <c r="C85" i="1"/>
  <c r="E85" i="1" s="1"/>
  <c r="A85" i="1"/>
  <c r="G94" i="1"/>
  <c r="E104" i="1"/>
  <c r="C113" i="1"/>
  <c r="C142" i="1"/>
  <c r="E149" i="1"/>
  <c r="D181" i="1"/>
  <c r="A270" i="1"/>
  <c r="A323" i="1"/>
  <c r="A346" i="1"/>
  <c r="G346" i="1"/>
  <c r="E346" i="1"/>
  <c r="E361" i="1"/>
  <c r="A379" i="1"/>
  <c r="F379" i="1"/>
  <c r="C379" i="1"/>
  <c r="D390" i="1"/>
  <c r="F390" i="1"/>
  <c r="A390" i="1"/>
  <c r="F403" i="1"/>
  <c r="C432" i="1"/>
  <c r="A518" i="1"/>
  <c r="C707" i="1"/>
  <c r="D825" i="1"/>
  <c r="G1216" i="1"/>
  <c r="D1216" i="1"/>
  <c r="F312" i="1"/>
  <c r="G312" i="1"/>
  <c r="A391" i="1"/>
  <c r="D391" i="1"/>
  <c r="D496" i="1"/>
  <c r="F761" i="1"/>
  <c r="C761" i="1"/>
  <c r="A761" i="1"/>
  <c r="G1198" i="1"/>
  <c r="F1198" i="1"/>
  <c r="D1198" i="1"/>
  <c r="C1198" i="1"/>
  <c r="E1198" i="1"/>
  <c r="A1198" i="1"/>
  <c r="E283" i="1"/>
  <c r="D283" i="1"/>
  <c r="C283" i="1"/>
  <c r="A283" i="1"/>
  <c r="A47" i="1"/>
  <c r="F11" i="1"/>
  <c r="G38" i="1"/>
  <c r="C47" i="1"/>
  <c r="A56" i="1"/>
  <c r="F66" i="1"/>
  <c r="F95" i="1"/>
  <c r="G113" i="1"/>
  <c r="A134" i="1"/>
  <c r="E142" i="1"/>
  <c r="F160" i="1"/>
  <c r="E160" i="1"/>
  <c r="D160" i="1"/>
  <c r="C242" i="1"/>
  <c r="F291" i="1"/>
  <c r="E291" i="1"/>
  <c r="D291" i="1"/>
  <c r="C291" i="1"/>
  <c r="A291" i="1"/>
  <c r="E303" i="1"/>
  <c r="C313" i="1"/>
  <c r="D313" i="1"/>
  <c r="A362" i="1"/>
  <c r="G459" i="1"/>
  <c r="F459" i="1"/>
  <c r="E459" i="1"/>
  <c r="D459" i="1"/>
  <c r="C459" i="1"/>
  <c r="A459" i="1"/>
  <c r="E496" i="1"/>
  <c r="D518" i="1"/>
  <c r="G622" i="1"/>
  <c r="F622" i="1"/>
  <c r="E622" i="1"/>
  <c r="A813" i="1"/>
  <c r="D1359" i="1"/>
  <c r="C1359" i="1"/>
  <c r="A1359" i="1"/>
  <c r="G1359" i="1"/>
  <c r="E1359" i="1"/>
  <c r="G226" i="1"/>
  <c r="E226" i="1"/>
  <c r="G218" i="1"/>
  <c r="G30" i="1"/>
  <c r="F30" i="1"/>
  <c r="C30" i="1"/>
  <c r="E30" i="1" s="1"/>
  <c r="A30" i="1"/>
  <c r="D47" i="1"/>
  <c r="C56" i="1"/>
  <c r="E56" i="1" s="1"/>
  <c r="G66" i="1"/>
  <c r="A105" i="1"/>
  <c r="F142" i="1"/>
  <c r="D242" i="1"/>
  <c r="A251" i="1"/>
  <c r="G270" i="1"/>
  <c r="C270" i="1"/>
  <c r="A281" i="1"/>
  <c r="C292" i="1"/>
  <c r="D362" i="1"/>
  <c r="F432" i="1"/>
  <c r="E432" i="1"/>
  <c r="G471" i="1"/>
  <c r="E471" i="1"/>
  <c r="C471" i="1"/>
  <c r="A471" i="1"/>
  <c r="F496" i="1"/>
  <c r="A541" i="1"/>
  <c r="D577" i="1"/>
  <c r="F707" i="1"/>
  <c r="E707" i="1"/>
  <c r="F733" i="1"/>
  <c r="D813" i="1"/>
  <c r="E893" i="1"/>
  <c r="D893" i="1"/>
  <c r="C893" i="1"/>
  <c r="A893" i="1"/>
  <c r="A1040" i="1"/>
  <c r="A1360" i="1"/>
  <c r="A86" i="1"/>
  <c r="C86" i="1"/>
  <c r="E86" i="1" s="1"/>
  <c r="F150" i="1"/>
  <c r="G211" i="1"/>
  <c r="A211" i="1"/>
  <c r="E271" i="1"/>
  <c r="E292" i="1"/>
  <c r="C433" i="1"/>
  <c r="A461" i="1"/>
  <c r="F518" i="1"/>
  <c r="E518" i="1"/>
  <c r="F588" i="1"/>
  <c r="G708" i="1"/>
  <c r="F708" i="1"/>
  <c r="A748" i="1"/>
  <c r="D748" i="1"/>
  <c r="E748" i="1"/>
  <c r="C763" i="1"/>
  <c r="G763" i="1"/>
  <c r="F763" i="1"/>
  <c r="E763" i="1"/>
  <c r="D763" i="1"/>
  <c r="A763" i="1"/>
  <c r="D777" i="1"/>
  <c r="G777" i="1"/>
  <c r="F777" i="1"/>
  <c r="E777" i="1"/>
  <c r="A777" i="1"/>
  <c r="C777" i="1"/>
  <c r="F813" i="1"/>
  <c r="E937" i="1"/>
  <c r="F937" i="1"/>
  <c r="C937" i="1"/>
  <c r="A937" i="1"/>
  <c r="A602" i="1"/>
  <c r="D602" i="1"/>
  <c r="C602" i="1"/>
  <c r="E733" i="1"/>
  <c r="D733" i="1"/>
  <c r="G987" i="1"/>
  <c r="E987" i="1"/>
  <c r="C987" i="1"/>
  <c r="A987" i="1"/>
  <c r="G1040" i="1"/>
  <c r="C1040" i="1"/>
  <c r="F1040" i="1"/>
  <c r="E1040" i="1"/>
  <c r="C1360" i="1"/>
  <c r="G1360" i="1"/>
  <c r="F1360" i="1"/>
  <c r="F52" i="1"/>
  <c r="G52" i="1"/>
  <c r="A52" i="1"/>
  <c r="G10" i="1"/>
  <c r="A10" i="1"/>
  <c r="G749" i="1"/>
  <c r="F749" i="1"/>
  <c r="E749" i="1"/>
  <c r="D749" i="1"/>
  <c r="A749" i="1"/>
  <c r="G242" i="1"/>
  <c r="A242" i="1"/>
  <c r="C362" i="1"/>
  <c r="E362" i="1"/>
  <c r="D530" i="1"/>
  <c r="A530" i="1"/>
  <c r="F530" i="1"/>
  <c r="E530" i="1"/>
  <c r="C530" i="1"/>
  <c r="A765" i="1"/>
  <c r="G765" i="1"/>
  <c r="D765" i="1"/>
  <c r="E814" i="1"/>
  <c r="D814" i="1"/>
  <c r="A814" i="1"/>
  <c r="C1025" i="1"/>
  <c r="F1025" i="1"/>
  <c r="E1025" i="1"/>
  <c r="D1025" i="1"/>
  <c r="A1025" i="1"/>
  <c r="G1025" i="1"/>
  <c r="C52" i="1"/>
  <c r="G82" i="1"/>
  <c r="F110" i="1"/>
  <c r="G304" i="1"/>
  <c r="D304" i="1"/>
  <c r="C304" i="1"/>
  <c r="G405" i="1"/>
  <c r="F405" i="1"/>
  <c r="F461" i="1"/>
  <c r="E461" i="1"/>
  <c r="D461" i="1"/>
  <c r="F497" i="1"/>
  <c r="G497" i="1"/>
  <c r="E497" i="1"/>
  <c r="D497" i="1"/>
  <c r="C497" i="1"/>
  <c r="G543" i="1"/>
  <c r="E543" i="1"/>
  <c r="G634" i="1"/>
  <c r="D634" i="1"/>
  <c r="C634" i="1"/>
  <c r="E634" i="1"/>
  <c r="G735" i="1"/>
  <c r="D735" i="1"/>
  <c r="C735" i="1"/>
  <c r="A938" i="1"/>
  <c r="D938" i="1"/>
  <c r="G938" i="1"/>
  <c r="F938" i="1"/>
  <c r="D1090" i="1"/>
  <c r="G1090" i="1"/>
  <c r="E1090" i="1"/>
  <c r="G885" i="1"/>
  <c r="A885" i="1"/>
  <c r="E885" i="1"/>
  <c r="D885" i="1"/>
  <c r="G477" i="1"/>
  <c r="E477" i="1"/>
  <c r="C477" i="1"/>
  <c r="G616" i="1"/>
  <c r="A616" i="1"/>
  <c r="F298" i="1"/>
  <c r="A298" i="1"/>
  <c r="G1589" i="1"/>
  <c r="D1589" i="1"/>
  <c r="E1589" i="1"/>
  <c r="C1589" i="1"/>
  <c r="A1589" i="1"/>
  <c r="A343" i="1"/>
  <c r="G343" i="1"/>
  <c r="G577" i="1"/>
  <c r="E577" i="1"/>
  <c r="G22" i="1"/>
  <c r="C22" i="1"/>
  <c r="E22" i="1" s="1"/>
  <c r="A22" i="1"/>
  <c r="F151" i="1"/>
  <c r="C151" i="1"/>
  <c r="A151" i="1"/>
  <c r="C213" i="1"/>
  <c r="C395" i="1"/>
  <c r="E578" i="1"/>
  <c r="C578" i="1"/>
  <c r="F578" i="1"/>
  <c r="D578" i="1"/>
  <c r="G611" i="1"/>
  <c r="D649" i="1"/>
  <c r="A14" i="1"/>
  <c r="D14" i="1"/>
  <c r="G479" i="1"/>
  <c r="F479" i="1"/>
  <c r="E479" i="1"/>
  <c r="D479" i="1"/>
  <c r="F228" i="1"/>
  <c r="F105" i="1"/>
  <c r="C105" i="1"/>
  <c r="C251" i="1"/>
  <c r="G251" i="1"/>
  <c r="F556" i="1"/>
  <c r="E556" i="1"/>
  <c r="G77" i="1"/>
  <c r="D77" i="1"/>
  <c r="C77" i="1"/>
  <c r="E77" i="1" s="1"/>
  <c r="A77" i="1"/>
  <c r="G212" i="1"/>
  <c r="E212" i="1"/>
  <c r="E161" i="1"/>
  <c r="F161" i="1"/>
  <c r="A213" i="1"/>
  <c r="A58" i="1"/>
  <c r="D78" i="1"/>
  <c r="A78" i="1"/>
  <c r="F87" i="1"/>
  <c r="A174" i="1"/>
  <c r="G203" i="1"/>
  <c r="D203" i="1"/>
  <c r="D213" i="1"/>
  <c r="C244" i="1"/>
  <c r="F262" i="1"/>
  <c r="C262" i="1"/>
  <c r="A262" i="1"/>
  <c r="C317" i="1"/>
  <c r="D395" i="1"/>
  <c r="A509" i="1"/>
  <c r="G590" i="1"/>
  <c r="F590" i="1"/>
  <c r="E590" i="1"/>
  <c r="C590" i="1"/>
  <c r="A590" i="1"/>
  <c r="F659" i="1"/>
  <c r="E659" i="1"/>
  <c r="D659" i="1"/>
  <c r="A659" i="1"/>
  <c r="C659" i="1"/>
  <c r="G940" i="1"/>
  <c r="A940" i="1"/>
  <c r="E940" i="1"/>
  <c r="D940" i="1"/>
  <c r="C940" i="1"/>
  <c r="D967" i="1"/>
  <c r="G967" i="1"/>
  <c r="F967" i="1"/>
  <c r="E967" i="1"/>
  <c r="D1202" i="1"/>
  <c r="A1202" i="1"/>
  <c r="G1202" i="1"/>
  <c r="F1202" i="1"/>
  <c r="G409" i="1"/>
  <c r="D409" i="1"/>
  <c r="A409" i="1"/>
  <c r="C409" i="1"/>
  <c r="G1084" i="1"/>
  <c r="C1084" i="1"/>
  <c r="G265" i="1"/>
  <c r="F265" i="1"/>
  <c r="E265" i="1"/>
  <c r="A1060" i="1"/>
  <c r="D1060" i="1"/>
  <c r="C1060" i="1"/>
  <c r="G1060" i="1"/>
  <c r="E1060" i="1"/>
  <c r="G122" i="1"/>
  <c r="D122" i="1"/>
  <c r="C122" i="1"/>
  <c r="A122" i="1"/>
  <c r="C496" i="1"/>
  <c r="A496" i="1"/>
  <c r="G202" i="1"/>
  <c r="F202" i="1"/>
  <c r="F281" i="1"/>
  <c r="D281" i="1"/>
  <c r="C98" i="1"/>
  <c r="A98" i="1"/>
  <c r="G123" i="1"/>
  <c r="A123" i="1"/>
  <c r="D174" i="1"/>
  <c r="A204" i="1"/>
  <c r="E213" i="1"/>
  <c r="D244" i="1"/>
  <c r="C263" i="1"/>
  <c r="D317" i="1"/>
  <c r="A337" i="1"/>
  <c r="G337" i="1"/>
  <c r="C352" i="1"/>
  <c r="F372" i="1"/>
  <c r="D372" i="1"/>
  <c r="E395" i="1"/>
  <c r="F509" i="1"/>
  <c r="G591" i="1"/>
  <c r="F591" i="1"/>
  <c r="D591" i="1"/>
  <c r="C591" i="1"/>
  <c r="A591" i="1"/>
  <c r="D685" i="1"/>
  <c r="D725" i="1"/>
  <c r="E737" i="1"/>
  <c r="F752" i="1"/>
  <c r="A1016" i="1"/>
  <c r="C1016" i="1"/>
  <c r="E1016" i="1"/>
  <c r="D1016" i="1"/>
  <c r="D1175" i="1"/>
  <c r="D327" i="1"/>
  <c r="C327" i="1"/>
  <c r="F1071" i="1"/>
  <c r="C1071" i="1"/>
  <c r="E1071" i="1"/>
  <c r="G1071" i="1"/>
  <c r="D1071" i="1"/>
  <c r="A1071" i="1"/>
  <c r="E15" i="1"/>
  <c r="G62" i="1"/>
  <c r="A62" i="1"/>
  <c r="C426" i="1"/>
  <c r="D426" i="1"/>
  <c r="E27" i="1"/>
  <c r="F27" i="1"/>
  <c r="G56" i="1"/>
  <c r="F541" i="1"/>
  <c r="G541" i="1"/>
  <c r="E541" i="1"/>
  <c r="D541" i="1"/>
  <c r="G23" i="1"/>
  <c r="A23" i="1"/>
  <c r="A32" i="1"/>
  <c r="C14" i="1"/>
  <c r="E14" i="1" s="1"/>
  <c r="A24" i="1"/>
  <c r="D32" i="1"/>
  <c r="C70" i="1"/>
  <c r="E70" i="1" s="1"/>
  <c r="A80" i="1"/>
  <c r="A88" i="1"/>
  <c r="C99" i="1"/>
  <c r="A116" i="1"/>
  <c r="E116" i="1"/>
  <c r="D116" i="1"/>
  <c r="C116" i="1"/>
  <c r="F124" i="1"/>
  <c r="F164" i="1"/>
  <c r="E164" i="1"/>
  <c r="D164" i="1"/>
  <c r="C164" i="1"/>
  <c r="A164" i="1"/>
  <c r="E174" i="1"/>
  <c r="G183" i="1"/>
  <c r="F183" i="1"/>
  <c r="D204" i="1"/>
  <c r="F213" i="1"/>
  <c r="A235" i="1"/>
  <c r="D263" i="1"/>
  <c r="G274" i="1"/>
  <c r="F283" i="1"/>
  <c r="E317" i="1"/>
  <c r="G326" i="1"/>
  <c r="C326" i="1"/>
  <c r="D352" i="1"/>
  <c r="D363" i="1"/>
  <c r="A363" i="1"/>
  <c r="F395" i="1"/>
  <c r="A424" i="1"/>
  <c r="F434" i="1"/>
  <c r="E434" i="1"/>
  <c r="E532" i="1"/>
  <c r="F685" i="1"/>
  <c r="E725" i="1"/>
  <c r="C885" i="1"/>
  <c r="A1091" i="1"/>
  <c r="G1091" i="1"/>
  <c r="F1091" i="1"/>
  <c r="E1175" i="1"/>
  <c r="C1287" i="1"/>
  <c r="E254" i="1"/>
  <c r="G254" i="1"/>
  <c r="G958" i="1"/>
  <c r="A958" i="1"/>
  <c r="E958" i="1"/>
  <c r="D958" i="1"/>
  <c r="C958" i="1"/>
  <c r="G118" i="1"/>
  <c r="F14" i="1"/>
  <c r="C24" i="1"/>
  <c r="E24" i="1" s="1"/>
  <c r="F32" i="1"/>
  <c r="F70" i="1"/>
  <c r="D80" i="1"/>
  <c r="F88" i="1"/>
  <c r="D99" i="1"/>
  <c r="C117" i="1"/>
  <c r="G124" i="1"/>
  <c r="F165" i="1"/>
  <c r="E165" i="1"/>
  <c r="A194" i="1"/>
  <c r="E204" i="1"/>
  <c r="A244" i="1"/>
  <c r="F244" i="1"/>
  <c r="E244" i="1"/>
  <c r="E263" i="1"/>
  <c r="G283" i="1"/>
  <c r="F317" i="1"/>
  <c r="A327" i="1"/>
  <c r="G338" i="1"/>
  <c r="C338" i="1"/>
  <c r="E352" i="1"/>
  <c r="C384" i="1"/>
  <c r="G384" i="1"/>
  <c r="D384" i="1"/>
  <c r="C424" i="1"/>
  <c r="D509" i="1"/>
  <c r="E509" i="1"/>
  <c r="C509" i="1"/>
  <c r="F532" i="1"/>
  <c r="C560" i="1"/>
  <c r="G685" i="1"/>
  <c r="E752" i="1"/>
  <c r="D752" i="1"/>
  <c r="C752" i="1"/>
  <c r="A752" i="1"/>
  <c r="E792" i="1"/>
  <c r="F792" i="1"/>
  <c r="C792" i="1"/>
  <c r="A792" i="1"/>
  <c r="G845" i="1"/>
  <c r="E845" i="1"/>
  <c r="D845" i="1"/>
  <c r="C845" i="1"/>
  <c r="A845" i="1"/>
  <c r="F885" i="1"/>
  <c r="D1164" i="1"/>
  <c r="F1175" i="1"/>
  <c r="D1287" i="1"/>
  <c r="C411" i="1"/>
  <c r="G439" i="1"/>
  <c r="A568" i="1"/>
  <c r="G587" i="1"/>
  <c r="D587" i="1"/>
  <c r="A587" i="1"/>
  <c r="A612" i="1"/>
  <c r="C744" i="1"/>
  <c r="E773" i="1"/>
  <c r="D773" i="1"/>
  <c r="C773" i="1"/>
  <c r="A773" i="1"/>
  <c r="G803" i="1"/>
  <c r="A803" i="1"/>
  <c r="F824" i="1"/>
  <c r="G864" i="1"/>
  <c r="F864" i="1"/>
  <c r="E864" i="1"/>
  <c r="D864" i="1"/>
  <c r="C864" i="1"/>
  <c r="A864" i="1"/>
  <c r="E873" i="1"/>
  <c r="G928" i="1"/>
  <c r="G1027" i="1"/>
  <c r="D1101" i="1"/>
  <c r="A1101" i="1"/>
  <c r="C1143" i="1"/>
  <c r="A1215" i="1"/>
  <c r="E1215" i="1"/>
  <c r="C1215" i="1"/>
  <c r="G1431" i="1"/>
  <c r="D1431" i="1"/>
  <c r="F1431" i="1"/>
  <c r="E1431" i="1"/>
  <c r="C612" i="1"/>
  <c r="C651" i="1"/>
  <c r="A697" i="1"/>
  <c r="C697" i="1"/>
  <c r="A895" i="1"/>
  <c r="F959" i="1"/>
  <c r="A959" i="1"/>
  <c r="G959" i="1"/>
  <c r="D1039" i="1"/>
  <c r="A1039" i="1"/>
  <c r="C1102" i="1"/>
  <c r="F1134" i="1"/>
  <c r="E1134" i="1"/>
  <c r="D1134" i="1"/>
  <c r="C1134" i="1"/>
  <c r="A1134" i="1"/>
  <c r="D1143" i="1"/>
  <c r="F1165" i="1"/>
  <c r="E1165" i="1"/>
  <c r="A1165" i="1"/>
  <c r="F1227" i="1"/>
  <c r="E1227" i="1"/>
  <c r="C1227" i="1"/>
  <c r="F568" i="1"/>
  <c r="G568" i="1"/>
  <c r="C640" i="1"/>
  <c r="D698" i="1"/>
  <c r="A718" i="1"/>
  <c r="D775" i="1"/>
  <c r="C905" i="1"/>
  <c r="G913" i="1"/>
  <c r="E913" i="1"/>
  <c r="C913" i="1"/>
  <c r="A913" i="1"/>
  <c r="A998" i="1"/>
  <c r="D1018" i="1"/>
  <c r="C1018" i="1"/>
  <c r="D1029" i="1"/>
  <c r="C1076" i="1"/>
  <c r="F1124" i="1"/>
  <c r="D1124" i="1"/>
  <c r="E1124" i="1"/>
  <c r="C1124" i="1"/>
  <c r="A1124" i="1"/>
  <c r="E1135" i="1"/>
  <c r="A1264" i="1"/>
  <c r="E1942" i="1"/>
  <c r="G1942" i="1"/>
  <c r="D1942" i="1"/>
  <c r="C1942" i="1"/>
  <c r="A1942" i="1"/>
  <c r="F1942" i="1"/>
  <c r="G651" i="1"/>
  <c r="A651" i="1"/>
  <c r="C718" i="1"/>
  <c r="G895" i="1"/>
  <c r="C895" i="1"/>
  <c r="D905" i="1"/>
  <c r="G953" i="1"/>
  <c r="E953" i="1"/>
  <c r="G978" i="1"/>
  <c r="A978" i="1"/>
  <c r="D1076" i="1"/>
  <c r="F1102" i="1"/>
  <c r="A1102" i="1"/>
  <c r="F1135" i="1"/>
  <c r="C1144" i="1"/>
  <c r="F1153" i="1"/>
  <c r="E1153" i="1"/>
  <c r="G1242" i="1"/>
  <c r="D1242" i="1"/>
  <c r="A1242" i="1"/>
  <c r="C1264" i="1"/>
  <c r="G998" i="1"/>
  <c r="C998" i="1"/>
  <c r="G1030" i="1"/>
  <c r="E1030" i="1"/>
  <c r="E511" i="1"/>
  <c r="G569" i="1"/>
  <c r="A569" i="1"/>
  <c r="G614" i="1"/>
  <c r="D709" i="1"/>
  <c r="F718" i="1"/>
  <c r="C766" i="1"/>
  <c r="D848" i="1"/>
  <c r="A971" i="1"/>
  <c r="A980" i="1"/>
  <c r="C988" i="1"/>
  <c r="G1085" i="1"/>
  <c r="G1144" i="1"/>
  <c r="G1264" i="1"/>
  <c r="G1335" i="1"/>
  <c r="A1335" i="1"/>
  <c r="G1362" i="1"/>
  <c r="E1362" i="1"/>
  <c r="F1362" i="1"/>
  <c r="D1362" i="1"/>
  <c r="C1362" i="1"/>
  <c r="C1782" i="1"/>
  <c r="A1782" i="1"/>
  <c r="G535" i="1"/>
  <c r="F535" i="1"/>
  <c r="G678" i="1"/>
  <c r="F678" i="1"/>
  <c r="E678" i="1"/>
  <c r="G931" i="1"/>
  <c r="A931" i="1"/>
  <c r="G1052" i="1"/>
  <c r="C1052" i="1"/>
  <c r="F1192" i="1"/>
  <c r="D1192" i="1"/>
  <c r="A529" i="1"/>
  <c r="E755" i="1"/>
  <c r="D755" i="1"/>
  <c r="C755" i="1"/>
  <c r="A755" i="1"/>
  <c r="A876" i="1"/>
  <c r="E876" i="1"/>
  <c r="C876" i="1"/>
  <c r="C980" i="1"/>
  <c r="E144" i="1"/>
  <c r="E198" i="1"/>
  <c r="E214" i="1"/>
  <c r="G229" i="1"/>
  <c r="G250" i="1"/>
  <c r="E280" i="1"/>
  <c r="G336" i="1"/>
  <c r="E364" i="1"/>
  <c r="F377" i="1"/>
  <c r="D386" i="1"/>
  <c r="C404" i="1"/>
  <c r="C416" i="1"/>
  <c r="G452" i="1"/>
  <c r="A473" i="1"/>
  <c r="A482" i="1"/>
  <c r="E490" i="1"/>
  <c r="C521" i="1"/>
  <c r="C529" i="1"/>
  <c r="C536" i="1"/>
  <c r="C555" i="1"/>
  <c r="G563" i="1"/>
  <c r="A571" i="1"/>
  <c r="C580" i="1"/>
  <c r="A679" i="1"/>
  <c r="A691" i="1"/>
  <c r="D710" i="1"/>
  <c r="A756" i="1"/>
  <c r="E766" i="1"/>
  <c r="A849" i="1"/>
  <c r="A857" i="1"/>
  <c r="A877" i="1"/>
  <c r="G896" i="1"/>
  <c r="D971" i="1"/>
  <c r="D980" i="1"/>
  <c r="A989" i="1"/>
  <c r="C1032" i="1"/>
  <c r="C1065" i="1"/>
  <c r="D1065" i="1"/>
  <c r="A1065" i="1"/>
  <c r="G1077" i="1"/>
  <c r="C1205" i="1"/>
  <c r="F1265" i="1"/>
  <c r="G1265" i="1"/>
  <c r="G1278" i="1"/>
  <c r="F1278" i="1"/>
  <c r="E1278" i="1"/>
  <c r="A1278" i="1"/>
  <c r="D1322" i="1"/>
  <c r="C1322" i="1"/>
  <c r="A1322" i="1"/>
  <c r="G1398" i="1"/>
  <c r="E1398" i="1"/>
  <c r="C1398" i="1"/>
  <c r="A1398" i="1"/>
  <c r="F1398" i="1"/>
  <c r="D404" i="1"/>
  <c r="C443" i="1"/>
  <c r="C473" i="1"/>
  <c r="C482" i="1"/>
  <c r="F490" i="1"/>
  <c r="C513" i="1"/>
  <c r="D521" i="1"/>
  <c r="C545" i="1"/>
  <c r="D668" i="1"/>
  <c r="C679" i="1"/>
  <c r="C691" i="1"/>
  <c r="D756" i="1"/>
  <c r="C839" i="1"/>
  <c r="C857" i="1"/>
  <c r="C877" i="1"/>
  <c r="G961" i="1"/>
  <c r="A961" i="1"/>
  <c r="D961" i="1"/>
  <c r="C961" i="1"/>
  <c r="E971" i="1"/>
  <c r="C989" i="1"/>
  <c r="E1066" i="1"/>
  <c r="F1127" i="1"/>
  <c r="G1127" i="1"/>
  <c r="D1127" i="1"/>
  <c r="C1127" i="1"/>
  <c r="A1127" i="1"/>
  <c r="A1231" i="1"/>
  <c r="C1231" i="1"/>
  <c r="D1294" i="1"/>
  <c r="G1294" i="1"/>
  <c r="F1294" i="1"/>
  <c r="E1294" i="1"/>
  <c r="C1294" i="1"/>
  <c r="F980" i="1"/>
  <c r="G980" i="1"/>
  <c r="D1044" i="1"/>
  <c r="G1044" i="1"/>
  <c r="F1044" i="1"/>
  <c r="E1044" i="1"/>
  <c r="A1044" i="1"/>
  <c r="G1105" i="1"/>
  <c r="C1105" i="1"/>
  <c r="C1115" i="1"/>
  <c r="F1115" i="1"/>
  <c r="E1115" i="1"/>
  <c r="D1115" i="1"/>
  <c r="A1115" i="1"/>
  <c r="G1280" i="1"/>
  <c r="F1280" i="1"/>
  <c r="E1280" i="1"/>
  <c r="D1280" i="1"/>
  <c r="C1280" i="1"/>
  <c r="A1280" i="1"/>
  <c r="G529" i="1"/>
  <c r="F529" i="1"/>
  <c r="D536" i="1"/>
  <c r="E536" i="1"/>
  <c r="A536" i="1"/>
  <c r="A740" i="1"/>
  <c r="A778" i="1"/>
  <c r="C830" i="1"/>
  <c r="D1032" i="1"/>
  <c r="G1032" i="1"/>
  <c r="A1032" i="1"/>
  <c r="A1055" i="1"/>
  <c r="F1055" i="1"/>
  <c r="E1055" i="1"/>
  <c r="D1055" i="1"/>
  <c r="C1055" i="1"/>
  <c r="G1168" i="1"/>
  <c r="C1168" i="1"/>
  <c r="A1168" i="1"/>
  <c r="D1168" i="1"/>
  <c r="C1194" i="1"/>
  <c r="G1205" i="1"/>
  <c r="E1205" i="1"/>
  <c r="E1324" i="1"/>
  <c r="D1324" i="1"/>
  <c r="C1324" i="1"/>
  <c r="A1324" i="1"/>
  <c r="F1324" i="1"/>
  <c r="C1700" i="1"/>
  <c r="E1700" i="1"/>
  <c r="D1700" i="1"/>
  <c r="A1700" i="1"/>
  <c r="C184" i="1"/>
  <c r="A231" i="1"/>
  <c r="E347" i="1"/>
  <c r="C398" i="1"/>
  <c r="C418" i="1"/>
  <c r="A427" i="1"/>
  <c r="E435" i="1"/>
  <c r="A491" i="1"/>
  <c r="C498" i="1"/>
  <c r="E504" i="1"/>
  <c r="A546" i="1"/>
  <c r="F607" i="1"/>
  <c r="A626" i="1"/>
  <c r="C653" i="1"/>
  <c r="A653" i="1"/>
  <c r="F679" i="1"/>
  <c r="D702" i="1"/>
  <c r="C740" i="1"/>
  <c r="A757" i="1"/>
  <c r="C778" i="1"/>
  <c r="G798" i="1"/>
  <c r="D798" i="1"/>
  <c r="D830" i="1"/>
  <c r="C840" i="1"/>
  <c r="F857" i="1"/>
  <c r="F877" i="1"/>
  <c r="D933" i="1"/>
  <c r="D944" i="1"/>
  <c r="A956" i="1"/>
  <c r="F963" i="1"/>
  <c r="A972" i="1"/>
  <c r="G989" i="1"/>
  <c r="E1001" i="1"/>
  <c r="D1011" i="1"/>
  <c r="A1056" i="1"/>
  <c r="A1117" i="1"/>
  <c r="D1128" i="1"/>
  <c r="G1169" i="1"/>
  <c r="A1169" i="1"/>
  <c r="D1194" i="1"/>
  <c r="A1206" i="1"/>
  <c r="F1255" i="1"/>
  <c r="A1411" i="1"/>
  <c r="F1685" i="1"/>
  <c r="C1685" i="1"/>
  <c r="E1685" i="1"/>
  <c r="D1685" i="1"/>
  <c r="A1685" i="1"/>
  <c r="D444" i="1"/>
  <c r="F444" i="1"/>
  <c r="D730" i="1"/>
  <c r="F730" i="1"/>
  <c r="E730" i="1"/>
  <c r="C730" i="1"/>
  <c r="A730" i="1"/>
  <c r="D740" i="1"/>
  <c r="D778" i="1"/>
  <c r="A819" i="1"/>
  <c r="E830" i="1"/>
  <c r="D840" i="1"/>
  <c r="E944" i="1"/>
  <c r="F1001" i="1"/>
  <c r="C1068" i="1"/>
  <c r="G1068" i="1"/>
  <c r="F1068" i="1"/>
  <c r="E1068" i="1"/>
  <c r="D1068" i="1"/>
  <c r="A1068" i="1"/>
  <c r="F1182" i="1"/>
  <c r="D1182" i="1"/>
  <c r="A1182" i="1"/>
  <c r="E1194" i="1"/>
  <c r="C1379" i="1"/>
  <c r="C1411" i="1"/>
  <c r="E1474" i="1"/>
  <c r="G1474" i="1"/>
  <c r="C1474" i="1"/>
  <c r="A1474" i="1"/>
  <c r="E1711" i="1"/>
  <c r="G1711" i="1"/>
  <c r="D1711" i="1"/>
  <c r="F1711" i="1"/>
  <c r="E178" i="1"/>
  <c r="A216" i="1"/>
  <c r="D231" i="1"/>
  <c r="D427" i="1"/>
  <c r="D474" i="1"/>
  <c r="D491" i="1"/>
  <c r="A505" i="1"/>
  <c r="D546" i="1"/>
  <c r="E626" i="1"/>
  <c r="C626" i="1"/>
  <c r="G626" i="1"/>
  <c r="F626" i="1"/>
  <c r="E740" i="1"/>
  <c r="D757" i="1"/>
  <c r="E778" i="1"/>
  <c r="E840" i="1"/>
  <c r="C933" i="1"/>
  <c r="A933" i="1"/>
  <c r="D1022" i="1"/>
  <c r="F1022" i="1"/>
  <c r="E1206" i="1"/>
  <c r="G1206" i="1"/>
  <c r="C1255" i="1"/>
  <c r="D1255" i="1"/>
  <c r="A1255" i="1"/>
  <c r="C1326" i="1"/>
  <c r="F1326" i="1"/>
  <c r="A1337" i="1"/>
  <c r="F1337" i="1"/>
  <c r="A1569" i="1"/>
  <c r="G1569" i="1"/>
  <c r="G808" i="1"/>
  <c r="A808" i="1"/>
  <c r="G944" i="1"/>
  <c r="C944" i="1"/>
  <c r="A944" i="1"/>
  <c r="D1001" i="1"/>
  <c r="C1001" i="1"/>
  <c r="A1001" i="1"/>
  <c r="F1194" i="1"/>
  <c r="A1194" i="1"/>
  <c r="F1207" i="1"/>
  <c r="E1207" i="1"/>
  <c r="G1338" i="1"/>
  <c r="F1338" i="1"/>
  <c r="E1338" i="1"/>
  <c r="D1338" i="1"/>
  <c r="C1338" i="1"/>
  <c r="A1338" i="1"/>
  <c r="G1411" i="1"/>
  <c r="E1411" i="1"/>
  <c r="D1411" i="1"/>
  <c r="E819" i="1"/>
  <c r="D819" i="1"/>
  <c r="C819" i="1"/>
  <c r="G956" i="1"/>
  <c r="G972" i="1"/>
  <c r="F982" i="1"/>
  <c r="G1379" i="1"/>
  <c r="D1379" i="1"/>
  <c r="A1379" i="1"/>
  <c r="F1647" i="1"/>
  <c r="E1647" i="1"/>
  <c r="D1647" i="1"/>
  <c r="C1647" i="1"/>
  <c r="A1647" i="1"/>
  <c r="D1688" i="1"/>
  <c r="A1688" i="1"/>
  <c r="G436" i="1"/>
  <c r="E436" i="1"/>
  <c r="C436" i="1"/>
  <c r="F505" i="1"/>
  <c r="G514" i="1"/>
  <c r="F514" i="1"/>
  <c r="D670" i="1"/>
  <c r="C670" i="1"/>
  <c r="A670" i="1"/>
  <c r="F712" i="1"/>
  <c r="E712" i="1"/>
  <c r="D712" i="1"/>
  <c r="A712" i="1"/>
  <c r="E741" i="1"/>
  <c r="F831" i="1"/>
  <c r="G982" i="1"/>
  <c r="F1129" i="1"/>
  <c r="G1129" i="1"/>
  <c r="E1129" i="1"/>
  <c r="E1184" i="1"/>
  <c r="G1367" i="1"/>
  <c r="C1367" i="1"/>
  <c r="A1367" i="1"/>
  <c r="G1380" i="1"/>
  <c r="A1380" i="1"/>
  <c r="F1389" i="1"/>
  <c r="G1389" i="1"/>
  <c r="E1389" i="1"/>
  <c r="D1389" i="1"/>
  <c r="A1389" i="1"/>
  <c r="G1477" i="1"/>
  <c r="F1477" i="1"/>
  <c r="A360" i="1"/>
  <c r="G713" i="1"/>
  <c r="F713" i="1"/>
  <c r="A841" i="1"/>
  <c r="E841" i="1"/>
  <c r="G859" i="1"/>
  <c r="E859" i="1"/>
  <c r="D859" i="1"/>
  <c r="C859" i="1"/>
  <c r="A859" i="1"/>
  <c r="F909" i="1"/>
  <c r="C909" i="1"/>
  <c r="F935" i="1"/>
  <c r="E935" i="1"/>
  <c r="D935" i="1"/>
  <c r="C935" i="1"/>
  <c r="A935" i="1"/>
  <c r="E1390" i="1"/>
  <c r="E428" i="1"/>
  <c r="F428" i="1"/>
  <c r="C13" i="1"/>
  <c r="E13" i="1" s="1"/>
  <c r="C68" i="1"/>
  <c r="E68" i="1" s="1"/>
  <c r="F101" i="1"/>
  <c r="D108" i="1"/>
  <c r="D115" i="1"/>
  <c r="C131" i="1"/>
  <c r="A172" i="1"/>
  <c r="D179" i="1"/>
  <c r="D193" i="1"/>
  <c r="F201" i="1"/>
  <c r="C217" i="1"/>
  <c r="D223" i="1"/>
  <c r="D233" i="1"/>
  <c r="G238" i="1"/>
  <c r="E246" i="1"/>
  <c r="C260" i="1"/>
  <c r="E276" i="1"/>
  <c r="D282" i="1"/>
  <c r="G290" i="1"/>
  <c r="D299" i="1"/>
  <c r="C315" i="1"/>
  <c r="A322" i="1"/>
  <c r="E339" i="1"/>
  <c r="C360" i="1"/>
  <c r="A367" i="1"/>
  <c r="F373" i="1"/>
  <c r="A389" i="1"/>
  <c r="F400" i="1"/>
  <c r="D407" i="1"/>
  <c r="F419" i="1"/>
  <c r="C429" i="1"/>
  <c r="E447" i="1"/>
  <c r="F458" i="1"/>
  <c r="E466" i="1"/>
  <c r="C476" i="1"/>
  <c r="C499" i="1"/>
  <c r="D523" i="1"/>
  <c r="E531" i="1"/>
  <c r="E538" i="1"/>
  <c r="D547" i="1"/>
  <c r="E557" i="1"/>
  <c r="A619" i="1"/>
  <c r="D628" i="1"/>
  <c r="C646" i="1"/>
  <c r="C655" i="1"/>
  <c r="A672" i="1"/>
  <c r="A705" i="1"/>
  <c r="D723" i="1"/>
  <c r="C723" i="1"/>
  <c r="A723" i="1"/>
  <c r="E751" i="1"/>
  <c r="D758" i="1"/>
  <c r="G779" i="1"/>
  <c r="G809" i="1"/>
  <c r="F809" i="1"/>
  <c r="F820" i="1"/>
  <c r="D832" i="1"/>
  <c r="A842" i="1"/>
  <c r="E860" i="1"/>
  <c r="G868" i="1"/>
  <c r="E879" i="1"/>
  <c r="D910" i="1"/>
  <c r="E936" i="1"/>
  <c r="E946" i="1"/>
  <c r="D957" i="1"/>
  <c r="D965" i="1"/>
  <c r="G1047" i="1"/>
  <c r="E1047" i="1"/>
  <c r="A1047" i="1"/>
  <c r="G1172" i="1"/>
  <c r="E1172" i="1"/>
  <c r="C1172" i="1"/>
  <c r="C1301" i="1"/>
  <c r="G1390" i="1"/>
  <c r="A1478" i="1"/>
  <c r="F1478" i="1"/>
  <c r="E1478" i="1"/>
  <c r="D1502" i="1"/>
  <c r="G1502" i="1"/>
  <c r="F1502" i="1"/>
  <c r="E1502" i="1"/>
  <c r="C1502" i="1"/>
  <c r="A217" i="1"/>
  <c r="D13" i="1"/>
  <c r="D68" i="1"/>
  <c r="A93" i="1"/>
  <c r="E108" i="1"/>
  <c r="C172" i="1"/>
  <c r="E179" i="1"/>
  <c r="E193" i="1"/>
  <c r="D217" i="1"/>
  <c r="G223" i="1"/>
  <c r="E233" i="1"/>
  <c r="F246" i="1"/>
  <c r="G282" i="1"/>
  <c r="E299" i="1"/>
  <c r="D315" i="1"/>
  <c r="C322" i="1"/>
  <c r="A330" i="1"/>
  <c r="C351" i="1"/>
  <c r="D360" i="1"/>
  <c r="G367" i="1"/>
  <c r="D389" i="1"/>
  <c r="E407" i="1"/>
  <c r="C438" i="1"/>
  <c r="F447" i="1"/>
  <c r="D476" i="1"/>
  <c r="A484" i="1"/>
  <c r="E499" i="1"/>
  <c r="F515" i="1"/>
  <c r="D515" i="1"/>
  <c r="E523" i="1"/>
  <c r="F531" i="1"/>
  <c r="F538" i="1"/>
  <c r="F547" i="1"/>
  <c r="F557" i="1"/>
  <c r="C610" i="1"/>
  <c r="D619" i="1"/>
  <c r="C672" i="1"/>
  <c r="A724" i="1"/>
  <c r="F751" i="1"/>
  <c r="E768" i="1"/>
  <c r="D768" i="1"/>
  <c r="C768" i="1"/>
  <c r="D842" i="1"/>
  <c r="G860" i="1"/>
  <c r="E920" i="1"/>
  <c r="F936" i="1"/>
  <c r="E957" i="1"/>
  <c r="F965" i="1"/>
  <c r="E1080" i="1"/>
  <c r="G1080" i="1"/>
  <c r="E1131" i="1"/>
  <c r="A1131" i="1"/>
  <c r="G1131" i="1"/>
  <c r="D1131" i="1"/>
  <c r="C1131" i="1"/>
  <c r="D1248" i="1"/>
  <c r="D1301" i="1"/>
  <c r="D1465" i="1"/>
  <c r="A1465" i="1"/>
  <c r="G1465" i="1"/>
  <c r="F1465" i="1"/>
  <c r="C1560" i="1"/>
  <c r="A1560" i="1"/>
  <c r="E1560" i="1"/>
  <c r="C93" i="1"/>
  <c r="E93" i="1" s="1"/>
  <c r="C253" i="1"/>
  <c r="A307" i="1"/>
  <c r="D322" i="1"/>
  <c r="E351" i="1"/>
  <c r="E360" i="1"/>
  <c r="C420" i="1"/>
  <c r="E438" i="1"/>
  <c r="C507" i="1"/>
  <c r="E610" i="1"/>
  <c r="D672" i="1"/>
  <c r="F705" i="1"/>
  <c r="E705" i="1"/>
  <c r="D705" i="1"/>
  <c r="C705" i="1"/>
  <c r="C724" i="1"/>
  <c r="A759" i="1"/>
  <c r="E811" i="1"/>
  <c r="C852" i="1"/>
  <c r="G852" i="1"/>
  <c r="F852" i="1"/>
  <c r="E852" i="1"/>
  <c r="D852" i="1"/>
  <c r="A852" i="1"/>
  <c r="G879" i="1"/>
  <c r="C879" i="1"/>
  <c r="F910" i="1"/>
  <c r="C910" i="1"/>
  <c r="F920" i="1"/>
  <c r="F957" i="1"/>
  <c r="G1037" i="1"/>
  <c r="A1037" i="1"/>
  <c r="D1048" i="1"/>
  <c r="E1099" i="1"/>
  <c r="A1223" i="1"/>
  <c r="F1223" i="1"/>
  <c r="E1223" i="1"/>
  <c r="D1223" i="1"/>
  <c r="C1223" i="1"/>
  <c r="E1248" i="1"/>
  <c r="E1301" i="1"/>
  <c r="D1341" i="1"/>
  <c r="C1341" i="1"/>
  <c r="A1341" i="1"/>
  <c r="G1341" i="1"/>
  <c r="F1341" i="1"/>
  <c r="E1341" i="1"/>
  <c r="A1370" i="1"/>
  <c r="D1527" i="1"/>
  <c r="A13" i="1"/>
  <c r="F13" i="1"/>
  <c r="D172" i="1"/>
  <c r="E217" i="1"/>
  <c r="E51" i="1"/>
  <c r="E69" i="1"/>
  <c r="D93" i="1"/>
  <c r="C132" i="1"/>
  <c r="E172" i="1"/>
  <c r="F217" i="1"/>
  <c r="D253" i="1"/>
  <c r="F261" i="1"/>
  <c r="C307" i="1"/>
  <c r="F315" i="1"/>
  <c r="E322" i="1"/>
  <c r="D331" i="1"/>
  <c r="G341" i="1"/>
  <c r="F351" i="1"/>
  <c r="F360" i="1"/>
  <c r="E420" i="1"/>
  <c r="D429" i="1"/>
  <c r="E429" i="1"/>
  <c r="A429" i="1"/>
  <c r="F438" i="1"/>
  <c r="A448" i="1"/>
  <c r="A485" i="1"/>
  <c r="G499" i="1"/>
  <c r="E507" i="1"/>
  <c r="F610" i="1"/>
  <c r="G646" i="1"/>
  <c r="E672" i="1"/>
  <c r="D724" i="1"/>
  <c r="C759" i="1"/>
  <c r="F811" i="1"/>
  <c r="D833" i="1"/>
  <c r="C843" i="1"/>
  <c r="F973" i="1"/>
  <c r="A973" i="1"/>
  <c r="F1070" i="1"/>
  <c r="G1070" i="1"/>
  <c r="F1099" i="1"/>
  <c r="F1162" i="1"/>
  <c r="C1236" i="1"/>
  <c r="F1248" i="1"/>
  <c r="F1301" i="1"/>
  <c r="D1370" i="1"/>
  <c r="A1441" i="1"/>
  <c r="C1441" i="1"/>
  <c r="E1527" i="1"/>
  <c r="A141" i="1"/>
  <c r="A155" i="1"/>
  <c r="C210" i="1"/>
  <c r="E253" i="1"/>
  <c r="E307" i="1"/>
  <c r="E331" i="1"/>
  <c r="G438" i="1"/>
  <c r="E485" i="1"/>
  <c r="D549" i="1"/>
  <c r="G601" i="1"/>
  <c r="C601" i="1"/>
  <c r="F601" i="1"/>
  <c r="A601" i="1"/>
  <c r="G619" i="1"/>
  <c r="C619" i="1"/>
  <c r="F683" i="1"/>
  <c r="D683" i="1"/>
  <c r="E724" i="1"/>
  <c r="C771" i="1"/>
  <c r="E782" i="1"/>
  <c r="D782" i="1"/>
  <c r="C782" i="1"/>
  <c r="D791" i="1"/>
  <c r="A791" i="1"/>
  <c r="E843" i="1"/>
  <c r="F900" i="1"/>
  <c r="A900" i="1"/>
  <c r="G993" i="1"/>
  <c r="D993" i="1"/>
  <c r="G1162" i="1"/>
  <c r="D1186" i="1"/>
  <c r="C1186" i="1"/>
  <c r="A1186" i="1"/>
  <c r="G1301" i="1"/>
  <c r="F408" i="1"/>
  <c r="G408" i="1"/>
  <c r="A468" i="1"/>
  <c r="F507" i="1"/>
  <c r="D507" i="1"/>
  <c r="A507" i="1"/>
  <c r="D610" i="1"/>
  <c r="A610" i="1"/>
  <c r="G684" i="1"/>
  <c r="D684" i="1"/>
  <c r="C684" i="1"/>
  <c r="A684" i="1"/>
  <c r="D695" i="1"/>
  <c r="E695" i="1"/>
  <c r="G759" i="1"/>
  <c r="F759" i="1"/>
  <c r="A811" i="1"/>
  <c r="D811" i="1"/>
  <c r="C811" i="1"/>
  <c r="D1099" i="1"/>
  <c r="C1099" i="1"/>
  <c r="A1099" i="1"/>
  <c r="C1248" i="1"/>
  <c r="A1248" i="1"/>
  <c r="G1344" i="1"/>
  <c r="C1344" i="1"/>
  <c r="E1344" i="1"/>
  <c r="A1344" i="1"/>
  <c r="F1344" i="1"/>
  <c r="D1344" i="1"/>
  <c r="G1358" i="1"/>
  <c r="F1358" i="1"/>
  <c r="E1358" i="1"/>
  <c r="F1370" i="1"/>
  <c r="G1370" i="1"/>
  <c r="A234" i="1"/>
  <c r="F420" i="1"/>
  <c r="D420" i="1"/>
  <c r="A420" i="1"/>
  <c r="F593" i="1"/>
  <c r="D593" i="1"/>
  <c r="G593" i="1"/>
  <c r="C593" i="1"/>
  <c r="A784" i="1"/>
  <c r="F833" i="1"/>
  <c r="C833" i="1"/>
  <c r="F881" i="1"/>
  <c r="E881" i="1"/>
  <c r="D881" i="1"/>
  <c r="C881" i="1"/>
  <c r="A881" i="1"/>
  <c r="C1120" i="1"/>
  <c r="A1120" i="1"/>
  <c r="G1120" i="1"/>
  <c r="F1120" i="1"/>
  <c r="F1236" i="1"/>
  <c r="D1236" i="1"/>
  <c r="E1314" i="1"/>
  <c r="D1314" i="1"/>
  <c r="C1314" i="1"/>
  <c r="G1300" i="1"/>
  <c r="C1300" i="1"/>
  <c r="E1369" i="1"/>
  <c r="G1369" i="1"/>
  <c r="A1476" i="1"/>
  <c r="D1793" i="1"/>
  <c r="C1793" i="1"/>
  <c r="F1388" i="1"/>
  <c r="G1388" i="1"/>
  <c r="E1399" i="1"/>
  <c r="F1399" i="1"/>
  <c r="A1399" i="1"/>
  <c r="G1409" i="1"/>
  <c r="D1409" i="1"/>
  <c r="C1409" i="1"/>
  <c r="E1538" i="1"/>
  <c r="G1538" i="1"/>
  <c r="D1538" i="1"/>
  <c r="C1538" i="1"/>
  <c r="F1567" i="1"/>
  <c r="A1567" i="1"/>
  <c r="G1476" i="1"/>
  <c r="F1476" i="1"/>
  <c r="E1476" i="1"/>
  <c r="G1583" i="1"/>
  <c r="D1583" i="1"/>
  <c r="F1583" i="1"/>
  <c r="A1583" i="1"/>
  <c r="A1649" i="1"/>
  <c r="G1649" i="1"/>
  <c r="E1649" i="1"/>
  <c r="D1649" i="1"/>
  <c r="F1509" i="1"/>
  <c r="G1509" i="1"/>
  <c r="E1509" i="1"/>
  <c r="D1509" i="1"/>
  <c r="C1509" i="1"/>
  <c r="A1509" i="1"/>
  <c r="A1592" i="1"/>
  <c r="G1592" i="1"/>
  <c r="E1592" i="1"/>
  <c r="C1618" i="1"/>
  <c r="A1423" i="1"/>
  <c r="C1432" i="1"/>
  <c r="G1432" i="1"/>
  <c r="E1432" i="1"/>
  <c r="G1559" i="1"/>
  <c r="E1618" i="1"/>
  <c r="F1856" i="1"/>
  <c r="G1856" i="1"/>
  <c r="E1856" i="1"/>
  <c r="C1856" i="1"/>
  <c r="A1856" i="1"/>
  <c r="C1313" i="1"/>
  <c r="F1313" i="1"/>
  <c r="C1423" i="1"/>
  <c r="G1530" i="1"/>
  <c r="D1530" i="1"/>
  <c r="A1530" i="1"/>
  <c r="C1627" i="1"/>
  <c r="G1703" i="1"/>
  <c r="C1703" i="1"/>
  <c r="F1703" i="1"/>
  <c r="E1703" i="1"/>
  <c r="G1763" i="1"/>
  <c r="A1763" i="1"/>
  <c r="C1763" i="1"/>
  <c r="E1763" i="1"/>
  <c r="D1763" i="1"/>
  <c r="A1832" i="1"/>
  <c r="E1870" i="1"/>
  <c r="A1870" i="1"/>
  <c r="G1618" i="1"/>
  <c r="D1618" i="1"/>
  <c r="G1832" i="1"/>
  <c r="F1832" i="1"/>
  <c r="E1832" i="1"/>
  <c r="F1137" i="1"/>
  <c r="E1137" i="1"/>
  <c r="F1166" i="1"/>
  <c r="C1166" i="1"/>
  <c r="G1218" i="1"/>
  <c r="F1218" i="1"/>
  <c r="D1218" i="1"/>
  <c r="A1238" i="1"/>
  <c r="C1238" i="1"/>
  <c r="A1292" i="1"/>
  <c r="D1339" i="1"/>
  <c r="E1350" i="1"/>
  <c r="C1350" i="1"/>
  <c r="A1350" i="1"/>
  <c r="C1361" i="1"/>
  <c r="E1361" i="1"/>
  <c r="F1361" i="1"/>
  <c r="F1423" i="1"/>
  <c r="G1446" i="1"/>
  <c r="C1446" i="1"/>
  <c r="A1446" i="1"/>
  <c r="A1513" i="1"/>
  <c r="A1533" i="1"/>
  <c r="C1551" i="1"/>
  <c r="A1551" i="1"/>
  <c r="G1608" i="1"/>
  <c r="E1608" i="1"/>
  <c r="D1608" i="1"/>
  <c r="A1608" i="1"/>
  <c r="D1468" i="1"/>
  <c r="A1468" i="1"/>
  <c r="G1542" i="1"/>
  <c r="F1542" i="1"/>
  <c r="E1542" i="1"/>
  <c r="D1542" i="1"/>
  <c r="C1542" i="1"/>
  <c r="A1542" i="1"/>
  <c r="A1627" i="1"/>
  <c r="F1627" i="1"/>
  <c r="E1086" i="1"/>
  <c r="C1086" i="1"/>
  <c r="G1095" i="1"/>
  <c r="F1258" i="1"/>
  <c r="D1292" i="1"/>
  <c r="G1303" i="1"/>
  <c r="C1303" i="1"/>
  <c r="A1317" i="1"/>
  <c r="G1339" i="1"/>
  <c r="F1501" i="1"/>
  <c r="D1513" i="1"/>
  <c r="C1552" i="1"/>
  <c r="C1974" i="1"/>
  <c r="A1974" i="1"/>
  <c r="D1974" i="1"/>
  <c r="D1113" i="1"/>
  <c r="G1145" i="1"/>
  <c r="A1145" i="1"/>
  <c r="A1282" i="1"/>
  <c r="E1424" i="1"/>
  <c r="F1424" i="1"/>
  <c r="D1424" i="1"/>
  <c r="G1533" i="1"/>
  <c r="F1533" i="1"/>
  <c r="D1533" i="1"/>
  <c r="G1552" i="1"/>
  <c r="A1611" i="1"/>
  <c r="A1846" i="1"/>
  <c r="F1846" i="1"/>
  <c r="C1846" i="1"/>
  <c r="G1846" i="1"/>
  <c r="G1992" i="1"/>
  <c r="F1992" i="1"/>
  <c r="E1992" i="1"/>
  <c r="A1992" i="1"/>
  <c r="D1992" i="1"/>
  <c r="C1992" i="1"/>
  <c r="D1258" i="1"/>
  <c r="A1258" i="1"/>
  <c r="C1282" i="1"/>
  <c r="G1317" i="1"/>
  <c r="D1317" i="1"/>
  <c r="D1501" i="1"/>
  <c r="E1501" i="1"/>
  <c r="C1501" i="1"/>
  <c r="A1501" i="1"/>
  <c r="G1641" i="1"/>
  <c r="A1641" i="1"/>
  <c r="F1641" i="1"/>
  <c r="D1641" i="1"/>
  <c r="C1641" i="1"/>
  <c r="F1887" i="1"/>
  <c r="D1887" i="1"/>
  <c r="C1887" i="1"/>
  <c r="A1887" i="1"/>
  <c r="E1887" i="1"/>
  <c r="G1887" i="1"/>
  <c r="E1835" i="1"/>
  <c r="G1835" i="1"/>
  <c r="F1835" i="1"/>
  <c r="A1835" i="1"/>
  <c r="G1139" i="1"/>
  <c r="G1156" i="1"/>
  <c r="C1178" i="1"/>
  <c r="G1230" i="1"/>
  <c r="D1230" i="1"/>
  <c r="C1230" i="1"/>
  <c r="A1230" i="1"/>
  <c r="E1282" i="1"/>
  <c r="D1331" i="1"/>
  <c r="E1354" i="1"/>
  <c r="F1354" i="1"/>
  <c r="F1375" i="1"/>
  <c r="G1375" i="1"/>
  <c r="A1375" i="1"/>
  <c r="G1393" i="1"/>
  <c r="E1436" i="1"/>
  <c r="D1436" i="1"/>
  <c r="C1436" i="1"/>
  <c r="A1436" i="1"/>
  <c r="D1544" i="1"/>
  <c r="C1544" i="1"/>
  <c r="C1554" i="1"/>
  <c r="D1596" i="1"/>
  <c r="E1611" i="1"/>
  <c r="G1716" i="1"/>
  <c r="D1716" i="1"/>
  <c r="E1716" i="1"/>
  <c r="A1936" i="1"/>
  <c r="C1113" i="1"/>
  <c r="A1113" i="1"/>
  <c r="E1208" i="1"/>
  <c r="C1208" i="1"/>
  <c r="G1282" i="1"/>
  <c r="G1414" i="1"/>
  <c r="A1414" i="1"/>
  <c r="G1491" i="1"/>
  <c r="F1491" i="1"/>
  <c r="E1491" i="1"/>
  <c r="D1554" i="1"/>
  <c r="F1611" i="1"/>
  <c r="F1376" i="1"/>
  <c r="E1376" i="1"/>
  <c r="D1376" i="1"/>
  <c r="C1376" i="1"/>
  <c r="A1376" i="1"/>
  <c r="E1554" i="1"/>
  <c r="F1824" i="1"/>
  <c r="A1824" i="1"/>
  <c r="C1824" i="1"/>
  <c r="G1824" i="1"/>
  <c r="E1824" i="1"/>
  <c r="G1936" i="1"/>
  <c r="C1936" i="1"/>
  <c r="D1936" i="1"/>
  <c r="G1331" i="1"/>
  <c r="A1331" i="1"/>
  <c r="F1449" i="1"/>
  <c r="E1449" i="1"/>
  <c r="A1449" i="1"/>
  <c r="G1460" i="1"/>
  <c r="F1460" i="1"/>
  <c r="A1596" i="1"/>
  <c r="E1596" i="1"/>
  <c r="F1612" i="1"/>
  <c r="E1612" i="1"/>
  <c r="D1612" i="1"/>
  <c r="C1612" i="1"/>
  <c r="G1809" i="1"/>
  <c r="F1809" i="1"/>
  <c r="D1809" i="1"/>
  <c r="E1809" i="1"/>
  <c r="C1809" i="1"/>
  <c r="G1825" i="1"/>
  <c r="E1825" i="1"/>
  <c r="E1949" i="1"/>
  <c r="D1949" i="1"/>
  <c r="C1949" i="1"/>
  <c r="A1949" i="1"/>
  <c r="F1949" i="1"/>
  <c r="G1949" i="1"/>
  <c r="G1554" i="1"/>
  <c r="A1554" i="1"/>
  <c r="A1756" i="1"/>
  <c r="E1756" i="1"/>
  <c r="D1756" i="1"/>
  <c r="C1756" i="1"/>
  <c r="F1756" i="1"/>
  <c r="D642" i="1"/>
  <c r="F719" i="1"/>
  <c r="D781" i="1"/>
  <c r="A790" i="1"/>
  <c r="C817" i="1"/>
  <c r="C828" i="1"/>
  <c r="D846" i="1"/>
  <c r="E869" i="1"/>
  <c r="D869" i="1"/>
  <c r="A880" i="1"/>
  <c r="E880" i="1"/>
  <c r="C890" i="1"/>
  <c r="D907" i="1"/>
  <c r="C907" i="1"/>
  <c r="A907" i="1"/>
  <c r="D924" i="1"/>
  <c r="G924" i="1"/>
  <c r="E994" i="1"/>
  <c r="F1023" i="1"/>
  <c r="C1023" i="1"/>
  <c r="F1045" i="1"/>
  <c r="D1063" i="1"/>
  <c r="A1073" i="1"/>
  <c r="E1114" i="1"/>
  <c r="E1122" i="1"/>
  <c r="A1170" i="1"/>
  <c r="A1191" i="1"/>
  <c r="C1221" i="1"/>
  <c r="A1221" i="1"/>
  <c r="F1232" i="1"/>
  <c r="C1253" i="1"/>
  <c r="G1260" i="1"/>
  <c r="A1260" i="1"/>
  <c r="E1271" i="1"/>
  <c r="A1271" i="1"/>
  <c r="A1295" i="1"/>
  <c r="E1342" i="1"/>
  <c r="F1394" i="1"/>
  <c r="E1427" i="1"/>
  <c r="D1493" i="1"/>
  <c r="F1658" i="1"/>
  <c r="G1826" i="1"/>
  <c r="F1826" i="1"/>
  <c r="E1826" i="1"/>
  <c r="D1826" i="1"/>
  <c r="C1826" i="1"/>
  <c r="F369" i="1"/>
  <c r="E486" i="1"/>
  <c r="D522" i="1"/>
  <c r="C584" i="1"/>
  <c r="F608" i="1"/>
  <c r="G608" i="1"/>
  <c r="E642" i="1"/>
  <c r="G719" i="1"/>
  <c r="D754" i="1"/>
  <c r="C754" i="1"/>
  <c r="A754" i="1"/>
  <c r="C790" i="1"/>
  <c r="C799" i="1"/>
  <c r="D817" i="1"/>
  <c r="E846" i="1"/>
  <c r="D890" i="1"/>
  <c r="E908" i="1"/>
  <c r="C985" i="1"/>
  <c r="A985" i="1"/>
  <c r="G994" i="1"/>
  <c r="G1045" i="1"/>
  <c r="A1054" i="1"/>
  <c r="C1073" i="1"/>
  <c r="F1097" i="1"/>
  <c r="E1097" i="1"/>
  <c r="D1097" i="1"/>
  <c r="C1097" i="1"/>
  <c r="A1097" i="1"/>
  <c r="G1114" i="1"/>
  <c r="G1122" i="1"/>
  <c r="C1132" i="1"/>
  <c r="F1132" i="1"/>
  <c r="E1132" i="1"/>
  <c r="C1161" i="1"/>
  <c r="C1170" i="1"/>
  <c r="C1191" i="1"/>
  <c r="A1200" i="1"/>
  <c r="G1308" i="1"/>
  <c r="E1319" i="1"/>
  <c r="D1319" i="1"/>
  <c r="C1319" i="1"/>
  <c r="A1319" i="1"/>
  <c r="E1356" i="1"/>
  <c r="F1356" i="1"/>
  <c r="C1356" i="1"/>
  <c r="G1394" i="1"/>
  <c r="A1406" i="1"/>
  <c r="D1482" i="1"/>
  <c r="E1493" i="1"/>
  <c r="F1515" i="1"/>
  <c r="A1515" i="1"/>
  <c r="F1546" i="1"/>
  <c r="D1546" i="1"/>
  <c r="C1546" i="1"/>
  <c r="F746" i="1"/>
  <c r="D746" i="1"/>
  <c r="F781" i="1"/>
  <c r="C781" i="1"/>
  <c r="F828" i="1"/>
  <c r="E828" i="1"/>
  <c r="F1063" i="1"/>
  <c r="E1063" i="1"/>
  <c r="D1073" i="1"/>
  <c r="A1109" i="1"/>
  <c r="G1222" i="1"/>
  <c r="F1222" i="1"/>
  <c r="G1253" i="1"/>
  <c r="D1253" i="1"/>
  <c r="A1253" i="1"/>
  <c r="F1295" i="1"/>
  <c r="G1295" i="1"/>
  <c r="E1295" i="1"/>
  <c r="C1295" i="1"/>
  <c r="A1342" i="1"/>
  <c r="D1342" i="1"/>
  <c r="A1427" i="1"/>
  <c r="C1427" i="1"/>
  <c r="G1598" i="1"/>
  <c r="D1598" i="1"/>
  <c r="C1598" i="1"/>
  <c r="A1598" i="1"/>
  <c r="F1614" i="1"/>
  <c r="G1614" i="1"/>
  <c r="C1743" i="1"/>
  <c r="G1743" i="1"/>
  <c r="E1743" i="1"/>
  <c r="G1790" i="1"/>
  <c r="D1790" i="1"/>
  <c r="C1790" i="1"/>
  <c r="F1790" i="1"/>
  <c r="E1790" i="1"/>
  <c r="G1864" i="1"/>
  <c r="F1864" i="1"/>
  <c r="D1864" i="1"/>
  <c r="C1864" i="1"/>
  <c r="A1864" i="1"/>
  <c r="F522" i="1"/>
  <c r="D720" i="1"/>
  <c r="E739" i="1"/>
  <c r="A747" i="1"/>
  <c r="F790" i="1"/>
  <c r="E799" i="1"/>
  <c r="F807" i="1"/>
  <c r="G817" i="1"/>
  <c r="F838" i="1"/>
  <c r="F890" i="1"/>
  <c r="E899" i="1"/>
  <c r="G916" i="1"/>
  <c r="F916" i="1"/>
  <c r="D932" i="1"/>
  <c r="G932" i="1"/>
  <c r="F986" i="1"/>
  <c r="D1014" i="1"/>
  <c r="G1014" i="1"/>
  <c r="G1035" i="1"/>
  <c r="E1035" i="1"/>
  <c r="D1035" i="1"/>
  <c r="C1035" i="1"/>
  <c r="A1035" i="1"/>
  <c r="G1046" i="1"/>
  <c r="C1064" i="1"/>
  <c r="E1073" i="1"/>
  <c r="C1109" i="1"/>
  <c r="G1149" i="1"/>
  <c r="E1149" i="1"/>
  <c r="D1149" i="1"/>
  <c r="C1149" i="1"/>
  <c r="A1149" i="1"/>
  <c r="F1170" i="1"/>
  <c r="F1191" i="1"/>
  <c r="E1200" i="1"/>
  <c r="D1213" i="1"/>
  <c r="C1233" i="1"/>
  <c r="F1321" i="1"/>
  <c r="A1343" i="1"/>
  <c r="F1482" i="1"/>
  <c r="F1494" i="1"/>
  <c r="D1494" i="1"/>
  <c r="G1516" i="1"/>
  <c r="F1516" i="1"/>
  <c r="C1516" i="1"/>
  <c r="G1577" i="1"/>
  <c r="F1577" i="1"/>
  <c r="E1577" i="1"/>
  <c r="D1577" i="1"/>
  <c r="C1577" i="1"/>
  <c r="A1577" i="1"/>
  <c r="G1588" i="1"/>
  <c r="D1588" i="1"/>
  <c r="F1073" i="1"/>
  <c r="E1109" i="1"/>
  <c r="E1213" i="1"/>
  <c r="A1262" i="1"/>
  <c r="E1262" i="1"/>
  <c r="D1262" i="1"/>
  <c r="C1262" i="1"/>
  <c r="F1366" i="1"/>
  <c r="E1366" i="1"/>
  <c r="F1406" i="1"/>
  <c r="G1406" i="1"/>
  <c r="D1406" i="1"/>
  <c r="A1417" i="1"/>
  <c r="G1417" i="1"/>
  <c r="F1417" i="1"/>
  <c r="E1417" i="1"/>
  <c r="D1417" i="1"/>
  <c r="C1417" i="1"/>
  <c r="C1660" i="1"/>
  <c r="F1672" i="1"/>
  <c r="E1672" i="1"/>
  <c r="D1722" i="1"/>
  <c r="C1722" i="1"/>
  <c r="A1722" i="1"/>
  <c r="E1722" i="1"/>
  <c r="G1722" i="1"/>
  <c r="F1722" i="1"/>
  <c r="F1780" i="1"/>
  <c r="E1780" i="1"/>
  <c r="D1780" i="1"/>
  <c r="C1780" i="1"/>
  <c r="A1780" i="1"/>
  <c r="D891" i="1"/>
  <c r="G891" i="1"/>
  <c r="F891" i="1"/>
  <c r="E891" i="1"/>
  <c r="C891" i="1"/>
  <c r="A891" i="1"/>
  <c r="A925" i="1"/>
  <c r="G925" i="1"/>
  <c r="F1109" i="1"/>
  <c r="F1161" i="1"/>
  <c r="A1161" i="1"/>
  <c r="G1171" i="1"/>
  <c r="F1181" i="1"/>
  <c r="D1181" i="1"/>
  <c r="C1181" i="1"/>
  <c r="D1395" i="1"/>
  <c r="E1395" i="1"/>
  <c r="G1418" i="1"/>
  <c r="G1429" i="1"/>
  <c r="E1429" i="1"/>
  <c r="D1429" i="1"/>
  <c r="C1429" i="1"/>
  <c r="F1439" i="1"/>
  <c r="A1439" i="1"/>
  <c r="D1439" i="1"/>
  <c r="E1699" i="1"/>
  <c r="D1699" i="1"/>
  <c r="C1699" i="1"/>
  <c r="A1699" i="1"/>
  <c r="F1699" i="1"/>
  <c r="G1699" i="1"/>
  <c r="G1213" i="1"/>
  <c r="C1213" i="1"/>
  <c r="A1213" i="1"/>
  <c r="G1310" i="1"/>
  <c r="D1310" i="1"/>
  <c r="E1310" i="1"/>
  <c r="C1310" i="1"/>
  <c r="A1310" i="1"/>
  <c r="F1334" i="1"/>
  <c r="G1334" i="1"/>
  <c r="A1660" i="1"/>
  <c r="E1660" i="1"/>
  <c r="D1660" i="1"/>
  <c r="G1634" i="1"/>
  <c r="C1634" i="1"/>
  <c r="G1676" i="1"/>
  <c r="E1772" i="1"/>
  <c r="G1842" i="1"/>
  <c r="F1842" i="1"/>
  <c r="D1842" i="1"/>
  <c r="A1842" i="1"/>
  <c r="C1888" i="1"/>
  <c r="G1739" i="1"/>
  <c r="A1739" i="1"/>
  <c r="C1739" i="1"/>
  <c r="F1831" i="1"/>
  <c r="C1831" i="1"/>
  <c r="A1831" i="1"/>
  <c r="D1831" i="1"/>
  <c r="D1888" i="1"/>
  <c r="F1909" i="1"/>
  <c r="C1909" i="1"/>
  <c r="G1909" i="1"/>
  <c r="D1708" i="1"/>
  <c r="F1708" i="1"/>
  <c r="F1719" i="1"/>
  <c r="A1719" i="1"/>
  <c r="C1731" i="1"/>
  <c r="A1731" i="1"/>
  <c r="D1731" i="1"/>
  <c r="F1800" i="1"/>
  <c r="G1720" i="1"/>
  <c r="A1720" i="1"/>
  <c r="G1958" i="1"/>
  <c r="D1958" i="1"/>
  <c r="A1958" i="1"/>
  <c r="F1448" i="1"/>
  <c r="G1448" i="1"/>
  <c r="G1466" i="1"/>
  <c r="F1659" i="1"/>
  <c r="A1628" i="1"/>
  <c r="C1628" i="1"/>
  <c r="D1742" i="1"/>
  <c r="G1742" i="1"/>
  <c r="F1742" i="1"/>
  <c r="A1197" i="1"/>
  <c r="D1197" i="1"/>
  <c r="F1422" i="1"/>
  <c r="D1422" i="1"/>
  <c r="G1458" i="1"/>
  <c r="A1458" i="1"/>
  <c r="C1671" i="1"/>
  <c r="G1702" i="1"/>
  <c r="C1702" i="1"/>
  <c r="C1881" i="1"/>
  <c r="D1613" i="1"/>
  <c r="E1613" i="1"/>
  <c r="C1650" i="1"/>
  <c r="G1671" i="1"/>
  <c r="G1744" i="1"/>
  <c r="C1744" i="1"/>
  <c r="A1744" i="1"/>
  <c r="G1776" i="1"/>
  <c r="D1776" i="1"/>
  <c r="C1776" i="1"/>
  <c r="E1794" i="1"/>
  <c r="A1813" i="1"/>
  <c r="D1650" i="1"/>
  <c r="A1745" i="1"/>
  <c r="C1765" i="1"/>
  <c r="F1765" i="1"/>
  <c r="E1765" i="1"/>
  <c r="A1928" i="1"/>
  <c r="G1138" i="1"/>
  <c r="F1138" i="1"/>
  <c r="G1154" i="1"/>
  <c r="C1154" i="1"/>
  <c r="F1235" i="1"/>
  <c r="A1267" i="1"/>
  <c r="E1415" i="1"/>
  <c r="D1505" i="1"/>
  <c r="C1505" i="1"/>
  <c r="A1505" i="1"/>
  <c r="D1540" i="1"/>
  <c r="D1548" i="1"/>
  <c r="E1585" i="1"/>
  <c r="C1602" i="1"/>
  <c r="F1602" i="1"/>
  <c r="A1615" i="1"/>
  <c r="E1622" i="1"/>
  <c r="D1622" i="1"/>
  <c r="F1650" i="1"/>
  <c r="G1661" i="1"/>
  <c r="F1661" i="1"/>
  <c r="C1661" i="1"/>
  <c r="E1681" i="1"/>
  <c r="D1681" i="1"/>
  <c r="C1681" i="1"/>
  <c r="A1681" i="1"/>
  <c r="F1681" i="1"/>
  <c r="D1713" i="1"/>
  <c r="E1757" i="1"/>
  <c r="F1785" i="1"/>
  <c r="E1785" i="1"/>
  <c r="G1785" i="1"/>
  <c r="F1848" i="1"/>
  <c r="G1993" i="1"/>
  <c r="C1993" i="1"/>
  <c r="G1745" i="1"/>
  <c r="E1745" i="1"/>
  <c r="D1745" i="1"/>
  <c r="G1803" i="1"/>
  <c r="D1803" i="1"/>
  <c r="C1803" i="1"/>
  <c r="G1928" i="1"/>
  <c r="E1928" i="1"/>
  <c r="D1267" i="1"/>
  <c r="G1306" i="1"/>
  <c r="A1306" i="1"/>
  <c r="A1507" i="1"/>
  <c r="G1540" i="1"/>
  <c r="F1548" i="1"/>
  <c r="D1563" i="1"/>
  <c r="A1593" i="1"/>
  <c r="E1603" i="1"/>
  <c r="A1651" i="1"/>
  <c r="C1682" i="1"/>
  <c r="C1693" i="1"/>
  <c r="A1726" i="1"/>
  <c r="D1726" i="1"/>
  <c r="C1815" i="1"/>
  <c r="A1859" i="1"/>
  <c r="G1859" i="1"/>
  <c r="E1859" i="1"/>
  <c r="A1872" i="1"/>
  <c r="A1883" i="1"/>
  <c r="G1883" i="1"/>
  <c r="E1883" i="1"/>
  <c r="D1883" i="1"/>
  <c r="C1883" i="1"/>
  <c r="E1563" i="1"/>
  <c r="C1585" i="1"/>
  <c r="A1585" i="1"/>
  <c r="G1615" i="1"/>
  <c r="D1615" i="1"/>
  <c r="C1651" i="1"/>
  <c r="E1746" i="1"/>
  <c r="D1746" i="1"/>
  <c r="C1746" i="1"/>
  <c r="A1746" i="1"/>
  <c r="F1746" i="1"/>
  <c r="C1872" i="1"/>
  <c r="F1951" i="1"/>
  <c r="E1951" i="1"/>
  <c r="G1995" i="1"/>
  <c r="F1995" i="1"/>
  <c r="E1995" i="1"/>
  <c r="D1995" i="1"/>
  <c r="A1995" i="1"/>
  <c r="C1603" i="1"/>
  <c r="F1603" i="1"/>
  <c r="D1631" i="1"/>
  <c r="C1631" i="1"/>
  <c r="E1651" i="1"/>
  <c r="E1682" i="1"/>
  <c r="A1713" i="1"/>
  <c r="C1713" i="1"/>
  <c r="D1758" i="1"/>
  <c r="D1872" i="1"/>
  <c r="F1952" i="1"/>
  <c r="G1952" i="1"/>
  <c r="E1952" i="1"/>
  <c r="D1952" i="1"/>
  <c r="C1952" i="1"/>
  <c r="A1952" i="1"/>
  <c r="D1416" i="1"/>
  <c r="C1444" i="1"/>
  <c r="E1507" i="1"/>
  <c r="F1525" i="1"/>
  <c r="E1534" i="1"/>
  <c r="D1575" i="1"/>
  <c r="A1575" i="1"/>
  <c r="E1593" i="1"/>
  <c r="G1604" i="1"/>
  <c r="A1632" i="1"/>
  <c r="F1663" i="1"/>
  <c r="D1663" i="1"/>
  <c r="C1663" i="1"/>
  <c r="F1682" i="1"/>
  <c r="F1694" i="1"/>
  <c r="D1694" i="1"/>
  <c r="E1758" i="1"/>
  <c r="G1768" i="1"/>
  <c r="D1768" i="1"/>
  <c r="C1768" i="1"/>
  <c r="D1787" i="1"/>
  <c r="F1872" i="1"/>
  <c r="G1651" i="1"/>
  <c r="D1651" i="1"/>
  <c r="D1525" i="1"/>
  <c r="E1525" i="1"/>
  <c r="F1541" i="1"/>
  <c r="G1541" i="1"/>
  <c r="C1576" i="1"/>
  <c r="F1605" i="1"/>
  <c r="G1705" i="1"/>
  <c r="D1705" i="1"/>
  <c r="C1705" i="1"/>
  <c r="A1705" i="1"/>
  <c r="E1705" i="1"/>
  <c r="G1758" i="1"/>
  <c r="C1758" i="1"/>
  <c r="A1758" i="1"/>
  <c r="G1840" i="1"/>
  <c r="A1840" i="1"/>
  <c r="F1463" i="1"/>
  <c r="C1463" i="1"/>
  <c r="G1644" i="1"/>
  <c r="F1644" i="1"/>
  <c r="C1728" i="1"/>
  <c r="A1728" i="1"/>
  <c r="G1759" i="1"/>
  <c r="E1759" i="1"/>
  <c r="D1759" i="1"/>
  <c r="C1778" i="1"/>
  <c r="A1778" i="1"/>
  <c r="D1778" i="1"/>
  <c r="G1873" i="1"/>
  <c r="E1873" i="1"/>
  <c r="D1873" i="1"/>
  <c r="C1873" i="1"/>
  <c r="A1873" i="1"/>
  <c r="A1894" i="1"/>
  <c r="E1894" i="1"/>
  <c r="D1894" i="1"/>
  <c r="C1894" i="1"/>
  <c r="F1894" i="1"/>
  <c r="E1981" i="1"/>
  <c r="D1981" i="1"/>
  <c r="C1981" i="1"/>
  <c r="A1981" i="1"/>
  <c r="F1981" i="1"/>
  <c r="C738" i="1"/>
  <c r="G836" i="1"/>
  <c r="G874" i="1"/>
  <c r="C882" i="1"/>
  <c r="E906" i="1"/>
  <c r="G912" i="1"/>
  <c r="G1006" i="1"/>
  <c r="C1058" i="1"/>
  <c r="C1193" i="1"/>
  <c r="D1211" i="1"/>
  <c r="E1261" i="1"/>
  <c r="D1299" i="1"/>
  <c r="G1309" i="1"/>
  <c r="D1347" i="1"/>
  <c r="C1400" i="1"/>
  <c r="E1426" i="1"/>
  <c r="C1434" i="1"/>
  <c r="D1490" i="1"/>
  <c r="G1500" i="1"/>
  <c r="G1518" i="1"/>
  <c r="G1674" i="1"/>
  <c r="A1674" i="1"/>
  <c r="G1684" i="1"/>
  <c r="F1863" i="1"/>
  <c r="D1863" i="1"/>
  <c r="C1863" i="1"/>
  <c r="A1863" i="1"/>
  <c r="E1863" i="1"/>
  <c r="F1919" i="1"/>
  <c r="A1919" i="1"/>
  <c r="C1966" i="1"/>
  <c r="G1966" i="1"/>
  <c r="A1966" i="1"/>
  <c r="G1382" i="1"/>
  <c r="A1382" i="1"/>
  <c r="C1895" i="1"/>
  <c r="F632" i="1"/>
  <c r="A650" i="1"/>
  <c r="G696" i="1"/>
  <c r="F738" i="1"/>
  <c r="G1074" i="1"/>
  <c r="F1104" i="1"/>
  <c r="F1193" i="1"/>
  <c r="E1269" i="1"/>
  <c r="C1269" i="1"/>
  <c r="G1299" i="1"/>
  <c r="F1330" i="1"/>
  <c r="F1400" i="1"/>
  <c r="G1408" i="1"/>
  <c r="C1408" i="1"/>
  <c r="E1434" i="1"/>
  <c r="D1464" i="1"/>
  <c r="E1473" i="1"/>
  <c r="D1519" i="1"/>
  <c r="F1526" i="1"/>
  <c r="F1665" i="1"/>
  <c r="G1665" i="1"/>
  <c r="D1806" i="1"/>
  <c r="C1806" i="1"/>
  <c r="A1806" i="1"/>
  <c r="E1806" i="1"/>
  <c r="G1365" i="1"/>
  <c r="E1365" i="1"/>
  <c r="C1365" i="1"/>
  <c r="A1365" i="1"/>
  <c r="F1473" i="1"/>
  <c r="C1557" i="1"/>
  <c r="D1557" i="1"/>
  <c r="D1566" i="1"/>
  <c r="A1566" i="1"/>
  <c r="A1606" i="1"/>
  <c r="C1606" i="1"/>
  <c r="A1634" i="1"/>
  <c r="A1666" i="1"/>
  <c r="A1676" i="1"/>
  <c r="G1698" i="1"/>
  <c r="C1698" i="1"/>
  <c r="A1698" i="1"/>
  <c r="C1807" i="1"/>
  <c r="F1941" i="1"/>
  <c r="C1941" i="1"/>
  <c r="G1941" i="1"/>
  <c r="A1595" i="1"/>
  <c r="F1595" i="1"/>
  <c r="C1595" i="1"/>
  <c r="D1634" i="1"/>
  <c r="D1646" i="1"/>
  <c r="G1646" i="1"/>
  <c r="C1646" i="1"/>
  <c r="E1666" i="1"/>
  <c r="C1676" i="1"/>
  <c r="E1751" i="1"/>
  <c r="C1751" i="1"/>
  <c r="A1751" i="1"/>
  <c r="D1771" i="1"/>
  <c r="A1771" i="1"/>
  <c r="E1771" i="1"/>
  <c r="D1807" i="1"/>
  <c r="A1934" i="1"/>
  <c r="D1957" i="1"/>
  <c r="C1965" i="1"/>
  <c r="D1972" i="1"/>
  <c r="G1950" i="1"/>
  <c r="G1972" i="1"/>
  <c r="D1982" i="1"/>
  <c r="C1983" i="1"/>
  <c r="C1808" i="1"/>
  <c r="D1816" i="1"/>
  <c r="D1833" i="1"/>
  <c r="E1905" i="1"/>
  <c r="D1929" i="1"/>
  <c r="A1937" i="1"/>
  <c r="C1968" i="1"/>
  <c r="D1670" i="1"/>
  <c r="A1802" i="1"/>
  <c r="D1808" i="1"/>
  <c r="E1816" i="1"/>
  <c r="E1833" i="1"/>
  <c r="E1865" i="1"/>
  <c r="D1898" i="1"/>
  <c r="F1905" i="1"/>
  <c r="A1913" i="1"/>
  <c r="E1929" i="1"/>
  <c r="C1937" i="1"/>
  <c r="A1945" i="1"/>
  <c r="D1968" i="1"/>
  <c r="A1976" i="1"/>
  <c r="C1984" i="1"/>
  <c r="F1833" i="1"/>
  <c r="G1898" i="1"/>
  <c r="C1913" i="1"/>
  <c r="A1921" i="1"/>
  <c r="D1937" i="1"/>
  <c r="C1945" i="1"/>
  <c r="F1968" i="1"/>
  <c r="D1976" i="1"/>
  <c r="D1913" i="1"/>
  <c r="C1921" i="1"/>
  <c r="C1930" i="1"/>
  <c r="E1937" i="1"/>
  <c r="E1976" i="1"/>
  <c r="E1727" i="1"/>
  <c r="F1796" i="1"/>
  <c r="E1817" i="1"/>
  <c r="E1890" i="1"/>
  <c r="C1899" i="1"/>
  <c r="C1906" i="1"/>
  <c r="G1913" i="1"/>
  <c r="F1921" i="1"/>
  <c r="G1930" i="1"/>
  <c r="G1945" i="1"/>
  <c r="C1962" i="1"/>
  <c r="C1969" i="1"/>
  <c r="G1976" i="1"/>
  <c r="A1996" i="1"/>
  <c r="E1996" i="1"/>
  <c r="C1767" i="1"/>
  <c r="C1851" i="1"/>
  <c r="C1867" i="1"/>
  <c r="E1899" i="1"/>
  <c r="E1906" i="1"/>
  <c r="E1914" i="1"/>
  <c r="C1922" i="1"/>
  <c r="D1954" i="1"/>
  <c r="A1977" i="1"/>
  <c r="A1710" i="1"/>
  <c r="D1851" i="1"/>
  <c r="D1867" i="1"/>
  <c r="A1885" i="1"/>
  <c r="D1891" i="1"/>
  <c r="F1899" i="1"/>
  <c r="F1914" i="1"/>
  <c r="D1922" i="1"/>
  <c r="D1946" i="1"/>
  <c r="E1954" i="1"/>
  <c r="C1977" i="1"/>
  <c r="D1987" i="1"/>
  <c r="A1997" i="1"/>
  <c r="E1922" i="1"/>
  <c r="C1997" i="1"/>
  <c r="C1963" i="1"/>
  <c r="G1977" i="1"/>
  <c r="G1997" i="1"/>
  <c r="C1804" i="1"/>
  <c r="C1810" i="1"/>
  <c r="G1836" i="1"/>
  <c r="G1851" i="1"/>
  <c r="A1861" i="1"/>
  <c r="D1861" i="1"/>
  <c r="E1915" i="1"/>
  <c r="E1955" i="1"/>
  <c r="E1963" i="1"/>
  <c r="C1970" i="1"/>
  <c r="F1679" i="1"/>
  <c r="A1791" i="1"/>
  <c r="E1804" i="1"/>
  <c r="E1810" i="1"/>
  <c r="G1819" i="1"/>
  <c r="A1837" i="1"/>
  <c r="C1852" i="1"/>
  <c r="F1861" i="1"/>
  <c r="A1868" i="1"/>
  <c r="A1901" i="1"/>
  <c r="F1915" i="1"/>
  <c r="A1924" i="1"/>
  <c r="D1947" i="1"/>
  <c r="F1955" i="1"/>
  <c r="F1963" i="1"/>
  <c r="D1970" i="1"/>
  <c r="E1979" i="1"/>
  <c r="A1989" i="1"/>
  <c r="A1798" i="1"/>
  <c r="C1837" i="1"/>
  <c r="G1861" i="1"/>
  <c r="C1901" i="1"/>
  <c r="G1915" i="1"/>
  <c r="E1970" i="1"/>
  <c r="F1979" i="1"/>
  <c r="D1989" i="1"/>
  <c r="F1970" i="1"/>
  <c r="F1989" i="1"/>
  <c r="D1798" i="1"/>
  <c r="G1901" i="1"/>
  <c r="E1948" i="1"/>
  <c r="G1989" i="1"/>
  <c r="D1689" i="1"/>
  <c r="A1799" i="1"/>
  <c r="A1812" i="1"/>
  <c r="C1869" i="1"/>
  <c r="A1902" i="1"/>
  <c r="F1305" i="1"/>
  <c r="G1333" i="1"/>
  <c r="E1413" i="1"/>
  <c r="F1421" i="1"/>
  <c r="F1445" i="1"/>
  <c r="A1462" i="1"/>
  <c r="G1616" i="1"/>
  <c r="F1640" i="1"/>
  <c r="D1654" i="1"/>
  <c r="E1689" i="1"/>
  <c r="A1792" i="1"/>
  <c r="C1799" i="1"/>
  <c r="C1812" i="1"/>
  <c r="C1823" i="1"/>
  <c r="C1839" i="1"/>
  <c r="G1853" i="1"/>
  <c r="E1869" i="1"/>
  <c r="E1902" i="1"/>
  <c r="A1918" i="1"/>
  <c r="F1925" i="1"/>
  <c r="G1940" i="1"/>
  <c r="G1956" i="1"/>
  <c r="A2000" i="1"/>
  <c r="F1654" i="1"/>
  <c r="F1689" i="1"/>
  <c r="C1792" i="1"/>
  <c r="F1799" i="1"/>
  <c r="E1812" i="1"/>
  <c r="D1839" i="1"/>
  <c r="F1869" i="1"/>
  <c r="D1879" i="1"/>
  <c r="G1902" i="1"/>
  <c r="D1918" i="1"/>
  <c r="G1925" i="1"/>
  <c r="A1972" i="1"/>
  <c r="E1991" i="1"/>
  <c r="F2000" i="1"/>
  <c r="G1799" i="1"/>
  <c r="G1812" i="1"/>
  <c r="G1869" i="1"/>
  <c r="A1957" i="1"/>
  <c r="A1965" i="1"/>
  <c r="G11" i="1"/>
  <c r="C16" i="1"/>
  <c r="E16" i="1" s="1"/>
  <c r="G25" i="1"/>
  <c r="F35" i="1"/>
  <c r="D40" i="1"/>
  <c r="C45" i="1"/>
  <c r="E45" i="1" s="1"/>
  <c r="A70" i="1"/>
  <c r="D91" i="1"/>
  <c r="C119" i="1"/>
  <c r="E124" i="1"/>
  <c r="F130" i="1"/>
  <c r="C159" i="1"/>
  <c r="A159" i="1"/>
  <c r="F159" i="1"/>
  <c r="C178" i="1"/>
  <c r="D188" i="1"/>
  <c r="D207" i="1"/>
  <c r="E219" i="1"/>
  <c r="D261" i="1"/>
  <c r="A272" i="1"/>
  <c r="E290" i="1"/>
  <c r="C303" i="1"/>
  <c r="A309" i="1"/>
  <c r="G342" i="1"/>
  <c r="D396" i="1"/>
  <c r="C396" i="1"/>
  <c r="A396" i="1"/>
  <c r="A438" i="1"/>
  <c r="F446" i="1"/>
  <c r="E446" i="1"/>
  <c r="D446" i="1"/>
  <c r="C446" i="1"/>
  <c r="A446" i="1"/>
  <c r="G446" i="1"/>
  <c r="F453" i="1"/>
  <c r="C453" i="1"/>
  <c r="G453" i="1"/>
  <c r="A490" i="1"/>
  <c r="G585" i="1"/>
  <c r="F585" i="1"/>
  <c r="A585" i="1"/>
  <c r="D585" i="1"/>
  <c r="C585" i="1"/>
  <c r="E585" i="1"/>
  <c r="C637" i="1"/>
  <c r="E686" i="1"/>
  <c r="D686" i="1"/>
  <c r="C686" i="1"/>
  <c r="A686" i="1"/>
  <c r="G827" i="1"/>
  <c r="F834" i="1"/>
  <c r="E834" i="1"/>
  <c r="C834" i="1"/>
  <c r="A834" i="1"/>
  <c r="E991" i="1"/>
  <c r="A991" i="1"/>
  <c r="C991" i="1"/>
  <c r="D1103" i="1"/>
  <c r="G130" i="1"/>
  <c r="A454" i="1"/>
  <c r="F475" i="1"/>
  <c r="D475" i="1"/>
  <c r="C475" i="1"/>
  <c r="A475" i="1"/>
  <c r="E475" i="1"/>
  <c r="E501" i="1"/>
  <c r="D501" i="1"/>
  <c r="C501" i="1"/>
  <c r="A501" i="1"/>
  <c r="F606" i="1"/>
  <c r="E606" i="1"/>
  <c r="D606" i="1"/>
  <c r="C606" i="1"/>
  <c r="A606" i="1"/>
  <c r="E802" i="1"/>
  <c r="D802" i="1"/>
  <c r="C802" i="1"/>
  <c r="A802" i="1"/>
  <c r="F802" i="1"/>
  <c r="G802" i="1"/>
  <c r="G810" i="1"/>
  <c r="D810" i="1"/>
  <c r="C810" i="1"/>
  <c r="F810" i="1"/>
  <c r="A810" i="1"/>
  <c r="A314" i="1"/>
  <c r="D314" i="1"/>
  <c r="G349" i="1"/>
  <c r="D349" i="1"/>
  <c r="E357" i="1"/>
  <c r="D388" i="1"/>
  <c r="C388" i="1"/>
  <c r="A388" i="1"/>
  <c r="E454" i="1"/>
  <c r="G534" i="1"/>
  <c r="D534" i="1"/>
  <c r="E548" i="1"/>
  <c r="D548" i="1"/>
  <c r="C548" i="1"/>
  <c r="A548" i="1"/>
  <c r="F548" i="1"/>
  <c r="G548" i="1"/>
  <c r="D570" i="1"/>
  <c r="E637" i="1"/>
  <c r="C1103" i="1"/>
  <c r="A1103" i="1"/>
  <c r="F1103" i="1"/>
  <c r="E1103" i="1"/>
  <c r="E1499" i="1"/>
  <c r="D1499" i="1"/>
  <c r="C1499" i="1"/>
  <c r="A1499" i="1"/>
  <c r="F1499" i="1"/>
  <c r="G1499" i="1"/>
  <c r="A297" i="1"/>
  <c r="D297" i="1"/>
  <c r="G303" i="1"/>
  <c r="A549" i="1"/>
  <c r="F637" i="1"/>
  <c r="D687" i="1"/>
  <c r="G687" i="1"/>
  <c r="F687" i="1"/>
  <c r="A687" i="1"/>
  <c r="F695" i="1"/>
  <c r="C695" i="1"/>
  <c r="G272" i="1"/>
  <c r="F272" i="1"/>
  <c r="A570" i="1"/>
  <c r="F570" i="1"/>
  <c r="E570" i="1"/>
  <c r="C570" i="1"/>
  <c r="G645" i="1"/>
  <c r="F645" i="1"/>
  <c r="C645" i="1"/>
  <c r="A645" i="1"/>
  <c r="E645" i="1"/>
  <c r="D645" i="1"/>
  <c r="E671" i="1"/>
  <c r="D671" i="1"/>
  <c r="C671" i="1"/>
  <c r="A671" i="1"/>
  <c r="F671" i="1"/>
  <c r="G850" i="1"/>
  <c r="F850" i="1"/>
  <c r="E850" i="1"/>
  <c r="D850" i="1"/>
  <c r="C850" i="1"/>
  <c r="A850" i="1"/>
  <c r="C969" i="1"/>
  <c r="A969" i="1"/>
  <c r="E969" i="1"/>
  <c r="D969" i="1"/>
  <c r="E1506" i="1"/>
  <c r="D1506" i="1"/>
  <c r="C1506" i="1"/>
  <c r="A1506" i="1"/>
  <c r="G1506" i="1"/>
  <c r="F1506" i="1"/>
  <c r="F1531" i="1"/>
  <c r="E1531" i="1"/>
  <c r="D1531" i="1"/>
  <c r="C1531" i="1"/>
  <c r="A1531" i="1"/>
  <c r="G1531" i="1"/>
  <c r="A1558" i="1"/>
  <c r="F1558" i="1"/>
  <c r="E1558" i="1"/>
  <c r="D1558" i="1"/>
  <c r="C1558" i="1"/>
  <c r="A1935" i="1"/>
  <c r="D1935" i="1"/>
  <c r="C1935" i="1"/>
  <c r="G1935" i="1"/>
  <c r="F1935" i="1"/>
  <c r="E1935" i="1"/>
  <c r="G97" i="1"/>
  <c r="D103" i="1"/>
  <c r="D114" i="1"/>
  <c r="C114" i="1"/>
  <c r="A114" i="1"/>
  <c r="C125" i="1"/>
  <c r="D143" i="1"/>
  <c r="C154" i="1"/>
  <c r="G160" i="1"/>
  <c r="C189" i="1"/>
  <c r="D195" i="1"/>
  <c r="F214" i="1"/>
  <c r="D220" i="1"/>
  <c r="G225" i="1"/>
  <c r="E238" i="1"/>
  <c r="D298" i="1"/>
  <c r="E383" i="1"/>
  <c r="E398" i="1"/>
  <c r="E410" i="1"/>
  <c r="G425" i="1"/>
  <c r="C425" i="1"/>
  <c r="A425" i="1"/>
  <c r="F469" i="1"/>
  <c r="E549" i="1"/>
  <c r="D556" i="1"/>
  <c r="C556" i="1"/>
  <c r="A556" i="1"/>
  <c r="C742" i="1"/>
  <c r="A742" i="1"/>
  <c r="D742" i="1"/>
  <c r="D794" i="1"/>
  <c r="C794" i="1"/>
  <c r="A794" i="1"/>
  <c r="E794" i="1"/>
  <c r="E255" i="1"/>
  <c r="C255" i="1"/>
  <c r="A255" i="1"/>
  <c r="G131" i="1"/>
  <c r="F131" i="1"/>
  <c r="E131" i="1"/>
  <c r="E284" i="1"/>
  <c r="C284" i="1"/>
  <c r="A284" i="1"/>
  <c r="F383" i="1"/>
  <c r="A426" i="1"/>
  <c r="E476" i="1"/>
  <c r="A476" i="1"/>
  <c r="F638" i="1"/>
  <c r="E638" i="1"/>
  <c r="D638" i="1"/>
  <c r="C638" i="1"/>
  <c r="A638" i="1"/>
  <c r="F734" i="1"/>
  <c r="E734" i="1"/>
  <c r="A734" i="1"/>
  <c r="D734" i="1"/>
  <c r="C734" i="1"/>
  <c r="G734" i="1"/>
  <c r="E309" i="1"/>
  <c r="C309" i="1"/>
  <c r="E202" i="1"/>
  <c r="D202" i="1"/>
  <c r="C202" i="1"/>
  <c r="A202" i="1"/>
  <c r="C298" i="1"/>
  <c r="E298" i="1"/>
  <c r="A399" i="1"/>
  <c r="D484" i="1"/>
  <c r="D788" i="1"/>
  <c r="C788" i="1"/>
  <c r="A788" i="1"/>
  <c r="E788" i="1"/>
  <c r="F788" i="1"/>
  <c r="C812" i="1"/>
  <c r="A812" i="1"/>
  <c r="G812" i="1"/>
  <c r="F812" i="1"/>
  <c r="E812" i="1"/>
  <c r="D812" i="1"/>
  <c r="G977" i="1"/>
  <c r="F977" i="1"/>
  <c r="D977" i="1"/>
  <c r="C977" i="1"/>
  <c r="A977" i="1"/>
  <c r="E977" i="1"/>
  <c r="G1008" i="1"/>
  <c r="F1008" i="1"/>
  <c r="E1008" i="1"/>
  <c r="D1008" i="1"/>
  <c r="C1008" i="1"/>
  <c r="A1008" i="1"/>
  <c r="E1517" i="1"/>
  <c r="D1517" i="1"/>
  <c r="C1517" i="1"/>
  <c r="A1517" i="1"/>
  <c r="F1517" i="1"/>
  <c r="G1517" i="1"/>
  <c r="A168" i="1"/>
  <c r="E12" i="1"/>
  <c r="F17" i="1"/>
  <c r="D27" i="1"/>
  <c r="F41" i="1"/>
  <c r="D56" i="1"/>
  <c r="E98" i="1"/>
  <c r="E115" i="1"/>
  <c r="E120" i="1"/>
  <c r="D132" i="1"/>
  <c r="A139" i="1"/>
  <c r="C155" i="1"/>
  <c r="E168" i="1"/>
  <c r="E173" i="1"/>
  <c r="F179" i="1"/>
  <c r="A203" i="1"/>
  <c r="C215" i="1"/>
  <c r="C233" i="1"/>
  <c r="A233" i="1"/>
  <c r="D251" i="1"/>
  <c r="E274" i="1"/>
  <c r="D274" i="1"/>
  <c r="C274" i="1"/>
  <c r="A274" i="1"/>
  <c r="A280" i="1"/>
  <c r="D285" i="1"/>
  <c r="E316" i="1"/>
  <c r="C316" i="1"/>
  <c r="A316" i="1"/>
  <c r="G316" i="1"/>
  <c r="F316" i="1"/>
  <c r="D316" i="1"/>
  <c r="D337" i="1"/>
  <c r="A351" i="1"/>
  <c r="D351" i="1"/>
  <c r="E371" i="1"/>
  <c r="A384" i="1"/>
  <c r="C390" i="1"/>
  <c r="D399" i="1"/>
  <c r="F426" i="1"/>
  <c r="F433" i="1"/>
  <c r="D463" i="1"/>
  <c r="C463" i="1"/>
  <c r="A463" i="1"/>
  <c r="E463" i="1"/>
  <c r="C470" i="1"/>
  <c r="E484" i="1"/>
  <c r="C550" i="1"/>
  <c r="A600" i="1"/>
  <c r="E600" i="1"/>
  <c r="G600" i="1"/>
  <c r="F600" i="1"/>
  <c r="D600" i="1"/>
  <c r="D681" i="1"/>
  <c r="F728" i="1"/>
  <c r="E735" i="1"/>
  <c r="F780" i="1"/>
  <c r="E780" i="1"/>
  <c r="D780" i="1"/>
  <c r="C780" i="1"/>
  <c r="A780" i="1"/>
  <c r="G780" i="1"/>
  <c r="A789" i="1"/>
  <c r="C963" i="1"/>
  <c r="A970" i="1"/>
  <c r="G970" i="1"/>
  <c r="E46" i="1"/>
  <c r="D51" i="1"/>
  <c r="D61" i="1"/>
  <c r="C66" i="1"/>
  <c r="C81" i="1"/>
  <c r="E81" i="1" s="1"/>
  <c r="A81" i="1"/>
  <c r="G17" i="1"/>
  <c r="F22" i="1"/>
  <c r="F46" i="1"/>
  <c r="E92" i="1"/>
  <c r="F98" i="1"/>
  <c r="E109" i="1"/>
  <c r="D109" i="1"/>
  <c r="C109" i="1"/>
  <c r="A109" i="1"/>
  <c r="F115" i="1"/>
  <c r="F120" i="1"/>
  <c r="A126" i="1"/>
  <c r="E132" i="1"/>
  <c r="C139" i="1"/>
  <c r="A144" i="1"/>
  <c r="D155" i="1"/>
  <c r="F168" i="1"/>
  <c r="F173" i="1"/>
  <c r="G179" i="1"/>
  <c r="C203" i="1"/>
  <c r="E215" i="1"/>
  <c r="E251" i="1"/>
  <c r="C280" i="1"/>
  <c r="E337" i="1"/>
  <c r="F371" i="1"/>
  <c r="C376" i="1"/>
  <c r="A376" i="1"/>
  <c r="E390" i="1"/>
  <c r="E399" i="1"/>
  <c r="C419" i="1"/>
  <c r="A419" i="1"/>
  <c r="D419" i="1"/>
  <c r="G426" i="1"/>
  <c r="F448" i="1"/>
  <c r="G448" i="1"/>
  <c r="C448" i="1"/>
  <c r="D470" i="1"/>
  <c r="F484" i="1"/>
  <c r="C516" i="1"/>
  <c r="A516" i="1"/>
  <c r="G516" i="1"/>
  <c r="D516" i="1"/>
  <c r="D550" i="1"/>
  <c r="D588" i="1"/>
  <c r="C588" i="1"/>
  <c r="A588" i="1"/>
  <c r="G588" i="1"/>
  <c r="G617" i="1"/>
  <c r="F617" i="1"/>
  <c r="F681" i="1"/>
  <c r="C789" i="1"/>
  <c r="C918" i="1"/>
  <c r="D963" i="1"/>
  <c r="G328" i="1"/>
  <c r="E328" i="1"/>
  <c r="D328" i="1"/>
  <c r="C328" i="1"/>
  <c r="A328" i="1"/>
  <c r="F167" i="1"/>
  <c r="E167" i="1"/>
  <c r="D167" i="1"/>
  <c r="C167" i="1"/>
  <c r="A167" i="1"/>
  <c r="D22" i="1"/>
  <c r="G98" i="1"/>
  <c r="G132" i="1"/>
  <c r="E155" i="1"/>
  <c r="G227" i="1"/>
  <c r="F227" i="1"/>
  <c r="E227" i="1"/>
  <c r="A227" i="1"/>
  <c r="D227" i="1"/>
  <c r="C227" i="1"/>
  <c r="G359" i="1"/>
  <c r="E359" i="1"/>
  <c r="D359" i="1"/>
  <c r="C359" i="1"/>
  <c r="A359" i="1"/>
  <c r="A433" i="1"/>
  <c r="D433" i="1"/>
  <c r="G484" i="1"/>
  <c r="E572" i="1"/>
  <c r="A572" i="1"/>
  <c r="G572" i="1"/>
  <c r="C572" i="1"/>
  <c r="D572" i="1"/>
  <c r="E728" i="1"/>
  <c r="C728" i="1"/>
  <c r="A728" i="1"/>
  <c r="D728" i="1"/>
  <c r="F735" i="1"/>
  <c r="A735" i="1"/>
  <c r="D789" i="1"/>
  <c r="G821" i="1"/>
  <c r="F821" i="1"/>
  <c r="E821" i="1"/>
  <c r="D821" i="1"/>
  <c r="C821" i="1"/>
  <c r="A821" i="1"/>
  <c r="F399" i="1"/>
  <c r="C399" i="1"/>
  <c r="G558" i="1"/>
  <c r="D558" i="1"/>
  <c r="F558" i="1"/>
  <c r="E558" i="1"/>
  <c r="C558" i="1"/>
  <c r="A558" i="1"/>
  <c r="A681" i="1"/>
  <c r="E681" i="1"/>
  <c r="G690" i="1"/>
  <c r="C690" i="1"/>
  <c r="F690" i="1"/>
  <c r="E690" i="1"/>
  <c r="A690" i="1"/>
  <c r="G918" i="1"/>
  <c r="F918" i="1"/>
  <c r="E918" i="1"/>
  <c r="A918" i="1"/>
  <c r="G209" i="1"/>
  <c r="E209" i="1"/>
  <c r="D209" i="1"/>
  <c r="A209" i="1"/>
  <c r="F280" i="1"/>
  <c r="E323" i="1"/>
  <c r="F384" i="1"/>
  <c r="E384" i="1"/>
  <c r="F413" i="1"/>
  <c r="E457" i="1"/>
  <c r="D492" i="1"/>
  <c r="C492" i="1"/>
  <c r="A492" i="1"/>
  <c r="G492" i="1"/>
  <c r="F492" i="1"/>
  <c r="F543" i="1"/>
  <c r="A721" i="1"/>
  <c r="F721" i="1"/>
  <c r="E721" i="1"/>
  <c r="D721" i="1"/>
  <c r="C721" i="1"/>
  <c r="F736" i="1"/>
  <c r="E736" i="1"/>
  <c r="D736" i="1"/>
  <c r="C736" i="1"/>
  <c r="A736" i="1"/>
  <c r="F789" i="1"/>
  <c r="G904" i="1"/>
  <c r="F904" i="1"/>
  <c r="C904" i="1"/>
  <c r="E904" i="1"/>
  <c r="G1010" i="1"/>
  <c r="F1010" i="1"/>
  <c r="E1010" i="1"/>
  <c r="D1010" i="1"/>
  <c r="A1010" i="1"/>
  <c r="C1010" i="1"/>
  <c r="F1159" i="1"/>
  <c r="D1159" i="1"/>
  <c r="A1159" i="1"/>
  <c r="G1159" i="1"/>
  <c r="E1159" i="1"/>
  <c r="C1159" i="1"/>
  <c r="G126" i="1"/>
  <c r="F133" i="1"/>
  <c r="E133" i="1"/>
  <c r="D133" i="1"/>
  <c r="C133" i="1"/>
  <c r="A133" i="1"/>
  <c r="F144" i="1"/>
  <c r="E190" i="1"/>
  <c r="G190" i="1"/>
  <c r="A210" i="1"/>
  <c r="A269" i="1"/>
  <c r="D292" i="1"/>
  <c r="A292" i="1"/>
  <c r="G292" i="1"/>
  <c r="G366" i="1"/>
  <c r="D366" i="1"/>
  <c r="E366" i="1"/>
  <c r="C366" i="1"/>
  <c r="A366" i="1"/>
  <c r="E440" i="1"/>
  <c r="D440" i="1"/>
  <c r="C440" i="1"/>
  <c r="A440" i="1"/>
  <c r="F440" i="1"/>
  <c r="D524" i="1"/>
  <c r="C524" i="1"/>
  <c r="A524" i="1"/>
  <c r="E524" i="1"/>
  <c r="F524" i="1"/>
  <c r="G589" i="1"/>
  <c r="F589" i="1"/>
  <c r="E589" i="1"/>
  <c r="D618" i="1"/>
  <c r="C618" i="1"/>
  <c r="F618" i="1"/>
  <c r="F357" i="1"/>
  <c r="C357" i="1"/>
  <c r="A357" i="1"/>
  <c r="G60" i="1"/>
  <c r="G398" i="1"/>
  <c r="D398" i="1"/>
  <c r="A398" i="1"/>
  <c r="E962" i="1"/>
  <c r="D962" i="1"/>
  <c r="F962" i="1"/>
  <c r="C962" i="1"/>
  <c r="A962" i="1"/>
  <c r="D197" i="1"/>
  <c r="C197" i="1"/>
  <c r="A197" i="1"/>
  <c r="G457" i="1"/>
  <c r="C457" i="1"/>
  <c r="A457" i="1"/>
  <c r="D543" i="1"/>
  <c r="C543" i="1"/>
  <c r="A543" i="1"/>
  <c r="E595" i="1"/>
  <c r="D595" i="1"/>
  <c r="G595" i="1"/>
  <c r="F595" i="1"/>
  <c r="C595" i="1"/>
  <c r="F722" i="1"/>
  <c r="E722" i="1"/>
  <c r="D722" i="1"/>
  <c r="C722" i="1"/>
  <c r="A722" i="1"/>
  <c r="E1210" i="1"/>
  <c r="C1210" i="1"/>
  <c r="A1210" i="1"/>
  <c r="G1210" i="1"/>
  <c r="F1210" i="1"/>
  <c r="D1210" i="1"/>
  <c r="G195" i="1"/>
  <c r="F195" i="1"/>
  <c r="A195" i="1"/>
  <c r="F18" i="1"/>
  <c r="E23" i="1"/>
  <c r="D28" i="1"/>
  <c r="A33" i="1"/>
  <c r="F42" i="1"/>
  <c r="E47" i="1"/>
  <c r="D52" i="1"/>
  <c r="D57" i="1"/>
  <c r="F67" i="1"/>
  <c r="E72" i="1"/>
  <c r="C88" i="1"/>
  <c r="E88" i="1" s="1"/>
  <c r="D100" i="1"/>
  <c r="D105" i="1"/>
  <c r="F116" i="1"/>
  <c r="F121" i="1"/>
  <c r="D127" i="1"/>
  <c r="C134" i="1"/>
  <c r="A145" i="1"/>
  <c r="C150" i="1"/>
  <c r="C163" i="1"/>
  <c r="E169" i="1"/>
  <c r="F174" i="1"/>
  <c r="G180" i="1"/>
  <c r="A198" i="1"/>
  <c r="D210" i="1"/>
  <c r="G228" i="1"/>
  <c r="C240" i="1"/>
  <c r="E264" i="1"/>
  <c r="E269" i="1"/>
  <c r="C293" i="1"/>
  <c r="F331" i="1"/>
  <c r="F338" i="1"/>
  <c r="A353" i="1"/>
  <c r="G353" i="1"/>
  <c r="E353" i="1"/>
  <c r="D353" i="1"/>
  <c r="C353" i="1"/>
  <c r="C367" i="1"/>
  <c r="C378" i="1"/>
  <c r="F392" i="1"/>
  <c r="E392" i="1"/>
  <c r="D392" i="1"/>
  <c r="C392" i="1"/>
  <c r="A392" i="1"/>
  <c r="G392" i="1"/>
  <c r="A458" i="1"/>
  <c r="D525" i="1"/>
  <c r="A544" i="1"/>
  <c r="E649" i="1"/>
  <c r="D655" i="1"/>
  <c r="F674" i="1"/>
  <c r="E674" i="1"/>
  <c r="D674" i="1"/>
  <c r="C674" i="1"/>
  <c r="A674" i="1"/>
  <c r="E775" i="1"/>
  <c r="D882" i="1"/>
  <c r="G1345" i="1"/>
  <c r="E1345" i="1"/>
  <c r="D1345" i="1"/>
  <c r="C1345" i="1"/>
  <c r="A1345" i="1"/>
  <c r="F1345" i="1"/>
  <c r="F23" i="1"/>
  <c r="F47" i="1"/>
  <c r="E52" i="1"/>
  <c r="E57" i="1"/>
  <c r="F72" i="1"/>
  <c r="F77" i="1"/>
  <c r="C83" i="1"/>
  <c r="E83" i="1" s="1"/>
  <c r="D88" i="1"/>
  <c r="E100" i="1"/>
  <c r="E105" i="1"/>
  <c r="G116" i="1"/>
  <c r="E127" i="1"/>
  <c r="D134" i="1"/>
  <c r="C145" i="1"/>
  <c r="D150" i="1"/>
  <c r="D163" i="1"/>
  <c r="G169" i="1"/>
  <c r="G174" i="1"/>
  <c r="D192" i="1"/>
  <c r="C198" i="1"/>
  <c r="F210" i="1"/>
  <c r="D240" i="1"/>
  <c r="D246" i="1"/>
  <c r="A246" i="1"/>
  <c r="C246" i="1"/>
  <c r="F269" i="1"/>
  <c r="A276" i="1"/>
  <c r="D293" i="1"/>
  <c r="A312" i="1"/>
  <c r="D367" i="1"/>
  <c r="E378" i="1"/>
  <c r="A393" i="1"/>
  <c r="F406" i="1"/>
  <c r="F414" i="1"/>
  <c r="E414" i="1"/>
  <c r="D414" i="1"/>
  <c r="C414" i="1"/>
  <c r="A414" i="1"/>
  <c r="D458" i="1"/>
  <c r="E525" i="1"/>
  <c r="D581" i="1"/>
  <c r="F775" i="1"/>
  <c r="G782" i="1"/>
  <c r="F782" i="1"/>
  <c r="A782" i="1"/>
  <c r="D876" i="1"/>
  <c r="F882" i="1"/>
  <c r="F57" i="1"/>
  <c r="E67" i="1"/>
  <c r="D67" i="1"/>
  <c r="G72" i="1"/>
  <c r="D83" i="1"/>
  <c r="E134" i="1"/>
  <c r="E192" i="1"/>
  <c r="D198" i="1"/>
  <c r="G210" i="1"/>
  <c r="A229" i="1"/>
  <c r="D258" i="1"/>
  <c r="F264" i="1"/>
  <c r="D264" i="1"/>
  <c r="C264" i="1"/>
  <c r="A264" i="1"/>
  <c r="G269" i="1"/>
  <c r="D276" i="1"/>
  <c r="C312" i="1"/>
  <c r="A331" i="1"/>
  <c r="C331" i="1"/>
  <c r="E338" i="1"/>
  <c r="A338" i="1"/>
  <c r="F367" i="1"/>
  <c r="A415" i="1"/>
  <c r="A421" i="1"/>
  <c r="E458" i="1"/>
  <c r="G649" i="1"/>
  <c r="A649" i="1"/>
  <c r="A667" i="1"/>
  <c r="A699" i="1"/>
  <c r="E699" i="1"/>
  <c r="D699" i="1"/>
  <c r="C699" i="1"/>
  <c r="F699" i="1"/>
  <c r="D783" i="1"/>
  <c r="G783" i="1"/>
  <c r="F783" i="1"/>
  <c r="E783" i="1"/>
  <c r="C783" i="1"/>
  <c r="A783" i="1"/>
  <c r="G949" i="1"/>
  <c r="F949" i="1"/>
  <c r="E949" i="1"/>
  <c r="D949" i="1"/>
  <c r="A949" i="1"/>
  <c r="C1151" i="1"/>
  <c r="A1151" i="1"/>
  <c r="E1151" i="1"/>
  <c r="D1151" i="1"/>
  <c r="F1151" i="1"/>
  <c r="C127" i="1"/>
  <c r="A127" i="1"/>
  <c r="G127" i="1"/>
  <c r="G163" i="1"/>
  <c r="F163" i="1"/>
  <c r="A163" i="1"/>
  <c r="G240" i="1"/>
  <c r="F240" i="1"/>
  <c r="E258" i="1"/>
  <c r="F293" i="1"/>
  <c r="G293" i="1"/>
  <c r="F306" i="1"/>
  <c r="E306" i="1"/>
  <c r="D306" i="1"/>
  <c r="C306" i="1"/>
  <c r="A306" i="1"/>
  <c r="C332" i="1"/>
  <c r="A406" i="1"/>
  <c r="E406" i="1"/>
  <c r="D406" i="1"/>
  <c r="C406" i="1"/>
  <c r="D421" i="1"/>
  <c r="F525" i="1"/>
  <c r="A525" i="1"/>
  <c r="G581" i="1"/>
  <c r="F581" i="1"/>
  <c r="C581" i="1"/>
  <c r="A581" i="1"/>
  <c r="C775" i="1"/>
  <c r="A775" i="1"/>
  <c r="E882" i="1"/>
  <c r="A882" i="1"/>
  <c r="F83" i="1"/>
  <c r="C100" i="1"/>
  <c r="A100" i="1"/>
  <c r="E145" i="1"/>
  <c r="D145" i="1"/>
  <c r="A150" i="1"/>
  <c r="G150" i="1"/>
  <c r="F157" i="1"/>
  <c r="F198" i="1"/>
  <c r="D229" i="1"/>
  <c r="F258" i="1"/>
  <c r="F276" i="1"/>
  <c r="E312" i="1"/>
  <c r="F332" i="1"/>
  <c r="A378" i="1"/>
  <c r="D378" i="1"/>
  <c r="G393" i="1"/>
  <c r="F393" i="1"/>
  <c r="C393" i="1"/>
  <c r="D415" i="1"/>
  <c r="E421" i="1"/>
  <c r="D428" i="1"/>
  <c r="C428" i="1"/>
  <c r="A428" i="1"/>
  <c r="G428" i="1"/>
  <c r="G458" i="1"/>
  <c r="E512" i="1"/>
  <c r="F544" i="1"/>
  <c r="D544" i="1"/>
  <c r="A603" i="1"/>
  <c r="E603" i="1"/>
  <c r="D603" i="1"/>
  <c r="C603" i="1"/>
  <c r="F603" i="1"/>
  <c r="E650" i="1"/>
  <c r="E661" i="1"/>
  <c r="D661" i="1"/>
  <c r="C661" i="1"/>
  <c r="A661" i="1"/>
  <c r="G661" i="1"/>
  <c r="F667" i="1"/>
  <c r="C700" i="1"/>
  <c r="C716" i="1"/>
  <c r="E832" i="1"/>
  <c r="F839" i="1"/>
  <c r="G876" i="1"/>
  <c r="D883" i="1"/>
  <c r="C941" i="1"/>
  <c r="G128" i="1"/>
  <c r="F128" i="1"/>
  <c r="E128" i="1"/>
  <c r="D128" i="1"/>
  <c r="C128" i="1"/>
  <c r="C192" i="1"/>
  <c r="A192" i="1"/>
  <c r="G241" i="1"/>
  <c r="E241" i="1"/>
  <c r="D241" i="1"/>
  <c r="C241" i="1"/>
  <c r="A241" i="1"/>
  <c r="G276" i="1"/>
  <c r="F287" i="1"/>
  <c r="D287" i="1"/>
  <c r="C287" i="1"/>
  <c r="A287" i="1"/>
  <c r="G287" i="1"/>
  <c r="G294" i="1"/>
  <c r="F294" i="1"/>
  <c r="E294" i="1"/>
  <c r="D294" i="1"/>
  <c r="C294" i="1"/>
  <c r="G361" i="1"/>
  <c r="C361" i="1"/>
  <c r="A361" i="1"/>
  <c r="F361" i="1"/>
  <c r="F415" i="1"/>
  <c r="D435" i="1"/>
  <c r="C435" i="1"/>
  <c r="A435" i="1"/>
  <c r="F435" i="1"/>
  <c r="D465" i="1"/>
  <c r="A465" i="1"/>
  <c r="G472" i="1"/>
  <c r="F472" i="1"/>
  <c r="E472" i="1"/>
  <c r="D472" i="1"/>
  <c r="C472" i="1"/>
  <c r="A472" i="1"/>
  <c r="F650" i="1"/>
  <c r="D700" i="1"/>
  <c r="E716" i="1"/>
  <c r="E760" i="1"/>
  <c r="A760" i="1"/>
  <c r="F760" i="1"/>
  <c r="D760" i="1"/>
  <c r="C760" i="1"/>
  <c r="G760" i="1"/>
  <c r="F832" i="1"/>
  <c r="G21" i="1"/>
  <c r="F21" i="1"/>
  <c r="E157" i="1"/>
  <c r="D157" i="1"/>
  <c r="C157" i="1"/>
  <c r="A157" i="1"/>
  <c r="C258" i="1"/>
  <c r="A258" i="1"/>
  <c r="D332" i="1"/>
  <c r="A332" i="1"/>
  <c r="E332" i="1"/>
  <c r="F421" i="1"/>
  <c r="C421" i="1"/>
  <c r="C451" i="1"/>
  <c r="A451" i="1"/>
  <c r="F451" i="1"/>
  <c r="E451" i="1"/>
  <c r="D451" i="1"/>
  <c r="F512" i="1"/>
  <c r="C512" i="1"/>
  <c r="A512" i="1"/>
  <c r="D512" i="1"/>
  <c r="G519" i="1"/>
  <c r="F519" i="1"/>
  <c r="E519" i="1"/>
  <c r="D519" i="1"/>
  <c r="C519" i="1"/>
  <c r="E561" i="1"/>
  <c r="D561" i="1"/>
  <c r="C561" i="1"/>
  <c r="A561" i="1"/>
  <c r="F561" i="1"/>
  <c r="F575" i="1"/>
  <c r="E575" i="1"/>
  <c r="D575" i="1"/>
  <c r="C575" i="1"/>
  <c r="A575" i="1"/>
  <c r="E667" i="1"/>
  <c r="C667" i="1"/>
  <c r="E839" i="1"/>
  <c r="D839" i="1"/>
  <c r="A839" i="1"/>
  <c r="C883" i="1"/>
  <c r="G883" i="1"/>
  <c r="F883" i="1"/>
  <c r="A883" i="1"/>
  <c r="A941" i="1"/>
  <c r="G941" i="1"/>
  <c r="F941" i="1"/>
  <c r="E941" i="1"/>
  <c r="E952" i="1"/>
  <c r="F952" i="1"/>
  <c r="G952" i="1"/>
  <c r="D952" i="1"/>
  <c r="A952" i="1"/>
  <c r="D168" i="1"/>
  <c r="C168" i="1"/>
  <c r="C10" i="1"/>
  <c r="E10" i="1" s="1"/>
  <c r="D650" i="1"/>
  <c r="C650" i="1"/>
  <c r="D716" i="1"/>
  <c r="A716" i="1"/>
  <c r="G716" i="1"/>
  <c r="A832" i="1"/>
  <c r="C832" i="1"/>
  <c r="G884" i="1"/>
  <c r="E884" i="1"/>
  <c r="F884" i="1"/>
  <c r="D884" i="1"/>
  <c r="C884" i="1"/>
  <c r="A884" i="1"/>
  <c r="C207" i="1"/>
  <c r="A207" i="1"/>
  <c r="E55" i="1"/>
  <c r="E469" i="1"/>
  <c r="D469" i="1"/>
  <c r="C469" i="1"/>
  <c r="A469" i="1"/>
  <c r="F19" i="1"/>
  <c r="F43" i="1"/>
  <c r="D53" i="1"/>
  <c r="F58" i="1"/>
  <c r="F68" i="1"/>
  <c r="E73" i="1"/>
  <c r="D10" i="1"/>
  <c r="A15" i="1"/>
  <c r="C34" i="1"/>
  <c r="E34" i="1" s="1"/>
  <c r="F73" i="1"/>
  <c r="G78" i="1"/>
  <c r="D89" i="1"/>
  <c r="E106" i="1"/>
  <c r="A112" i="1"/>
  <c r="D129" i="1"/>
  <c r="E135" i="1"/>
  <c r="D141" i="1"/>
  <c r="E151" i="1"/>
  <c r="C158" i="1"/>
  <c r="G164" i="1"/>
  <c r="C187" i="1"/>
  <c r="D199" i="1"/>
  <c r="E205" i="1"/>
  <c r="A230" i="1"/>
  <c r="E248" i="1"/>
  <c r="F253" i="1"/>
  <c r="G259" i="1"/>
  <c r="F259" i="1"/>
  <c r="E259" i="1"/>
  <c r="D259" i="1"/>
  <c r="A259" i="1"/>
  <c r="F270" i="1"/>
  <c r="D288" i="1"/>
  <c r="D295" i="1"/>
  <c r="G307" i="1"/>
  <c r="A313" i="1"/>
  <c r="A416" i="1"/>
  <c r="E527" i="1"/>
  <c r="D527" i="1"/>
  <c r="C527" i="1"/>
  <c r="A527" i="1"/>
  <c r="F527" i="1"/>
  <c r="F604" i="1"/>
  <c r="E604" i="1"/>
  <c r="A604" i="1"/>
  <c r="D58" i="1"/>
  <c r="C58" i="1"/>
  <c r="E58" i="1" s="1"/>
  <c r="C347" i="1"/>
  <c r="A347" i="1"/>
  <c r="F576" i="1"/>
  <c r="G576" i="1"/>
  <c r="E576" i="1"/>
  <c r="D576" i="1"/>
  <c r="G825" i="1"/>
  <c r="F825" i="1"/>
  <c r="A825" i="1"/>
  <c r="C825" i="1"/>
  <c r="A20" i="1"/>
  <c r="A54" i="1"/>
  <c r="A59" i="1"/>
  <c r="A69" i="1"/>
  <c r="A74" i="1"/>
  <c r="A79" i="1"/>
  <c r="G89" i="1"/>
  <c r="A96" i="1"/>
  <c r="E112" i="1"/>
  <c r="F129" i="1"/>
  <c r="G135" i="1"/>
  <c r="F141" i="1"/>
  <c r="F158" i="1"/>
  <c r="A165" i="1"/>
  <c r="E182" i="1"/>
  <c r="E187" i="1"/>
  <c r="E223" i="1"/>
  <c r="C223" i="1"/>
  <c r="A223" i="1"/>
  <c r="D230" i="1"/>
  <c r="D260" i="1"/>
  <c r="C266" i="1"/>
  <c r="A271" i="1"/>
  <c r="G288" i="1"/>
  <c r="A302" i="1"/>
  <c r="A308" i="1"/>
  <c r="E313" i="1"/>
  <c r="E326" i="1"/>
  <c r="E341" i="1"/>
  <c r="C341" i="1"/>
  <c r="D341" i="1"/>
  <c r="A341" i="1"/>
  <c r="C348" i="1"/>
  <c r="A422" i="1"/>
  <c r="G422" i="1"/>
  <c r="D422" i="1"/>
  <c r="D443" i="1"/>
  <c r="A443" i="1"/>
  <c r="F452" i="1"/>
  <c r="E495" i="1"/>
  <c r="E506" i="1"/>
  <c r="G520" i="1"/>
  <c r="C520" i="1"/>
  <c r="F520" i="1"/>
  <c r="A598" i="1"/>
  <c r="E643" i="1"/>
  <c r="A892" i="1"/>
  <c r="G898" i="1"/>
  <c r="E898" i="1"/>
  <c r="D898" i="1"/>
  <c r="F898" i="1"/>
  <c r="C898" i="1"/>
  <c r="A898" i="1"/>
  <c r="D214" i="1"/>
  <c r="A214" i="1"/>
  <c r="C214" i="1"/>
  <c r="D98" i="1"/>
  <c r="C323" i="1"/>
  <c r="G323" i="1"/>
  <c r="G53" i="1"/>
  <c r="F53" i="1"/>
  <c r="C95" i="1"/>
  <c r="E95" i="1"/>
  <c r="D95" i="1"/>
  <c r="A95" i="1"/>
  <c r="F10" i="1"/>
  <c r="C20" i="1"/>
  <c r="E20" i="1" s="1"/>
  <c r="A25" i="1"/>
  <c r="D49" i="1"/>
  <c r="C54" i="1"/>
  <c r="E54" i="1" s="1"/>
  <c r="C59" i="1"/>
  <c r="E59" i="1" s="1"/>
  <c r="A64" i="1"/>
  <c r="D69" i="1"/>
  <c r="C74" i="1"/>
  <c r="E74" i="1" s="1"/>
  <c r="C79" i="1"/>
  <c r="C96" i="1"/>
  <c r="A107" i="1"/>
  <c r="F112" i="1"/>
  <c r="G141" i="1"/>
  <c r="C165" i="1"/>
  <c r="F182" i="1"/>
  <c r="F187" i="1"/>
  <c r="F199" i="1"/>
  <c r="A199" i="1"/>
  <c r="C205" i="1"/>
  <c r="D205" i="1"/>
  <c r="A224" i="1"/>
  <c r="E230" i="1"/>
  <c r="C248" i="1"/>
  <c r="A248" i="1"/>
  <c r="E260" i="1"/>
  <c r="D266" i="1"/>
  <c r="C271" i="1"/>
  <c r="C302" i="1"/>
  <c r="D308" i="1"/>
  <c r="F313" i="1"/>
  <c r="F326" i="1"/>
  <c r="A342" i="1"/>
  <c r="D348" i="1"/>
  <c r="C356" i="1"/>
  <c r="D408" i="1"/>
  <c r="F416" i="1"/>
  <c r="G416" i="1"/>
  <c r="E416" i="1"/>
  <c r="C444" i="1"/>
  <c r="F495" i="1"/>
  <c r="F506" i="1"/>
  <c r="A513" i="1"/>
  <c r="G513" i="1"/>
  <c r="C598" i="1"/>
  <c r="E629" i="1"/>
  <c r="D629" i="1"/>
  <c r="C629" i="1"/>
  <c r="A629" i="1"/>
  <c r="F629" i="1"/>
  <c r="G629" i="1"/>
  <c r="F643" i="1"/>
  <c r="E694" i="1"/>
  <c r="F769" i="1"/>
  <c r="E769" i="1"/>
  <c r="D769" i="1"/>
  <c r="C769" i="1"/>
  <c r="A769" i="1"/>
  <c r="G769" i="1"/>
  <c r="F826" i="1"/>
  <c r="E826" i="1"/>
  <c r="D826" i="1"/>
  <c r="C826" i="1"/>
  <c r="A826" i="1"/>
  <c r="D26" i="1"/>
  <c r="C26" i="1"/>
  <c r="E26" i="1" s="1"/>
  <c r="F154" i="1"/>
  <c r="E154" i="1"/>
  <c r="D154" i="1"/>
  <c r="F549" i="1"/>
  <c r="C549" i="1"/>
  <c r="E138" i="1"/>
  <c r="D138" i="1"/>
  <c r="C138" i="1"/>
  <c r="A138" i="1"/>
  <c r="E413" i="1"/>
  <c r="D413" i="1"/>
  <c r="C413" i="1"/>
  <c r="A413" i="1"/>
  <c r="D96" i="1"/>
  <c r="C107" i="1"/>
  <c r="G112" i="1"/>
  <c r="A136" i="1"/>
  <c r="F152" i="1"/>
  <c r="E152" i="1"/>
  <c r="D152" i="1"/>
  <c r="C152" i="1"/>
  <c r="A152" i="1"/>
  <c r="D165" i="1"/>
  <c r="G187" i="1"/>
  <c r="D212" i="1"/>
  <c r="C212" i="1"/>
  <c r="A212" i="1"/>
  <c r="C224" i="1"/>
  <c r="G230" i="1"/>
  <c r="E243" i="1"/>
  <c r="E266" i="1"/>
  <c r="D271" i="1"/>
  <c r="A289" i="1"/>
  <c r="G289" i="1"/>
  <c r="F289" i="1"/>
  <c r="E289" i="1"/>
  <c r="D289" i="1"/>
  <c r="C289" i="1"/>
  <c r="E308" i="1"/>
  <c r="G313" i="1"/>
  <c r="C342" i="1"/>
  <c r="D356" i="1"/>
  <c r="C417" i="1"/>
  <c r="D598" i="1"/>
  <c r="F694" i="1"/>
  <c r="A770" i="1"/>
  <c r="A827" i="1"/>
  <c r="D892" i="1"/>
  <c r="G892" i="1"/>
  <c r="F892" i="1"/>
  <c r="E892" i="1"/>
  <c r="F1116" i="1"/>
  <c r="E1116" i="1"/>
  <c r="D1116" i="1"/>
  <c r="C1116" i="1"/>
  <c r="G1116" i="1"/>
  <c r="A1116" i="1"/>
  <c r="D35" i="1"/>
  <c r="A410" i="1"/>
  <c r="G410" i="1"/>
  <c r="D410" i="1"/>
  <c r="D371" i="1"/>
  <c r="C371" i="1"/>
  <c r="A371" i="1"/>
  <c r="E66" i="1"/>
  <c r="E162" i="1"/>
  <c r="D162" i="1"/>
  <c r="C162" i="1"/>
  <c r="A162" i="1"/>
  <c r="G345" i="1"/>
  <c r="F345" i="1"/>
  <c r="E345" i="1"/>
  <c r="D345" i="1"/>
  <c r="C345" i="1"/>
  <c r="A345" i="1"/>
  <c r="D54" i="1"/>
  <c r="D59" i="1"/>
  <c r="C64" i="1"/>
  <c r="E64" i="1" s="1"/>
  <c r="D74" i="1"/>
  <c r="D79" i="1"/>
  <c r="A11" i="1"/>
  <c r="D25" i="1"/>
  <c r="F49" i="1"/>
  <c r="D64" i="1"/>
  <c r="F69" i="1"/>
  <c r="E79" i="1"/>
  <c r="F90" i="1"/>
  <c r="G90" i="1"/>
  <c r="D90" i="1"/>
  <c r="C90" i="1"/>
  <c r="E90" i="1" s="1"/>
  <c r="E96" i="1"/>
  <c r="D107" i="1"/>
  <c r="A124" i="1"/>
  <c r="A130" i="1"/>
  <c r="D159" i="1"/>
  <c r="A182" i="1"/>
  <c r="C182" i="1"/>
  <c r="E224" i="1"/>
  <c r="A260" i="1"/>
  <c r="G260" i="1"/>
  <c r="A290" i="1"/>
  <c r="A326" i="1"/>
  <c r="D326" i="1"/>
  <c r="D342" i="1"/>
  <c r="E348" i="1"/>
  <c r="A348" i="1"/>
  <c r="F348" i="1"/>
  <c r="E356" i="1"/>
  <c r="E396" i="1"/>
  <c r="E417" i="1"/>
  <c r="A453" i="1"/>
  <c r="D460" i="1"/>
  <c r="C460" i="1"/>
  <c r="A460" i="1"/>
  <c r="E460" i="1"/>
  <c r="G460" i="1"/>
  <c r="D467" i="1"/>
  <c r="F467" i="1"/>
  <c r="E467" i="1"/>
  <c r="C467" i="1"/>
  <c r="A467" i="1"/>
  <c r="G467" i="1"/>
  <c r="C495" i="1"/>
  <c r="A495" i="1"/>
  <c r="D495" i="1"/>
  <c r="A506" i="1"/>
  <c r="C506" i="1"/>
  <c r="E598" i="1"/>
  <c r="C643" i="1"/>
  <c r="A643" i="1"/>
  <c r="G657" i="1"/>
  <c r="C657" i="1"/>
  <c r="F657" i="1"/>
  <c r="E657" i="1"/>
  <c r="D657" i="1"/>
  <c r="G748" i="1"/>
  <c r="F748" i="1"/>
  <c r="C748" i="1"/>
  <c r="C770" i="1"/>
  <c r="C827" i="1"/>
  <c r="D991" i="1"/>
  <c r="C1247" i="1"/>
  <c r="A1247" i="1"/>
  <c r="F1247" i="1"/>
  <c r="E1247" i="1"/>
  <c r="D1247" i="1"/>
  <c r="G1247" i="1"/>
  <c r="D454" i="1"/>
  <c r="G454" i="1"/>
  <c r="C454" i="1"/>
  <c r="C11" i="1"/>
  <c r="E11" i="1" s="1"/>
  <c r="F20" i="1"/>
  <c r="A35" i="1"/>
  <c r="F44" i="1"/>
  <c r="E44" i="1"/>
  <c r="F54" i="1"/>
  <c r="F59" i="1"/>
  <c r="G69" i="1"/>
  <c r="F74" i="1"/>
  <c r="F79" i="1"/>
  <c r="A91" i="1"/>
  <c r="F96" i="1"/>
  <c r="E107" i="1"/>
  <c r="C124" i="1"/>
  <c r="C130" i="1"/>
  <c r="E159" i="1"/>
  <c r="G165" i="1"/>
  <c r="E177" i="1"/>
  <c r="D177" i="1"/>
  <c r="C177" i="1"/>
  <c r="A177" i="1"/>
  <c r="A188" i="1"/>
  <c r="F200" i="1"/>
  <c r="D200" i="1"/>
  <c r="C200" i="1"/>
  <c r="E200" i="1"/>
  <c r="A219" i="1"/>
  <c r="F224" i="1"/>
  <c r="A261" i="1"/>
  <c r="G266" i="1"/>
  <c r="F271" i="1"/>
  <c r="C290" i="1"/>
  <c r="G296" i="1"/>
  <c r="F296" i="1"/>
  <c r="E296" i="1"/>
  <c r="D296" i="1"/>
  <c r="A296" i="1"/>
  <c r="G302" i="1"/>
  <c r="E302" i="1"/>
  <c r="G308" i="1"/>
  <c r="C314" i="1"/>
  <c r="G334" i="1"/>
  <c r="E334" i="1"/>
  <c r="D334" i="1"/>
  <c r="C334" i="1"/>
  <c r="A334" i="1"/>
  <c r="E342" i="1"/>
  <c r="A349" i="1"/>
  <c r="F356" i="1"/>
  <c r="F396" i="1"/>
  <c r="C408" i="1"/>
  <c r="A408" i="1"/>
  <c r="E408" i="1"/>
  <c r="E444" i="1"/>
  <c r="A444" i="1"/>
  <c r="G444" i="1"/>
  <c r="D453" i="1"/>
  <c r="A534" i="1"/>
  <c r="F598" i="1"/>
  <c r="F636" i="1"/>
  <c r="E636" i="1"/>
  <c r="A636" i="1"/>
  <c r="D636" i="1"/>
  <c r="C636" i="1"/>
  <c r="F686" i="1"/>
  <c r="D694" i="1"/>
  <c r="C694" i="1"/>
  <c r="A694" i="1"/>
  <c r="D827" i="1"/>
  <c r="D834" i="1"/>
  <c r="G863" i="1"/>
  <c r="F863" i="1"/>
  <c r="E863" i="1"/>
  <c r="C863" i="1"/>
  <c r="A863" i="1"/>
  <c r="F991" i="1"/>
  <c r="A1005" i="1"/>
  <c r="G1005" i="1"/>
  <c r="F1005" i="1"/>
  <c r="D1005" i="1"/>
  <c r="C1005" i="1"/>
  <c r="D20" i="1"/>
  <c r="C25" i="1"/>
  <c r="E25" i="1" s="1"/>
  <c r="C35" i="1"/>
  <c r="E35" i="1" s="1"/>
  <c r="C40" i="1"/>
  <c r="E40" i="1" s="1"/>
  <c r="C49" i="1"/>
  <c r="E49" i="1" s="1"/>
  <c r="A49" i="1"/>
  <c r="G64" i="1"/>
  <c r="G107" i="1"/>
  <c r="D130" i="1"/>
  <c r="D136" i="1"/>
  <c r="C136" i="1"/>
  <c r="F136" i="1"/>
  <c r="G159" i="1"/>
  <c r="C188" i="1"/>
  <c r="D219" i="1"/>
  <c r="G224" i="1"/>
  <c r="D243" i="1"/>
  <c r="C243" i="1"/>
  <c r="A243" i="1"/>
  <c r="C261" i="1"/>
  <c r="C297" i="1"/>
  <c r="A303" i="1"/>
  <c r="E314" i="1"/>
  <c r="C349" i="1"/>
  <c r="G356" i="1"/>
  <c r="E388" i="1"/>
  <c r="G396" i="1"/>
  <c r="A417" i="1"/>
  <c r="G417" i="1"/>
  <c r="D417" i="1"/>
  <c r="E431" i="1"/>
  <c r="D431" i="1"/>
  <c r="C431" i="1"/>
  <c r="A431" i="1"/>
  <c r="E437" i="1"/>
  <c r="D437" i="1"/>
  <c r="C437" i="1"/>
  <c r="A437" i="1"/>
  <c r="G445" i="1"/>
  <c r="F445" i="1"/>
  <c r="E445" i="1"/>
  <c r="D445" i="1"/>
  <c r="C445" i="1"/>
  <c r="A445" i="1"/>
  <c r="E453" i="1"/>
  <c r="G489" i="1"/>
  <c r="E489" i="1"/>
  <c r="D489" i="1"/>
  <c r="C489" i="1"/>
  <c r="A489" i="1"/>
  <c r="F501" i="1"/>
  <c r="C534" i="1"/>
  <c r="E623" i="1"/>
  <c r="D623" i="1"/>
  <c r="C623" i="1"/>
  <c r="A623" i="1"/>
  <c r="F623" i="1"/>
  <c r="A637" i="1"/>
  <c r="G686" i="1"/>
  <c r="A695" i="1"/>
  <c r="G770" i="1"/>
  <c r="F770" i="1"/>
  <c r="E770" i="1"/>
  <c r="F818" i="1"/>
  <c r="E818" i="1"/>
  <c r="D818" i="1"/>
  <c r="C818" i="1"/>
  <c r="A818" i="1"/>
  <c r="F827" i="1"/>
  <c r="G834" i="1"/>
  <c r="G991" i="1"/>
  <c r="E1041" i="1"/>
  <c r="D1041" i="1"/>
  <c r="C1041" i="1"/>
  <c r="A1041" i="1"/>
  <c r="G1041" i="1"/>
  <c r="F1041" i="1"/>
  <c r="E903" i="1"/>
  <c r="C903" i="1"/>
  <c r="A903" i="1"/>
  <c r="E1241" i="1"/>
  <c r="G1241" i="1"/>
  <c r="F1241" i="1"/>
  <c r="A1241" i="1"/>
  <c r="E1532" i="1"/>
  <c r="D1532" i="1"/>
  <c r="C1532" i="1"/>
  <c r="A1532" i="1"/>
  <c r="F1532" i="1"/>
  <c r="G1532" i="1"/>
  <c r="A1967" i="1"/>
  <c r="D1967" i="1"/>
  <c r="C1967" i="1"/>
  <c r="E1967" i="1"/>
  <c r="G1967" i="1"/>
  <c r="F1967" i="1"/>
  <c r="F1042" i="1"/>
  <c r="E1042" i="1"/>
  <c r="D1042" i="1"/>
  <c r="C1042" i="1"/>
  <c r="A1042" i="1"/>
  <c r="F478" i="1"/>
  <c r="E478" i="1"/>
  <c r="D478" i="1"/>
  <c r="C478" i="1"/>
  <c r="A478" i="1"/>
  <c r="G478" i="1"/>
  <c r="F625" i="1"/>
  <c r="E625" i="1"/>
  <c r="D625" i="1"/>
  <c r="C625" i="1"/>
  <c r="A625" i="1"/>
  <c r="A701" i="1"/>
  <c r="G701" i="1"/>
  <c r="F701" i="1"/>
  <c r="C701" i="1"/>
  <c r="D701" i="1"/>
  <c r="F737" i="1"/>
  <c r="G737" i="1"/>
  <c r="C737" i="1"/>
  <c r="A737" i="1"/>
  <c r="F862" i="1"/>
  <c r="E862" i="1"/>
  <c r="D862" i="1"/>
  <c r="C862" i="1"/>
  <c r="A862" i="1"/>
  <c r="E1043" i="1"/>
  <c r="C1043" i="1"/>
  <c r="F1043" i="1"/>
  <c r="D1043" i="1"/>
  <c r="A1043" i="1"/>
  <c r="G1146" i="1"/>
  <c r="F1146" i="1"/>
  <c r="E1146" i="1"/>
  <c r="D1146" i="1"/>
  <c r="C1146" i="1"/>
  <c r="E508" i="1"/>
  <c r="A508" i="1"/>
  <c r="G508" i="1"/>
  <c r="G538" i="1"/>
  <c r="D545" i="1"/>
  <c r="G612" i="1"/>
  <c r="D620" i="1"/>
  <c r="C620" i="1"/>
  <c r="A620" i="1"/>
  <c r="G620" i="1"/>
  <c r="F620" i="1"/>
  <c r="E620" i="1"/>
  <c r="F675" i="1"/>
  <c r="E675" i="1"/>
  <c r="D675" i="1"/>
  <c r="C675" i="1"/>
  <c r="A675" i="1"/>
  <c r="C710" i="1"/>
  <c r="F710" i="1"/>
  <c r="A710" i="1"/>
  <c r="C813" i="1"/>
  <c r="E950" i="1"/>
  <c r="D950" i="1"/>
  <c r="C950" i="1"/>
  <c r="A950" i="1"/>
  <c r="G950" i="1"/>
  <c r="F950" i="1"/>
  <c r="G1018" i="1"/>
  <c r="A1018" i="1"/>
  <c r="E545" i="1"/>
  <c r="A621" i="1"/>
  <c r="G689" i="1"/>
  <c r="F689" i="1"/>
  <c r="E689" i="1"/>
  <c r="D689" i="1"/>
  <c r="C689" i="1"/>
  <c r="G764" i="1"/>
  <c r="F764" i="1"/>
  <c r="E764" i="1"/>
  <c r="D764" i="1"/>
  <c r="C764" i="1"/>
  <c r="F870" i="1"/>
  <c r="D870" i="1"/>
  <c r="E870" i="1"/>
  <c r="C870" i="1"/>
  <c r="A870" i="1"/>
  <c r="D934" i="1"/>
  <c r="C934" i="1"/>
  <c r="E934" i="1"/>
  <c r="A934" i="1"/>
  <c r="G951" i="1"/>
  <c r="F951" i="1"/>
  <c r="E951" i="1"/>
  <c r="D951" i="1"/>
  <c r="C951" i="1"/>
  <c r="A951" i="1"/>
  <c r="A1019" i="1"/>
  <c r="E1346" i="1"/>
  <c r="C1346" i="1"/>
  <c r="G1346" i="1"/>
  <c r="F1346" i="1"/>
  <c r="D1346" i="1"/>
  <c r="E373" i="1"/>
  <c r="C373" i="1"/>
  <c r="E379" i="1"/>
  <c r="E533" i="1"/>
  <c r="D533" i="1"/>
  <c r="C533" i="1"/>
  <c r="A533" i="1"/>
  <c r="F545" i="1"/>
  <c r="D552" i="1"/>
  <c r="C621" i="1"/>
  <c r="E639" i="1"/>
  <c r="C676" i="1"/>
  <c r="C765" i="1"/>
  <c r="E813" i="1"/>
  <c r="G856" i="1"/>
  <c r="E856" i="1"/>
  <c r="A856" i="1"/>
  <c r="A871" i="1"/>
  <c r="F886" i="1"/>
  <c r="A886" i="1"/>
  <c r="G886" i="1"/>
  <c r="E886" i="1"/>
  <c r="D886" i="1"/>
  <c r="E1026" i="1"/>
  <c r="D1026" i="1"/>
  <c r="C1026" i="1"/>
  <c r="A1026" i="1"/>
  <c r="G1026" i="1"/>
  <c r="F1026" i="1"/>
  <c r="F1090" i="1"/>
  <c r="A1090" i="1"/>
  <c r="C1090" i="1"/>
  <c r="E1098" i="1"/>
  <c r="A1277" i="1"/>
  <c r="E1019" i="1"/>
  <c r="D1019" i="1"/>
  <c r="G1019" i="1"/>
  <c r="F1019" i="1"/>
  <c r="C1277" i="1"/>
  <c r="G559" i="1"/>
  <c r="F559" i="1"/>
  <c r="E559" i="1"/>
  <c r="D559" i="1"/>
  <c r="C559" i="1"/>
  <c r="A559" i="1"/>
  <c r="G607" i="1"/>
  <c r="C607" i="1"/>
  <c r="E621" i="1"/>
  <c r="A669" i="1"/>
  <c r="F669" i="1"/>
  <c r="E669" i="1"/>
  <c r="D669" i="1"/>
  <c r="C669" i="1"/>
  <c r="E676" i="1"/>
  <c r="E704" i="1"/>
  <c r="D704" i="1"/>
  <c r="C704" i="1"/>
  <c r="A704" i="1"/>
  <c r="F711" i="1"/>
  <c r="C711" i="1"/>
  <c r="A711" i="1"/>
  <c r="E765" i="1"/>
  <c r="A771" i="1"/>
  <c r="E871" i="1"/>
  <c r="D1277" i="1"/>
  <c r="A1321" i="1"/>
  <c r="E1321" i="1"/>
  <c r="C1321" i="1"/>
  <c r="G1321" i="1"/>
  <c r="F485" i="1"/>
  <c r="C485" i="1"/>
  <c r="A640" i="1"/>
  <c r="C683" i="1"/>
  <c r="C746" i="1"/>
  <c r="C758" i="1"/>
  <c r="F765" i="1"/>
  <c r="F871" i="1"/>
  <c r="D1098" i="1"/>
  <c r="C1098" i="1"/>
  <c r="A1098" i="1"/>
  <c r="G1268" i="1"/>
  <c r="F1268" i="1"/>
  <c r="E1268" i="1"/>
  <c r="D1268" i="1"/>
  <c r="C1268" i="1"/>
  <c r="F1387" i="1"/>
  <c r="E1387" i="1"/>
  <c r="D1387" i="1"/>
  <c r="C1387" i="1"/>
  <c r="A1387" i="1"/>
  <c r="G1387" i="1"/>
  <c r="F1277" i="1"/>
  <c r="E1277" i="1"/>
  <c r="G583" i="1"/>
  <c r="F583" i="1"/>
  <c r="E583" i="1"/>
  <c r="D583" i="1"/>
  <c r="C583" i="1"/>
  <c r="E614" i="1"/>
  <c r="D614" i="1"/>
  <c r="C614" i="1"/>
  <c r="A614" i="1"/>
  <c r="E627" i="1"/>
  <c r="D627" i="1"/>
  <c r="E640" i="1"/>
  <c r="E683" i="1"/>
  <c r="E746" i="1"/>
  <c r="F758" i="1"/>
  <c r="E771" i="1"/>
  <c r="G1106" i="1"/>
  <c r="C1106" i="1"/>
  <c r="F1106" i="1"/>
  <c r="E1106" i="1"/>
  <c r="A1106" i="1"/>
  <c r="D1106" i="1"/>
  <c r="G1261" i="1"/>
  <c r="D1261" i="1"/>
  <c r="C1261" i="1"/>
  <c r="A1261" i="1"/>
  <c r="C80" i="1"/>
  <c r="E80" i="1" s="1"/>
  <c r="A99" i="1"/>
  <c r="F122" i="1"/>
  <c r="E122" i="1"/>
  <c r="A176" i="1"/>
  <c r="D196" i="1"/>
  <c r="C206" i="1"/>
  <c r="D211" i="1"/>
  <c r="C216" i="1"/>
  <c r="C226" i="1"/>
  <c r="E565" i="1"/>
  <c r="D565" i="1"/>
  <c r="C565" i="1"/>
  <c r="A565" i="1"/>
  <c r="C577" i="1"/>
  <c r="A577" i="1"/>
  <c r="G771" i="1"/>
  <c r="G800" i="1"/>
  <c r="F800" i="1"/>
  <c r="D800" i="1"/>
  <c r="C800" i="1"/>
  <c r="C908" i="1"/>
  <c r="D908" i="1"/>
  <c r="A908" i="1"/>
  <c r="F1062" i="1"/>
  <c r="E1062" i="1"/>
  <c r="D1062" i="1"/>
  <c r="C1062" i="1"/>
  <c r="A1062" i="1"/>
  <c r="G615" i="1"/>
  <c r="F615" i="1"/>
  <c r="E615" i="1"/>
  <c r="D615" i="1"/>
  <c r="C615" i="1"/>
  <c r="F640" i="1"/>
  <c r="D640" i="1"/>
  <c r="A683" i="1"/>
  <c r="G683" i="1"/>
  <c r="G746" i="1"/>
  <c r="A746" i="1"/>
  <c r="E758" i="1"/>
  <c r="A758" i="1"/>
  <c r="D807" i="1"/>
  <c r="C807" i="1"/>
  <c r="A807" i="1"/>
  <c r="G814" i="1"/>
  <c r="F814" i="1"/>
  <c r="C814" i="1"/>
  <c r="G822" i="1"/>
  <c r="E822" i="1"/>
  <c r="D822" i="1"/>
  <c r="C822" i="1"/>
  <c r="E99" i="1"/>
  <c r="E176" i="1"/>
  <c r="F191" i="1"/>
  <c r="G196" i="1"/>
  <c r="F206" i="1"/>
  <c r="F216" i="1"/>
  <c r="F226" i="1"/>
  <c r="E232" i="1"/>
  <c r="D237" i="1"/>
  <c r="F247" i="1"/>
  <c r="G273" i="1"/>
  <c r="E273" i="1"/>
  <c r="D273" i="1"/>
  <c r="C273" i="1"/>
  <c r="A273" i="1"/>
  <c r="A321" i="1"/>
  <c r="C321" i="1"/>
  <c r="G327" i="1"/>
  <c r="E327" i="1"/>
  <c r="F346" i="1"/>
  <c r="G352" i="1"/>
  <c r="F358" i="1"/>
  <c r="E381" i="1"/>
  <c r="D381" i="1"/>
  <c r="C381" i="1"/>
  <c r="A381" i="1"/>
  <c r="D394" i="1"/>
  <c r="D411" i="1"/>
  <c r="G430" i="1"/>
  <c r="D430" i="1"/>
  <c r="E430" i="1"/>
  <c r="C430" i="1"/>
  <c r="A430" i="1"/>
  <c r="D442" i="1"/>
  <c r="E449" i="1"/>
  <c r="G455" i="1"/>
  <c r="F455" i="1"/>
  <c r="E455" i="1"/>
  <c r="D455" i="1"/>
  <c r="C455" i="1"/>
  <c r="G474" i="1"/>
  <c r="F481" i="1"/>
  <c r="F511" i="1"/>
  <c r="D517" i="1"/>
  <c r="D566" i="1"/>
  <c r="E571" i="1"/>
  <c r="F584" i="1"/>
  <c r="D609" i="1"/>
  <c r="C616" i="1"/>
  <c r="F664" i="1"/>
  <c r="C747" i="1"/>
  <c r="C808" i="1"/>
  <c r="F837" i="1"/>
  <c r="E837" i="1"/>
  <c r="D837" i="1"/>
  <c r="C837" i="1"/>
  <c r="A837" i="1"/>
  <c r="G858" i="1"/>
  <c r="F858" i="1"/>
  <c r="D858" i="1"/>
  <c r="C858" i="1"/>
  <c r="D929" i="1"/>
  <c r="D1108" i="1"/>
  <c r="C1108" i="1"/>
  <c r="A1108" i="1"/>
  <c r="F1108" i="1"/>
  <c r="E1108" i="1"/>
  <c r="G1108" i="1"/>
  <c r="F99" i="1"/>
  <c r="E113" i="1"/>
  <c r="D113" i="1"/>
  <c r="F176" i="1"/>
  <c r="D278" i="1"/>
  <c r="A278" i="1"/>
  <c r="D339" i="1"/>
  <c r="G339" i="1"/>
  <c r="F364" i="1"/>
  <c r="C387" i="1"/>
  <c r="A387" i="1"/>
  <c r="E394" i="1"/>
  <c r="E405" i="1"/>
  <c r="D405" i="1"/>
  <c r="C405" i="1"/>
  <c r="A405" i="1"/>
  <c r="E411" i="1"/>
  <c r="E442" i="1"/>
  <c r="G511" i="1"/>
  <c r="E540" i="1"/>
  <c r="A540" i="1"/>
  <c r="D540" i="1"/>
  <c r="E554" i="1"/>
  <c r="E566" i="1"/>
  <c r="G584" i="1"/>
  <c r="E609" i="1"/>
  <c r="D616" i="1"/>
  <c r="A634" i="1"/>
  <c r="F634" i="1"/>
  <c r="E648" i="1"/>
  <c r="D713" i="1"/>
  <c r="F741" i="1"/>
  <c r="D747" i="1"/>
  <c r="A793" i="1"/>
  <c r="E793" i="1"/>
  <c r="D793" i="1"/>
  <c r="C793" i="1"/>
  <c r="D808" i="1"/>
  <c r="F815" i="1"/>
  <c r="D815" i="1"/>
  <c r="C815" i="1"/>
  <c r="A815" i="1"/>
  <c r="C902" i="1"/>
  <c r="A902" i="1"/>
  <c r="C1158" i="1"/>
  <c r="E191" i="1"/>
  <c r="C191" i="1"/>
  <c r="A191" i="1"/>
  <c r="F232" i="1"/>
  <c r="D232" i="1"/>
  <c r="C232" i="1"/>
  <c r="A232" i="1"/>
  <c r="F237" i="1"/>
  <c r="G340" i="1"/>
  <c r="F340" i="1"/>
  <c r="E340" i="1"/>
  <c r="D340" i="1"/>
  <c r="C340" i="1"/>
  <c r="A340" i="1"/>
  <c r="F394" i="1"/>
  <c r="F411" i="1"/>
  <c r="F442" i="1"/>
  <c r="A481" i="1"/>
  <c r="E481" i="1"/>
  <c r="F554" i="1"/>
  <c r="F566" i="1"/>
  <c r="F609" i="1"/>
  <c r="E616" i="1"/>
  <c r="F648" i="1"/>
  <c r="E664" i="1"/>
  <c r="A664" i="1"/>
  <c r="C727" i="1"/>
  <c r="A727" i="1"/>
  <c r="G727" i="1"/>
  <c r="F727" i="1"/>
  <c r="E727" i="1"/>
  <c r="D727" i="1"/>
  <c r="A733" i="1"/>
  <c r="C733" i="1"/>
  <c r="E747" i="1"/>
  <c r="E808" i="1"/>
  <c r="D903" i="1"/>
  <c r="F929" i="1"/>
  <c r="E929" i="1"/>
  <c r="C929" i="1"/>
  <c r="G997" i="1"/>
  <c r="E997" i="1"/>
  <c r="D997" i="1"/>
  <c r="C997" i="1"/>
  <c r="A997" i="1"/>
  <c r="F1158" i="1"/>
  <c r="G104" i="1"/>
  <c r="G237" i="1"/>
  <c r="D364" i="1"/>
  <c r="A364" i="1"/>
  <c r="F382" i="1"/>
  <c r="E382" i="1"/>
  <c r="D382" i="1"/>
  <c r="A382" i="1"/>
  <c r="G394" i="1"/>
  <c r="G411" i="1"/>
  <c r="G442" i="1"/>
  <c r="A449" i="1"/>
  <c r="C449" i="1"/>
  <c r="F517" i="1"/>
  <c r="C517" i="1"/>
  <c r="F616" i="1"/>
  <c r="D741" i="1"/>
  <c r="C741" i="1"/>
  <c r="A741" i="1"/>
  <c r="F747" i="1"/>
  <c r="F808" i="1"/>
  <c r="F903" i="1"/>
  <c r="F974" i="1"/>
  <c r="G974" i="1"/>
  <c r="E974" i="1"/>
  <c r="D974" i="1"/>
  <c r="C974" i="1"/>
  <c r="A974" i="1"/>
  <c r="G990" i="1"/>
  <c r="F990" i="1"/>
  <c r="A990" i="1"/>
  <c r="D990" i="1"/>
  <c r="C990" i="1"/>
  <c r="A1183" i="1"/>
  <c r="F1183" i="1"/>
  <c r="E1183" i="1"/>
  <c r="D1183" i="1"/>
  <c r="C1183" i="1"/>
  <c r="C1241" i="1"/>
  <c r="C554" i="1"/>
  <c r="D554" i="1"/>
  <c r="A554" i="1"/>
  <c r="C609" i="1"/>
  <c r="A609" i="1"/>
  <c r="D648" i="1"/>
  <c r="C648" i="1"/>
  <c r="A648" i="1"/>
  <c r="D692" i="1"/>
  <c r="C692" i="1"/>
  <c r="F692" i="1"/>
  <c r="E692" i="1"/>
  <c r="A692" i="1"/>
  <c r="C713" i="1"/>
  <c r="A713" i="1"/>
  <c r="E713" i="1"/>
  <c r="G903" i="1"/>
  <c r="F917" i="1"/>
  <c r="D917" i="1"/>
  <c r="C917" i="1"/>
  <c r="G917" i="1"/>
  <c r="E917" i="1"/>
  <c r="A917" i="1"/>
  <c r="E1158" i="1"/>
  <c r="D1158" i="1"/>
  <c r="A1158" i="1"/>
  <c r="G1199" i="1"/>
  <c r="F1199" i="1"/>
  <c r="E1199" i="1"/>
  <c r="D1199" i="1"/>
  <c r="A1199" i="1"/>
  <c r="D1241" i="1"/>
  <c r="C1491" i="1"/>
  <c r="A1491" i="1"/>
  <c r="D1491" i="1"/>
  <c r="G1492" i="1"/>
  <c r="F1492" i="1"/>
  <c r="E1492" i="1"/>
  <c r="D1492" i="1"/>
  <c r="C1492" i="1"/>
  <c r="C1668" i="1"/>
  <c r="E1668" i="1"/>
  <c r="F1668" i="1"/>
  <c r="D1668" i="1"/>
  <c r="A1668" i="1"/>
  <c r="G1668" i="1"/>
  <c r="A1012" i="1"/>
  <c r="G1012" i="1"/>
  <c r="F1012" i="1"/>
  <c r="E1012" i="1"/>
  <c r="D1012" i="1"/>
  <c r="C1012" i="1"/>
  <c r="D1085" i="1"/>
  <c r="C1140" i="1"/>
  <c r="D1226" i="1"/>
  <c r="F1226" i="1"/>
  <c r="G1226" i="1"/>
  <c r="C1226" i="1"/>
  <c r="A1226" i="1"/>
  <c r="F1234" i="1"/>
  <c r="E1234" i="1"/>
  <c r="D1234" i="1"/>
  <c r="C1234" i="1"/>
  <c r="A1234" i="1"/>
  <c r="G1234" i="1"/>
  <c r="F1483" i="1"/>
  <c r="G1483" i="1"/>
  <c r="E1483" i="1"/>
  <c r="D1483" i="1"/>
  <c r="C1483" i="1"/>
  <c r="A1483" i="1"/>
  <c r="C923" i="1"/>
  <c r="A923" i="1"/>
  <c r="E964" i="1"/>
  <c r="D964" i="1"/>
  <c r="C964" i="1"/>
  <c r="A964" i="1"/>
  <c r="E1185" i="1"/>
  <c r="D1185" i="1"/>
  <c r="C1185" i="1"/>
  <c r="A1185" i="1"/>
  <c r="F1185" i="1"/>
  <c r="G1332" i="1"/>
  <c r="E1332" i="1"/>
  <c r="C1332" i="1"/>
  <c r="A1332" i="1"/>
  <c r="D1332" i="1"/>
  <c r="F1085" i="1"/>
  <c r="A1085" i="1"/>
  <c r="F1348" i="1"/>
  <c r="E1348" i="1"/>
  <c r="D1348" i="1"/>
  <c r="C1348" i="1"/>
  <c r="A1348" i="1"/>
  <c r="G1348" i="1"/>
  <c r="D1645" i="1"/>
  <c r="F1645" i="1"/>
  <c r="E1645" i="1"/>
  <c r="C1645" i="1"/>
  <c r="A1645" i="1"/>
  <c r="G1645" i="1"/>
  <c r="E1119" i="1"/>
  <c r="D1119" i="1"/>
  <c r="C1119" i="1"/>
  <c r="A1119" i="1"/>
  <c r="D1305" i="1"/>
  <c r="C1305" i="1"/>
  <c r="A1305" i="1"/>
  <c r="E1305" i="1"/>
  <c r="F1323" i="1"/>
  <c r="A1323" i="1"/>
  <c r="E1323" i="1"/>
  <c r="D1323" i="1"/>
  <c r="C1323" i="1"/>
  <c r="G1323" i="1"/>
  <c r="F1459" i="1"/>
  <c r="E1459" i="1"/>
  <c r="D1459" i="1"/>
  <c r="C1459" i="1"/>
  <c r="A1459" i="1"/>
  <c r="G1459" i="1"/>
  <c r="E999" i="1"/>
  <c r="G999" i="1"/>
  <c r="F999" i="1"/>
  <c r="D999" i="1"/>
  <c r="C999" i="1"/>
  <c r="E1442" i="1"/>
  <c r="D1442" i="1"/>
  <c r="C1442" i="1"/>
  <c r="A1442" i="1"/>
  <c r="G1442" i="1"/>
  <c r="F1442" i="1"/>
  <c r="D1467" i="1"/>
  <c r="C1467" i="1"/>
  <c r="A1467" i="1"/>
  <c r="G1467" i="1"/>
  <c r="E1467" i="1"/>
  <c r="F1467" i="1"/>
  <c r="F389" i="1"/>
  <c r="C389" i="1"/>
  <c r="G551" i="1"/>
  <c r="F551" i="1"/>
  <c r="E551" i="1"/>
  <c r="D551" i="1"/>
  <c r="C551" i="1"/>
  <c r="C611" i="1"/>
  <c r="A611" i="1"/>
  <c r="C666" i="1"/>
  <c r="A666" i="1"/>
  <c r="E772" i="1"/>
  <c r="F803" i="1"/>
  <c r="G828" i="1"/>
  <c r="F846" i="1"/>
  <c r="A872" i="1"/>
  <c r="C930" i="1"/>
  <c r="F953" i="1"/>
  <c r="F979" i="1"/>
  <c r="F1020" i="1"/>
  <c r="D1020" i="1"/>
  <c r="G1020" i="1"/>
  <c r="C1037" i="1"/>
  <c r="C1080" i="1"/>
  <c r="F1242" i="1"/>
  <c r="E1242" i="1"/>
  <c r="C1242" i="1"/>
  <c r="F1298" i="1"/>
  <c r="D1298" i="1"/>
  <c r="C1298" i="1"/>
  <c r="E1298" i="1"/>
  <c r="A1298" i="1"/>
  <c r="G796" i="1"/>
  <c r="F796" i="1"/>
  <c r="A796" i="1"/>
  <c r="C841" i="1"/>
  <c r="C872" i="1"/>
  <c r="E966" i="1"/>
  <c r="G966" i="1"/>
  <c r="F966" i="1"/>
  <c r="D966" i="1"/>
  <c r="C966" i="1"/>
  <c r="D1037" i="1"/>
  <c r="A1059" i="1"/>
  <c r="E1059" i="1"/>
  <c r="D1059" i="1"/>
  <c r="G1059" i="1"/>
  <c r="F1059" i="1"/>
  <c r="D1080" i="1"/>
  <c r="C1100" i="1"/>
  <c r="G1100" i="1"/>
  <c r="F1100" i="1"/>
  <c r="E1100" i="1"/>
  <c r="D1100" i="1"/>
  <c r="A1100" i="1"/>
  <c r="E1212" i="1"/>
  <c r="F1420" i="1"/>
  <c r="F1443" i="1"/>
  <c r="G1443" i="1"/>
  <c r="E1443" i="1"/>
  <c r="D1443" i="1"/>
  <c r="A1443" i="1"/>
  <c r="F1451" i="1"/>
  <c r="G1451" i="1"/>
  <c r="E1451" i="1"/>
  <c r="D1451" i="1"/>
  <c r="C1451" i="1"/>
  <c r="F772" i="1"/>
  <c r="C772" i="1"/>
  <c r="A772" i="1"/>
  <c r="A797" i="1"/>
  <c r="G797" i="1"/>
  <c r="F797" i="1"/>
  <c r="E797" i="1"/>
  <c r="D797" i="1"/>
  <c r="C797" i="1"/>
  <c r="D841" i="1"/>
  <c r="D872" i="1"/>
  <c r="C953" i="1"/>
  <c r="A953" i="1"/>
  <c r="C979" i="1"/>
  <c r="D979" i="1"/>
  <c r="A979" i="1"/>
  <c r="C986" i="1"/>
  <c r="A1014" i="1"/>
  <c r="E1028" i="1"/>
  <c r="G1028" i="1"/>
  <c r="F1028" i="1"/>
  <c r="C1028" i="1"/>
  <c r="A1028" i="1"/>
  <c r="E1037" i="1"/>
  <c r="E1067" i="1"/>
  <c r="A1164" i="1"/>
  <c r="G1315" i="1"/>
  <c r="F1315" i="1"/>
  <c r="E1315" i="1"/>
  <c r="D1315" i="1"/>
  <c r="C1315" i="1"/>
  <c r="A1315" i="1"/>
  <c r="C1412" i="1"/>
  <c r="A1412" i="1"/>
  <c r="F1412" i="1"/>
  <c r="E1412" i="1"/>
  <c r="D1412" i="1"/>
  <c r="C1635" i="1"/>
  <c r="A1635" i="1"/>
  <c r="D1635" i="1"/>
  <c r="E1635" i="1"/>
  <c r="F1212" i="1"/>
  <c r="D1212" i="1"/>
  <c r="C1212" i="1"/>
  <c r="A1212" i="1"/>
  <c r="C1281" i="1"/>
  <c r="D1281" i="1"/>
  <c r="A1281" i="1"/>
  <c r="G1281" i="1"/>
  <c r="F1281" i="1"/>
  <c r="E1281" i="1"/>
  <c r="G1316" i="1"/>
  <c r="F1316" i="1"/>
  <c r="D1316" i="1"/>
  <c r="C1316" i="1"/>
  <c r="A1316" i="1"/>
  <c r="E1316" i="1"/>
  <c r="E1397" i="1"/>
  <c r="D1397" i="1"/>
  <c r="C1397" i="1"/>
  <c r="A1397" i="1"/>
  <c r="G1397" i="1"/>
  <c r="F1397" i="1"/>
  <c r="E1420" i="1"/>
  <c r="D1420" i="1"/>
  <c r="C1420" i="1"/>
  <c r="A1420" i="1"/>
  <c r="E1621" i="1"/>
  <c r="D1621" i="1"/>
  <c r="C1621" i="1"/>
  <c r="A1621" i="1"/>
  <c r="F1621" i="1"/>
  <c r="G487" i="1"/>
  <c r="F487" i="1"/>
  <c r="E487" i="1"/>
  <c r="D487" i="1"/>
  <c r="C487" i="1"/>
  <c r="C678" i="1"/>
  <c r="D678" i="1"/>
  <c r="A678" i="1"/>
  <c r="C702" i="1"/>
  <c r="A714" i="1"/>
  <c r="E719" i="1"/>
  <c r="F725" i="1"/>
  <c r="C725" i="1"/>
  <c r="A725" i="1"/>
  <c r="D785" i="1"/>
  <c r="C798" i="1"/>
  <c r="F841" i="1"/>
  <c r="G872" i="1"/>
  <c r="C946" i="1"/>
  <c r="E986" i="1"/>
  <c r="A1080" i="1"/>
  <c r="F1080" i="1"/>
  <c r="F1094" i="1"/>
  <c r="G1094" i="1"/>
  <c r="E1094" i="1"/>
  <c r="D1094" i="1"/>
  <c r="C1094" i="1"/>
  <c r="E1178" i="1"/>
  <c r="D1178" i="1"/>
  <c r="D1413" i="1"/>
  <c r="C1636" i="1"/>
  <c r="F1636" i="1"/>
  <c r="E1636" i="1"/>
  <c r="D1636" i="1"/>
  <c r="A1636" i="1"/>
  <c r="A1067" i="1"/>
  <c r="D1067" i="1"/>
  <c r="C1067" i="1"/>
  <c r="C1164" i="1"/>
  <c r="G1164" i="1"/>
  <c r="E1164" i="1"/>
  <c r="G750" i="1"/>
  <c r="F750" i="1"/>
  <c r="E750" i="1"/>
  <c r="D750" i="1"/>
  <c r="C750" i="1"/>
  <c r="D860" i="1"/>
  <c r="C860" i="1"/>
  <c r="A860" i="1"/>
  <c r="F1014" i="1"/>
  <c r="E1014" i="1"/>
  <c r="C1087" i="1"/>
  <c r="A1087" i="1"/>
  <c r="G1087" i="1"/>
  <c r="F1087" i="1"/>
  <c r="F1142" i="1"/>
  <c r="E1142" i="1"/>
  <c r="G1142" i="1"/>
  <c r="D1142" i="1"/>
  <c r="C1142" i="1"/>
  <c r="A1142" i="1"/>
  <c r="E1171" i="1"/>
  <c r="D1171" i="1"/>
  <c r="C1171" i="1"/>
  <c r="A1171" i="1"/>
  <c r="F1289" i="1"/>
  <c r="A1289" i="1"/>
  <c r="F1308" i="1"/>
  <c r="E1308" i="1"/>
  <c r="D1308" i="1"/>
  <c r="A1308" i="1"/>
  <c r="E1629" i="1"/>
  <c r="D1629" i="1"/>
  <c r="C1629" i="1"/>
  <c r="A1629" i="1"/>
  <c r="F702" i="1"/>
  <c r="E708" i="1"/>
  <c r="D708" i="1"/>
  <c r="C708" i="1"/>
  <c r="A708" i="1"/>
  <c r="E714" i="1"/>
  <c r="F798" i="1"/>
  <c r="F847" i="1"/>
  <c r="D847" i="1"/>
  <c r="F946" i="1"/>
  <c r="F1007" i="1"/>
  <c r="C1015" i="1"/>
  <c r="F1030" i="1"/>
  <c r="G1180" i="1"/>
  <c r="F1180" i="1"/>
  <c r="E1180" i="1"/>
  <c r="D1180" i="1"/>
  <c r="A1180" i="1"/>
  <c r="C1180" i="1"/>
  <c r="G1413" i="1"/>
  <c r="C1413" i="1"/>
  <c r="E1572" i="1"/>
  <c r="D1572" i="1"/>
  <c r="C1572" i="1"/>
  <c r="A1572" i="1"/>
  <c r="E310" i="1"/>
  <c r="A320" i="1"/>
  <c r="A335" i="1"/>
  <c r="D380" i="1"/>
  <c r="A397" i="1"/>
  <c r="D412" i="1"/>
  <c r="G423" i="1"/>
  <c r="F423" i="1"/>
  <c r="E423" i="1"/>
  <c r="D423" i="1"/>
  <c r="C423" i="1"/>
  <c r="C456" i="1"/>
  <c r="A477" i="1"/>
  <c r="E488" i="1"/>
  <c r="A504" i="1"/>
  <c r="C526" i="1"/>
  <c r="E547" i="1"/>
  <c r="E563" i="1"/>
  <c r="C579" i="1"/>
  <c r="A579" i="1"/>
  <c r="E591" i="1"/>
  <c r="A630" i="1"/>
  <c r="D652" i="1"/>
  <c r="C652" i="1"/>
  <c r="A652" i="1"/>
  <c r="E685" i="1"/>
  <c r="A709" i="1"/>
  <c r="F714" i="1"/>
  <c r="A732" i="1"/>
  <c r="D738" i="1"/>
  <c r="C751" i="1"/>
  <c r="C756" i="1"/>
  <c r="F779" i="1"/>
  <c r="F817" i="1"/>
  <c r="C842" i="1"/>
  <c r="G887" i="1"/>
  <c r="C887" i="1"/>
  <c r="G919" i="1"/>
  <c r="E919" i="1"/>
  <c r="G1109" i="1"/>
  <c r="C1121" i="1"/>
  <c r="A1121" i="1"/>
  <c r="E1121" i="1"/>
  <c r="D1121" i="1"/>
  <c r="E1353" i="1"/>
  <c r="D1353" i="1"/>
  <c r="C1353" i="1"/>
  <c r="A1353" i="1"/>
  <c r="G1353" i="1"/>
  <c r="F1353" i="1"/>
  <c r="C1007" i="1"/>
  <c r="A1007" i="1"/>
  <c r="G1015" i="1"/>
  <c r="F1015" i="1"/>
  <c r="E1015" i="1"/>
  <c r="A1015" i="1"/>
  <c r="C1030" i="1"/>
  <c r="A1030" i="1"/>
  <c r="F1053" i="1"/>
  <c r="G1053" i="1"/>
  <c r="E1053" i="1"/>
  <c r="C1053" i="1"/>
  <c r="A1053" i="1"/>
  <c r="A1300" i="1"/>
  <c r="F1300" i="1"/>
  <c r="D1300" i="1"/>
  <c r="D320" i="1"/>
  <c r="C325" i="1"/>
  <c r="D330" i="1"/>
  <c r="D335" i="1"/>
  <c r="A350" i="1"/>
  <c r="D355" i="1"/>
  <c r="G391" i="1"/>
  <c r="F391" i="1"/>
  <c r="E391" i="1"/>
  <c r="C391" i="1"/>
  <c r="D397" i="1"/>
  <c r="D477" i="1"/>
  <c r="F574" i="1"/>
  <c r="E574" i="1"/>
  <c r="D574" i="1"/>
  <c r="C574" i="1"/>
  <c r="A574" i="1"/>
  <c r="A586" i="1"/>
  <c r="F673" i="1"/>
  <c r="E673" i="1"/>
  <c r="D673" i="1"/>
  <c r="G786" i="1"/>
  <c r="F786" i="1"/>
  <c r="D786" i="1"/>
  <c r="C786" i="1"/>
  <c r="C836" i="1"/>
  <c r="A836" i="1"/>
  <c r="E842" i="1"/>
  <c r="A939" i="1"/>
  <c r="G939" i="1"/>
  <c r="F939" i="1"/>
  <c r="E939" i="1"/>
  <c r="D939" i="1"/>
  <c r="C939" i="1"/>
  <c r="C955" i="1"/>
  <c r="A955" i="1"/>
  <c r="G955" i="1"/>
  <c r="F955" i="1"/>
  <c r="E955" i="1"/>
  <c r="D955" i="1"/>
  <c r="E981" i="1"/>
  <c r="F1074" i="1"/>
  <c r="E1074" i="1"/>
  <c r="A1366" i="1"/>
  <c r="C1366" i="1"/>
  <c r="D1366" i="1"/>
  <c r="E320" i="1"/>
  <c r="D325" i="1"/>
  <c r="E330" i="1"/>
  <c r="E335" i="1"/>
  <c r="E380" i="1"/>
  <c r="A380" i="1"/>
  <c r="E412" i="1"/>
  <c r="A412" i="1"/>
  <c r="G526" i="1"/>
  <c r="D526" i="1"/>
  <c r="C547" i="1"/>
  <c r="A547" i="1"/>
  <c r="E586" i="1"/>
  <c r="G613" i="1"/>
  <c r="F613" i="1"/>
  <c r="C613" i="1"/>
  <c r="G668" i="1"/>
  <c r="F668" i="1"/>
  <c r="C668" i="1"/>
  <c r="E680" i="1"/>
  <c r="E697" i="1"/>
  <c r="G703" i="1"/>
  <c r="F703" i="1"/>
  <c r="E703" i="1"/>
  <c r="D703" i="1"/>
  <c r="C703" i="1"/>
  <c r="E709" i="1"/>
  <c r="F720" i="1"/>
  <c r="E720" i="1"/>
  <c r="A720" i="1"/>
  <c r="E732" i="1"/>
  <c r="E744" i="1"/>
  <c r="A744" i="1"/>
  <c r="G751" i="1"/>
  <c r="F756" i="1"/>
  <c r="A762" i="1"/>
  <c r="F842" i="1"/>
  <c r="G848" i="1"/>
  <c r="F848" i="1"/>
  <c r="C848" i="1"/>
  <c r="D861" i="1"/>
  <c r="A861" i="1"/>
  <c r="D913" i="1"/>
  <c r="F1031" i="1"/>
  <c r="E1031" i="1"/>
  <c r="D1031" i="1"/>
  <c r="C1031" i="1"/>
  <c r="A1031" i="1"/>
  <c r="F1156" i="1"/>
  <c r="C1276" i="1"/>
  <c r="E186" i="1"/>
  <c r="E218" i="1"/>
  <c r="E250" i="1"/>
  <c r="E282" i="1"/>
  <c r="E301" i="1"/>
  <c r="F320" i="1"/>
  <c r="E325" i="1"/>
  <c r="F330" i="1"/>
  <c r="F335" i="1"/>
  <c r="E350" i="1"/>
  <c r="F355" i="1"/>
  <c r="F397" i="1"/>
  <c r="E424" i="1"/>
  <c r="C462" i="1"/>
  <c r="F477" i="1"/>
  <c r="F504" i="1"/>
  <c r="F542" i="1"/>
  <c r="E542" i="1"/>
  <c r="D542" i="1"/>
  <c r="C542" i="1"/>
  <c r="A542" i="1"/>
  <c r="F586" i="1"/>
  <c r="F602" i="1"/>
  <c r="F630" i="1"/>
  <c r="C641" i="1"/>
  <c r="A641" i="1"/>
  <c r="G647" i="1"/>
  <c r="F647" i="1"/>
  <c r="E647" i="1"/>
  <c r="D647" i="1"/>
  <c r="C647" i="1"/>
  <c r="F680" i="1"/>
  <c r="F697" i="1"/>
  <c r="F709" i="1"/>
  <c r="D981" i="1"/>
  <c r="C981" i="1"/>
  <c r="G981" i="1"/>
  <c r="E1075" i="1"/>
  <c r="D1075" i="1"/>
  <c r="C1075" i="1"/>
  <c r="F1075" i="1"/>
  <c r="G1075" i="1"/>
  <c r="A1383" i="1"/>
  <c r="G1383" i="1"/>
  <c r="C1383" i="1"/>
  <c r="F1383" i="1"/>
  <c r="E1383" i="1"/>
  <c r="E1565" i="1"/>
  <c r="D1565" i="1"/>
  <c r="C1565" i="1"/>
  <c r="A1565" i="1"/>
  <c r="G1565" i="1"/>
  <c r="F1565" i="1"/>
  <c r="E1574" i="1"/>
  <c r="D1574" i="1"/>
  <c r="C1574" i="1"/>
  <c r="A1574" i="1"/>
  <c r="G1574" i="1"/>
  <c r="F1574" i="1"/>
  <c r="E1591" i="1"/>
  <c r="F1591" i="1"/>
  <c r="G1591" i="1"/>
  <c r="D1591" i="1"/>
  <c r="C1591" i="1"/>
  <c r="A1591" i="1"/>
  <c r="G325" i="1"/>
  <c r="G330" i="1"/>
  <c r="G355" i="1"/>
  <c r="G494" i="1"/>
  <c r="D494" i="1"/>
  <c r="C515" i="1"/>
  <c r="A515" i="1"/>
  <c r="G602" i="1"/>
  <c r="G697" i="1"/>
  <c r="C774" i="1"/>
  <c r="D774" i="1"/>
  <c r="A774" i="1"/>
  <c r="E805" i="1"/>
  <c r="D805" i="1"/>
  <c r="A805" i="1"/>
  <c r="E901" i="1"/>
  <c r="C901" i="1"/>
  <c r="G901" i="1"/>
  <c r="F901" i="1"/>
  <c r="D901" i="1"/>
  <c r="A901" i="1"/>
  <c r="A1082" i="1"/>
  <c r="G1082" i="1"/>
  <c r="F1082" i="1"/>
  <c r="E1082" i="1"/>
  <c r="D1082" i="1"/>
  <c r="E1150" i="1"/>
  <c r="A1150" i="1"/>
  <c r="D1150" i="1"/>
  <c r="C1150" i="1"/>
  <c r="G1354" i="1"/>
  <c r="C1354" i="1"/>
  <c r="F350" i="1"/>
  <c r="D350" i="1"/>
  <c r="F510" i="1"/>
  <c r="E510" i="1"/>
  <c r="D510" i="1"/>
  <c r="C510" i="1"/>
  <c r="A510" i="1"/>
  <c r="D586" i="1"/>
  <c r="C586" i="1"/>
  <c r="D680" i="1"/>
  <c r="C680" i="1"/>
  <c r="A680" i="1"/>
  <c r="G762" i="1"/>
  <c r="F762" i="1"/>
  <c r="C762" i="1"/>
  <c r="E831" i="1"/>
  <c r="D831" i="1"/>
  <c r="C831" i="1"/>
  <c r="A831" i="1"/>
  <c r="E855" i="1"/>
  <c r="D855" i="1"/>
  <c r="C855" i="1"/>
  <c r="A855" i="1"/>
  <c r="D875" i="1"/>
  <c r="A875" i="1"/>
  <c r="G875" i="1"/>
  <c r="F875" i="1"/>
  <c r="E875" i="1"/>
  <c r="C875" i="1"/>
  <c r="C947" i="1"/>
  <c r="G947" i="1"/>
  <c r="D1002" i="1"/>
  <c r="A1002" i="1"/>
  <c r="E1002" i="1"/>
  <c r="C1002" i="1"/>
  <c r="G1157" i="1"/>
  <c r="F1157" i="1"/>
  <c r="E1157" i="1"/>
  <c r="D1157" i="1"/>
  <c r="A1157" i="1"/>
  <c r="C1157" i="1"/>
  <c r="G462" i="1"/>
  <c r="D462" i="1"/>
  <c r="C483" i="1"/>
  <c r="A483" i="1"/>
  <c r="E597" i="1"/>
  <c r="D597" i="1"/>
  <c r="C597" i="1"/>
  <c r="A597" i="1"/>
  <c r="G739" i="1"/>
  <c r="D739" i="1"/>
  <c r="C739" i="1"/>
  <c r="D995" i="1"/>
  <c r="C995" i="1"/>
  <c r="F995" i="1"/>
  <c r="E995" i="1"/>
  <c r="A995" i="1"/>
  <c r="F1276" i="1"/>
  <c r="A1276" i="1"/>
  <c r="F1419" i="1"/>
  <c r="E1419" i="1"/>
  <c r="D1419" i="1"/>
  <c r="C1419" i="1"/>
  <c r="A1419" i="1"/>
  <c r="G1419" i="1"/>
  <c r="E1307" i="1"/>
  <c r="D1307" i="1"/>
  <c r="C1307" i="1"/>
  <c r="A1307" i="1"/>
  <c r="F1314" i="1"/>
  <c r="G1314" i="1"/>
  <c r="D1597" i="1"/>
  <c r="C1597" i="1"/>
  <c r="A1597" i="1"/>
  <c r="G1597" i="1"/>
  <c r="F1597" i="1"/>
  <c r="F1607" i="1"/>
  <c r="D1637" i="1"/>
  <c r="D1994" i="1"/>
  <c r="G1283" i="1"/>
  <c r="F1283" i="1"/>
  <c r="E1283" i="1"/>
  <c r="D1283" i="1"/>
  <c r="C1283" i="1"/>
  <c r="A1283" i="1"/>
  <c r="G1368" i="1"/>
  <c r="F1368" i="1"/>
  <c r="E1368" i="1"/>
  <c r="D1368" i="1"/>
  <c r="C1368" i="1"/>
  <c r="A1368" i="1"/>
  <c r="G1897" i="1"/>
  <c r="D1897" i="1"/>
  <c r="F1897" i="1"/>
  <c r="A1897" i="1"/>
  <c r="E1607" i="1"/>
  <c r="D1607" i="1"/>
  <c r="C1607" i="1"/>
  <c r="A1607" i="1"/>
  <c r="C1637" i="1"/>
  <c r="F1637" i="1"/>
  <c r="G1637" i="1"/>
  <c r="E1994" i="1"/>
  <c r="A1994" i="1"/>
  <c r="G1994" i="1"/>
  <c r="F1206" i="1"/>
  <c r="D1206" i="1"/>
  <c r="F1545" i="1"/>
  <c r="E1545" i="1"/>
  <c r="D1545" i="1"/>
  <c r="C1545" i="1"/>
  <c r="G1545" i="1"/>
  <c r="G1960" i="1"/>
  <c r="F1960" i="1"/>
  <c r="D1960" i="1"/>
  <c r="C1960" i="1"/>
  <c r="A1960" i="1"/>
  <c r="D590" i="1"/>
  <c r="D622" i="1"/>
  <c r="D654" i="1"/>
  <c r="D715" i="1"/>
  <c r="D729" i="1"/>
  <c r="D776" i="1"/>
  <c r="A781" i="1"/>
  <c r="D790" i="1"/>
  <c r="A795" i="1"/>
  <c r="D809" i="1"/>
  <c r="D843" i="1"/>
  <c r="A909" i="1"/>
  <c r="C914" i="1"/>
  <c r="A920" i="1"/>
  <c r="D936" i="1"/>
  <c r="C936" i="1"/>
  <c r="A936" i="1"/>
  <c r="C942" i="1"/>
  <c r="C965" i="1"/>
  <c r="D998" i="1"/>
  <c r="G1069" i="1"/>
  <c r="F1069" i="1"/>
  <c r="A1069" i="1"/>
  <c r="D1193" i="1"/>
  <c r="C1200" i="1"/>
  <c r="G1207" i="1"/>
  <c r="D1207" i="1"/>
  <c r="C1207" i="1"/>
  <c r="A1207" i="1"/>
  <c r="D1256" i="1"/>
  <c r="C1256" i="1"/>
  <c r="A1256" i="1"/>
  <c r="F1256" i="1"/>
  <c r="D1263" i="1"/>
  <c r="A1270" i="1"/>
  <c r="G1270" i="1"/>
  <c r="F1270" i="1"/>
  <c r="E1270" i="1"/>
  <c r="D1270" i="1"/>
  <c r="C1270" i="1"/>
  <c r="F1468" i="1"/>
  <c r="E1686" i="1"/>
  <c r="G1686" i="1"/>
  <c r="F1686" i="1"/>
  <c r="D1686" i="1"/>
  <c r="C1686" i="1"/>
  <c r="A1686" i="1"/>
  <c r="F1818" i="1"/>
  <c r="E1818" i="1"/>
  <c r="D1818" i="1"/>
  <c r="C1818" i="1"/>
  <c r="G1818" i="1"/>
  <c r="A1818" i="1"/>
  <c r="C1092" i="1"/>
  <c r="A1092" i="1"/>
  <c r="G1179" i="1"/>
  <c r="D1179" i="1"/>
  <c r="C1179" i="1"/>
  <c r="A1179" i="1"/>
  <c r="F1229" i="1"/>
  <c r="E1229" i="1"/>
  <c r="D1229" i="1"/>
  <c r="C1229" i="1"/>
  <c r="A1229" i="1"/>
  <c r="G1293" i="1"/>
  <c r="F1293" i="1"/>
  <c r="E1293" i="1"/>
  <c r="D1293" i="1"/>
  <c r="C1293" i="1"/>
  <c r="G1468" i="1"/>
  <c r="C1539" i="1"/>
  <c r="A1539" i="1"/>
  <c r="G1539" i="1"/>
  <c r="D1539" i="1"/>
  <c r="F1600" i="1"/>
  <c r="A1600" i="1"/>
  <c r="E1600" i="1"/>
  <c r="D1600" i="1"/>
  <c r="C1600" i="1"/>
  <c r="G1600" i="1"/>
  <c r="G1609" i="1"/>
  <c r="E1609" i="1"/>
  <c r="D1609" i="1"/>
  <c r="C1609" i="1"/>
  <c r="F1609" i="1"/>
  <c r="A1609" i="1"/>
  <c r="D1985" i="1"/>
  <c r="E1985" i="1"/>
  <c r="C1985" i="1"/>
  <c r="A1985" i="1"/>
  <c r="F1985" i="1"/>
  <c r="G1985" i="1"/>
  <c r="F1187" i="1"/>
  <c r="D1187" i="1"/>
  <c r="G1187" i="1"/>
  <c r="E1187" i="1"/>
  <c r="C1187" i="1"/>
  <c r="A1187" i="1"/>
  <c r="G1986" i="1"/>
  <c r="F1986" i="1"/>
  <c r="A1986" i="1"/>
  <c r="C1986" i="1"/>
  <c r="E1986" i="1"/>
  <c r="D1986" i="1"/>
  <c r="D706" i="1"/>
  <c r="D753" i="1"/>
  <c r="D767" i="1"/>
  <c r="E781" i="1"/>
  <c r="E795" i="1"/>
  <c r="C824" i="1"/>
  <c r="C829" i="1"/>
  <c r="E838" i="1"/>
  <c r="C838" i="1"/>
  <c r="G843" i="1"/>
  <c r="D853" i="1"/>
  <c r="C873" i="1"/>
  <c r="D878" i="1"/>
  <c r="A894" i="1"/>
  <c r="C899" i="1"/>
  <c r="E909" i="1"/>
  <c r="F914" i="1"/>
  <c r="D937" i="1"/>
  <c r="G942" i="1"/>
  <c r="E948" i="1"/>
  <c r="D948" i="1"/>
  <c r="G965" i="1"/>
  <c r="C976" i="1"/>
  <c r="A993" i="1"/>
  <c r="G1009" i="1"/>
  <c r="F1009" i="1"/>
  <c r="A1009" i="1"/>
  <c r="D1027" i="1"/>
  <c r="D1033" i="1"/>
  <c r="D1051" i="1"/>
  <c r="C1051" i="1"/>
  <c r="A1051" i="1"/>
  <c r="C1057" i="1"/>
  <c r="A1057" i="1"/>
  <c r="C1173" i="1"/>
  <c r="A1188" i="1"/>
  <c r="G1200" i="1"/>
  <c r="D1271" i="1"/>
  <c r="D1393" i="1"/>
  <c r="A1407" i="1"/>
  <c r="F1407" i="1"/>
  <c r="A868" i="1"/>
  <c r="D873" i="1"/>
  <c r="E878" i="1"/>
  <c r="A889" i="1"/>
  <c r="D894" i="1"/>
  <c r="D899" i="1"/>
  <c r="D920" i="1"/>
  <c r="C920" i="1"/>
  <c r="F931" i="1"/>
  <c r="E931" i="1"/>
  <c r="D931" i="1"/>
  <c r="C931" i="1"/>
  <c r="C993" i="1"/>
  <c r="G1021" i="1"/>
  <c r="F1021" i="1"/>
  <c r="E1021" i="1"/>
  <c r="D1021" i="1"/>
  <c r="E1027" i="1"/>
  <c r="F1033" i="1"/>
  <c r="A1052" i="1"/>
  <c r="A1058" i="1"/>
  <c r="A1064" i="1"/>
  <c r="G1093" i="1"/>
  <c r="F1093" i="1"/>
  <c r="E1093" i="1"/>
  <c r="A1093" i="1"/>
  <c r="A1105" i="1"/>
  <c r="F1160" i="1"/>
  <c r="E1160" i="1"/>
  <c r="D1160" i="1"/>
  <c r="C1160" i="1"/>
  <c r="A1160" i="1"/>
  <c r="C1188" i="1"/>
  <c r="D1222" i="1"/>
  <c r="C1222" i="1"/>
  <c r="A1222" i="1"/>
  <c r="F1244" i="1"/>
  <c r="G1244" i="1"/>
  <c r="E1244" i="1"/>
  <c r="D1244" i="1"/>
  <c r="C1244" i="1"/>
  <c r="A1244" i="1"/>
  <c r="G1250" i="1"/>
  <c r="E1250" i="1"/>
  <c r="A1250" i="1"/>
  <c r="C1263" i="1"/>
  <c r="A1263" i="1"/>
  <c r="F1271" i="1"/>
  <c r="D1340" i="1"/>
  <c r="C1340" i="1"/>
  <c r="A1340" i="1"/>
  <c r="E1393" i="1"/>
  <c r="F1462" i="1"/>
  <c r="E1462" i="1"/>
  <c r="D1462" i="1"/>
  <c r="C1462" i="1"/>
  <c r="G1736" i="1"/>
  <c r="D1736" i="1"/>
  <c r="F1736" i="1"/>
  <c r="E1736" i="1"/>
  <c r="C1736" i="1"/>
  <c r="A1736" i="1"/>
  <c r="F1510" i="1"/>
  <c r="G1510" i="1"/>
  <c r="E1510" i="1"/>
  <c r="D1510" i="1"/>
  <c r="C1510" i="1"/>
  <c r="A1510" i="1"/>
  <c r="G824" i="1"/>
  <c r="E824" i="1"/>
  <c r="E868" i="1"/>
  <c r="F873" i="1"/>
  <c r="F889" i="1"/>
  <c r="F894" i="1"/>
  <c r="F899" i="1"/>
  <c r="D915" i="1"/>
  <c r="C932" i="1"/>
  <c r="D943" i="1"/>
  <c r="F976" i="1"/>
  <c r="E976" i="1"/>
  <c r="E988" i="1"/>
  <c r="E993" i="1"/>
  <c r="E1046" i="1"/>
  <c r="D1046" i="1"/>
  <c r="C1046" i="1"/>
  <c r="A1046" i="1"/>
  <c r="D1058" i="1"/>
  <c r="D1064" i="1"/>
  <c r="D1105" i="1"/>
  <c r="E1130" i="1"/>
  <c r="D1173" i="1"/>
  <c r="E1173" i="1"/>
  <c r="E1188" i="1"/>
  <c r="D1245" i="1"/>
  <c r="E1279" i="1"/>
  <c r="A1325" i="1"/>
  <c r="F1325" i="1"/>
  <c r="D1325" i="1"/>
  <c r="C1325" i="1"/>
  <c r="F1401" i="1"/>
  <c r="D1463" i="1"/>
  <c r="F1547" i="1"/>
  <c r="G1547" i="1"/>
  <c r="D1547" i="1"/>
  <c r="C1547" i="1"/>
  <c r="A1547" i="1"/>
  <c r="G1625" i="1"/>
  <c r="F1625" i="1"/>
  <c r="E1625" i="1"/>
  <c r="D1625" i="1"/>
  <c r="C1625" i="1"/>
  <c r="A1625" i="1"/>
  <c r="D1754" i="1"/>
  <c r="C1754" i="1"/>
  <c r="A1754" i="1"/>
  <c r="F1754" i="1"/>
  <c r="E1754" i="1"/>
  <c r="G1754" i="1"/>
  <c r="C749" i="1"/>
  <c r="A820" i="1"/>
  <c r="D829" i="1"/>
  <c r="A829" i="1"/>
  <c r="C849" i="1"/>
  <c r="F868" i="1"/>
  <c r="G873" i="1"/>
  <c r="A879" i="1"/>
  <c r="G894" i="1"/>
  <c r="F988" i="1"/>
  <c r="F993" i="1"/>
  <c r="F1034" i="1"/>
  <c r="F1052" i="1"/>
  <c r="E1052" i="1"/>
  <c r="D1052" i="1"/>
  <c r="E1058" i="1"/>
  <c r="F1130" i="1"/>
  <c r="E1174" i="1"/>
  <c r="F1188" i="1"/>
  <c r="F1216" i="1"/>
  <c r="C1216" i="1"/>
  <c r="A1216" i="1"/>
  <c r="F1245" i="1"/>
  <c r="C1258" i="1"/>
  <c r="A1326" i="1"/>
  <c r="G1372" i="1"/>
  <c r="F1372" i="1"/>
  <c r="E1372" i="1"/>
  <c r="D1372" i="1"/>
  <c r="A1372" i="1"/>
  <c r="E1447" i="1"/>
  <c r="E1463" i="1"/>
  <c r="A1511" i="1"/>
  <c r="F1511" i="1"/>
  <c r="E1511" i="1"/>
  <c r="D1511" i="1"/>
  <c r="C1511" i="1"/>
  <c r="E1519" i="1"/>
  <c r="A1553" i="1"/>
  <c r="C1553" i="1"/>
  <c r="E889" i="1"/>
  <c r="C889" i="1"/>
  <c r="C915" i="1"/>
  <c r="F915" i="1"/>
  <c r="E915" i="1"/>
  <c r="G943" i="1"/>
  <c r="F943" i="1"/>
  <c r="A943" i="1"/>
  <c r="G1058" i="1"/>
  <c r="F1064" i="1"/>
  <c r="E1064" i="1"/>
  <c r="F1105" i="1"/>
  <c r="E1105" i="1"/>
  <c r="A1123" i="1"/>
  <c r="F1123" i="1"/>
  <c r="E1123" i="1"/>
  <c r="D1123" i="1"/>
  <c r="C1123" i="1"/>
  <c r="A1136" i="1"/>
  <c r="A1217" i="1"/>
  <c r="A1272" i="1"/>
  <c r="G1272" i="1"/>
  <c r="E1272" i="1"/>
  <c r="D1272" i="1"/>
  <c r="C1272" i="1"/>
  <c r="C1279" i="1"/>
  <c r="A1279" i="1"/>
  <c r="F1279" i="1"/>
  <c r="D1279" i="1"/>
  <c r="D1326" i="1"/>
  <c r="D1401" i="1"/>
  <c r="C1401" i="1"/>
  <c r="A1401" i="1"/>
  <c r="E1401" i="1"/>
  <c r="A1438" i="1"/>
  <c r="G1438" i="1"/>
  <c r="F1438" i="1"/>
  <c r="E1438" i="1"/>
  <c r="D1438" i="1"/>
  <c r="C1438" i="1"/>
  <c r="F1447" i="1"/>
  <c r="A1512" i="1"/>
  <c r="F1568" i="1"/>
  <c r="E1568" i="1"/>
  <c r="D1568" i="1"/>
  <c r="C1568" i="1"/>
  <c r="A1568" i="1"/>
  <c r="G1568" i="1"/>
  <c r="E1721" i="1"/>
  <c r="D1721" i="1"/>
  <c r="C1721" i="1"/>
  <c r="A1721" i="1"/>
  <c r="G1721" i="1"/>
  <c r="F1721" i="1"/>
  <c r="D988" i="1"/>
  <c r="A988" i="1"/>
  <c r="D1034" i="1"/>
  <c r="A1034" i="1"/>
  <c r="E1034" i="1"/>
  <c r="C1034" i="1"/>
  <c r="D1130" i="1"/>
  <c r="C1130" i="1"/>
  <c r="A1130" i="1"/>
  <c r="G1174" i="1"/>
  <c r="D1174" i="1"/>
  <c r="C1174" i="1"/>
  <c r="A1174" i="1"/>
  <c r="D1217" i="1"/>
  <c r="E1245" i="1"/>
  <c r="C1245" i="1"/>
  <c r="D1252" i="1"/>
  <c r="F1252" i="1"/>
  <c r="E1252" i="1"/>
  <c r="C1252" i="1"/>
  <c r="A1252" i="1"/>
  <c r="E1326" i="1"/>
  <c r="E1402" i="1"/>
  <c r="D1402" i="1"/>
  <c r="C1402" i="1"/>
  <c r="A1402" i="1"/>
  <c r="F1402" i="1"/>
  <c r="G1402" i="1"/>
  <c r="A1463" i="1"/>
  <c r="G1463" i="1"/>
  <c r="C1519" i="1"/>
  <c r="A1519" i="1"/>
  <c r="F1519" i="1"/>
  <c r="F1560" i="1"/>
  <c r="G1560" i="1"/>
  <c r="D1560" i="1"/>
  <c r="D1738" i="1"/>
  <c r="G1821" i="1"/>
  <c r="F1821" i="1"/>
  <c r="E1821" i="1"/>
  <c r="D1821" i="1"/>
  <c r="C1821" i="1"/>
  <c r="A1447" i="1"/>
  <c r="C1447" i="1"/>
  <c r="D1447" i="1"/>
  <c r="G1512" i="1"/>
  <c r="F1512" i="1"/>
  <c r="E1512" i="1"/>
  <c r="D1512" i="1"/>
  <c r="E1656" i="1"/>
  <c r="D1656" i="1"/>
  <c r="C1656" i="1"/>
  <c r="A1656" i="1"/>
  <c r="F1656" i="1"/>
  <c r="E1822" i="1"/>
  <c r="G1822" i="1"/>
  <c r="D1822" i="1"/>
  <c r="A1822" i="1"/>
  <c r="F1822" i="1"/>
  <c r="C1822" i="1"/>
  <c r="G820" i="1"/>
  <c r="G983" i="1"/>
  <c r="D983" i="1"/>
  <c r="C983" i="1"/>
  <c r="A983" i="1"/>
  <c r="D1077" i="1"/>
  <c r="A1077" i="1"/>
  <c r="F1217" i="1"/>
  <c r="E1231" i="1"/>
  <c r="G1231" i="1"/>
  <c r="F1231" i="1"/>
  <c r="D1231" i="1"/>
  <c r="G1326" i="1"/>
  <c r="G1403" i="1"/>
  <c r="F1403" i="1"/>
  <c r="E1403" i="1"/>
  <c r="D1403" i="1"/>
  <c r="A1403" i="1"/>
  <c r="D1471" i="1"/>
  <c r="C1471" i="1"/>
  <c r="A1471" i="1"/>
  <c r="G1471" i="1"/>
  <c r="F1471" i="1"/>
  <c r="E1471" i="1"/>
  <c r="E1665" i="1"/>
  <c r="D1665" i="1"/>
  <c r="C1665" i="1"/>
  <c r="A1665" i="1"/>
  <c r="G1136" i="1"/>
  <c r="D1136" i="1"/>
  <c r="G1217" i="1"/>
  <c r="G1364" i="1"/>
  <c r="E1364" i="1"/>
  <c r="F1364" i="1"/>
  <c r="D1364" i="1"/>
  <c r="C1364" i="1"/>
  <c r="A1364" i="1"/>
  <c r="E1472" i="1"/>
  <c r="D1472" i="1"/>
  <c r="C1472" i="1"/>
  <c r="A1472" i="1"/>
  <c r="G1472" i="1"/>
  <c r="F1472" i="1"/>
  <c r="E1480" i="1"/>
  <c r="D1480" i="1"/>
  <c r="C1480" i="1"/>
  <c r="A1480" i="1"/>
  <c r="F1480" i="1"/>
  <c r="G1480" i="1"/>
  <c r="G1657" i="1"/>
  <c r="F1657" i="1"/>
  <c r="E1657" i="1"/>
  <c r="D1657" i="1"/>
  <c r="C1657" i="1"/>
  <c r="G1738" i="1"/>
  <c r="C1738" i="1"/>
  <c r="A1738" i="1"/>
  <c r="D1845" i="1"/>
  <c r="G1845" i="1"/>
  <c r="F1845" i="1"/>
  <c r="E1845" i="1"/>
  <c r="C1845" i="1"/>
  <c r="A1845" i="1"/>
  <c r="E1643" i="1"/>
  <c r="D1643" i="1"/>
  <c r="C1643" i="1"/>
  <c r="A1643" i="1"/>
  <c r="F1643" i="1"/>
  <c r="E1878" i="1"/>
  <c r="C1878" i="1"/>
  <c r="A1878" i="1"/>
  <c r="G1878" i="1"/>
  <c r="F1878" i="1"/>
  <c r="E377" i="1"/>
  <c r="E409" i="1"/>
  <c r="E441" i="1"/>
  <c r="E473" i="1"/>
  <c r="E505" i="1"/>
  <c r="E537" i="1"/>
  <c r="E569" i="1"/>
  <c r="E601" i="1"/>
  <c r="E633" i="1"/>
  <c r="E684" i="1"/>
  <c r="E698" i="1"/>
  <c r="E745" i="1"/>
  <c r="E759" i="1"/>
  <c r="G869" i="1"/>
  <c r="D880" i="1"/>
  <c r="D906" i="1"/>
  <c r="D984" i="1"/>
  <c r="E1017" i="1"/>
  <c r="F1095" i="1"/>
  <c r="D1095" i="1"/>
  <c r="C1095" i="1"/>
  <c r="E1118" i="1"/>
  <c r="F1118" i="1"/>
  <c r="D1118" i="1"/>
  <c r="C1118" i="1"/>
  <c r="A1118" i="1"/>
  <c r="D1162" i="1"/>
  <c r="C1162" i="1"/>
  <c r="A1162" i="1"/>
  <c r="G1195" i="1"/>
  <c r="F1195" i="1"/>
  <c r="E1195" i="1"/>
  <c r="E1202" i="1"/>
  <c r="C1202" i="1"/>
  <c r="E1211" i="1"/>
  <c r="A1225" i="1"/>
  <c r="F1253" i="1"/>
  <c r="A1351" i="1"/>
  <c r="F1351" i="1"/>
  <c r="G1351" i="1"/>
  <c r="E1351" i="1"/>
  <c r="D1351" i="1"/>
  <c r="C1351" i="1"/>
  <c r="G1498" i="1"/>
  <c r="F1498" i="1"/>
  <c r="E1498" i="1"/>
  <c r="D1498" i="1"/>
  <c r="A1498" i="1"/>
  <c r="E1854" i="1"/>
  <c r="G1854" i="1"/>
  <c r="D1854" i="1"/>
  <c r="A1854" i="1"/>
  <c r="C1854" i="1"/>
  <c r="F1854" i="1"/>
  <c r="F684" i="1"/>
  <c r="F698" i="1"/>
  <c r="F745" i="1"/>
  <c r="E806" i="1"/>
  <c r="C806" i="1"/>
  <c r="C967" i="1"/>
  <c r="A967" i="1"/>
  <c r="E984" i="1"/>
  <c r="C1000" i="1"/>
  <c r="A1000" i="1"/>
  <c r="F1017" i="1"/>
  <c r="E1023" i="1"/>
  <c r="E1048" i="1"/>
  <c r="F1054" i="1"/>
  <c r="D1072" i="1"/>
  <c r="E1078" i="1"/>
  <c r="F1155" i="1"/>
  <c r="C1163" i="1"/>
  <c r="C1169" i="1"/>
  <c r="A1196" i="1"/>
  <c r="E1203" i="1"/>
  <c r="G1203" i="1"/>
  <c r="F1203" i="1"/>
  <c r="D1203" i="1"/>
  <c r="C1203" i="1"/>
  <c r="A1203" i="1"/>
  <c r="G1211" i="1"/>
  <c r="G1296" i="1"/>
  <c r="F1296" i="1"/>
  <c r="E1296" i="1"/>
  <c r="D1296" i="1"/>
  <c r="C1296" i="1"/>
  <c r="A1296" i="1"/>
  <c r="F1312" i="1"/>
  <c r="E1312" i="1"/>
  <c r="D1312" i="1"/>
  <c r="C1312" i="1"/>
  <c r="A1312" i="1"/>
  <c r="F1320" i="1"/>
  <c r="A1440" i="1"/>
  <c r="F1440" i="1"/>
  <c r="E1440" i="1"/>
  <c r="D1440" i="1"/>
  <c r="C1440" i="1"/>
  <c r="C1504" i="1"/>
  <c r="A1504" i="1"/>
  <c r="F778" i="1"/>
  <c r="G792" i="1"/>
  <c r="F845" i="1"/>
  <c r="F880" i="1"/>
  <c r="F906" i="1"/>
  <c r="D922" i="1"/>
  <c r="A922" i="1"/>
  <c r="E933" i="1"/>
  <c r="F933" i="1"/>
  <c r="A945" i="1"/>
  <c r="F978" i="1"/>
  <c r="E978" i="1"/>
  <c r="D978" i="1"/>
  <c r="C978" i="1"/>
  <c r="G1023" i="1"/>
  <c r="G1029" i="1"/>
  <c r="E1029" i="1"/>
  <c r="C1029" i="1"/>
  <c r="A1029" i="1"/>
  <c r="E1072" i="1"/>
  <c r="F1078" i="1"/>
  <c r="G1137" i="1"/>
  <c r="C1137" i="1"/>
  <c r="A1137" i="1"/>
  <c r="D1163" i="1"/>
  <c r="E1169" i="1"/>
  <c r="E1232" i="1"/>
  <c r="C1232" i="1"/>
  <c r="G1266" i="1"/>
  <c r="F1266" i="1"/>
  <c r="E1266" i="1"/>
  <c r="G1352" i="1"/>
  <c r="F1352" i="1"/>
  <c r="E1352" i="1"/>
  <c r="D1352" i="1"/>
  <c r="C1352" i="1"/>
  <c r="G1374" i="1"/>
  <c r="E1374" i="1"/>
  <c r="D1374" i="1"/>
  <c r="C1374" i="1"/>
  <c r="A1374" i="1"/>
  <c r="G880" i="1"/>
  <c r="G906" i="1"/>
  <c r="A1048" i="1"/>
  <c r="F1048" i="1"/>
  <c r="E1054" i="1"/>
  <c r="D1054" i="1"/>
  <c r="C1054" i="1"/>
  <c r="F1072" i="1"/>
  <c r="G1125" i="1"/>
  <c r="F1125" i="1"/>
  <c r="E1125" i="1"/>
  <c r="D1125" i="1"/>
  <c r="A1125" i="1"/>
  <c r="A1155" i="1"/>
  <c r="C1155" i="1"/>
  <c r="G1196" i="1"/>
  <c r="E1196" i="1"/>
  <c r="F1196" i="1"/>
  <c r="C1196" i="1"/>
  <c r="G1204" i="1"/>
  <c r="F1204" i="1"/>
  <c r="E1204" i="1"/>
  <c r="D1204" i="1"/>
  <c r="A1204" i="1"/>
  <c r="G1225" i="1"/>
  <c r="F1225" i="1"/>
  <c r="E1225" i="1"/>
  <c r="D1320" i="1"/>
  <c r="C1320" i="1"/>
  <c r="A1320" i="1"/>
  <c r="E1320" i="1"/>
  <c r="A1691" i="1"/>
  <c r="F1691" i="1"/>
  <c r="E1691" i="1"/>
  <c r="D1691" i="1"/>
  <c r="C1691" i="1"/>
  <c r="C1732" i="1"/>
  <c r="G1732" i="1"/>
  <c r="F1732" i="1"/>
  <c r="A1732" i="1"/>
  <c r="D1732" i="1"/>
  <c r="E1732" i="1"/>
  <c r="G1847" i="1"/>
  <c r="E1847" i="1"/>
  <c r="D1847" i="1"/>
  <c r="C1847" i="1"/>
  <c r="F1847" i="1"/>
  <c r="A1847" i="1"/>
  <c r="G945" i="1"/>
  <c r="F945" i="1"/>
  <c r="E945" i="1"/>
  <c r="D945" i="1"/>
  <c r="C1036" i="1"/>
  <c r="F1036" i="1"/>
  <c r="E1036" i="1"/>
  <c r="D1036" i="1"/>
  <c r="A1036" i="1"/>
  <c r="G1163" i="1"/>
  <c r="F1163" i="1"/>
  <c r="A1163" i="1"/>
  <c r="F1169" i="1"/>
  <c r="D1169" i="1"/>
  <c r="A1176" i="1"/>
  <c r="E1176" i="1"/>
  <c r="D1176" i="1"/>
  <c r="C1176" i="1"/>
  <c r="C1190" i="1"/>
  <c r="A1190" i="1"/>
  <c r="G1190" i="1"/>
  <c r="F1190" i="1"/>
  <c r="E1190" i="1"/>
  <c r="A1240" i="1"/>
  <c r="F1240" i="1"/>
  <c r="E1240" i="1"/>
  <c r="D1240" i="1"/>
  <c r="C1240" i="1"/>
  <c r="C1328" i="1"/>
  <c r="G1328" i="1"/>
  <c r="F1328" i="1"/>
  <c r="E1328" i="1"/>
  <c r="D1328" i="1"/>
  <c r="A1328" i="1"/>
  <c r="G1396" i="1"/>
  <c r="F1396" i="1"/>
  <c r="E1396" i="1"/>
  <c r="D1396" i="1"/>
  <c r="C1396" i="1"/>
  <c r="A1396" i="1"/>
  <c r="E1418" i="1"/>
  <c r="D1418" i="1"/>
  <c r="C1418" i="1"/>
  <c r="A1418" i="1"/>
  <c r="G1441" i="1"/>
  <c r="F1441" i="1"/>
  <c r="E1441" i="1"/>
  <c r="D1441" i="1"/>
  <c r="E1667" i="1"/>
  <c r="D1667" i="1"/>
  <c r="C1667" i="1"/>
  <c r="A1667" i="1"/>
  <c r="F1667" i="1"/>
  <c r="A910" i="1"/>
  <c r="C957" i="1"/>
  <c r="C1126" i="1"/>
  <c r="A1184" i="1"/>
  <c r="C1224" i="1"/>
  <c r="F1224" i="1"/>
  <c r="E1224" i="1"/>
  <c r="D1224" i="1"/>
  <c r="A1224" i="1"/>
  <c r="C1335" i="1"/>
  <c r="F1355" i="1"/>
  <c r="D1355" i="1"/>
  <c r="G1355" i="1"/>
  <c r="A1408" i="1"/>
  <c r="E1435" i="1"/>
  <c r="D1435" i="1"/>
  <c r="C1435" i="1"/>
  <c r="A1435" i="1"/>
  <c r="F1435" i="1"/>
  <c r="C1478" i="1"/>
  <c r="G1485" i="1"/>
  <c r="F1485" i="1"/>
  <c r="E1485" i="1"/>
  <c r="D1485" i="1"/>
  <c r="D1953" i="1"/>
  <c r="G1953" i="1"/>
  <c r="F1953" i="1"/>
  <c r="E1953" i="1"/>
  <c r="C1953" i="1"/>
  <c r="A1953" i="1"/>
  <c r="E1375" i="1"/>
  <c r="D1375" i="1"/>
  <c r="C1375" i="1"/>
  <c r="C1456" i="1"/>
  <c r="E1456" i="1"/>
  <c r="D1456" i="1"/>
  <c r="A1456" i="1"/>
  <c r="G1456" i="1"/>
  <c r="C1486" i="1"/>
  <c r="G910" i="1"/>
  <c r="C1039" i="1"/>
  <c r="C1044" i="1"/>
  <c r="F1084" i="1"/>
  <c r="E1084" i="1"/>
  <c r="D1084" i="1"/>
  <c r="C1089" i="1"/>
  <c r="A1089" i="1"/>
  <c r="A1132" i="1"/>
  <c r="E1168" i="1"/>
  <c r="F1184" i="1"/>
  <c r="F1219" i="1"/>
  <c r="D1219" i="1"/>
  <c r="G1219" i="1"/>
  <c r="E1219" i="1"/>
  <c r="C1219" i="1"/>
  <c r="A1219" i="1"/>
  <c r="D1284" i="1"/>
  <c r="C1290" i="1"/>
  <c r="F1297" i="1"/>
  <c r="C1309" i="1"/>
  <c r="D1349" i="1"/>
  <c r="C1369" i="1"/>
  <c r="F1408" i="1"/>
  <c r="G1478" i="1"/>
  <c r="E1486" i="1"/>
  <c r="E1494" i="1"/>
  <c r="D1601" i="1"/>
  <c r="A1610" i="1"/>
  <c r="D1639" i="1"/>
  <c r="F1639" i="1"/>
  <c r="E1639" i="1"/>
  <c r="C1639" i="1"/>
  <c r="A1639" i="1"/>
  <c r="G1639" i="1"/>
  <c r="F1684" i="1"/>
  <c r="E1684" i="1"/>
  <c r="D1684" i="1"/>
  <c r="C1684" i="1"/>
  <c r="A1724" i="1"/>
  <c r="C1724" i="1"/>
  <c r="G1724" i="1"/>
  <c r="G1786" i="1"/>
  <c r="F1786" i="1"/>
  <c r="E1786" i="1"/>
  <c r="D1786" i="1"/>
  <c r="D1900" i="1"/>
  <c r="C1900" i="1"/>
  <c r="F1900" i="1"/>
  <c r="E1900" i="1"/>
  <c r="A1900" i="1"/>
  <c r="D1132" i="1"/>
  <c r="F1168" i="1"/>
  <c r="E1284" i="1"/>
  <c r="E1290" i="1"/>
  <c r="A1302" i="1"/>
  <c r="C1302" i="1"/>
  <c r="D1309" i="1"/>
  <c r="G1329" i="1"/>
  <c r="F1329" i="1"/>
  <c r="E1329" i="1"/>
  <c r="D1329" i="1"/>
  <c r="E1349" i="1"/>
  <c r="F1429" i="1"/>
  <c r="A1429" i="1"/>
  <c r="F1457" i="1"/>
  <c r="E1457" i="1"/>
  <c r="D1457" i="1"/>
  <c r="C1457" i="1"/>
  <c r="F1486" i="1"/>
  <c r="C1701" i="1"/>
  <c r="E1701" i="1"/>
  <c r="D1701" i="1"/>
  <c r="A1701" i="1"/>
  <c r="G1701" i="1"/>
  <c r="F1701" i="1"/>
  <c r="F1862" i="1"/>
  <c r="E1862" i="1"/>
  <c r="A1862" i="1"/>
  <c r="F1290" i="1"/>
  <c r="E1297" i="1"/>
  <c r="D1297" i="1"/>
  <c r="C1297" i="1"/>
  <c r="A1297" i="1"/>
  <c r="A1303" i="1"/>
  <c r="F1309" i="1"/>
  <c r="A1330" i="1"/>
  <c r="A1494" i="1"/>
  <c r="G1494" i="1"/>
  <c r="C1494" i="1"/>
  <c r="G1610" i="1"/>
  <c r="F1610" i="1"/>
  <c r="E1610" i="1"/>
  <c r="D1610" i="1"/>
  <c r="E1725" i="1"/>
  <c r="D1725" i="1"/>
  <c r="C1725" i="1"/>
  <c r="A1725" i="1"/>
  <c r="G1725" i="1"/>
  <c r="D1741" i="1"/>
  <c r="F1741" i="1"/>
  <c r="E1741" i="1"/>
  <c r="C1741" i="1"/>
  <c r="A1741" i="1"/>
  <c r="G1741" i="1"/>
  <c r="C1923" i="1"/>
  <c r="A1923" i="1"/>
  <c r="G1923" i="1"/>
  <c r="D1923" i="1"/>
  <c r="F1923" i="1"/>
  <c r="D1303" i="1"/>
  <c r="D1330" i="1"/>
  <c r="D1369" i="1"/>
  <c r="A1369" i="1"/>
  <c r="E1430" i="1"/>
  <c r="D1430" i="1"/>
  <c r="C1430" i="1"/>
  <c r="A1430" i="1"/>
  <c r="D1450" i="1"/>
  <c r="C1529" i="1"/>
  <c r="D1678" i="1"/>
  <c r="A1678" i="1"/>
  <c r="C1678" i="1"/>
  <c r="E1678" i="1"/>
  <c r="A1825" i="1"/>
  <c r="E1846" i="1"/>
  <c r="D1846" i="1"/>
  <c r="E1127" i="1"/>
  <c r="G1291" i="1"/>
  <c r="F1291" i="1"/>
  <c r="E1291" i="1"/>
  <c r="D1291" i="1"/>
  <c r="C1291" i="1"/>
  <c r="A1291" i="1"/>
  <c r="E1303" i="1"/>
  <c r="E1330" i="1"/>
  <c r="G1342" i="1"/>
  <c r="C1342" i="1"/>
  <c r="E1450" i="1"/>
  <c r="E1529" i="1"/>
  <c r="F1578" i="1"/>
  <c r="E1578" i="1"/>
  <c r="D1578" i="1"/>
  <c r="C1578" i="1"/>
  <c r="A1578" i="1"/>
  <c r="F1624" i="1"/>
  <c r="E1624" i="1"/>
  <c r="A1694" i="1"/>
  <c r="E1750" i="1"/>
  <c r="G1750" i="1"/>
  <c r="F1750" i="1"/>
  <c r="D1750" i="1"/>
  <c r="C1750" i="1"/>
  <c r="A1750" i="1"/>
  <c r="C1825" i="1"/>
  <c r="A1917" i="1"/>
  <c r="F1148" i="1"/>
  <c r="E1148" i="1"/>
  <c r="D1148" i="1"/>
  <c r="C1148" i="1"/>
  <c r="C1153" i="1"/>
  <c r="A1153" i="1"/>
  <c r="G1214" i="1"/>
  <c r="E1214" i="1"/>
  <c r="D1214" i="1"/>
  <c r="C1214" i="1"/>
  <c r="A1214" i="1"/>
  <c r="D1390" i="1"/>
  <c r="C1390" i="1"/>
  <c r="A1390" i="1"/>
  <c r="G1529" i="1"/>
  <c r="E1579" i="1"/>
  <c r="D1579" i="1"/>
  <c r="C1579" i="1"/>
  <c r="A1579" i="1"/>
  <c r="F1579" i="1"/>
  <c r="G1594" i="1"/>
  <c r="F1594" i="1"/>
  <c r="E1594" i="1"/>
  <c r="C1594" i="1"/>
  <c r="A1594" i="1"/>
  <c r="G1343" i="1"/>
  <c r="F1343" i="1"/>
  <c r="E1343" i="1"/>
  <c r="D1343" i="1"/>
  <c r="A1450" i="1"/>
  <c r="C1450" i="1"/>
  <c r="E1580" i="1"/>
  <c r="D1580" i="1"/>
  <c r="G1580" i="1"/>
  <c r="F1580" i="1"/>
  <c r="C1580" i="1"/>
  <c r="A1580" i="1"/>
  <c r="E1694" i="1"/>
  <c r="G1694" i="1"/>
  <c r="C1694" i="1"/>
  <c r="D1825" i="1"/>
  <c r="F1825" i="1"/>
  <c r="F1870" i="1"/>
  <c r="D1870" i="1"/>
  <c r="G1870" i="1"/>
  <c r="C1870" i="1"/>
  <c r="F1917" i="1"/>
  <c r="G1917" i="1"/>
  <c r="E1917" i="1"/>
  <c r="E1128" i="1"/>
  <c r="A1208" i="1"/>
  <c r="G1208" i="1"/>
  <c r="E1239" i="1"/>
  <c r="D1239" i="1"/>
  <c r="C1239" i="1"/>
  <c r="A1239" i="1"/>
  <c r="G1251" i="1"/>
  <c r="F1251" i="1"/>
  <c r="E1251" i="1"/>
  <c r="D1251" i="1"/>
  <c r="D1337" i="1"/>
  <c r="C1337" i="1"/>
  <c r="G1337" i="1"/>
  <c r="D1371" i="1"/>
  <c r="D1550" i="1"/>
  <c r="E1550" i="1"/>
  <c r="C1550" i="1"/>
  <c r="A1550" i="1"/>
  <c r="A1571" i="1"/>
  <c r="G1571" i="1"/>
  <c r="E1571" i="1"/>
  <c r="D1571" i="1"/>
  <c r="C1571" i="1"/>
  <c r="E1654" i="1"/>
  <c r="C1654" i="1"/>
  <c r="A1654" i="1"/>
  <c r="F1717" i="1"/>
  <c r="E1717" i="1"/>
  <c r="D1717" i="1"/>
  <c r="C1717" i="1"/>
  <c r="A1717" i="1"/>
  <c r="A1775" i="1"/>
  <c r="E1775" i="1"/>
  <c r="D1775" i="1"/>
  <c r="C1775" i="1"/>
  <c r="A1903" i="1"/>
  <c r="G1903" i="1"/>
  <c r="C1903" i="1"/>
  <c r="F1903" i="1"/>
  <c r="E1903" i="1"/>
  <c r="F926" i="1"/>
  <c r="F940" i="1"/>
  <c r="F987" i="1"/>
  <c r="F1011" i="1"/>
  <c r="F1066" i="1"/>
  <c r="F1076" i="1"/>
  <c r="E1107" i="1"/>
  <c r="D1107" i="1"/>
  <c r="C1107" i="1"/>
  <c r="A1107" i="1"/>
  <c r="F1128" i="1"/>
  <c r="F1149" i="1"/>
  <c r="F1154" i="1"/>
  <c r="F1197" i="1"/>
  <c r="F1209" i="1"/>
  <c r="G1221" i="1"/>
  <c r="F1221" i="1"/>
  <c r="A1274" i="1"/>
  <c r="F1286" i="1"/>
  <c r="E1286" i="1"/>
  <c r="D1286" i="1"/>
  <c r="C1286" i="1"/>
  <c r="A1286" i="1"/>
  <c r="A1304" i="1"/>
  <c r="G1304" i="1"/>
  <c r="C1304" i="1"/>
  <c r="D1358" i="1"/>
  <c r="C1358" i="1"/>
  <c r="A1358" i="1"/>
  <c r="E1371" i="1"/>
  <c r="E1425" i="1"/>
  <c r="E1524" i="1"/>
  <c r="E1530" i="1"/>
  <c r="D1537" i="1"/>
  <c r="C1537" i="1"/>
  <c r="A1537" i="1"/>
  <c r="F1537" i="1"/>
  <c r="F1642" i="1"/>
  <c r="A1655" i="1"/>
  <c r="E1752" i="1"/>
  <c r="F1752" i="1"/>
  <c r="D1752" i="1"/>
  <c r="C1752" i="1"/>
  <c r="A1752" i="1"/>
  <c r="C1766" i="1"/>
  <c r="A1766" i="1"/>
  <c r="G1766" i="1"/>
  <c r="D1766" i="1"/>
  <c r="F1016" i="1"/>
  <c r="F1144" i="1"/>
  <c r="E1170" i="1"/>
  <c r="G1197" i="1"/>
  <c r="F1257" i="1"/>
  <c r="E1378" i="1"/>
  <c r="D1378" i="1"/>
  <c r="C1378" i="1"/>
  <c r="D1503" i="1"/>
  <c r="C1503" i="1"/>
  <c r="A1503" i="1"/>
  <c r="E1503" i="1"/>
  <c r="G1503" i="1"/>
  <c r="F1503" i="1"/>
  <c r="F1530" i="1"/>
  <c r="G1581" i="1"/>
  <c r="E1581" i="1"/>
  <c r="G1926" i="1"/>
  <c r="E1926" i="1"/>
  <c r="C1926" i="1"/>
  <c r="D1926" i="1"/>
  <c r="F1926" i="1"/>
  <c r="E1011" i="1"/>
  <c r="C1011" i="1"/>
  <c r="D1066" i="1"/>
  <c r="C1066" i="1"/>
  <c r="A1066" i="1"/>
  <c r="E1209" i="1"/>
  <c r="D1209" i="1"/>
  <c r="C1209" i="1"/>
  <c r="A1209" i="1"/>
  <c r="F1274" i="1"/>
  <c r="E1274" i="1"/>
  <c r="D1274" i="1"/>
  <c r="C1274" i="1"/>
  <c r="G1371" i="1"/>
  <c r="C1371" i="1"/>
  <c r="D1425" i="1"/>
  <c r="C1425" i="1"/>
  <c r="A1425" i="1"/>
  <c r="F1425" i="1"/>
  <c r="G1524" i="1"/>
  <c r="C1524" i="1"/>
  <c r="A1524" i="1"/>
  <c r="D1582" i="1"/>
  <c r="G1582" i="1"/>
  <c r="F1582" i="1"/>
  <c r="E1582" i="1"/>
  <c r="C1582" i="1"/>
  <c r="A1582" i="1"/>
  <c r="C1642" i="1"/>
  <c r="A1642" i="1"/>
  <c r="E1642" i="1"/>
  <c r="D1642" i="1"/>
  <c r="E1655" i="1"/>
  <c r="D1655" i="1"/>
  <c r="C1655" i="1"/>
  <c r="F1655" i="1"/>
  <c r="A1680" i="1"/>
  <c r="F1680" i="1"/>
  <c r="G1680" i="1"/>
  <c r="C1688" i="1"/>
  <c r="G1688" i="1"/>
  <c r="F1688" i="1"/>
  <c r="E1688" i="1"/>
  <c r="G1061" i="1"/>
  <c r="F1061" i="1"/>
  <c r="E1061" i="1"/>
  <c r="E1139" i="1"/>
  <c r="D1139" i="1"/>
  <c r="C1139" i="1"/>
  <c r="A1139" i="1"/>
  <c r="C1192" i="1"/>
  <c r="A1192" i="1"/>
  <c r="E1318" i="1"/>
  <c r="A1318" i="1"/>
  <c r="F1453" i="1"/>
  <c r="E1453" i="1"/>
  <c r="D1453" i="1"/>
  <c r="C1453" i="1"/>
  <c r="A1453" i="1"/>
  <c r="G1544" i="1"/>
  <c r="F1544" i="1"/>
  <c r="A1544" i="1"/>
  <c r="D1201" i="1"/>
  <c r="A1201" i="1"/>
  <c r="D1288" i="1"/>
  <c r="C1288" i="1"/>
  <c r="A1288" i="1"/>
  <c r="C1299" i="1"/>
  <c r="C1331" i="1"/>
  <c r="C1389" i="1"/>
  <c r="C1461" i="1"/>
  <c r="A1461" i="1"/>
  <c r="C1567" i="1"/>
  <c r="C1583" i="1"/>
  <c r="D1377" i="1"/>
  <c r="C1377" i="1"/>
  <c r="A1377" i="1"/>
  <c r="C1395" i="1"/>
  <c r="A1395" i="1"/>
  <c r="E1487" i="1"/>
  <c r="D1487" i="1"/>
  <c r="C1487" i="1"/>
  <c r="A1487" i="1"/>
  <c r="C1514" i="1"/>
  <c r="D1520" i="1"/>
  <c r="C1555" i="1"/>
  <c r="A1555" i="1"/>
  <c r="C1561" i="1"/>
  <c r="F1638" i="1"/>
  <c r="E1638" i="1"/>
  <c r="D1638" i="1"/>
  <c r="C1638" i="1"/>
  <c r="A1638" i="1"/>
  <c r="D1709" i="1"/>
  <c r="G1709" i="1"/>
  <c r="A1709" i="1"/>
  <c r="E1709" i="1"/>
  <c r="C1709" i="1"/>
  <c r="F1709" i="1"/>
  <c r="A1740" i="1"/>
  <c r="F1740" i="1"/>
  <c r="E1740" i="1"/>
  <c r="D1740" i="1"/>
  <c r="C1740" i="1"/>
  <c r="G1575" i="1"/>
  <c r="F1575" i="1"/>
  <c r="E1575" i="1"/>
  <c r="A1659" i="1"/>
  <c r="E1659" i="1"/>
  <c r="D1659" i="1"/>
  <c r="C1659" i="1"/>
  <c r="F1716" i="1"/>
  <c r="C1716" i="1"/>
  <c r="A1716" i="1"/>
  <c r="F1747" i="1"/>
  <c r="E1747" i="1"/>
  <c r="C1747" i="1"/>
  <c r="A1747" i="1"/>
  <c r="E1770" i="1"/>
  <c r="D1770" i="1"/>
  <c r="F1770" i="1"/>
  <c r="C1770" i="1"/>
  <c r="A1770" i="1"/>
  <c r="F1811" i="1"/>
  <c r="G1811" i="1"/>
  <c r="D1811" i="1"/>
  <c r="C1811" i="1"/>
  <c r="A1811" i="1"/>
  <c r="G1820" i="1"/>
  <c r="A1820" i="1"/>
  <c r="E1820" i="1"/>
  <c r="D1820" i="1"/>
  <c r="C1820" i="1"/>
  <c r="F1820" i="1"/>
  <c r="C1475" i="1"/>
  <c r="A1475" i="1"/>
  <c r="G1475" i="1"/>
  <c r="F1475" i="1"/>
  <c r="E1475" i="1"/>
  <c r="D1475" i="1"/>
  <c r="E1584" i="1"/>
  <c r="D1584" i="1"/>
  <c r="C1584" i="1"/>
  <c r="A1584" i="1"/>
  <c r="F1726" i="1"/>
  <c r="E1726" i="1"/>
  <c r="G1896" i="1"/>
  <c r="F1896" i="1"/>
  <c r="D1896" i="1"/>
  <c r="C1896" i="1"/>
  <c r="A1896" i="1"/>
  <c r="E1910" i="1"/>
  <c r="G1910" i="1"/>
  <c r="F1910" i="1"/>
  <c r="D1910" i="1"/>
  <c r="C1910" i="1"/>
  <c r="E1590" i="1"/>
  <c r="F1590" i="1"/>
  <c r="G1612" i="1"/>
  <c r="A1612" i="1"/>
  <c r="G1675" i="1"/>
  <c r="F1675" i="1"/>
  <c r="E1675" i="1"/>
  <c r="D1675" i="1"/>
  <c r="G1697" i="1"/>
  <c r="D1697" i="1"/>
  <c r="C1697" i="1"/>
  <c r="A1697" i="1"/>
  <c r="D1785" i="1"/>
  <c r="C1785" i="1"/>
  <c r="A1785" i="1"/>
  <c r="F1792" i="1"/>
  <c r="E1792" i="1"/>
  <c r="G1792" i="1"/>
  <c r="D1433" i="1"/>
  <c r="C1433" i="1"/>
  <c r="A1433" i="1"/>
  <c r="C1445" i="1"/>
  <c r="A1445" i="1"/>
  <c r="A1508" i="1"/>
  <c r="F1508" i="1"/>
  <c r="E1508" i="1"/>
  <c r="D1508" i="1"/>
  <c r="C1508" i="1"/>
  <c r="E1718" i="1"/>
  <c r="F1718" i="1"/>
  <c r="C1764" i="1"/>
  <c r="A1764" i="1"/>
  <c r="F1764" i="1"/>
  <c r="G1911" i="1"/>
  <c r="E1911" i="1"/>
  <c r="C1911" i="1"/>
  <c r="E1233" i="1"/>
  <c r="D1233" i="1"/>
  <c r="A1233" i="1"/>
  <c r="G1238" i="1"/>
  <c r="D1275" i="1"/>
  <c r="C1311" i="1"/>
  <c r="A1311" i="1"/>
  <c r="C1317" i="1"/>
  <c r="F1322" i="1"/>
  <c r="G1327" i="1"/>
  <c r="A1327" i="1"/>
  <c r="G1356" i="1"/>
  <c r="D1398" i="1"/>
  <c r="G1427" i="1"/>
  <c r="E1452" i="1"/>
  <c r="D1452" i="1"/>
  <c r="C1452" i="1"/>
  <c r="A1452" i="1"/>
  <c r="E1464" i="1"/>
  <c r="C1482" i="1"/>
  <c r="A1482" i="1"/>
  <c r="D1489" i="1"/>
  <c r="C1489" i="1"/>
  <c r="A1489" i="1"/>
  <c r="F1496" i="1"/>
  <c r="G1515" i="1"/>
  <c r="F1527" i="1"/>
  <c r="F1606" i="1"/>
  <c r="G1613" i="1"/>
  <c r="F1698" i="1"/>
  <c r="E1698" i="1"/>
  <c r="E1814" i="1"/>
  <c r="C1814" i="1"/>
  <c r="A1814" i="1"/>
  <c r="F1814" i="1"/>
  <c r="D1814" i="1"/>
  <c r="F1306" i="1"/>
  <c r="E1306" i="1"/>
  <c r="D1306" i="1"/>
  <c r="C1306" i="1"/>
  <c r="G1350" i="1"/>
  <c r="F1350" i="1"/>
  <c r="D1385" i="1"/>
  <c r="C1385" i="1"/>
  <c r="A1385" i="1"/>
  <c r="A1415" i="1"/>
  <c r="D1415" i="1"/>
  <c r="C1415" i="1"/>
  <c r="G1464" i="1"/>
  <c r="G1496" i="1"/>
  <c r="E1719" i="1"/>
  <c r="C1719" i="1"/>
  <c r="D1719" i="1"/>
  <c r="G1719" i="1"/>
  <c r="F1772" i="1"/>
  <c r="A1772" i="1"/>
  <c r="F1275" i="1"/>
  <c r="C1339" i="1"/>
  <c r="A1339" i="1"/>
  <c r="F1380" i="1"/>
  <c r="F1392" i="1"/>
  <c r="E1470" i="1"/>
  <c r="D1470" i="1"/>
  <c r="C1470" i="1"/>
  <c r="A1470" i="1"/>
  <c r="G1470" i="1"/>
  <c r="F1470" i="1"/>
  <c r="C1527" i="1"/>
  <c r="A1527" i="1"/>
  <c r="G1653" i="1"/>
  <c r="D1683" i="1"/>
  <c r="E1690" i="1"/>
  <c r="F1249" i="1"/>
  <c r="F1317" i="1"/>
  <c r="G1434" i="1"/>
  <c r="F1563" i="1"/>
  <c r="E1683" i="1"/>
  <c r="G1884" i="1"/>
  <c r="D1884" i="1"/>
  <c r="A1884" i="1"/>
  <c r="C1884" i="1"/>
  <c r="F1884" i="1"/>
  <c r="E1380" i="1"/>
  <c r="D1380" i="1"/>
  <c r="C1380" i="1"/>
  <c r="C1392" i="1"/>
  <c r="A1392" i="1"/>
  <c r="E1392" i="1"/>
  <c r="D1392" i="1"/>
  <c r="G1428" i="1"/>
  <c r="F1428" i="1"/>
  <c r="E1428" i="1"/>
  <c r="D1428" i="1"/>
  <c r="E1477" i="1"/>
  <c r="D1477" i="1"/>
  <c r="C1477" i="1"/>
  <c r="A1477" i="1"/>
  <c r="C1522" i="1"/>
  <c r="A1522" i="1"/>
  <c r="E1522" i="1"/>
  <c r="D1522" i="1"/>
  <c r="C1534" i="1"/>
  <c r="A1534" i="1"/>
  <c r="G1563" i="1"/>
  <c r="G1620" i="1"/>
  <c r="F1620" i="1"/>
  <c r="E1620" i="1"/>
  <c r="D1620" i="1"/>
  <c r="A1620" i="1"/>
  <c r="D1648" i="1"/>
  <c r="C1648" i="1"/>
  <c r="A1648" i="1"/>
  <c r="G1690" i="1"/>
  <c r="E1265" i="1"/>
  <c r="D1265" i="1"/>
  <c r="C1265" i="1"/>
  <c r="A1265" i="1"/>
  <c r="E1334" i="1"/>
  <c r="D1334" i="1"/>
  <c r="C1334" i="1"/>
  <c r="A1334" i="1"/>
  <c r="E1410" i="1"/>
  <c r="D1410" i="1"/>
  <c r="C1410" i="1"/>
  <c r="A1410" i="1"/>
  <c r="C1422" i="1"/>
  <c r="A1422" i="1"/>
  <c r="F1683" i="1"/>
  <c r="C1683" i="1"/>
  <c r="A1683" i="1"/>
  <c r="E1360" i="1"/>
  <c r="D1365" i="1"/>
  <c r="C1370" i="1"/>
  <c r="A1409" i="1"/>
  <c r="C1439" i="1"/>
  <c r="D1444" i="1"/>
  <c r="C1449" i="1"/>
  <c r="F1484" i="1"/>
  <c r="E1484" i="1"/>
  <c r="D1484" i="1"/>
  <c r="C1484" i="1"/>
  <c r="A1490" i="1"/>
  <c r="C1495" i="1"/>
  <c r="A1516" i="1"/>
  <c r="C1541" i="1"/>
  <c r="A1557" i="1"/>
  <c r="D1573" i="1"/>
  <c r="D1602" i="1"/>
  <c r="C1608" i="1"/>
  <c r="D1614" i="1"/>
  <c r="E1614" i="1"/>
  <c r="C1614" i="1"/>
  <c r="A1614" i="1"/>
  <c r="F1631" i="1"/>
  <c r="A1631" i="1"/>
  <c r="E1712" i="1"/>
  <c r="D1712" i="1"/>
  <c r="C1712" i="1"/>
  <c r="A1712" i="1"/>
  <c r="F1779" i="1"/>
  <c r="E1779" i="1"/>
  <c r="D1779" i="1"/>
  <c r="C1779" i="1"/>
  <c r="A1779" i="1"/>
  <c r="C1868" i="1"/>
  <c r="F1868" i="1"/>
  <c r="E1868" i="1"/>
  <c r="E1409" i="1"/>
  <c r="C1424" i="1"/>
  <c r="A1424" i="1"/>
  <c r="E1490" i="1"/>
  <c r="E1516" i="1"/>
  <c r="C1536" i="1"/>
  <c r="A1536" i="1"/>
  <c r="F1557" i="1"/>
  <c r="F1562" i="1"/>
  <c r="G1573" i="1"/>
  <c r="G1602" i="1"/>
  <c r="F1608" i="1"/>
  <c r="D1632" i="1"/>
  <c r="A1687" i="1"/>
  <c r="D1693" i="1"/>
  <c r="F1727" i="1"/>
  <c r="C1727" i="1"/>
  <c r="D1774" i="1"/>
  <c r="A1774" i="1"/>
  <c r="G1774" i="1"/>
  <c r="F1774" i="1"/>
  <c r="E1774" i="1"/>
  <c r="C1774" i="1"/>
  <c r="F1855" i="1"/>
  <c r="E1855" i="1"/>
  <c r="D1855" i="1"/>
  <c r="C1855" i="1"/>
  <c r="A1855" i="1"/>
  <c r="A1978" i="1"/>
  <c r="G1978" i="1"/>
  <c r="F1978" i="1"/>
  <c r="E1978" i="1"/>
  <c r="D1978" i="1"/>
  <c r="C1978" i="1"/>
  <c r="F1409" i="1"/>
  <c r="F1490" i="1"/>
  <c r="F1662" i="1"/>
  <c r="E1662" i="1"/>
  <c r="D1662" i="1"/>
  <c r="C1662" i="1"/>
  <c r="C1669" i="1"/>
  <c r="F1669" i="1"/>
  <c r="E1669" i="1"/>
  <c r="D1669" i="1"/>
  <c r="A1669" i="1"/>
  <c r="E1834" i="1"/>
  <c r="A1834" i="1"/>
  <c r="F1834" i="1"/>
  <c r="D1834" i="1"/>
  <c r="C1834" i="1"/>
  <c r="E1877" i="1"/>
  <c r="D1877" i="1"/>
  <c r="A1877" i="1"/>
  <c r="F1877" i="1"/>
  <c r="C1877" i="1"/>
  <c r="C1891" i="1"/>
  <c r="A1891" i="1"/>
  <c r="G1891" i="1"/>
  <c r="F1891" i="1"/>
  <c r="C1987" i="1"/>
  <c r="A1987" i="1"/>
  <c r="F1987" i="1"/>
  <c r="E1987" i="1"/>
  <c r="D1552" i="1"/>
  <c r="F1552" i="1"/>
  <c r="A1603" i="1"/>
  <c r="G1632" i="1"/>
  <c r="A1670" i="1"/>
  <c r="A1794" i="1"/>
  <c r="G1794" i="1"/>
  <c r="F1794" i="1"/>
  <c r="C1794" i="1"/>
  <c r="G1800" i="1"/>
  <c r="A1800" i="1"/>
  <c r="E1940" i="1"/>
  <c r="D1940" i="1"/>
  <c r="C1940" i="1"/>
  <c r="A1940" i="1"/>
  <c r="C1616" i="1"/>
  <c r="E1687" i="1"/>
  <c r="F1687" i="1"/>
  <c r="D1687" i="1"/>
  <c r="F1693" i="1"/>
  <c r="A1693" i="1"/>
  <c r="C1707" i="1"/>
  <c r="F1760" i="1"/>
  <c r="E1760" i="1"/>
  <c r="D1760" i="1"/>
  <c r="A1795" i="1"/>
  <c r="F1569" i="1"/>
  <c r="E1569" i="1"/>
  <c r="D1569" i="1"/>
  <c r="C1569" i="1"/>
  <c r="D1640" i="1"/>
  <c r="A1755" i="1"/>
  <c r="D1755" i="1"/>
  <c r="C1755" i="1"/>
  <c r="A1871" i="1"/>
  <c r="F1871" i="1"/>
  <c r="E1871" i="1"/>
  <c r="D1871" i="1"/>
  <c r="C1871" i="1"/>
  <c r="F1695" i="1"/>
  <c r="A1695" i="1"/>
  <c r="G1695" i="1"/>
  <c r="E1695" i="1"/>
  <c r="D1695" i="1"/>
  <c r="C1695" i="1"/>
  <c r="C1748" i="1"/>
  <c r="F1748" i="1"/>
  <c r="E1748" i="1"/>
  <c r="G1762" i="1"/>
  <c r="C1762" i="1"/>
  <c r="F1762" i="1"/>
  <c r="E1762" i="1"/>
  <c r="D1762" i="1"/>
  <c r="A1762" i="1"/>
  <c r="A1789" i="1"/>
  <c r="C1789" i="1"/>
  <c r="E1815" i="1"/>
  <c r="G1815" i="1"/>
  <c r="C1836" i="1"/>
  <c r="D1836" i="1"/>
  <c r="A1836" i="1"/>
  <c r="D1857" i="1"/>
  <c r="C1857" i="1"/>
  <c r="A1857" i="1"/>
  <c r="G1879" i="1"/>
  <c r="E1879" i="1"/>
  <c r="F1879" i="1"/>
  <c r="A1879" i="1"/>
  <c r="F1950" i="1"/>
  <c r="E1950" i="1"/>
  <c r="C1950" i="1"/>
  <c r="A1950" i="1"/>
  <c r="A1564" i="1"/>
  <c r="G1564" i="1"/>
  <c r="F1564" i="1"/>
  <c r="E1564" i="1"/>
  <c r="D1564" i="1"/>
  <c r="F1664" i="1"/>
  <c r="A1664" i="1"/>
  <c r="C1735" i="1"/>
  <c r="A1735" i="1"/>
  <c r="E1749" i="1"/>
  <c r="D1749" i="1"/>
  <c r="C1749" i="1"/>
  <c r="A1749" i="1"/>
  <c r="G1749" i="1"/>
  <c r="F1749" i="1"/>
  <c r="F1929" i="1"/>
  <c r="E1228" i="1"/>
  <c r="E1260" i="1"/>
  <c r="E1292" i="1"/>
  <c r="E1367" i="1"/>
  <c r="E1497" i="1"/>
  <c r="E1513" i="1"/>
  <c r="E1528" i="1"/>
  <c r="E1543" i="1"/>
  <c r="D1576" i="1"/>
  <c r="E1587" i="1"/>
  <c r="F1598" i="1"/>
  <c r="E1658" i="1"/>
  <c r="D1658" i="1"/>
  <c r="C1658" i="1"/>
  <c r="A1658" i="1"/>
  <c r="F1696" i="1"/>
  <c r="E1696" i="1"/>
  <c r="D1696" i="1"/>
  <c r="C1696" i="1"/>
  <c r="A1696" i="1"/>
  <c r="E1730" i="1"/>
  <c r="G1769" i="1"/>
  <c r="A1769" i="1"/>
  <c r="E1782" i="1"/>
  <c r="D1782" i="1"/>
  <c r="G1782" i="1"/>
  <c r="F1782" i="1"/>
  <c r="E1830" i="1"/>
  <c r="F1850" i="1"/>
  <c r="F1260" i="1"/>
  <c r="F1292" i="1"/>
  <c r="F1367" i="1"/>
  <c r="F1497" i="1"/>
  <c r="F1513" i="1"/>
  <c r="F1528" i="1"/>
  <c r="F1543" i="1"/>
  <c r="E1576" i="1"/>
  <c r="F1587" i="1"/>
  <c r="G1708" i="1"/>
  <c r="G1715" i="1"/>
  <c r="F1715" i="1"/>
  <c r="E1715" i="1"/>
  <c r="D1715" i="1"/>
  <c r="C1715" i="1"/>
  <c r="F1730" i="1"/>
  <c r="F1830" i="1"/>
  <c r="C1880" i="1"/>
  <c r="E1880" i="1"/>
  <c r="F1880" i="1"/>
  <c r="D1880" i="1"/>
  <c r="F1973" i="1"/>
  <c r="G1497" i="1"/>
  <c r="G1543" i="1"/>
  <c r="F1576" i="1"/>
  <c r="C1605" i="1"/>
  <c r="E1605" i="1"/>
  <c r="D1605" i="1"/>
  <c r="A1605" i="1"/>
  <c r="D1677" i="1"/>
  <c r="C1677" i="1"/>
  <c r="A1677" i="1"/>
  <c r="E1677" i="1"/>
  <c r="C1850" i="1"/>
  <c r="A1850" i="1"/>
  <c r="E1850" i="1"/>
  <c r="D1850" i="1"/>
  <c r="G1922" i="1"/>
  <c r="A1922" i="1"/>
  <c r="A1723" i="1"/>
  <c r="E1723" i="1"/>
  <c r="F1723" i="1"/>
  <c r="D1723" i="1"/>
  <c r="C1723" i="1"/>
  <c r="D1730" i="1"/>
  <c r="C1730" i="1"/>
  <c r="A1730" i="1"/>
  <c r="D1830" i="1"/>
  <c r="C1830" i="1"/>
  <c r="A1830" i="1"/>
  <c r="G1916" i="1"/>
  <c r="D1916" i="1"/>
  <c r="A1916" i="1"/>
  <c r="E1916" i="1"/>
  <c r="C1916" i="1"/>
  <c r="C1944" i="1"/>
  <c r="F1944" i="1"/>
  <c r="E1944" i="1"/>
  <c r="D1944" i="1"/>
  <c r="A1944" i="1"/>
  <c r="E1973" i="1"/>
  <c r="D1973" i="1"/>
  <c r="A1973" i="1"/>
  <c r="C1973" i="1"/>
  <c r="F1858" i="1"/>
  <c r="A1858" i="1"/>
  <c r="G1633" i="1"/>
  <c r="F1633" i="1"/>
  <c r="E1633" i="1"/>
  <c r="D1633" i="1"/>
  <c r="G1660" i="1"/>
  <c r="C1666" i="1"/>
  <c r="C1737" i="1"/>
  <c r="C1771" i="1"/>
  <c r="F1781" i="1"/>
  <c r="D1799" i="1"/>
  <c r="D1835" i="1"/>
  <c r="A1853" i="1"/>
  <c r="C1892" i="1"/>
  <c r="G1892" i="1"/>
  <c r="E1892" i="1"/>
  <c r="D1912" i="1"/>
  <c r="C1951" i="1"/>
  <c r="F1720" i="1"/>
  <c r="E1720" i="1"/>
  <c r="D1720" i="1"/>
  <c r="C1720" i="1"/>
  <c r="D1737" i="1"/>
  <c r="F1759" i="1"/>
  <c r="C1759" i="1"/>
  <c r="A1759" i="1"/>
  <c r="A1787" i="1"/>
  <c r="E1787" i="1"/>
  <c r="A1805" i="1"/>
  <c r="C1816" i="1"/>
  <c r="G1816" i="1"/>
  <c r="C1853" i="1"/>
  <c r="C1860" i="1"/>
  <c r="G1860" i="1"/>
  <c r="F1860" i="1"/>
  <c r="E1860" i="1"/>
  <c r="D1860" i="1"/>
  <c r="E1866" i="1"/>
  <c r="A1866" i="1"/>
  <c r="C1866" i="1"/>
  <c r="E1912" i="1"/>
  <c r="F1918" i="1"/>
  <c r="E1918" i="1"/>
  <c r="C1918" i="1"/>
  <c r="C1924" i="1"/>
  <c r="G1924" i="1"/>
  <c r="G1943" i="1"/>
  <c r="E1943" i="1"/>
  <c r="F1943" i="1"/>
  <c r="C1943" i="1"/>
  <c r="D1951" i="1"/>
  <c r="D1979" i="1"/>
  <c r="C1979" i="1"/>
  <c r="A1979" i="1"/>
  <c r="F1805" i="1"/>
  <c r="G1672" i="1"/>
  <c r="D1672" i="1"/>
  <c r="C1672" i="1"/>
  <c r="A1672" i="1"/>
  <c r="F1743" i="1"/>
  <c r="A1743" i="1"/>
  <c r="G1805" i="1"/>
  <c r="G1980" i="1"/>
  <c r="D1980" i="1"/>
  <c r="A1980" i="1"/>
  <c r="A1882" i="1"/>
  <c r="F1882" i="1"/>
  <c r="E1882" i="1"/>
  <c r="D1882" i="1"/>
  <c r="C1882" i="1"/>
  <c r="E1901" i="1"/>
  <c r="D1933" i="1"/>
  <c r="E1933" i="1"/>
  <c r="C1933" i="1"/>
  <c r="A1933" i="1"/>
  <c r="G1961" i="1"/>
  <c r="E1961" i="1"/>
  <c r="D1961" i="1"/>
  <c r="C1961" i="1"/>
  <c r="A1961" i="1"/>
  <c r="F1907" i="1"/>
  <c r="C1907" i="1"/>
  <c r="G1907" i="1"/>
  <c r="G1974" i="1"/>
  <c r="F1974" i="1"/>
  <c r="E1974" i="1"/>
  <c r="C1711" i="1"/>
  <c r="A1711" i="1"/>
  <c r="F1728" i="1"/>
  <c r="D1728" i="1"/>
  <c r="F1875" i="1"/>
  <c r="C1875" i="1"/>
  <c r="G1875" i="1"/>
  <c r="D1875" i="1"/>
  <c r="A1914" i="1"/>
  <c r="G1914" i="1"/>
  <c r="C1914" i="1"/>
  <c r="F1939" i="1"/>
  <c r="C1939" i="1"/>
  <c r="F1493" i="1"/>
  <c r="F1507" i="1"/>
  <c r="F1588" i="1"/>
  <c r="A1599" i="1"/>
  <c r="C1604" i="1"/>
  <c r="F1604" i="1"/>
  <c r="E1604" i="1"/>
  <c r="D1604" i="1"/>
  <c r="F1615" i="1"/>
  <c r="F1767" i="1"/>
  <c r="A1767" i="1"/>
  <c r="G1831" i="1"/>
  <c r="D1837" i="1"/>
  <c r="F1837" i="1"/>
  <c r="E1889" i="1"/>
  <c r="G1895" i="1"/>
  <c r="F1895" i="1"/>
  <c r="D1895" i="1"/>
  <c r="C1975" i="1"/>
  <c r="G1663" i="1"/>
  <c r="F1674" i="1"/>
  <c r="F1813" i="1"/>
  <c r="E1813" i="1"/>
  <c r="D1813" i="1"/>
  <c r="C1813" i="1"/>
  <c r="A1838" i="1"/>
  <c r="G1876" i="1"/>
  <c r="F1876" i="1"/>
  <c r="E1876" i="1"/>
  <c r="D1876" i="1"/>
  <c r="A1876" i="1"/>
  <c r="F1889" i="1"/>
  <c r="F1934" i="1"/>
  <c r="D1934" i="1"/>
  <c r="E1962" i="1"/>
  <c r="A1962" i="1"/>
  <c r="F1599" i="1"/>
  <c r="G1599" i="1"/>
  <c r="E1599" i="1"/>
  <c r="D1599" i="1"/>
  <c r="D1706" i="1"/>
  <c r="C1706" i="1"/>
  <c r="A1706" i="1"/>
  <c r="G1751" i="1"/>
  <c r="G1889" i="1"/>
  <c r="F1928" i="1"/>
  <c r="G1975" i="1"/>
  <c r="E1975" i="1"/>
  <c r="F1975" i="1"/>
  <c r="F1838" i="1"/>
  <c r="D1838" i="1"/>
  <c r="G1838" i="1"/>
  <c r="C1838" i="1"/>
  <c r="G1852" i="1"/>
  <c r="D1852" i="1"/>
  <c r="A1852" i="1"/>
  <c r="C1947" i="1"/>
  <c r="E1958" i="1"/>
  <c r="E1930" i="1"/>
  <c r="A1930" i="1"/>
  <c r="E1941" i="1"/>
  <c r="D1941" i="1"/>
  <c r="A1941" i="1"/>
  <c r="E1947" i="1"/>
  <c r="F1902" i="1"/>
  <c r="D1902" i="1"/>
  <c r="F1947" i="1"/>
  <c r="F1982" i="1"/>
  <c r="E1982" i="1"/>
  <c r="C1982" i="1"/>
  <c r="A1982" i="1"/>
  <c r="C1832" i="1"/>
  <c r="G1947" i="1"/>
  <c r="A1959" i="1"/>
  <c r="D1964" i="1"/>
  <c r="C1964" i="1"/>
  <c r="G1959" i="1"/>
  <c r="F1959" i="1"/>
  <c r="D1959" i="1"/>
  <c r="C1990" i="1"/>
  <c r="F1802" i="1"/>
  <c r="F1807" i="1"/>
  <c r="D1812" i="1"/>
  <c r="D1817" i="1"/>
  <c r="F1827" i="1"/>
  <c r="D1859" i="1"/>
  <c r="E1864" i="1"/>
  <c r="F1886" i="1"/>
  <c r="E1886" i="1"/>
  <c r="C1886" i="1"/>
  <c r="C1898" i="1"/>
  <c r="C1954" i="1"/>
  <c r="F1965" i="1"/>
  <c r="D1990" i="1"/>
  <c r="G1948" i="1"/>
  <c r="D1948" i="1"/>
  <c r="A1948" i="1"/>
  <c r="A1971" i="1"/>
  <c r="E1990" i="1"/>
  <c r="F1843" i="1"/>
  <c r="C1843" i="1"/>
  <c r="F1859" i="1"/>
  <c r="D1971" i="1"/>
  <c r="G1990" i="1"/>
  <c r="E1898" i="1"/>
  <c r="A1898" i="1"/>
  <c r="E1909" i="1"/>
  <c r="D1909" i="1"/>
  <c r="A1909" i="1"/>
  <c r="F1971" i="1"/>
  <c r="C1971" i="1"/>
  <c r="F1589" i="1"/>
  <c r="E1628" i="1"/>
  <c r="E1652" i="1"/>
  <c r="F1739" i="1"/>
  <c r="E1744" i="1"/>
  <c r="F1763" i="1"/>
  <c r="E1768" i="1"/>
  <c r="F1773" i="1"/>
  <c r="D1783" i="1"/>
  <c r="E1788" i="1"/>
  <c r="F1793" i="1"/>
  <c r="E1798" i="1"/>
  <c r="E1803" i="1"/>
  <c r="E1808" i="1"/>
  <c r="D1823" i="1"/>
  <c r="E1839" i="1"/>
  <c r="D1932" i="1"/>
  <c r="C1932" i="1"/>
  <c r="G1991" i="1"/>
  <c r="F1991" i="1"/>
  <c r="D1991" i="1"/>
  <c r="C1991" i="1"/>
  <c r="G1623" i="1"/>
  <c r="F1628" i="1"/>
  <c r="F1652" i="1"/>
  <c r="F1744" i="1"/>
  <c r="F1768" i="1"/>
  <c r="G1773" i="1"/>
  <c r="F1783" i="1"/>
  <c r="G1793" i="1"/>
  <c r="F1798" i="1"/>
  <c r="F1803" i="1"/>
  <c r="F1808" i="1"/>
  <c r="E1823" i="1"/>
  <c r="G1828" i="1"/>
  <c r="F1839" i="1"/>
  <c r="F1844" i="1"/>
  <c r="F1865" i="1"/>
  <c r="G1921" i="1"/>
  <c r="C1927" i="1"/>
  <c r="F1966" i="1"/>
  <c r="D1966" i="1"/>
  <c r="G1628" i="1"/>
  <c r="G1783" i="1"/>
  <c r="G1788" i="1"/>
  <c r="A1788" i="1"/>
  <c r="G1823" i="1"/>
  <c r="G1839" i="1"/>
  <c r="G1927" i="1"/>
  <c r="F1927" i="1"/>
  <c r="D1927" i="1"/>
  <c r="C1955" i="1"/>
  <c r="A1955" i="1"/>
  <c r="F1996" i="1"/>
  <c r="G1996" i="1"/>
  <c r="F1983" i="1"/>
  <c r="C1988" i="1"/>
  <c r="D1997" i="1"/>
  <c r="D1988" i="1"/>
  <c r="E1997" i="1"/>
  <c r="E1988" i="1"/>
  <c r="A1993" i="1"/>
  <c r="D1993" i="1"/>
  <c r="E1993" i="1"/>
  <c r="A1998" i="1"/>
  <c r="F1993" i="1"/>
  <c r="C1998" i="1"/>
  <c r="C1829" i="1"/>
  <c r="C1861" i="1"/>
  <c r="C1893" i="1"/>
  <c r="C1925" i="1"/>
  <c r="C1957" i="1"/>
  <c r="C1989" i="1"/>
  <c r="D1998" i="1"/>
  <c r="E1998" i="1"/>
  <c r="A1999" i="1"/>
  <c r="C1995" i="1"/>
  <c r="C2000" i="1"/>
  <c r="E1977" i="1"/>
  <c r="D2000" i="1"/>
  <c r="E1872" i="1"/>
  <c r="E1904" i="1"/>
  <c r="E1936" i="1"/>
  <c r="E1968" i="1"/>
  <c r="E2000" i="1"/>
  <c r="C1996" i="1"/>
  <c r="C6" i="1" l="1"/>
  <c r="D6" i="1"/>
  <c r="B6" i="1"/>
  <c r="F6" i="1" s="1"/>
  <c r="A6" i="1"/>
</calcChain>
</file>

<file path=xl/sharedStrings.xml><?xml version="1.0" encoding="utf-8"?>
<sst xmlns="http://schemas.openxmlformats.org/spreadsheetml/2006/main" count="808" uniqueCount="83">
  <si>
    <t>SignalStack | Team Tempo — Weekly Hours Log</t>
  </si>
  <si>
    <t xml:space="preserve">  Log hours each week per employee. OT = hours over 40 in a week.</t>
  </si>
  <si>
    <t>Week Of</t>
  </si>
  <si>
    <t>Employee</t>
  </si>
  <si>
    <t>Regular Hrs</t>
  </si>
  <si>
    <t>OT Hrs</t>
  </si>
  <si>
    <t>Training Hrs</t>
  </si>
  <si>
    <t>PTO Hrs</t>
  </si>
  <si>
    <t>Total Hrs</t>
  </si>
  <si>
    <t>Mike Rodriguez</t>
  </si>
  <si>
    <t>Sara Tran</t>
  </si>
  <si>
    <t>Chris Beckham</t>
  </si>
  <si>
    <t>James Liu</t>
  </si>
  <si>
    <t>Dana Morse</t>
  </si>
  <si>
    <t>Kyle Sutton</t>
  </si>
  <si>
    <t>Priya Nair</t>
  </si>
  <si>
    <t>Tom Wheeler</t>
  </si>
  <si>
    <t>Alex Campos</t>
  </si>
  <si>
    <t>Jordan Reeves</t>
  </si>
  <si>
    <t>SignalStack | Team Tempo — Workforce Health Dashboard</t>
  </si>
  <si>
    <t xml:space="preserve">  Weekly workforce metrics. Update the Hours Log and Roster tabs. KPIs auto-calculate.</t>
  </si>
  <si>
    <t>TEAM SNAPSHOT — CURRENT WEEK</t>
  </si>
  <si>
    <t>Headcount</t>
  </si>
  <si>
    <t>Billable Hours</t>
  </si>
  <si>
    <t>OT Hours</t>
  </si>
  <si>
    <t>Utilization %</t>
  </si>
  <si>
    <t>Avg Pay Rate</t>
  </si>
  <si>
    <t>Est. Labor Cost</t>
  </si>
  <si>
    <t>WORKFORCE TREND — FULL HISTORY</t>
  </si>
  <si>
    <t>Week</t>
  </si>
  <si>
    <t>Billable Hrs</t>
  </si>
  <si>
    <t>Turnover</t>
  </si>
  <si>
    <t>Notes</t>
  </si>
  <si>
    <t>__week_start</t>
  </si>
  <si>
    <t>Holiday team training</t>
  </si>
  <si>
    <t>Short week</t>
  </si>
  <si>
    <t>Christmas week</t>
  </si>
  <si>
    <t>New Years week</t>
  </si>
  <si>
    <t>Full staff return</t>
  </si>
  <si>
    <t>Safety training</t>
  </si>
  <si>
    <t>New hire week 1</t>
  </si>
  <si>
    <t>Backfill in progress</t>
  </si>
  <si>
    <t>SignalStack | Team Tempo — Employee Roster</t>
  </si>
  <si>
    <t xml:space="preserve">  One row per employee. Update when roles, rates, or status changes.</t>
  </si>
  <si>
    <t>Role</t>
  </si>
  <si>
    <t>Start Date</t>
  </si>
  <si>
    <t>Status</t>
  </si>
  <si>
    <t>Pay Rate</t>
  </si>
  <si>
    <t>Pay Type</t>
  </si>
  <si>
    <t>Certifications</t>
  </si>
  <si>
    <t>Training Due</t>
  </si>
  <si>
    <t>Lead Tech</t>
  </si>
  <si>
    <t>05/12/2019</t>
  </si>
  <si>
    <t>Active</t>
  </si>
  <si>
    <t>Hourly</t>
  </si>
  <si>
    <t>CDL, OSHA-10</t>
  </si>
  <si>
    <t>09/15/2025</t>
  </si>
  <si>
    <t>Field Tech</t>
  </si>
  <si>
    <t>03/08/2021</t>
  </si>
  <si>
    <t>OSHA-10</t>
  </si>
  <si>
    <t>06/30/2025</t>
  </si>
  <si>
    <t>11/22/2022</t>
  </si>
  <si>
    <t>03/31/2025</t>
  </si>
  <si>
    <t>Training overdue</t>
  </si>
  <si>
    <t>Senior Tech</t>
  </si>
  <si>
    <t>07/14/2020</t>
  </si>
  <si>
    <t>CDL, OSHA-30</t>
  </si>
  <si>
    <t>12/01/2025</t>
  </si>
  <si>
    <t>Office Admin</t>
  </si>
  <si>
    <t>09/01/2021</t>
  </si>
  <si>
    <t>01/10/2023</t>
  </si>
  <si>
    <t>01/10/2026</t>
  </si>
  <si>
    <t>Ops Coordinator</t>
  </si>
  <si>
    <t>04/18/2022</t>
  </si>
  <si>
    <t>04/18/2026</t>
  </si>
  <si>
    <t>08/05/2024</t>
  </si>
  <si>
    <t>08/05/2025</t>
  </si>
  <si>
    <t>Still in 90-day probation</t>
  </si>
  <si>
    <t>06/15/2025</t>
  </si>
  <si>
    <t>06/15/2026</t>
  </si>
  <si>
    <t>01/06/2026</t>
  </si>
  <si>
    <t>01/06/2027</t>
  </si>
  <si>
    <t>New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</si>
</sst>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\$#,##0.00"/>
    <numFmt numFmtId="167" formatCode="\$#,##0"/>
    <numFmt numFmtId="168" formatCode="mm/dd/yyyy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1A3A5C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4"/>
      <color rgb="FF1A3A5C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3B6D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6E8F5"/>
      </patternFill>
    </fill>
    <fill>
      <patternFill patternType="solid">
        <fgColor rgb="FFFFF2CC"/>
      </patternFill>
    </fill>
    <fill>
      <patternFill patternType="solid">
        <fgColor rgb="FF3D8EB9"/>
      </patternFill>
    </fill>
    <fill>
      <patternFill patternType="solid">
        <fgColor rgb="FFFFFFFF"/>
      </patternFill>
    </fill>
    <fill>
      <patternFill patternType="solid">
        <fgColor rgb="FFF7F9FB"/>
      </patternFill>
    </fill>
    <fill>
      <patternFill patternType="solid">
        <fgColor rgb="FFEAF3DE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/>
    </xf>
    <xf numFmtId="3" fontId="6" fillId="9" borderId="4" xfId="0" applyNumberFormat="1" applyFont="1" applyFill="1" applyBorder="1" applyAlignment="1">
      <alignment horizontal="center" vertical="center"/>
    </xf>
    <xf numFmtId="165" fontId="6" fillId="9" borderId="4" xfId="0" applyNumberFormat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3" fontId="0" fillId="9" borderId="4" xfId="0" applyNumberFormat="1" applyFill="1" applyBorder="1" applyAlignment="1">
      <alignment horizontal="center" vertical="center"/>
    </xf>
    <xf numFmtId="165" fontId="0" fillId="9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8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0"/>
  <sheetViews>
    <sheetView zoomScaleNormal="100" workbookViewId="0">
      <pane ySplit="9" topLeftCell="A10" activePane="bottomLeft" state="frozen"/>
      <selection pane="bottomLeft" activeCell="U8" sqref="U8"/>
    </sheetView>
  </sheetViews>
  <sheetFormatPr defaultRowHeight="15" x14ac:dyDescent="0.25"/>
  <cols>
    <col min="1" max="2" width="12" style="15" customWidth="1"/>
    <col min="3" max="3" width="14" style="15" customWidth="1"/>
    <col min="4" max="4" width="12" style="15" customWidth="1"/>
    <col min="5" max="5" width="14" style="15" customWidth="1"/>
    <col min="6" max="6" width="15.5703125" style="15" customWidth="1"/>
    <col min="7" max="7" width="14" style="15" customWidth="1"/>
    <col min="8" max="8" width="28" style="15" customWidth="1"/>
    <col min="10" max="10" width="13" hidden="1" customWidth="1"/>
  </cols>
  <sheetData>
    <row r="1" spans="1:10" ht="30" customHeight="1" x14ac:dyDescent="0.25">
      <c r="A1" s="34" t="s">
        <v>19</v>
      </c>
      <c r="B1" s="38"/>
      <c r="C1" s="38"/>
      <c r="D1" s="38"/>
      <c r="E1" s="38"/>
      <c r="F1" s="38"/>
      <c r="G1" s="38"/>
      <c r="H1" s="38"/>
    </row>
    <row r="2" spans="1:10" ht="15.95" customHeight="1" x14ac:dyDescent="0.25">
      <c r="A2" s="32" t="s">
        <v>20</v>
      </c>
      <c r="B2" s="38"/>
      <c r="C2" s="38"/>
      <c r="D2" s="38"/>
      <c r="E2" s="38"/>
      <c r="F2" s="38"/>
      <c r="G2" s="38"/>
      <c r="H2" s="38"/>
    </row>
    <row r="3" spans="1:10" ht="8.1" customHeight="1" x14ac:dyDescent="0.25"/>
    <row r="4" spans="1:10" ht="21.95" customHeight="1" x14ac:dyDescent="0.25">
      <c r="A4" s="35" t="s">
        <v>21</v>
      </c>
      <c r="B4" s="36"/>
      <c r="C4" s="36"/>
      <c r="D4" s="36"/>
      <c r="E4" s="36"/>
      <c r="F4" s="36"/>
      <c r="G4" s="36"/>
      <c r="H4" s="37"/>
    </row>
    <row r="5" spans="1:10" ht="18" customHeight="1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 spans="1:10" ht="27.95" customHeight="1" x14ac:dyDescent="0.25">
      <c r="A6" s="2" t="e">
        <f ca="1">LOOKUP(2,1/(A10:A2000&lt;&gt;""),B10:B2000)</f>
        <v>#N/A</v>
      </c>
      <c r="B6" s="3" t="e">
        <f ca="1">LOOKUP(2,1/(A10:A2000&lt;&gt;""),C10:C2000)</f>
        <v>#N/A</v>
      </c>
      <c r="C6" s="4" t="e">
        <f ca="1">LOOKUP(2,1/(A10:A2000&lt;&gt;""),D10:D2000)</f>
        <v>#N/A</v>
      </c>
      <c r="D6" s="5" t="e">
        <f ca="1">LOOKUP(2,1/(A10:A2000&lt;&gt;""),E10:E2000)</f>
        <v>#N/A</v>
      </c>
      <c r="E6" s="6">
        <f>AVERAGEIF(Roster!D4:D500,"Active",Roster!E4:E500)</f>
        <v>26.65</v>
      </c>
      <c r="F6" s="7" t="e">
        <f ca="1">E6*B6</f>
        <v>#N/A</v>
      </c>
    </row>
    <row r="7" spans="1:10" ht="9.9499999999999993" customHeight="1" x14ac:dyDescent="0.25"/>
    <row r="8" spans="1:10" ht="21.95" customHeight="1" x14ac:dyDescent="0.25">
      <c r="A8" s="35" t="s">
        <v>28</v>
      </c>
      <c r="B8" s="36"/>
      <c r="C8" s="36"/>
      <c r="D8" s="36"/>
      <c r="E8" s="36"/>
      <c r="F8" s="36"/>
      <c r="G8" s="36"/>
      <c r="H8" s="37"/>
    </row>
    <row r="9" spans="1:10" ht="33.950000000000003" customHeight="1" x14ac:dyDescent="0.25">
      <c r="A9" s="16" t="s">
        <v>29</v>
      </c>
      <c r="B9" s="16" t="s">
        <v>22</v>
      </c>
      <c r="C9" s="16" t="s">
        <v>30</v>
      </c>
      <c r="D9" s="16" t="s">
        <v>5</v>
      </c>
      <c r="E9" s="16" t="s">
        <v>25</v>
      </c>
      <c r="F9" s="16" t="s">
        <v>31</v>
      </c>
      <c r="G9" s="16" t="s">
        <v>6</v>
      </c>
      <c r="H9" s="16" t="s">
        <v>32</v>
      </c>
      <c r="J9" t="s">
        <v>33</v>
      </c>
    </row>
    <row r="10" spans="1:10" x14ac:dyDescent="0.25">
      <c r="A10" s="17" t="e">
        <f ca="1">IF($J10="","",YEAR($J10-WEEKDAY($J10,2)+4)&amp;"-W"&amp;TEXT(_xludf.ISOWEEKNUM($J10),"00"))</f>
        <v>#NAME?</v>
      </c>
      <c r="B10" s="18"/>
      <c r="C10" s="18">
        <f>IF($J10="","",SUMIFS('Hours Log'!$C:$C,'Hours Log'!$A:$A,"&gt;="&amp;$J10,'Hours Log'!$A:$A,"&lt;"&amp;$J10+7)+SUMIFS('Hours Log'!$D:$D,'Hours Log'!$A:$A,"&gt;="&amp;$J10,'Hours Log'!$A:$A,"&lt;"&amp;$J10+7))</f>
        <v>258</v>
      </c>
      <c r="D10" s="18">
        <f>IF($J10="","",SUMIFS('Hours Log'!$D:$D,'Hours Log'!$A:$A,"&gt;="&amp;$J10,'Hours Log'!$A:$A,"&lt;"&amp;$J10+7))</f>
        <v>14</v>
      </c>
      <c r="E10" s="19">
        <f t="shared" ref="E10:E73" si="0">IF($J10="","",IFERROR(C10/(B10*40),0))</f>
        <v>0</v>
      </c>
      <c r="F10" s="18">
        <f t="shared" ref="F10:F73" si="1">IF($J10="","",0)</f>
        <v>0</v>
      </c>
      <c r="G10" s="18">
        <f>IF($J10="","",SUMIFS('Hours Log'!$E:$E,'Hours Log'!$A:$A,"&gt;="&amp;$J10,'Hours Log'!$A:$A,"&lt;"&amp;$J10+7))</f>
        <v>2</v>
      </c>
      <c r="H10" s="17"/>
      <c r="J10">
        <f>IF(COUNT('Hours Log'!$A$4:$A$5000)=0,"",IF(MIN('Hours Log'!$A$4:$A$5000)+7*(ROW()-10)&gt;MAX('Hours Log'!$A$4:$A$5000),"",MIN('Hours Log'!$A$4:$A$5000)+7*(ROW()-10)))</f>
        <v>45614</v>
      </c>
    </row>
    <row r="11" spans="1:10" x14ac:dyDescent="0.25">
      <c r="A11" s="17" t="e">
        <f ca="1">IF($J11="","",YEAR($J11-WEEKDAY($J11,2)+4)&amp;"-W"&amp;TEXT(_xludf.ISOWEEKNUM($J11),"00"))</f>
        <v>#NAME?</v>
      </c>
      <c r="B11" s="18"/>
      <c r="C11" s="18">
        <f>IF($J11="","",SUMIFS('Hours Log'!$C:$C,'Hours Log'!$A:$A,"&gt;="&amp;$J11,'Hours Log'!$A:$A,"&lt;"&amp;$J11+7)+SUMIFS('Hours Log'!$D:$D,'Hours Log'!$A:$A,"&gt;="&amp;$J11,'Hours Log'!$A:$A,"&lt;"&amp;$J11+7))</f>
        <v>261</v>
      </c>
      <c r="D11" s="18">
        <f>IF($J11="","",SUMIFS('Hours Log'!$D:$D,'Hours Log'!$A:$A,"&gt;="&amp;$J11,'Hours Log'!$A:$A,"&lt;"&amp;$J11+7))</f>
        <v>15</v>
      </c>
      <c r="E11" s="19">
        <f t="shared" si="0"/>
        <v>0</v>
      </c>
      <c r="F11" s="18">
        <f t="shared" si="1"/>
        <v>0</v>
      </c>
      <c r="G11" s="18">
        <f>IF($J11="","",SUMIFS('Hours Log'!$E:$E,'Hours Log'!$A:$A,"&gt;="&amp;$J11,'Hours Log'!$A:$A,"&lt;"&amp;$J11+7))</f>
        <v>3</v>
      </c>
      <c r="H11" s="17"/>
      <c r="J11">
        <f>IF(COUNT('Hours Log'!$A$4:$A$5000)=0,"",IF(MIN('Hours Log'!$A$4:$A$5000)+7*(ROW()-10)&gt;MAX('Hours Log'!$A$4:$A$5000),"",MIN('Hours Log'!$A$4:$A$5000)+7*(ROW()-10)))</f>
        <v>45621</v>
      </c>
    </row>
    <row r="12" spans="1:10" x14ac:dyDescent="0.25">
      <c r="A12" s="17" t="e">
        <f ca="1">IF($J12="","",YEAR($J12-WEEKDAY($J12,2)+4)&amp;"-W"&amp;TEXT(_xludf.ISOWEEKNUM($J12),"00"))</f>
        <v>#NAME?</v>
      </c>
      <c r="B12" s="18"/>
      <c r="C12" s="18">
        <f>IF($J12="","",SUMIFS('Hours Log'!$C:$C,'Hours Log'!$A:$A,"&gt;="&amp;$J12,'Hours Log'!$A:$A,"&lt;"&amp;$J12+7)+SUMIFS('Hours Log'!$D:$D,'Hours Log'!$A:$A,"&gt;="&amp;$J12,'Hours Log'!$A:$A,"&lt;"&amp;$J12+7))</f>
        <v>249</v>
      </c>
      <c r="D12" s="18">
        <f>IF($J12="","",SUMIFS('Hours Log'!$D:$D,'Hours Log'!$A:$A,"&gt;="&amp;$J12,'Hours Log'!$A:$A,"&lt;"&amp;$J12+7))</f>
        <v>11</v>
      </c>
      <c r="E12" s="19">
        <f t="shared" si="0"/>
        <v>0</v>
      </c>
      <c r="F12" s="18">
        <f t="shared" si="1"/>
        <v>0</v>
      </c>
      <c r="G12" s="18">
        <f>IF($J12="","",SUMIFS('Hours Log'!$E:$E,'Hours Log'!$A:$A,"&gt;="&amp;$J12,'Hours Log'!$A:$A,"&lt;"&amp;$J12+7))</f>
        <v>6.0000000000000009</v>
      </c>
      <c r="H12" s="17" t="s">
        <v>34</v>
      </c>
      <c r="J12">
        <f>IF(COUNT('Hours Log'!$A$4:$A$5000)=0,"",IF(MIN('Hours Log'!$A$4:$A$5000)+7*(ROW()-10)&gt;MAX('Hours Log'!$A$4:$A$5000),"",MIN('Hours Log'!$A$4:$A$5000)+7*(ROW()-10)))</f>
        <v>45628</v>
      </c>
    </row>
    <row r="13" spans="1:10" x14ac:dyDescent="0.25">
      <c r="A13" s="17" t="e">
        <f ca="1">IF($J13="","",YEAR($J13-WEEKDAY($J13,2)+4)&amp;"-W"&amp;TEXT(_xludf.ISOWEEKNUM($J13),"00"))</f>
        <v>#NAME?</v>
      </c>
      <c r="B13" s="18"/>
      <c r="C13" s="18">
        <f>IF($J13="","",SUMIFS('Hours Log'!$C:$C,'Hours Log'!$A:$A,"&gt;="&amp;$J13,'Hours Log'!$A:$A,"&lt;"&amp;$J13+7)+SUMIFS('Hours Log'!$D:$D,'Hours Log'!$A:$A,"&gt;="&amp;$J13,'Hours Log'!$A:$A,"&lt;"&amp;$J13+7))</f>
        <v>238</v>
      </c>
      <c r="D13" s="18">
        <f>IF($J13="","",SUMIFS('Hours Log'!$D:$D,'Hours Log'!$A:$A,"&gt;="&amp;$J13,'Hours Log'!$A:$A,"&lt;"&amp;$J13+7))</f>
        <v>8</v>
      </c>
      <c r="E13" s="19">
        <f t="shared" si="0"/>
        <v>0</v>
      </c>
      <c r="F13" s="18">
        <f t="shared" si="1"/>
        <v>0</v>
      </c>
      <c r="G13" s="18">
        <f>IF($J13="","",SUMIFS('Hours Log'!$E:$E,'Hours Log'!$A:$A,"&gt;="&amp;$J13,'Hours Log'!$A:$A,"&lt;"&amp;$J13+7))</f>
        <v>2</v>
      </c>
      <c r="H13" s="17" t="s">
        <v>35</v>
      </c>
      <c r="J13">
        <f>IF(COUNT('Hours Log'!$A$4:$A$5000)=0,"",IF(MIN('Hours Log'!$A$4:$A$5000)+7*(ROW()-10)&gt;MAX('Hours Log'!$A$4:$A$5000),"",MIN('Hours Log'!$A$4:$A$5000)+7*(ROW()-10)))</f>
        <v>45635</v>
      </c>
    </row>
    <row r="14" spans="1:10" x14ac:dyDescent="0.25">
      <c r="A14" s="17" t="e">
        <f ca="1">IF($J14="","",YEAR($J14-WEEKDAY($J14,2)+4)&amp;"-W"&amp;TEXT(_xludf.ISOWEEKNUM($J14),"00"))</f>
        <v>#NAME?</v>
      </c>
      <c r="B14" s="18"/>
      <c r="C14" s="18">
        <f>IF($J14="","",SUMIFS('Hours Log'!$C:$C,'Hours Log'!$A:$A,"&gt;="&amp;$J14,'Hours Log'!$A:$A,"&lt;"&amp;$J14+7)+SUMIFS('Hours Log'!$D:$D,'Hours Log'!$A:$A,"&gt;="&amp;$J14,'Hours Log'!$A:$A,"&lt;"&amp;$J14+7))</f>
        <v>198</v>
      </c>
      <c r="D14" s="18">
        <f>IF($J14="","",SUMIFS('Hours Log'!$D:$D,'Hours Log'!$A:$A,"&gt;="&amp;$J14,'Hours Log'!$A:$A,"&lt;"&amp;$J14+7))</f>
        <v>4</v>
      </c>
      <c r="E14" s="19">
        <f t="shared" si="0"/>
        <v>0</v>
      </c>
      <c r="F14" s="18">
        <f t="shared" si="1"/>
        <v>0</v>
      </c>
      <c r="G14" s="18">
        <f>IF($J14="","",SUMIFS('Hours Log'!$E:$E,'Hours Log'!$A:$A,"&gt;="&amp;$J14,'Hours Log'!$A:$A,"&lt;"&amp;$J14+7))</f>
        <v>0</v>
      </c>
      <c r="H14" s="17" t="s">
        <v>36</v>
      </c>
      <c r="J14">
        <f>IF(COUNT('Hours Log'!$A$4:$A$5000)=0,"",IF(MIN('Hours Log'!$A$4:$A$5000)+7*(ROW()-10)&gt;MAX('Hours Log'!$A$4:$A$5000),"",MIN('Hours Log'!$A$4:$A$5000)+7*(ROW()-10)))</f>
        <v>45642</v>
      </c>
    </row>
    <row r="15" spans="1:10" x14ac:dyDescent="0.25">
      <c r="A15" s="17" t="e">
        <f ca="1">IF($J15="","",YEAR($J15-WEEKDAY($J15,2)+4)&amp;"-W"&amp;TEXT(_xludf.ISOWEEKNUM($J15),"00"))</f>
        <v>#NAME?</v>
      </c>
      <c r="B15" s="18"/>
      <c r="C15" s="18">
        <f>IF($J15="","",SUMIFS('Hours Log'!$C:$C,'Hours Log'!$A:$A,"&gt;="&amp;$J15,'Hours Log'!$A:$A,"&lt;"&amp;$J15+7)+SUMIFS('Hours Log'!$D:$D,'Hours Log'!$A:$A,"&gt;="&amp;$J15,'Hours Log'!$A:$A,"&lt;"&amp;$J15+7))</f>
        <v>172.00000000000003</v>
      </c>
      <c r="D15" s="18">
        <f>IF($J15="","",SUMIFS('Hours Log'!$D:$D,'Hours Log'!$A:$A,"&gt;="&amp;$J15,'Hours Log'!$A:$A,"&lt;"&amp;$J15+7))</f>
        <v>2</v>
      </c>
      <c r="E15" s="19">
        <f t="shared" si="0"/>
        <v>0</v>
      </c>
      <c r="F15" s="18">
        <f t="shared" si="1"/>
        <v>0</v>
      </c>
      <c r="G15" s="18">
        <f>IF($J15="","",SUMIFS('Hours Log'!$E:$E,'Hours Log'!$A:$A,"&gt;="&amp;$J15,'Hours Log'!$A:$A,"&lt;"&amp;$J15+7))</f>
        <v>0</v>
      </c>
      <c r="H15" s="17" t="s">
        <v>37</v>
      </c>
      <c r="J15">
        <f>IF(COUNT('Hours Log'!$A$4:$A$5000)=0,"",IF(MIN('Hours Log'!$A$4:$A$5000)+7*(ROW()-10)&gt;MAX('Hours Log'!$A$4:$A$5000),"",MIN('Hours Log'!$A$4:$A$5000)+7*(ROW()-10)))</f>
        <v>45649</v>
      </c>
    </row>
    <row r="16" spans="1:10" x14ac:dyDescent="0.25">
      <c r="A16" s="17" t="e">
        <f ca="1">IF($J16="","",YEAR($J16-WEEKDAY($J16,2)+4)&amp;"-W"&amp;TEXT(_xludf.ISOWEEKNUM($J16),"00"))</f>
        <v>#NAME?</v>
      </c>
      <c r="B16" s="18"/>
      <c r="C16" s="18">
        <f>IF($J16="","",SUMIFS('Hours Log'!$C:$C,'Hours Log'!$A:$A,"&gt;="&amp;$J16,'Hours Log'!$A:$A,"&lt;"&amp;$J16+7)+SUMIFS('Hours Log'!$D:$D,'Hours Log'!$A:$A,"&gt;="&amp;$J16,'Hours Log'!$A:$A,"&lt;"&amp;$J16+7))</f>
        <v>255</v>
      </c>
      <c r="D16" s="18">
        <f>IF($J16="","",SUMIFS('Hours Log'!$D:$D,'Hours Log'!$A:$A,"&gt;="&amp;$J16,'Hours Log'!$A:$A,"&lt;"&amp;$J16+7))</f>
        <v>12</v>
      </c>
      <c r="E16" s="19">
        <f t="shared" si="0"/>
        <v>0</v>
      </c>
      <c r="F16" s="18">
        <f t="shared" si="1"/>
        <v>0</v>
      </c>
      <c r="G16" s="18">
        <f>IF($J16="","",SUMIFS('Hours Log'!$E:$E,'Hours Log'!$A:$A,"&gt;="&amp;$J16,'Hours Log'!$A:$A,"&lt;"&amp;$J16+7))</f>
        <v>4</v>
      </c>
      <c r="H16" s="17" t="s">
        <v>38</v>
      </c>
      <c r="J16">
        <f>IF(COUNT('Hours Log'!$A$4:$A$5000)=0,"",IF(MIN('Hours Log'!$A$4:$A$5000)+7*(ROW()-10)&gt;MAX('Hours Log'!$A$4:$A$5000),"",MIN('Hours Log'!$A$4:$A$5000)+7*(ROW()-10)))</f>
        <v>45656</v>
      </c>
    </row>
    <row r="17" spans="1:10" x14ac:dyDescent="0.25">
      <c r="A17" s="17" t="e">
        <f ca="1">IF($J17="","",YEAR($J17-WEEKDAY($J17,2)+4)&amp;"-W"&amp;TEXT(_xludf.ISOWEEKNUM($J17),"00"))</f>
        <v>#NAME?</v>
      </c>
      <c r="B17" s="18"/>
      <c r="C17" s="18">
        <f>IF($J17="","",SUMIFS('Hours Log'!$C:$C,'Hours Log'!$A:$A,"&gt;="&amp;$J17,'Hours Log'!$A:$A,"&lt;"&amp;$J17+7)+SUMIFS('Hours Log'!$D:$D,'Hours Log'!$A:$A,"&gt;="&amp;$J17,'Hours Log'!$A:$A,"&lt;"&amp;$J17+7))</f>
        <v>262</v>
      </c>
      <c r="D17" s="18">
        <f>IF($J17="","",SUMIFS('Hours Log'!$D:$D,'Hours Log'!$A:$A,"&gt;="&amp;$J17,'Hours Log'!$A:$A,"&lt;"&amp;$J17+7))</f>
        <v>16</v>
      </c>
      <c r="E17" s="19">
        <f t="shared" si="0"/>
        <v>0</v>
      </c>
      <c r="F17" s="18">
        <f t="shared" si="1"/>
        <v>0</v>
      </c>
      <c r="G17" s="18">
        <f>IF($J17="","",SUMIFS('Hours Log'!$E:$E,'Hours Log'!$A:$A,"&gt;="&amp;$J17,'Hours Log'!$A:$A,"&lt;"&amp;$J17+7))</f>
        <v>2</v>
      </c>
      <c r="H17" s="17"/>
      <c r="J17">
        <f>IF(COUNT('Hours Log'!$A$4:$A$5000)=0,"",IF(MIN('Hours Log'!$A$4:$A$5000)+7*(ROW()-10)&gt;MAX('Hours Log'!$A$4:$A$5000),"",MIN('Hours Log'!$A$4:$A$5000)+7*(ROW()-10)))</f>
        <v>45663</v>
      </c>
    </row>
    <row r="18" spans="1:10" x14ac:dyDescent="0.25">
      <c r="A18" s="20" t="e">
        <f ca="1">IF($J18="","",YEAR($J18-WEEKDAY($J18,2)+4)&amp;"-W"&amp;TEXT(_xludf.ISOWEEKNUM($J18),"00"))</f>
        <v>#NAME?</v>
      </c>
      <c r="B18" s="21"/>
      <c r="C18" s="21">
        <f>IF($J18="","",SUMIFS('Hours Log'!$C:$C,'Hours Log'!$A:$A,"&gt;="&amp;$J18,'Hours Log'!$A:$A,"&lt;"&amp;$J18+7)+SUMIFS('Hours Log'!$D:$D,'Hours Log'!$A:$A,"&gt;="&amp;$J18,'Hours Log'!$A:$A,"&lt;"&amp;$J18+7))</f>
        <v>268</v>
      </c>
      <c r="D18" s="21">
        <f>IF($J18="","",SUMIFS('Hours Log'!$D:$D,'Hours Log'!$A:$A,"&gt;="&amp;$J18,'Hours Log'!$A:$A,"&lt;"&amp;$J18+7))</f>
        <v>17</v>
      </c>
      <c r="E18" s="22">
        <f t="shared" si="0"/>
        <v>0</v>
      </c>
      <c r="F18" s="21">
        <f t="shared" si="1"/>
        <v>0</v>
      </c>
      <c r="G18" s="21">
        <f>IF($J18="","",SUMIFS('Hours Log'!$E:$E,'Hours Log'!$A:$A,"&gt;="&amp;$J18,'Hours Log'!$A:$A,"&lt;"&amp;$J18+7))</f>
        <v>3</v>
      </c>
      <c r="H18" s="20"/>
      <c r="J18">
        <f>IF(COUNT('Hours Log'!$A$4:$A$5000)=0,"",IF(MIN('Hours Log'!$A$4:$A$5000)+7*(ROW()-10)&gt;MAX('Hours Log'!$A$4:$A$5000),"",MIN('Hours Log'!$A$4:$A$5000)+7*(ROW()-10)))</f>
        <v>45670</v>
      </c>
    </row>
    <row r="19" spans="1:10" x14ac:dyDescent="0.25">
      <c r="A19" s="20" t="e">
        <f ca="1">IF($J19="","",YEAR($J19-WEEKDAY($J19,2)+4)&amp;"-W"&amp;TEXT(_xludf.ISOWEEKNUM($J19),"00"))</f>
        <v>#NAME?</v>
      </c>
      <c r="B19" s="21"/>
      <c r="C19" s="21">
        <f>IF($J19="","",SUMIFS('Hours Log'!$C:$C,'Hours Log'!$A:$A,"&gt;="&amp;$J19,'Hours Log'!$A:$A,"&lt;"&amp;$J19+7)+SUMIFS('Hours Log'!$D:$D,'Hours Log'!$A:$A,"&gt;="&amp;$J19,'Hours Log'!$A:$A,"&lt;"&amp;$J19+7))</f>
        <v>264</v>
      </c>
      <c r="D19" s="21">
        <f>IF($J19="","",SUMIFS('Hours Log'!$D:$D,'Hours Log'!$A:$A,"&gt;="&amp;$J19,'Hours Log'!$A:$A,"&lt;"&amp;$J19+7))</f>
        <v>15</v>
      </c>
      <c r="E19" s="22">
        <f t="shared" si="0"/>
        <v>0</v>
      </c>
      <c r="F19" s="21">
        <f t="shared" si="1"/>
        <v>0</v>
      </c>
      <c r="G19" s="21">
        <f>IF($J19="","",SUMIFS('Hours Log'!$E:$E,'Hours Log'!$A:$A,"&gt;="&amp;$J19,'Hours Log'!$A:$A,"&lt;"&amp;$J19+7))</f>
        <v>2</v>
      </c>
      <c r="H19" s="20"/>
      <c r="J19">
        <f>IF(COUNT('Hours Log'!$A$4:$A$5000)=0,"",IF(MIN('Hours Log'!$A$4:$A$5000)+7*(ROW()-10)&gt;MAX('Hours Log'!$A$4:$A$5000),"",MIN('Hours Log'!$A$4:$A$5000)+7*(ROW()-10)))</f>
        <v>45677</v>
      </c>
    </row>
    <row r="20" spans="1:10" x14ac:dyDescent="0.25">
      <c r="A20" s="20" t="e">
        <f ca="1">IF($J20="","",YEAR($J20-WEEKDAY($J20,2)+4)&amp;"-W"&amp;TEXT(_xludf.ISOWEEKNUM($J20),"00"))</f>
        <v>#NAME?</v>
      </c>
      <c r="B20" s="21"/>
      <c r="C20" s="21">
        <f>IF($J20="","",SUMIFS('Hours Log'!$C:$C,'Hours Log'!$A:$A,"&gt;="&amp;$J20,'Hours Log'!$A:$A,"&lt;"&amp;$J20+7)+SUMIFS('Hours Log'!$D:$D,'Hours Log'!$A:$A,"&gt;="&amp;$J20,'Hours Log'!$A:$A,"&lt;"&amp;$J20+7))</f>
        <v>271</v>
      </c>
      <c r="D20" s="21">
        <f>IF($J20="","",SUMIFS('Hours Log'!$D:$D,'Hours Log'!$A:$A,"&gt;="&amp;$J20,'Hours Log'!$A:$A,"&lt;"&amp;$J20+7))</f>
        <v>18</v>
      </c>
      <c r="E20" s="22">
        <f t="shared" si="0"/>
        <v>0</v>
      </c>
      <c r="F20" s="21">
        <f t="shared" si="1"/>
        <v>0</v>
      </c>
      <c r="G20" s="21">
        <f>IF($J20="","",SUMIFS('Hours Log'!$E:$E,'Hours Log'!$A:$A,"&gt;="&amp;$J20,'Hours Log'!$A:$A,"&lt;"&amp;$J20+7))</f>
        <v>4</v>
      </c>
      <c r="H20" s="20"/>
      <c r="J20">
        <f>IF(COUNT('Hours Log'!$A$4:$A$5000)=0,"",IF(MIN('Hours Log'!$A$4:$A$5000)+7*(ROW()-10)&gt;MAX('Hours Log'!$A$4:$A$5000),"",MIN('Hours Log'!$A$4:$A$5000)+7*(ROW()-10)))</f>
        <v>45684</v>
      </c>
    </row>
    <row r="21" spans="1:10" x14ac:dyDescent="0.25">
      <c r="A21" s="20" t="e">
        <f ca="1">IF($J21="","",YEAR($J21-WEEKDAY($J21,2)+4)&amp;"-W"&amp;TEXT(_xludf.ISOWEEKNUM($J21),"00"))</f>
        <v>#NAME?</v>
      </c>
      <c r="B21" s="21"/>
      <c r="C21" s="21">
        <f>IF($J21="","",SUMIFS('Hours Log'!$C:$C,'Hours Log'!$A:$A,"&gt;="&amp;$J21,'Hours Log'!$A:$A,"&lt;"&amp;$J21+7)+SUMIFS('Hours Log'!$D:$D,'Hours Log'!$A:$A,"&gt;="&amp;$J21,'Hours Log'!$A:$A,"&lt;"&amp;$J21+7))</f>
        <v>269</v>
      </c>
      <c r="D21" s="21">
        <f>IF($J21="","",SUMIFS('Hours Log'!$D:$D,'Hours Log'!$A:$A,"&gt;="&amp;$J21,'Hours Log'!$A:$A,"&lt;"&amp;$J21+7))</f>
        <v>17</v>
      </c>
      <c r="E21" s="22">
        <f t="shared" si="0"/>
        <v>0</v>
      </c>
      <c r="F21" s="21">
        <f t="shared" si="1"/>
        <v>0</v>
      </c>
      <c r="G21" s="21">
        <f>IF($J21="","",SUMIFS('Hours Log'!$E:$E,'Hours Log'!$A:$A,"&gt;="&amp;$J21,'Hours Log'!$A:$A,"&lt;"&amp;$J21+7))</f>
        <v>2</v>
      </c>
      <c r="H21" s="20"/>
      <c r="J21">
        <f>IF(COUNT('Hours Log'!$A$4:$A$5000)=0,"",IF(MIN('Hours Log'!$A$4:$A$5000)+7*(ROW()-10)&gt;MAX('Hours Log'!$A$4:$A$5000),"",MIN('Hours Log'!$A$4:$A$5000)+7*(ROW()-10)))</f>
        <v>45691</v>
      </c>
    </row>
    <row r="22" spans="1:10" x14ac:dyDescent="0.25">
      <c r="A22" s="20" t="e">
        <f ca="1">IF($J22="","",YEAR($J22-WEEKDAY($J22,2)+4)&amp;"-W"&amp;TEXT(_xludf.ISOWEEKNUM($J22),"00"))</f>
        <v>#NAME?</v>
      </c>
      <c r="B22" s="21"/>
      <c r="C22" s="21">
        <f>IF($J22="","",SUMIFS('Hours Log'!$C:$C,'Hours Log'!$A:$A,"&gt;="&amp;$J22,'Hours Log'!$A:$A,"&lt;"&amp;$J22+7)+SUMIFS('Hours Log'!$D:$D,'Hours Log'!$A:$A,"&gt;="&amp;$J22,'Hours Log'!$A:$A,"&lt;"&amp;$J22+7))</f>
        <v>274</v>
      </c>
      <c r="D22" s="21">
        <f>IF($J22="","",SUMIFS('Hours Log'!$D:$D,'Hours Log'!$A:$A,"&gt;="&amp;$J22,'Hours Log'!$A:$A,"&lt;"&amp;$J22+7))</f>
        <v>19</v>
      </c>
      <c r="E22" s="22">
        <f t="shared" si="0"/>
        <v>0</v>
      </c>
      <c r="F22" s="21">
        <f t="shared" si="1"/>
        <v>0</v>
      </c>
      <c r="G22" s="21">
        <f>IF($J22="","",SUMIFS('Hours Log'!$E:$E,'Hours Log'!$A:$A,"&gt;="&amp;$J22,'Hours Log'!$A:$A,"&lt;"&amp;$J22+7))</f>
        <v>3</v>
      </c>
      <c r="H22" s="20"/>
      <c r="J22">
        <f>IF(COUNT('Hours Log'!$A$4:$A$5000)=0,"",IF(MIN('Hours Log'!$A$4:$A$5000)+7*(ROW()-10)&gt;MAX('Hours Log'!$A$4:$A$5000),"",MIN('Hours Log'!$A$4:$A$5000)+7*(ROW()-10)))</f>
        <v>45698</v>
      </c>
    </row>
    <row r="23" spans="1:10" x14ac:dyDescent="0.25">
      <c r="A23" s="20" t="e">
        <f ca="1">IF($J23="","",YEAR($J23-WEEKDAY($J23,2)+4)&amp;"-W"&amp;TEXT(_xludf.ISOWEEKNUM($J23),"00"))</f>
        <v>#NAME?</v>
      </c>
      <c r="B23" s="21"/>
      <c r="C23" s="21">
        <f>IF($J23="","",SUMIFS('Hours Log'!$C:$C,'Hours Log'!$A:$A,"&gt;="&amp;$J23,'Hours Log'!$A:$A,"&lt;"&amp;$J23+7)+SUMIFS('Hours Log'!$D:$D,'Hours Log'!$A:$A,"&gt;="&amp;$J23,'Hours Log'!$A:$A,"&lt;"&amp;$J23+7))</f>
        <v>276.00000000000006</v>
      </c>
      <c r="D23" s="21">
        <f>IF($J23="","",SUMIFS('Hours Log'!$D:$D,'Hours Log'!$A:$A,"&gt;="&amp;$J23,'Hours Log'!$A:$A,"&lt;"&amp;$J23+7))</f>
        <v>20</v>
      </c>
      <c r="E23" s="22">
        <f t="shared" si="0"/>
        <v>0</v>
      </c>
      <c r="F23" s="21">
        <f t="shared" si="1"/>
        <v>0</v>
      </c>
      <c r="G23" s="21">
        <f>IF($J23="","",SUMIFS('Hours Log'!$E:$E,'Hours Log'!$A:$A,"&gt;="&amp;$J23,'Hours Log'!$A:$A,"&lt;"&amp;$J23+7))</f>
        <v>2</v>
      </c>
      <c r="H23" s="20"/>
      <c r="J23">
        <f>IF(COUNT('Hours Log'!$A$4:$A$5000)=0,"",IF(MIN('Hours Log'!$A$4:$A$5000)+7*(ROW()-10)&gt;MAX('Hours Log'!$A$4:$A$5000),"",MIN('Hours Log'!$A$4:$A$5000)+7*(ROW()-10)))</f>
        <v>45705</v>
      </c>
    </row>
    <row r="24" spans="1:10" x14ac:dyDescent="0.25">
      <c r="A24" s="20" t="e">
        <f ca="1">IF($J24="","",YEAR($J24-WEEKDAY($J24,2)+4)&amp;"-W"&amp;TEXT(_xludf.ISOWEEKNUM($J24),"00"))</f>
        <v>#NAME?</v>
      </c>
      <c r="B24" s="21"/>
      <c r="C24" s="21">
        <f>IF($J24="","",SUMIFS('Hours Log'!$C:$C,'Hours Log'!$A:$A,"&gt;="&amp;$J24,'Hours Log'!$A:$A,"&lt;"&amp;$J24+7)+SUMIFS('Hours Log'!$D:$D,'Hours Log'!$A:$A,"&gt;="&amp;$J24,'Hours Log'!$A:$A,"&lt;"&amp;$J24+7))</f>
        <v>271</v>
      </c>
      <c r="D24" s="21">
        <f>IF($J24="","",SUMIFS('Hours Log'!$D:$D,'Hours Log'!$A:$A,"&gt;="&amp;$J24,'Hours Log'!$A:$A,"&lt;"&amp;$J24+7))</f>
        <v>18</v>
      </c>
      <c r="E24" s="22">
        <f t="shared" si="0"/>
        <v>0</v>
      </c>
      <c r="F24" s="21">
        <f t="shared" si="1"/>
        <v>0</v>
      </c>
      <c r="G24" s="21">
        <f>IF($J24="","",SUMIFS('Hours Log'!$E:$E,'Hours Log'!$A:$A,"&gt;="&amp;$J24,'Hours Log'!$A:$A,"&lt;"&amp;$J24+7))</f>
        <v>4</v>
      </c>
      <c r="H24" s="20"/>
      <c r="J24">
        <f>IF(COUNT('Hours Log'!$A$4:$A$5000)=0,"",IF(MIN('Hours Log'!$A$4:$A$5000)+7*(ROW()-10)&gt;MAX('Hours Log'!$A$4:$A$5000),"",MIN('Hours Log'!$A$4:$A$5000)+7*(ROW()-10)))</f>
        <v>45712</v>
      </c>
    </row>
    <row r="25" spans="1:10" x14ac:dyDescent="0.25">
      <c r="A25" s="20" t="e">
        <f ca="1">IF($J25="","",YEAR($J25-WEEKDAY($J25,2)+4)&amp;"-W"&amp;TEXT(_xludf.ISOWEEKNUM($J25),"00"))</f>
        <v>#NAME?</v>
      </c>
      <c r="B25" s="21"/>
      <c r="C25" s="21">
        <f>IF($J25="","",SUMIFS('Hours Log'!$C:$C,'Hours Log'!$A:$A,"&gt;="&amp;$J25,'Hours Log'!$A:$A,"&lt;"&amp;$J25+7)+SUMIFS('Hours Log'!$D:$D,'Hours Log'!$A:$A,"&gt;="&amp;$J25,'Hours Log'!$A:$A,"&lt;"&amp;$J25+7))</f>
        <v>278</v>
      </c>
      <c r="D25" s="21">
        <f>IF($J25="","",SUMIFS('Hours Log'!$D:$D,'Hours Log'!$A:$A,"&gt;="&amp;$J25,'Hours Log'!$A:$A,"&lt;"&amp;$J25+7))</f>
        <v>20</v>
      </c>
      <c r="E25" s="22">
        <f t="shared" si="0"/>
        <v>0</v>
      </c>
      <c r="F25" s="21">
        <f t="shared" si="1"/>
        <v>0</v>
      </c>
      <c r="G25" s="21">
        <f>IF($J25="","",SUMIFS('Hours Log'!$E:$E,'Hours Log'!$A:$A,"&gt;="&amp;$J25,'Hours Log'!$A:$A,"&lt;"&amp;$J25+7))</f>
        <v>2</v>
      </c>
      <c r="H25" s="20"/>
      <c r="J25">
        <f>IF(COUNT('Hours Log'!$A$4:$A$5000)=0,"",IF(MIN('Hours Log'!$A$4:$A$5000)+7*(ROW()-10)&gt;MAX('Hours Log'!$A$4:$A$5000),"",MIN('Hours Log'!$A$4:$A$5000)+7*(ROW()-10)))</f>
        <v>45719</v>
      </c>
    </row>
    <row r="26" spans="1:10" x14ac:dyDescent="0.25">
      <c r="A26" s="20" t="e">
        <f ca="1">IF($J26="","",YEAR($J26-WEEKDAY($J26,2)+4)&amp;"-W"&amp;TEXT(_xludf.ISOWEEKNUM($J26),"00"))</f>
        <v>#NAME?</v>
      </c>
      <c r="B26" s="21"/>
      <c r="C26" s="21">
        <f>IF($J26="","",SUMIFS('Hours Log'!$C:$C,'Hours Log'!$A:$A,"&gt;="&amp;$J26,'Hours Log'!$A:$A,"&lt;"&amp;$J26+7)+SUMIFS('Hours Log'!$D:$D,'Hours Log'!$A:$A,"&gt;="&amp;$J26,'Hours Log'!$A:$A,"&lt;"&amp;$J26+7))</f>
        <v>265</v>
      </c>
      <c r="D26" s="21">
        <f>IF($J26="","",SUMIFS('Hours Log'!$D:$D,'Hours Log'!$A:$A,"&gt;="&amp;$J26,'Hours Log'!$A:$A,"&lt;"&amp;$J26+7))</f>
        <v>15</v>
      </c>
      <c r="E26" s="22">
        <f t="shared" si="0"/>
        <v>0</v>
      </c>
      <c r="F26" s="21">
        <f t="shared" si="1"/>
        <v>0</v>
      </c>
      <c r="G26" s="21">
        <f>IF($J26="","",SUMIFS('Hours Log'!$E:$E,'Hours Log'!$A:$A,"&gt;="&amp;$J26,'Hours Log'!$A:$A,"&lt;"&amp;$J26+7))</f>
        <v>6</v>
      </c>
      <c r="H26" s="20" t="s">
        <v>39</v>
      </c>
      <c r="J26">
        <f>IF(COUNT('Hours Log'!$A$4:$A$5000)=0,"",IF(MIN('Hours Log'!$A$4:$A$5000)+7*(ROW()-10)&gt;MAX('Hours Log'!$A$4:$A$5000),"",MIN('Hours Log'!$A$4:$A$5000)+7*(ROW()-10)))</f>
        <v>45726</v>
      </c>
    </row>
    <row r="27" spans="1:10" x14ac:dyDescent="0.25">
      <c r="A27" s="20" t="e">
        <f ca="1">IF($J27="","",YEAR($J27-WEEKDAY($J27,2)+4)&amp;"-W"&amp;TEXT(_xludf.ISOWEEKNUM($J27),"00"))</f>
        <v>#NAME?</v>
      </c>
      <c r="B27" s="21"/>
      <c r="C27" s="21">
        <f>IF($J27="","",SUMIFS('Hours Log'!$C:$C,'Hours Log'!$A:$A,"&gt;="&amp;$J27,'Hours Log'!$A:$A,"&lt;"&amp;$J27+7)+SUMIFS('Hours Log'!$D:$D,'Hours Log'!$A:$A,"&gt;="&amp;$J27,'Hours Log'!$A:$A,"&lt;"&amp;$J27+7))</f>
        <v>280</v>
      </c>
      <c r="D27" s="21">
        <f>IF($J27="","",SUMIFS('Hours Log'!$D:$D,'Hours Log'!$A:$A,"&gt;="&amp;$J27,'Hours Log'!$A:$A,"&lt;"&amp;$J27+7))</f>
        <v>21</v>
      </c>
      <c r="E27" s="22">
        <f t="shared" si="0"/>
        <v>0</v>
      </c>
      <c r="F27" s="21">
        <f t="shared" si="1"/>
        <v>0</v>
      </c>
      <c r="G27" s="21">
        <f>IF($J27="","",SUMIFS('Hours Log'!$E:$E,'Hours Log'!$A:$A,"&gt;="&amp;$J27,'Hours Log'!$A:$A,"&lt;"&amp;$J27+7))</f>
        <v>2</v>
      </c>
      <c r="H27" s="20"/>
      <c r="J27">
        <f>IF(COUNT('Hours Log'!$A$4:$A$5000)=0,"",IF(MIN('Hours Log'!$A$4:$A$5000)+7*(ROW()-10)&gt;MAX('Hours Log'!$A$4:$A$5000),"",MIN('Hours Log'!$A$4:$A$5000)+7*(ROW()-10)))</f>
        <v>45733</v>
      </c>
    </row>
    <row r="28" spans="1:10" x14ac:dyDescent="0.25">
      <c r="A28" s="20" t="e">
        <f ca="1">IF($J28="","",YEAR($J28-WEEKDAY($J28,2)+4)&amp;"-W"&amp;TEXT(_xludf.ISOWEEKNUM($J28),"00"))</f>
        <v>#NAME?</v>
      </c>
      <c r="B28" s="21"/>
      <c r="C28" s="21">
        <f>IF($J28="","",SUMIFS('Hours Log'!$C:$C,'Hours Log'!$A:$A,"&gt;="&amp;$J28,'Hours Log'!$A:$A,"&lt;"&amp;$J28+7)+SUMIFS('Hours Log'!$D:$D,'Hours Log'!$A:$A,"&gt;="&amp;$J28,'Hours Log'!$A:$A,"&lt;"&amp;$J28+7))</f>
        <v>296</v>
      </c>
      <c r="D28" s="21">
        <f>IF($J28="","",SUMIFS('Hours Log'!$D:$D,'Hours Log'!$A:$A,"&gt;="&amp;$J28,'Hours Log'!$A:$A,"&lt;"&amp;$J28+7))</f>
        <v>24</v>
      </c>
      <c r="E28" s="22">
        <f t="shared" si="0"/>
        <v>0</v>
      </c>
      <c r="F28" s="21">
        <f t="shared" si="1"/>
        <v>0</v>
      </c>
      <c r="G28" s="21">
        <f>IF($J28="","",SUMIFS('Hours Log'!$E:$E,'Hours Log'!$A:$A,"&gt;="&amp;$J28,'Hours Log'!$A:$A,"&lt;"&amp;$J28+7))</f>
        <v>3</v>
      </c>
      <c r="H28" s="20" t="s">
        <v>40</v>
      </c>
      <c r="J28">
        <f>IF(COUNT('Hours Log'!$A$4:$A$5000)=0,"",IF(MIN('Hours Log'!$A$4:$A$5000)+7*(ROW()-10)&gt;MAX('Hours Log'!$A$4:$A$5000),"",MIN('Hours Log'!$A$4:$A$5000)+7*(ROW()-10)))</f>
        <v>45740</v>
      </c>
    </row>
    <row r="29" spans="1:10" x14ac:dyDescent="0.25">
      <c r="A29" s="20" t="e">
        <f ca="1">IF($J29="","",YEAR($J29-WEEKDAY($J29,2)+4)&amp;"-W"&amp;TEXT(_xludf.ISOWEEKNUM($J29),"00"))</f>
        <v>#NAME?</v>
      </c>
      <c r="B29" s="21"/>
      <c r="C29" s="21">
        <f>IF($J29="","",SUMIFS('Hours Log'!$C:$C,'Hours Log'!$A:$A,"&gt;="&amp;$J29,'Hours Log'!$A:$A,"&lt;"&amp;$J29+7)+SUMIFS('Hours Log'!$D:$D,'Hours Log'!$A:$A,"&gt;="&amp;$J29,'Hours Log'!$A:$A,"&lt;"&amp;$J29+7))</f>
        <v>302.99999999999994</v>
      </c>
      <c r="D29" s="21">
        <f>IF($J29="","",SUMIFS('Hours Log'!$D:$D,'Hours Log'!$A:$A,"&gt;="&amp;$J29,'Hours Log'!$A:$A,"&lt;"&amp;$J29+7))</f>
        <v>26</v>
      </c>
      <c r="E29" s="22">
        <f t="shared" si="0"/>
        <v>0</v>
      </c>
      <c r="F29" s="21">
        <f t="shared" si="1"/>
        <v>0</v>
      </c>
      <c r="G29" s="21">
        <f>IF($J29="","",SUMIFS('Hours Log'!$E:$E,'Hours Log'!$A:$A,"&gt;="&amp;$J29,'Hours Log'!$A:$A,"&lt;"&amp;$J29+7))</f>
        <v>2</v>
      </c>
      <c r="H29" s="20"/>
      <c r="J29">
        <f>IF(COUNT('Hours Log'!$A$4:$A$5000)=0,"",IF(MIN('Hours Log'!$A$4:$A$5000)+7*(ROW()-10)&gt;MAX('Hours Log'!$A$4:$A$5000),"",MIN('Hours Log'!$A$4:$A$5000)+7*(ROW()-10)))</f>
        <v>45747</v>
      </c>
    </row>
    <row r="30" spans="1:10" x14ac:dyDescent="0.25">
      <c r="A30" s="20" t="e">
        <f ca="1">IF($J30="","",YEAR($J30-WEEKDAY($J30,2)+4)&amp;"-W"&amp;TEXT(_xludf.ISOWEEKNUM($J30),"00"))</f>
        <v>#NAME?</v>
      </c>
      <c r="B30" s="21"/>
      <c r="C30" s="21">
        <f>IF($J30="","",SUMIFS('Hours Log'!$C:$C,'Hours Log'!$A:$A,"&gt;="&amp;$J30,'Hours Log'!$A:$A,"&lt;"&amp;$J30+7)+SUMIFS('Hours Log'!$D:$D,'Hours Log'!$A:$A,"&gt;="&amp;$J30,'Hours Log'!$A:$A,"&lt;"&amp;$J30+7))</f>
        <v>286</v>
      </c>
      <c r="D30" s="21">
        <f>IF($J30="","",SUMIFS('Hours Log'!$D:$D,'Hours Log'!$A:$A,"&gt;="&amp;$J30,'Hours Log'!$A:$A,"&lt;"&amp;$J30+7))</f>
        <v>24</v>
      </c>
      <c r="E30" s="22">
        <f t="shared" si="0"/>
        <v>0</v>
      </c>
      <c r="F30" s="21">
        <f t="shared" si="1"/>
        <v>0</v>
      </c>
      <c r="G30" s="21">
        <f>IF($J30="","",SUMIFS('Hours Log'!$E:$E,'Hours Log'!$A:$A,"&gt;="&amp;$J30,'Hours Log'!$A:$A,"&lt;"&amp;$J30+7))</f>
        <v>3</v>
      </c>
      <c r="H30" s="20" t="s">
        <v>41</v>
      </c>
      <c r="J30">
        <f>IF(COUNT('Hours Log'!$A$4:$A$5000)=0,"",IF(MIN('Hours Log'!$A$4:$A$5000)+7*(ROW()-10)&gt;MAX('Hours Log'!$A$4:$A$5000),"",MIN('Hours Log'!$A$4:$A$5000)+7*(ROW()-10)))</f>
        <v>45754</v>
      </c>
    </row>
    <row r="31" spans="1:10" x14ac:dyDescent="0.25">
      <c r="A31" s="20" t="e">
        <f ca="1">IF($J31="","",YEAR($J31-WEEKDAY($J31,2)+4)&amp;"-W"&amp;TEXT(_xludf.ISOWEEKNUM($J31),"00"))</f>
        <v>#NAME?</v>
      </c>
      <c r="B31" s="21"/>
      <c r="C31" s="21">
        <f>IF($J31="","",SUMIFS('Hours Log'!$C:$C,'Hours Log'!$A:$A,"&gt;="&amp;$J31,'Hours Log'!$A:$A,"&lt;"&amp;$J31+7)+SUMIFS('Hours Log'!$D:$D,'Hours Log'!$A:$A,"&gt;="&amp;$J31,'Hours Log'!$A:$A,"&lt;"&amp;$J31+7))</f>
        <v>286</v>
      </c>
      <c r="D31" s="21">
        <f>IF($J31="","",SUMIFS('Hours Log'!$D:$D,'Hours Log'!$A:$A,"&gt;="&amp;$J31,'Hours Log'!$A:$A,"&lt;"&amp;$J31+7))</f>
        <v>20</v>
      </c>
      <c r="E31" s="22">
        <f t="shared" si="0"/>
        <v>0</v>
      </c>
      <c r="F31" s="21">
        <f t="shared" si="1"/>
        <v>0</v>
      </c>
      <c r="G31" s="21">
        <f>IF($J31="","",SUMIFS('Hours Log'!$E:$E,'Hours Log'!$A:$A,"&gt;="&amp;$J31,'Hours Log'!$A:$A,"&lt;"&amp;$J31+7))</f>
        <v>4</v>
      </c>
      <c r="H31" s="20"/>
      <c r="J31">
        <f>IF(COUNT('Hours Log'!$A$4:$A$5000)=0,"",IF(MIN('Hours Log'!$A$4:$A$5000)+7*(ROW()-10)&gt;MAX('Hours Log'!$A$4:$A$5000),"",MIN('Hours Log'!$A$4:$A$5000)+7*(ROW()-10)))</f>
        <v>45761</v>
      </c>
    </row>
    <row r="32" spans="1:10" x14ac:dyDescent="0.25">
      <c r="A32" s="20" t="e">
        <f ca="1">IF($J32="","",YEAR($J32-WEEKDAY($J32,2)+4)&amp;"-W"&amp;TEXT(_xludf.ISOWEEKNUM($J32),"00"))</f>
        <v>#NAME?</v>
      </c>
      <c r="B32" s="21"/>
      <c r="C32" s="21">
        <f>IF($J32="","",SUMIFS('Hours Log'!$C:$C,'Hours Log'!$A:$A,"&gt;="&amp;$J32,'Hours Log'!$A:$A,"&lt;"&amp;$J32+7)+SUMIFS('Hours Log'!$D:$D,'Hours Log'!$A:$A,"&gt;="&amp;$J32,'Hours Log'!$A:$A,"&lt;"&amp;$J32+7))</f>
        <v>277</v>
      </c>
      <c r="D32" s="21">
        <f>IF($J32="","",SUMIFS('Hours Log'!$D:$D,'Hours Log'!$A:$A,"&gt;="&amp;$J32,'Hours Log'!$A:$A,"&lt;"&amp;$J32+7))</f>
        <v>19</v>
      </c>
      <c r="E32" s="22">
        <f t="shared" si="0"/>
        <v>0</v>
      </c>
      <c r="F32" s="21">
        <f t="shared" si="1"/>
        <v>0</v>
      </c>
      <c r="G32" s="21">
        <f>IF($J32="","",SUMIFS('Hours Log'!$E:$E,'Hours Log'!$A:$A,"&gt;="&amp;$J32,'Hours Log'!$A:$A,"&lt;"&amp;$J32+7))</f>
        <v>3</v>
      </c>
      <c r="H32" s="20" t="s">
        <v>41</v>
      </c>
      <c r="J32">
        <f>IF(COUNT('Hours Log'!$A$4:$A$5000)=0,"",IF(MIN('Hours Log'!$A$4:$A$5000)+7*(ROW()-10)&gt;MAX('Hours Log'!$A$4:$A$5000),"",MIN('Hours Log'!$A$4:$A$5000)+7*(ROW()-10)))</f>
        <v>45768</v>
      </c>
    </row>
    <row r="33" spans="1:10" x14ac:dyDescent="0.25">
      <c r="A33" s="20" t="e">
        <f ca="1">IF($J33="","",YEAR($J33-WEEKDAY($J33,2)+4)&amp;"-W"&amp;TEXT(_xludf.ISOWEEKNUM($J33),"00"))</f>
        <v>#NAME?</v>
      </c>
      <c r="B33" s="21"/>
      <c r="C33" s="21">
        <f>IF($J33="","",SUMIFS('Hours Log'!$C:$C,'Hours Log'!$A:$A,"&gt;="&amp;$J33,'Hours Log'!$A:$A,"&lt;"&amp;$J33+7)+SUMIFS('Hours Log'!$D:$D,'Hours Log'!$A:$A,"&gt;="&amp;$J33,'Hours Log'!$A:$A,"&lt;"&amp;$J33+7))</f>
        <v>286</v>
      </c>
      <c r="D33" s="21">
        <f>IF($J33="","",SUMIFS('Hours Log'!$D:$D,'Hours Log'!$A:$A,"&gt;="&amp;$J33,'Hours Log'!$A:$A,"&lt;"&amp;$J33+7))</f>
        <v>22</v>
      </c>
      <c r="E33" s="22">
        <f t="shared" si="0"/>
        <v>0</v>
      </c>
      <c r="F33" s="21">
        <f t="shared" si="1"/>
        <v>0</v>
      </c>
      <c r="G33" s="21">
        <f>IF($J33="","",SUMIFS('Hours Log'!$E:$E,'Hours Log'!$A:$A,"&gt;="&amp;$J33,'Hours Log'!$A:$A,"&lt;"&amp;$J33+7))</f>
        <v>1.9999999999999998</v>
      </c>
      <c r="H33" s="20"/>
      <c r="J33">
        <f>IF(COUNT('Hours Log'!$A$4:$A$5000)=0,"",IF(MIN('Hours Log'!$A$4:$A$5000)+7*(ROW()-10)&gt;MAX('Hours Log'!$A$4:$A$5000),"",MIN('Hours Log'!$A$4:$A$5000)+7*(ROW()-10)))</f>
        <v>45775</v>
      </c>
    </row>
    <row r="34" spans="1:10" x14ac:dyDescent="0.25">
      <c r="A34" s="20" t="e">
        <f ca="1">IF($J34="","",YEAR($J34-WEEKDAY($J34,2)+4)&amp;"-W"&amp;TEXT(_xludf.ISOWEEKNUM($J34),"00"))</f>
        <v>#NAME?</v>
      </c>
      <c r="B34" s="21"/>
      <c r="C34" s="21">
        <f>IF($J34="","",SUMIFS('Hours Log'!$C:$C,'Hours Log'!$A:$A,"&gt;="&amp;$J34,'Hours Log'!$A:$A,"&lt;"&amp;$J34+7)+SUMIFS('Hours Log'!$D:$D,'Hours Log'!$A:$A,"&gt;="&amp;$J34,'Hours Log'!$A:$A,"&lt;"&amp;$J34+7))</f>
        <v>276</v>
      </c>
      <c r="D34" s="21">
        <f>IF($J34="","",SUMIFS('Hours Log'!$D:$D,'Hours Log'!$A:$A,"&gt;="&amp;$J34,'Hours Log'!$A:$A,"&lt;"&amp;$J34+7))</f>
        <v>14</v>
      </c>
      <c r="E34" s="22">
        <f t="shared" si="0"/>
        <v>0</v>
      </c>
      <c r="F34" s="21">
        <f t="shared" si="1"/>
        <v>0</v>
      </c>
      <c r="G34" s="21">
        <f>IF($J34="","",SUMIFS('Hours Log'!$E:$E,'Hours Log'!$A:$A,"&gt;="&amp;$J34,'Hours Log'!$A:$A,"&lt;"&amp;$J34+7))</f>
        <v>8</v>
      </c>
      <c r="H34" s="20"/>
      <c r="J34">
        <f>IF(COUNT('Hours Log'!$A$4:$A$5000)=0,"",IF(MIN('Hours Log'!$A$4:$A$5000)+7*(ROW()-10)&gt;MAX('Hours Log'!$A$4:$A$5000),"",MIN('Hours Log'!$A$4:$A$5000)+7*(ROW()-10)))</f>
        <v>45782</v>
      </c>
    </row>
    <row r="35" spans="1:10" x14ac:dyDescent="0.25">
      <c r="A35" s="20" t="e">
        <f ca="1">IF($J35="","",YEAR($J35-WEEKDAY($J35,2)+4)&amp;"-W"&amp;TEXT(_xludf.ISOWEEKNUM($J35),"00"))</f>
        <v>#NAME?</v>
      </c>
      <c r="B35" s="21"/>
      <c r="C35" s="21">
        <f>IF($J35="","",SUMIFS('Hours Log'!$C:$C,'Hours Log'!$A:$A,"&gt;="&amp;$J35,'Hours Log'!$A:$A,"&lt;"&amp;$J35+7)+SUMIFS('Hours Log'!$D:$D,'Hours Log'!$A:$A,"&gt;="&amp;$J35,'Hours Log'!$A:$A,"&lt;"&amp;$J35+7))</f>
        <v>287</v>
      </c>
      <c r="D35" s="21">
        <f>IF($J35="","",SUMIFS('Hours Log'!$D:$D,'Hours Log'!$A:$A,"&gt;="&amp;$J35,'Hours Log'!$A:$A,"&lt;"&amp;$J35+7))</f>
        <v>22</v>
      </c>
      <c r="E35" s="22">
        <f t="shared" si="0"/>
        <v>0</v>
      </c>
      <c r="F35" s="21">
        <f t="shared" si="1"/>
        <v>0</v>
      </c>
      <c r="G35" s="21">
        <f>IF($J35="","",SUMIFS('Hours Log'!$E:$E,'Hours Log'!$A:$A,"&gt;="&amp;$J35,'Hours Log'!$A:$A,"&lt;"&amp;$J35+7))</f>
        <v>4</v>
      </c>
      <c r="H35" s="20"/>
      <c r="J35">
        <f>IF(COUNT('Hours Log'!$A$4:$A$5000)=0,"",IF(MIN('Hours Log'!$A$4:$A$5000)+7*(ROW()-10)&gt;MAX('Hours Log'!$A$4:$A$5000),"",MIN('Hours Log'!$A$4:$A$5000)+7*(ROW()-10)))</f>
        <v>45789</v>
      </c>
    </row>
    <row r="36" spans="1:10" x14ac:dyDescent="0.25">
      <c r="A36" s="20" t="e">
        <f ca="1">IF($J36="","",YEAR($J36-WEEKDAY($J36,2)+4)&amp;"-W"&amp;TEXT(_xludf.ISOWEEKNUM($J36),"00"))</f>
        <v>#NAME?</v>
      </c>
      <c r="B36" s="21"/>
      <c r="C36" s="21">
        <f>IF($J36="","",SUMIFS('Hours Log'!$C:$C,'Hours Log'!$A:$A,"&gt;="&amp;$J36,'Hours Log'!$A:$A,"&lt;"&amp;$J36+7)+SUMIFS('Hours Log'!$D:$D,'Hours Log'!$A:$A,"&gt;="&amp;$J36,'Hours Log'!$A:$A,"&lt;"&amp;$J36+7))</f>
        <v>291</v>
      </c>
      <c r="D36" s="21">
        <f>IF($J36="","",SUMIFS('Hours Log'!$D:$D,'Hours Log'!$A:$A,"&gt;="&amp;$J36,'Hours Log'!$A:$A,"&lt;"&amp;$J36+7))</f>
        <v>22</v>
      </c>
      <c r="E36" s="22">
        <f t="shared" si="0"/>
        <v>0</v>
      </c>
      <c r="F36" s="21">
        <f t="shared" si="1"/>
        <v>0</v>
      </c>
      <c r="G36" s="21">
        <f>IF($J36="","",SUMIFS('Hours Log'!$E:$E,'Hours Log'!$A:$A,"&gt;="&amp;$J36,'Hours Log'!$A:$A,"&lt;"&amp;$J36+7))</f>
        <v>3</v>
      </c>
      <c r="H36" s="20"/>
      <c r="J36">
        <f>IF(COUNT('Hours Log'!$A$4:$A$5000)=0,"",IF(MIN('Hours Log'!$A$4:$A$5000)+7*(ROW()-10)&gt;MAX('Hours Log'!$A$4:$A$5000),"",MIN('Hours Log'!$A$4:$A$5000)+7*(ROW()-10)))</f>
        <v>45796</v>
      </c>
    </row>
    <row r="37" spans="1:10" x14ac:dyDescent="0.25">
      <c r="A37" s="20" t="e">
        <f ca="1">IF($J37="","",YEAR($J37-WEEKDAY($J37,2)+4)&amp;"-W"&amp;TEXT(_xludf.ISOWEEKNUM($J37),"00"))</f>
        <v>#NAME?</v>
      </c>
      <c r="B37" s="21"/>
      <c r="C37" s="21">
        <f>IF($J37="","",SUMIFS('Hours Log'!$C:$C,'Hours Log'!$A:$A,"&gt;="&amp;$J37,'Hours Log'!$A:$A,"&lt;"&amp;$J37+7)+SUMIFS('Hours Log'!$D:$D,'Hours Log'!$A:$A,"&gt;="&amp;$J37,'Hours Log'!$A:$A,"&lt;"&amp;$J37+7))</f>
        <v>292</v>
      </c>
      <c r="D37" s="21">
        <f>IF($J37="","",SUMIFS('Hours Log'!$D:$D,'Hours Log'!$A:$A,"&gt;="&amp;$J37,'Hours Log'!$A:$A,"&lt;"&amp;$J37+7))</f>
        <v>27</v>
      </c>
      <c r="E37" s="22">
        <f t="shared" si="0"/>
        <v>0</v>
      </c>
      <c r="F37" s="21">
        <f t="shared" si="1"/>
        <v>0</v>
      </c>
      <c r="G37" s="21">
        <f>IF($J37="","",SUMIFS('Hours Log'!$E:$E,'Hours Log'!$A:$A,"&gt;="&amp;$J37,'Hours Log'!$A:$A,"&lt;"&amp;$J37+7))</f>
        <v>1</v>
      </c>
      <c r="H37" s="20"/>
      <c r="J37">
        <f>IF(COUNT('Hours Log'!$A$4:$A$5000)=0,"",IF(MIN('Hours Log'!$A$4:$A$5000)+7*(ROW()-10)&gt;MAX('Hours Log'!$A$4:$A$5000),"",MIN('Hours Log'!$A$4:$A$5000)+7*(ROW()-10)))</f>
        <v>45803</v>
      </c>
    </row>
    <row r="38" spans="1:10" x14ac:dyDescent="0.25">
      <c r="A38" s="20" t="e">
        <f ca="1">IF($J38="","",YEAR($J38-WEEKDAY($J38,2)+4)&amp;"-W"&amp;TEXT(_xludf.ISOWEEKNUM($J38),"00"))</f>
        <v>#NAME?</v>
      </c>
      <c r="B38" s="21"/>
      <c r="C38" s="21">
        <f>IF($J38="","",SUMIFS('Hours Log'!$C:$C,'Hours Log'!$A:$A,"&gt;="&amp;$J38,'Hours Log'!$A:$A,"&lt;"&amp;$J38+7)+SUMIFS('Hours Log'!$D:$D,'Hours Log'!$A:$A,"&gt;="&amp;$J38,'Hours Log'!$A:$A,"&lt;"&amp;$J38+7))</f>
        <v>287</v>
      </c>
      <c r="D38" s="21">
        <f>IF($J38="","",SUMIFS('Hours Log'!$D:$D,'Hours Log'!$A:$A,"&gt;="&amp;$J38,'Hours Log'!$A:$A,"&lt;"&amp;$J38+7))</f>
        <v>18</v>
      </c>
      <c r="E38" s="22">
        <f t="shared" si="0"/>
        <v>0</v>
      </c>
      <c r="F38" s="21">
        <f t="shared" si="1"/>
        <v>0</v>
      </c>
      <c r="G38" s="21">
        <f>IF($J38="","",SUMIFS('Hours Log'!$E:$E,'Hours Log'!$A:$A,"&gt;="&amp;$J38,'Hours Log'!$A:$A,"&lt;"&amp;$J38+7))</f>
        <v>3</v>
      </c>
      <c r="H38" s="20" t="s">
        <v>39</v>
      </c>
      <c r="J38">
        <f>IF(COUNT('Hours Log'!$A$4:$A$5000)=0,"",IF(MIN('Hours Log'!$A$4:$A$5000)+7*(ROW()-10)&gt;MAX('Hours Log'!$A$4:$A$5000),"",MIN('Hours Log'!$A$4:$A$5000)+7*(ROW()-10)))</f>
        <v>45810</v>
      </c>
    </row>
    <row r="39" spans="1:10" x14ac:dyDescent="0.25">
      <c r="A39" s="20" t="e">
        <f ca="1">IF($J39="","",YEAR($J39-WEEKDAY($J39,2)+4)&amp;"-W"&amp;TEXT(_xludf.ISOWEEKNUM($J39),"00"))</f>
        <v>#NAME?</v>
      </c>
      <c r="B39" s="21"/>
      <c r="C39" s="21">
        <f>IF($J39="","",SUMIFS('Hours Log'!$C:$C,'Hours Log'!$A:$A,"&gt;="&amp;$J39,'Hours Log'!$A:$A,"&lt;"&amp;$J39+7)+SUMIFS('Hours Log'!$D:$D,'Hours Log'!$A:$A,"&gt;="&amp;$J39,'Hours Log'!$A:$A,"&lt;"&amp;$J39+7))</f>
        <v>282</v>
      </c>
      <c r="D39" s="21">
        <f>IF($J39="","",SUMIFS('Hours Log'!$D:$D,'Hours Log'!$A:$A,"&gt;="&amp;$J39,'Hours Log'!$A:$A,"&lt;"&amp;$J39+7))</f>
        <v>21</v>
      </c>
      <c r="E39" s="22">
        <f t="shared" si="0"/>
        <v>0</v>
      </c>
      <c r="F39" s="21">
        <f t="shared" si="1"/>
        <v>0</v>
      </c>
      <c r="G39" s="21">
        <f>IF($J39="","",SUMIFS('Hours Log'!$E:$E,'Hours Log'!$A:$A,"&gt;="&amp;$J39,'Hours Log'!$A:$A,"&lt;"&amp;$J39+7))</f>
        <v>3</v>
      </c>
      <c r="H39" s="20"/>
      <c r="J39">
        <f>IF(COUNT('Hours Log'!$A$4:$A$5000)=0,"",IF(MIN('Hours Log'!$A$4:$A$5000)+7*(ROW()-10)&gt;MAX('Hours Log'!$A$4:$A$5000),"",MIN('Hours Log'!$A$4:$A$5000)+7*(ROW()-10)))</f>
        <v>45817</v>
      </c>
    </row>
    <row r="40" spans="1:10" x14ac:dyDescent="0.25">
      <c r="A40" s="20" t="e">
        <f ca="1">IF($J40="","",YEAR($J40-WEEKDAY($J40,2)+4)&amp;"-W"&amp;TEXT(_xludf.ISOWEEKNUM($J40),"00"))</f>
        <v>#NAME?</v>
      </c>
      <c r="B40" s="21"/>
      <c r="C40" s="21">
        <f>IF($J40="","",SUMIFS('Hours Log'!$C:$C,'Hours Log'!$A:$A,"&gt;="&amp;$J40,'Hours Log'!$A:$A,"&lt;"&amp;$J40+7)+SUMIFS('Hours Log'!$D:$D,'Hours Log'!$A:$A,"&gt;="&amp;$J40,'Hours Log'!$A:$A,"&lt;"&amp;$J40+7))</f>
        <v>272</v>
      </c>
      <c r="D40" s="21">
        <f>IF($J40="","",SUMIFS('Hours Log'!$D:$D,'Hours Log'!$A:$A,"&gt;="&amp;$J40,'Hours Log'!$A:$A,"&lt;"&amp;$J40+7))</f>
        <v>22</v>
      </c>
      <c r="E40" s="22">
        <f t="shared" si="0"/>
        <v>0</v>
      </c>
      <c r="F40" s="21">
        <f t="shared" si="1"/>
        <v>0</v>
      </c>
      <c r="G40" s="21">
        <f>IF($J40="","",SUMIFS('Hours Log'!$E:$E,'Hours Log'!$A:$A,"&gt;="&amp;$J40,'Hours Log'!$A:$A,"&lt;"&amp;$J40+7))</f>
        <v>4</v>
      </c>
      <c r="H40" s="20"/>
      <c r="J40">
        <f>IF(COUNT('Hours Log'!$A$4:$A$5000)=0,"",IF(MIN('Hours Log'!$A$4:$A$5000)+7*(ROW()-10)&gt;MAX('Hours Log'!$A$4:$A$5000),"",MIN('Hours Log'!$A$4:$A$5000)+7*(ROW()-10)))</f>
        <v>45824</v>
      </c>
    </row>
    <row r="41" spans="1:10" x14ac:dyDescent="0.25">
      <c r="A41" s="20" t="e">
        <f ca="1">IF($J41="","",YEAR($J41-WEEKDAY($J41,2)+4)&amp;"-W"&amp;TEXT(_xludf.ISOWEEKNUM($J41),"00"))</f>
        <v>#NAME?</v>
      </c>
      <c r="B41" s="21"/>
      <c r="C41" s="21">
        <f>IF($J41="","",SUMIFS('Hours Log'!$C:$C,'Hours Log'!$A:$A,"&gt;="&amp;$J41,'Hours Log'!$A:$A,"&lt;"&amp;$J41+7)+SUMIFS('Hours Log'!$D:$D,'Hours Log'!$A:$A,"&gt;="&amp;$J41,'Hours Log'!$A:$A,"&lt;"&amp;$J41+7))</f>
        <v>277</v>
      </c>
      <c r="D41" s="21">
        <f>IF($J41="","",SUMIFS('Hours Log'!$D:$D,'Hours Log'!$A:$A,"&gt;="&amp;$J41,'Hours Log'!$A:$A,"&lt;"&amp;$J41+7))</f>
        <v>19</v>
      </c>
      <c r="E41" s="22">
        <f t="shared" si="0"/>
        <v>0</v>
      </c>
      <c r="F41" s="21">
        <f t="shared" si="1"/>
        <v>0</v>
      </c>
      <c r="G41" s="21">
        <f>IF($J41="","",SUMIFS('Hours Log'!$E:$E,'Hours Log'!$A:$A,"&gt;="&amp;$J41,'Hours Log'!$A:$A,"&lt;"&amp;$J41+7))</f>
        <v>3</v>
      </c>
      <c r="H41" s="20" t="s">
        <v>41</v>
      </c>
      <c r="J41">
        <f>IF(COUNT('Hours Log'!$A$4:$A$5000)=0,"",IF(MIN('Hours Log'!$A$4:$A$5000)+7*(ROW()-10)&gt;MAX('Hours Log'!$A$4:$A$5000),"",MIN('Hours Log'!$A$4:$A$5000)+7*(ROW()-10)))</f>
        <v>45831</v>
      </c>
    </row>
    <row r="42" spans="1:10" x14ac:dyDescent="0.25">
      <c r="A42" s="20" t="e">
        <f ca="1">IF($J42="","",YEAR($J42-WEEKDAY($J42,2)+4)&amp;"-W"&amp;TEXT(_xludf.ISOWEEKNUM($J42),"00"))</f>
        <v>#NAME?</v>
      </c>
      <c r="B42" s="21"/>
      <c r="C42" s="21">
        <f>IF($J42="","",SUMIFS('Hours Log'!$C:$C,'Hours Log'!$A:$A,"&gt;="&amp;$J42,'Hours Log'!$A:$A,"&lt;"&amp;$J42+7)+SUMIFS('Hours Log'!$D:$D,'Hours Log'!$A:$A,"&gt;="&amp;$J42,'Hours Log'!$A:$A,"&lt;"&amp;$J42+7))</f>
        <v>271</v>
      </c>
      <c r="D42" s="21">
        <f>IF($J42="","",SUMIFS('Hours Log'!$D:$D,'Hours Log'!$A:$A,"&gt;="&amp;$J42,'Hours Log'!$A:$A,"&lt;"&amp;$J42+7))</f>
        <v>17</v>
      </c>
      <c r="E42" s="22">
        <f t="shared" si="0"/>
        <v>0</v>
      </c>
      <c r="F42" s="21">
        <f t="shared" si="1"/>
        <v>0</v>
      </c>
      <c r="G42" s="21">
        <f>IF($J42="","",SUMIFS('Hours Log'!$E:$E,'Hours Log'!$A:$A,"&gt;="&amp;$J42,'Hours Log'!$A:$A,"&lt;"&amp;$J42+7))</f>
        <v>8</v>
      </c>
      <c r="H42" s="20"/>
      <c r="J42">
        <f>IF(COUNT('Hours Log'!$A$4:$A$5000)=0,"",IF(MIN('Hours Log'!$A$4:$A$5000)+7*(ROW()-10)&gt;MAX('Hours Log'!$A$4:$A$5000),"",MIN('Hours Log'!$A$4:$A$5000)+7*(ROW()-10)))</f>
        <v>45838</v>
      </c>
    </row>
    <row r="43" spans="1:10" x14ac:dyDescent="0.25">
      <c r="A43" s="20" t="e">
        <f ca="1">IF($J43="","",YEAR($J43-WEEKDAY($J43,2)+4)&amp;"-W"&amp;TEXT(_xludf.ISOWEEKNUM($J43),"00"))</f>
        <v>#NAME?</v>
      </c>
      <c r="B43" s="21"/>
      <c r="C43" s="21">
        <f>IF($J43="","",SUMIFS('Hours Log'!$C:$C,'Hours Log'!$A:$A,"&gt;="&amp;$J43,'Hours Log'!$A:$A,"&lt;"&amp;$J43+7)+SUMIFS('Hours Log'!$D:$D,'Hours Log'!$A:$A,"&gt;="&amp;$J43,'Hours Log'!$A:$A,"&lt;"&amp;$J43+7))</f>
        <v>275</v>
      </c>
      <c r="D43" s="21">
        <f>IF($J43="","",SUMIFS('Hours Log'!$D:$D,'Hours Log'!$A:$A,"&gt;="&amp;$J43,'Hours Log'!$A:$A,"&lt;"&amp;$J43+7))</f>
        <v>19</v>
      </c>
      <c r="E43" s="22">
        <f t="shared" si="0"/>
        <v>0</v>
      </c>
      <c r="F43" s="21">
        <f t="shared" si="1"/>
        <v>0</v>
      </c>
      <c r="G43" s="21">
        <f>IF($J43="","",SUMIFS('Hours Log'!$E:$E,'Hours Log'!$A:$A,"&gt;="&amp;$J43,'Hours Log'!$A:$A,"&lt;"&amp;$J43+7))</f>
        <v>2</v>
      </c>
      <c r="H43" s="20" t="s">
        <v>41</v>
      </c>
      <c r="J43">
        <f>IF(COUNT('Hours Log'!$A$4:$A$5000)=0,"",IF(MIN('Hours Log'!$A$4:$A$5000)+7*(ROW()-10)&gt;MAX('Hours Log'!$A$4:$A$5000),"",MIN('Hours Log'!$A$4:$A$5000)+7*(ROW()-10)))</f>
        <v>45845</v>
      </c>
    </row>
    <row r="44" spans="1:10" x14ac:dyDescent="0.25">
      <c r="A44" s="20" t="e">
        <f ca="1">IF($J44="","",YEAR($J44-WEEKDAY($J44,2)+4)&amp;"-W"&amp;TEXT(_xludf.ISOWEEKNUM($J44),"00"))</f>
        <v>#NAME?</v>
      </c>
      <c r="B44" s="21"/>
      <c r="C44" s="21">
        <f>IF($J44="","",SUMIFS('Hours Log'!$C:$C,'Hours Log'!$A:$A,"&gt;="&amp;$J44,'Hours Log'!$A:$A,"&lt;"&amp;$J44+7)+SUMIFS('Hours Log'!$D:$D,'Hours Log'!$A:$A,"&gt;="&amp;$J44,'Hours Log'!$A:$A,"&lt;"&amp;$J44+7))</f>
        <v>277</v>
      </c>
      <c r="D44" s="21">
        <f>IF($J44="","",SUMIFS('Hours Log'!$D:$D,'Hours Log'!$A:$A,"&gt;="&amp;$J44,'Hours Log'!$A:$A,"&lt;"&amp;$J44+7))</f>
        <v>16</v>
      </c>
      <c r="E44" s="22">
        <f t="shared" si="0"/>
        <v>0</v>
      </c>
      <c r="F44" s="21">
        <f t="shared" si="1"/>
        <v>0</v>
      </c>
      <c r="G44" s="21">
        <f>IF($J44="","",SUMIFS('Hours Log'!$E:$E,'Hours Log'!$A:$A,"&gt;="&amp;$J44,'Hours Log'!$A:$A,"&lt;"&amp;$J44+7))</f>
        <v>2</v>
      </c>
      <c r="H44" s="20"/>
      <c r="J44">
        <f>IF(COUNT('Hours Log'!$A$4:$A$5000)=0,"",IF(MIN('Hours Log'!$A$4:$A$5000)+7*(ROW()-10)&gt;MAX('Hours Log'!$A$4:$A$5000),"",MIN('Hours Log'!$A$4:$A$5000)+7*(ROW()-10)))</f>
        <v>45852</v>
      </c>
    </row>
    <row r="45" spans="1:10" x14ac:dyDescent="0.25">
      <c r="A45" s="20" t="e">
        <f ca="1">IF($J45="","",YEAR($J45-WEEKDAY($J45,2)+4)&amp;"-W"&amp;TEXT(_xludf.ISOWEEKNUM($J45),"00"))</f>
        <v>#NAME?</v>
      </c>
      <c r="B45" s="21"/>
      <c r="C45" s="21">
        <f>IF($J45="","",SUMIFS('Hours Log'!$C:$C,'Hours Log'!$A:$A,"&gt;="&amp;$J45,'Hours Log'!$A:$A,"&lt;"&amp;$J45+7)+SUMIFS('Hours Log'!$D:$D,'Hours Log'!$A:$A,"&gt;="&amp;$J45,'Hours Log'!$A:$A,"&lt;"&amp;$J45+7))</f>
        <v>282</v>
      </c>
      <c r="D45" s="21">
        <f>IF($J45="","",SUMIFS('Hours Log'!$D:$D,'Hours Log'!$A:$A,"&gt;="&amp;$J45,'Hours Log'!$A:$A,"&lt;"&amp;$J45+7))</f>
        <v>27</v>
      </c>
      <c r="E45" s="22">
        <f t="shared" si="0"/>
        <v>0</v>
      </c>
      <c r="F45" s="21">
        <f t="shared" si="1"/>
        <v>0</v>
      </c>
      <c r="G45" s="21">
        <f>IF($J45="","",SUMIFS('Hours Log'!$E:$E,'Hours Log'!$A:$A,"&gt;="&amp;$J45,'Hours Log'!$A:$A,"&lt;"&amp;$J45+7))</f>
        <v>1</v>
      </c>
      <c r="H45" s="20"/>
      <c r="J45">
        <f>IF(COUNT('Hours Log'!$A$4:$A$5000)=0,"",IF(MIN('Hours Log'!$A$4:$A$5000)+7*(ROW()-10)&gt;MAX('Hours Log'!$A$4:$A$5000),"",MIN('Hours Log'!$A$4:$A$5000)+7*(ROW()-10)))</f>
        <v>45859</v>
      </c>
    </row>
    <row r="46" spans="1:10" x14ac:dyDescent="0.25">
      <c r="A46" s="20" t="e">
        <f ca="1">IF($J46="","",YEAR($J46-WEEKDAY($J46,2)+4)&amp;"-W"&amp;TEXT(_xludf.ISOWEEKNUM($J46),"00"))</f>
        <v>#NAME?</v>
      </c>
      <c r="B46" s="21"/>
      <c r="C46" s="21">
        <f>IF($J46="","",SUMIFS('Hours Log'!$C:$C,'Hours Log'!$A:$A,"&gt;="&amp;$J46,'Hours Log'!$A:$A,"&lt;"&amp;$J46+7)+SUMIFS('Hours Log'!$D:$D,'Hours Log'!$A:$A,"&gt;="&amp;$J46,'Hours Log'!$A:$A,"&lt;"&amp;$J46+7))</f>
        <v>282</v>
      </c>
      <c r="D46" s="21">
        <f>IF($J46="","",SUMIFS('Hours Log'!$D:$D,'Hours Log'!$A:$A,"&gt;="&amp;$J46,'Hours Log'!$A:$A,"&lt;"&amp;$J46+7))</f>
        <v>11</v>
      </c>
      <c r="E46" s="22">
        <f t="shared" si="0"/>
        <v>0</v>
      </c>
      <c r="F46" s="21">
        <f t="shared" si="1"/>
        <v>0</v>
      </c>
      <c r="G46" s="21">
        <f>IF($J46="","",SUMIFS('Hours Log'!$E:$E,'Hours Log'!$A:$A,"&gt;="&amp;$J46,'Hours Log'!$A:$A,"&lt;"&amp;$J46+7))</f>
        <v>7</v>
      </c>
      <c r="H46" s="20"/>
      <c r="J46">
        <f>IF(COUNT('Hours Log'!$A$4:$A$5000)=0,"",IF(MIN('Hours Log'!$A$4:$A$5000)+7*(ROW()-10)&gt;MAX('Hours Log'!$A$4:$A$5000),"",MIN('Hours Log'!$A$4:$A$5000)+7*(ROW()-10)))</f>
        <v>45866</v>
      </c>
    </row>
    <row r="47" spans="1:10" x14ac:dyDescent="0.25">
      <c r="A47" s="20" t="e">
        <f ca="1">IF($J47="","",YEAR($J47-WEEKDAY($J47,2)+4)&amp;"-W"&amp;TEXT(_xludf.ISOWEEKNUM($J47),"00"))</f>
        <v>#NAME?</v>
      </c>
      <c r="B47" s="21"/>
      <c r="C47" s="21">
        <f>IF($J47="","",SUMIFS('Hours Log'!$C:$C,'Hours Log'!$A:$A,"&gt;="&amp;$J47,'Hours Log'!$A:$A,"&lt;"&amp;$J47+7)+SUMIFS('Hours Log'!$D:$D,'Hours Log'!$A:$A,"&gt;="&amp;$J47,'Hours Log'!$A:$A,"&lt;"&amp;$J47+7))</f>
        <v>277</v>
      </c>
      <c r="D47" s="21">
        <f>IF($J47="","",SUMIFS('Hours Log'!$D:$D,'Hours Log'!$A:$A,"&gt;="&amp;$J47,'Hours Log'!$A:$A,"&lt;"&amp;$J47+7))</f>
        <v>19.999999999999996</v>
      </c>
      <c r="E47" s="22">
        <f t="shared" si="0"/>
        <v>0</v>
      </c>
      <c r="F47" s="21">
        <f t="shared" si="1"/>
        <v>0</v>
      </c>
      <c r="G47" s="21">
        <f>IF($J47="","",SUMIFS('Hours Log'!$E:$E,'Hours Log'!$A:$A,"&gt;="&amp;$J47,'Hours Log'!$A:$A,"&lt;"&amp;$J47+7))</f>
        <v>2</v>
      </c>
      <c r="H47" s="20" t="s">
        <v>41</v>
      </c>
      <c r="J47">
        <f>IF(COUNT('Hours Log'!$A$4:$A$5000)=0,"",IF(MIN('Hours Log'!$A$4:$A$5000)+7*(ROW()-10)&gt;MAX('Hours Log'!$A$4:$A$5000),"",MIN('Hours Log'!$A$4:$A$5000)+7*(ROW()-10)))</f>
        <v>45873</v>
      </c>
    </row>
    <row r="48" spans="1:10" x14ac:dyDescent="0.25">
      <c r="A48" s="20" t="e">
        <f ca="1">IF($J48="","",YEAR($J48-WEEKDAY($J48,2)+4)&amp;"-W"&amp;TEXT(_xludf.ISOWEEKNUM($J48),"00"))</f>
        <v>#NAME?</v>
      </c>
      <c r="B48" s="21"/>
      <c r="C48" s="21">
        <f>IF($J48="","",SUMIFS('Hours Log'!$C:$C,'Hours Log'!$A:$A,"&gt;="&amp;$J48,'Hours Log'!$A:$A,"&lt;"&amp;$J48+7)+SUMIFS('Hours Log'!$D:$D,'Hours Log'!$A:$A,"&gt;="&amp;$J48,'Hours Log'!$A:$A,"&lt;"&amp;$J48+7))</f>
        <v>294</v>
      </c>
      <c r="D48" s="21">
        <f>IF($J48="","",SUMIFS('Hours Log'!$D:$D,'Hours Log'!$A:$A,"&gt;="&amp;$J48,'Hours Log'!$A:$A,"&lt;"&amp;$J48+7))</f>
        <v>21</v>
      </c>
      <c r="E48" s="22">
        <f t="shared" si="0"/>
        <v>0</v>
      </c>
      <c r="F48" s="21">
        <f t="shared" si="1"/>
        <v>0</v>
      </c>
      <c r="G48" s="21">
        <f>IF($J48="","",SUMIFS('Hours Log'!$E:$E,'Hours Log'!$A:$A,"&gt;="&amp;$J48,'Hours Log'!$A:$A,"&lt;"&amp;$J48+7))</f>
        <v>4</v>
      </c>
      <c r="H48" s="20" t="s">
        <v>39</v>
      </c>
      <c r="J48">
        <f>IF(COUNT('Hours Log'!$A$4:$A$5000)=0,"",IF(MIN('Hours Log'!$A$4:$A$5000)+7*(ROW()-10)&gt;MAX('Hours Log'!$A$4:$A$5000),"",MIN('Hours Log'!$A$4:$A$5000)+7*(ROW()-10)))</f>
        <v>45880</v>
      </c>
    </row>
    <row r="49" spans="1:10" x14ac:dyDescent="0.25">
      <c r="A49" s="20" t="e">
        <f ca="1">IF($J49="","",YEAR($J49-WEEKDAY($J49,2)+4)&amp;"-W"&amp;TEXT(_xludf.ISOWEEKNUM($J49),"00"))</f>
        <v>#NAME?</v>
      </c>
      <c r="B49" s="21"/>
      <c r="C49" s="21">
        <f>IF($J49="","",SUMIFS('Hours Log'!$C:$C,'Hours Log'!$A:$A,"&gt;="&amp;$J49,'Hours Log'!$A:$A,"&lt;"&amp;$J49+7)+SUMIFS('Hours Log'!$D:$D,'Hours Log'!$A:$A,"&gt;="&amp;$J49,'Hours Log'!$A:$A,"&lt;"&amp;$J49+7))</f>
        <v>296</v>
      </c>
      <c r="D49" s="21">
        <f>IF($J49="","",SUMIFS('Hours Log'!$D:$D,'Hours Log'!$A:$A,"&gt;="&amp;$J49,'Hours Log'!$A:$A,"&lt;"&amp;$J49+7))</f>
        <v>32</v>
      </c>
      <c r="E49" s="22">
        <f t="shared" si="0"/>
        <v>0</v>
      </c>
      <c r="F49" s="21">
        <f t="shared" si="1"/>
        <v>0</v>
      </c>
      <c r="G49" s="21">
        <f>IF($J49="","",SUMIFS('Hours Log'!$E:$E,'Hours Log'!$A:$A,"&gt;="&amp;$J49,'Hours Log'!$A:$A,"&lt;"&amp;$J49+7))</f>
        <v>0</v>
      </c>
      <c r="H49" s="20"/>
      <c r="J49">
        <f>IF(COUNT('Hours Log'!$A$4:$A$5000)=0,"",IF(MIN('Hours Log'!$A$4:$A$5000)+7*(ROW()-10)&gt;MAX('Hours Log'!$A$4:$A$5000),"",MIN('Hours Log'!$A$4:$A$5000)+7*(ROW()-10)))</f>
        <v>45887</v>
      </c>
    </row>
    <row r="50" spans="1:10" x14ac:dyDescent="0.25">
      <c r="A50" s="20" t="e">
        <f ca="1">IF($J50="","",YEAR($J50-WEEKDAY($J50,2)+4)&amp;"-W"&amp;TEXT(_xludf.ISOWEEKNUM($J50),"00"))</f>
        <v>#NAME?</v>
      </c>
      <c r="B50" s="21"/>
      <c r="C50" s="21">
        <f>IF($J50="","",SUMIFS('Hours Log'!$C:$C,'Hours Log'!$A:$A,"&gt;="&amp;$J50,'Hours Log'!$A:$A,"&lt;"&amp;$J50+7)+SUMIFS('Hours Log'!$D:$D,'Hours Log'!$A:$A,"&gt;="&amp;$J50,'Hours Log'!$A:$A,"&lt;"&amp;$J50+7))</f>
        <v>274</v>
      </c>
      <c r="D50" s="21">
        <f>IF($J50="","",SUMIFS('Hours Log'!$D:$D,'Hours Log'!$A:$A,"&gt;="&amp;$J50,'Hours Log'!$A:$A,"&lt;"&amp;$J50+7))</f>
        <v>16</v>
      </c>
      <c r="E50" s="22">
        <f t="shared" si="0"/>
        <v>0</v>
      </c>
      <c r="F50" s="21">
        <f t="shared" si="1"/>
        <v>0</v>
      </c>
      <c r="G50" s="21">
        <f>IF($J50="","",SUMIFS('Hours Log'!$E:$E,'Hours Log'!$A:$A,"&gt;="&amp;$J50,'Hours Log'!$A:$A,"&lt;"&amp;$J50+7))</f>
        <v>4</v>
      </c>
      <c r="H50" s="20"/>
      <c r="J50">
        <f>IF(COUNT('Hours Log'!$A$4:$A$5000)=0,"",IF(MIN('Hours Log'!$A$4:$A$5000)+7*(ROW()-10)&gt;MAX('Hours Log'!$A$4:$A$5000),"",MIN('Hours Log'!$A$4:$A$5000)+7*(ROW()-10)))</f>
        <v>45894</v>
      </c>
    </row>
    <row r="51" spans="1:10" x14ac:dyDescent="0.25">
      <c r="A51" s="20" t="e">
        <f ca="1">IF($J51="","",YEAR($J51-WEEKDAY($J51,2)+4)&amp;"-W"&amp;TEXT(_xludf.ISOWEEKNUM($J51),"00"))</f>
        <v>#NAME?</v>
      </c>
      <c r="B51" s="21"/>
      <c r="C51" s="21">
        <f>IF($J51="","",SUMIFS('Hours Log'!$C:$C,'Hours Log'!$A:$A,"&gt;="&amp;$J51,'Hours Log'!$A:$A,"&lt;"&amp;$J51+7)+SUMIFS('Hours Log'!$D:$D,'Hours Log'!$A:$A,"&gt;="&amp;$J51,'Hours Log'!$A:$A,"&lt;"&amp;$J51+7))</f>
        <v>268</v>
      </c>
      <c r="D51" s="21">
        <f>IF($J51="","",SUMIFS('Hours Log'!$D:$D,'Hours Log'!$A:$A,"&gt;="&amp;$J51,'Hours Log'!$A:$A,"&lt;"&amp;$J51+7))</f>
        <v>25</v>
      </c>
      <c r="E51" s="22">
        <f t="shared" si="0"/>
        <v>0</v>
      </c>
      <c r="F51" s="21">
        <f t="shared" si="1"/>
        <v>0</v>
      </c>
      <c r="G51" s="21">
        <f>IF($J51="","",SUMIFS('Hours Log'!$E:$E,'Hours Log'!$A:$A,"&gt;="&amp;$J51,'Hours Log'!$A:$A,"&lt;"&amp;$J51+7))</f>
        <v>5</v>
      </c>
      <c r="H51" s="20"/>
      <c r="J51">
        <f>IF(COUNT('Hours Log'!$A$4:$A$5000)=0,"",IF(MIN('Hours Log'!$A$4:$A$5000)+7*(ROW()-10)&gt;MAX('Hours Log'!$A$4:$A$5000),"",MIN('Hours Log'!$A$4:$A$5000)+7*(ROW()-10)))</f>
        <v>45901</v>
      </c>
    </row>
    <row r="52" spans="1:10" x14ac:dyDescent="0.25">
      <c r="A52" s="20" t="e">
        <f ca="1">IF($J52="","",YEAR($J52-WEEKDAY($J52,2)+4)&amp;"-W"&amp;TEXT(_xludf.ISOWEEKNUM($J52),"00"))</f>
        <v>#NAME?</v>
      </c>
      <c r="B52" s="21"/>
      <c r="C52" s="21">
        <f>IF($J52="","",SUMIFS('Hours Log'!$C:$C,'Hours Log'!$A:$A,"&gt;="&amp;$J52,'Hours Log'!$A:$A,"&lt;"&amp;$J52+7)+SUMIFS('Hours Log'!$D:$D,'Hours Log'!$A:$A,"&gt;="&amp;$J52,'Hours Log'!$A:$A,"&lt;"&amp;$J52+7))</f>
        <v>278.00000000000006</v>
      </c>
      <c r="D52" s="21">
        <f>IF($J52="","",SUMIFS('Hours Log'!$D:$D,'Hours Log'!$A:$A,"&gt;="&amp;$J52,'Hours Log'!$A:$A,"&lt;"&amp;$J52+7))</f>
        <v>16</v>
      </c>
      <c r="E52" s="22">
        <f t="shared" si="0"/>
        <v>0</v>
      </c>
      <c r="F52" s="21">
        <f t="shared" si="1"/>
        <v>0</v>
      </c>
      <c r="G52" s="21">
        <f>IF($J52="","",SUMIFS('Hours Log'!$E:$E,'Hours Log'!$A:$A,"&gt;="&amp;$J52,'Hours Log'!$A:$A,"&lt;"&amp;$J52+7))</f>
        <v>4</v>
      </c>
      <c r="H52" s="20"/>
      <c r="J52">
        <f>IF(COUNT('Hours Log'!$A$4:$A$5000)=0,"",IF(MIN('Hours Log'!$A$4:$A$5000)+7*(ROW()-10)&gt;MAX('Hours Log'!$A$4:$A$5000),"",MIN('Hours Log'!$A$4:$A$5000)+7*(ROW()-10)))</f>
        <v>45908</v>
      </c>
    </row>
    <row r="53" spans="1:10" x14ac:dyDescent="0.25">
      <c r="A53" s="20" t="e">
        <f ca="1">IF($J53="","",YEAR($J53-WEEKDAY($J53,2)+4)&amp;"-W"&amp;TEXT(_xludf.ISOWEEKNUM($J53),"00"))</f>
        <v>#NAME?</v>
      </c>
      <c r="B53" s="21"/>
      <c r="C53" s="21">
        <f>IF($J53="","",SUMIFS('Hours Log'!$C:$C,'Hours Log'!$A:$A,"&gt;="&amp;$J53,'Hours Log'!$A:$A,"&lt;"&amp;$J53+7)+SUMIFS('Hours Log'!$D:$D,'Hours Log'!$A:$A,"&gt;="&amp;$J53,'Hours Log'!$A:$A,"&lt;"&amp;$J53+7))</f>
        <v>283</v>
      </c>
      <c r="D53" s="21">
        <f>IF($J53="","",SUMIFS('Hours Log'!$D:$D,'Hours Log'!$A:$A,"&gt;="&amp;$J53,'Hours Log'!$A:$A,"&lt;"&amp;$J53+7))</f>
        <v>18</v>
      </c>
      <c r="E53" s="22">
        <f t="shared" si="0"/>
        <v>0</v>
      </c>
      <c r="F53" s="21">
        <f t="shared" si="1"/>
        <v>0</v>
      </c>
      <c r="G53" s="21">
        <f>IF($J53="","",SUMIFS('Hours Log'!$E:$E,'Hours Log'!$A:$A,"&gt;="&amp;$J53,'Hours Log'!$A:$A,"&lt;"&amp;$J53+7))</f>
        <v>0.99999999999999989</v>
      </c>
      <c r="H53" s="20"/>
      <c r="J53">
        <f>IF(COUNT('Hours Log'!$A$4:$A$5000)=0,"",IF(MIN('Hours Log'!$A$4:$A$5000)+7*(ROW()-10)&gt;MAX('Hours Log'!$A$4:$A$5000),"",MIN('Hours Log'!$A$4:$A$5000)+7*(ROW()-10)))</f>
        <v>45915</v>
      </c>
    </row>
    <row r="54" spans="1:10" x14ac:dyDescent="0.25">
      <c r="A54" s="20" t="e">
        <f ca="1">IF($J54="","",YEAR($J54-WEEKDAY($J54,2)+4)&amp;"-W"&amp;TEXT(_xludf.ISOWEEKNUM($J54),"00"))</f>
        <v>#NAME?</v>
      </c>
      <c r="B54" s="21"/>
      <c r="C54" s="21">
        <f>IF($J54="","",SUMIFS('Hours Log'!$C:$C,'Hours Log'!$A:$A,"&gt;="&amp;$J54,'Hours Log'!$A:$A,"&lt;"&amp;$J54+7)+SUMIFS('Hours Log'!$D:$D,'Hours Log'!$A:$A,"&gt;="&amp;$J54,'Hours Log'!$A:$A,"&lt;"&amp;$J54+7))</f>
        <v>271</v>
      </c>
      <c r="D54" s="21">
        <f>IF($J54="","",SUMIFS('Hours Log'!$D:$D,'Hours Log'!$A:$A,"&gt;="&amp;$J54,'Hours Log'!$A:$A,"&lt;"&amp;$J54+7))</f>
        <v>12</v>
      </c>
      <c r="E54" s="22">
        <f t="shared" si="0"/>
        <v>0</v>
      </c>
      <c r="F54" s="21">
        <f t="shared" si="1"/>
        <v>0</v>
      </c>
      <c r="G54" s="21">
        <f>IF($J54="","",SUMIFS('Hours Log'!$E:$E,'Hours Log'!$A:$A,"&gt;="&amp;$J54,'Hours Log'!$A:$A,"&lt;"&amp;$J54+7))</f>
        <v>7</v>
      </c>
      <c r="H54" s="20"/>
      <c r="J54">
        <f>IF(COUNT('Hours Log'!$A$4:$A$5000)=0,"",IF(MIN('Hours Log'!$A$4:$A$5000)+7*(ROW()-10)&gt;MAX('Hours Log'!$A$4:$A$5000),"",MIN('Hours Log'!$A$4:$A$5000)+7*(ROW()-10)))</f>
        <v>45922</v>
      </c>
    </row>
    <row r="55" spans="1:10" x14ac:dyDescent="0.25">
      <c r="A55" s="20" t="e">
        <f ca="1">IF($J55="","",YEAR($J55-WEEKDAY($J55,2)+4)&amp;"-W"&amp;TEXT(_xludf.ISOWEEKNUM($J55),"00"))</f>
        <v>#NAME?</v>
      </c>
      <c r="B55" s="21"/>
      <c r="C55" s="21">
        <f>IF($J55="","",SUMIFS('Hours Log'!$C:$C,'Hours Log'!$A:$A,"&gt;="&amp;$J55,'Hours Log'!$A:$A,"&lt;"&amp;$J55+7)+SUMIFS('Hours Log'!$D:$D,'Hours Log'!$A:$A,"&gt;="&amp;$J55,'Hours Log'!$A:$A,"&lt;"&amp;$J55+7))</f>
        <v>272</v>
      </c>
      <c r="D55" s="21">
        <f>IF($J55="","",SUMIFS('Hours Log'!$D:$D,'Hours Log'!$A:$A,"&gt;="&amp;$J55,'Hours Log'!$A:$A,"&lt;"&amp;$J55+7))</f>
        <v>17</v>
      </c>
      <c r="E55" s="22">
        <f t="shared" si="0"/>
        <v>0</v>
      </c>
      <c r="F55" s="21">
        <f t="shared" si="1"/>
        <v>0</v>
      </c>
      <c r="G55" s="21">
        <f>IF($J55="","",SUMIFS('Hours Log'!$E:$E,'Hours Log'!$A:$A,"&gt;="&amp;$J55,'Hours Log'!$A:$A,"&lt;"&amp;$J55+7))</f>
        <v>4</v>
      </c>
      <c r="H55" s="20"/>
      <c r="J55">
        <f>IF(COUNT('Hours Log'!$A$4:$A$5000)=0,"",IF(MIN('Hours Log'!$A$4:$A$5000)+7*(ROW()-10)&gt;MAX('Hours Log'!$A$4:$A$5000),"",MIN('Hours Log'!$A$4:$A$5000)+7*(ROW()-10)))</f>
        <v>45929</v>
      </c>
    </row>
    <row r="56" spans="1:10" x14ac:dyDescent="0.25">
      <c r="A56" s="20" t="e">
        <f ca="1">IF($J56="","",YEAR($J56-WEEKDAY($J56,2)+4)&amp;"-W"&amp;TEXT(_xludf.ISOWEEKNUM($J56),"00"))</f>
        <v>#NAME?</v>
      </c>
      <c r="B56" s="21"/>
      <c r="C56" s="21">
        <f>IF($J56="","",SUMIFS('Hours Log'!$C:$C,'Hours Log'!$A:$A,"&gt;="&amp;$J56,'Hours Log'!$A:$A,"&lt;"&amp;$J56+7)+SUMIFS('Hours Log'!$D:$D,'Hours Log'!$A:$A,"&gt;="&amp;$J56,'Hours Log'!$A:$A,"&lt;"&amp;$J56+7))</f>
        <v>296</v>
      </c>
      <c r="D56" s="21">
        <f>IF($J56="","",SUMIFS('Hours Log'!$D:$D,'Hours Log'!$A:$A,"&gt;="&amp;$J56,'Hours Log'!$A:$A,"&lt;"&amp;$J56+7))</f>
        <v>22</v>
      </c>
      <c r="E56" s="22">
        <f t="shared" si="0"/>
        <v>0</v>
      </c>
      <c r="F56" s="21">
        <f t="shared" si="1"/>
        <v>0</v>
      </c>
      <c r="G56" s="21">
        <f>IF($J56="","",SUMIFS('Hours Log'!$E:$E,'Hours Log'!$A:$A,"&gt;="&amp;$J56,'Hours Log'!$A:$A,"&lt;"&amp;$J56+7))</f>
        <v>5</v>
      </c>
      <c r="H56" s="20"/>
      <c r="J56">
        <f>IF(COUNT('Hours Log'!$A$4:$A$5000)=0,"",IF(MIN('Hours Log'!$A$4:$A$5000)+7*(ROW()-10)&gt;MAX('Hours Log'!$A$4:$A$5000),"",MIN('Hours Log'!$A$4:$A$5000)+7*(ROW()-10)))</f>
        <v>45936</v>
      </c>
    </row>
    <row r="57" spans="1:10" x14ac:dyDescent="0.25">
      <c r="A57" s="20" t="e">
        <f ca="1">IF($J57="","",YEAR($J57-WEEKDAY($J57,2)+4)&amp;"-W"&amp;TEXT(_xludf.ISOWEEKNUM($J57),"00"))</f>
        <v>#NAME?</v>
      </c>
      <c r="B57" s="21"/>
      <c r="C57" s="21">
        <f>IF($J57="","",SUMIFS('Hours Log'!$C:$C,'Hours Log'!$A:$A,"&gt;="&amp;$J57,'Hours Log'!$A:$A,"&lt;"&amp;$J57+7)+SUMIFS('Hours Log'!$D:$D,'Hours Log'!$A:$A,"&gt;="&amp;$J57,'Hours Log'!$A:$A,"&lt;"&amp;$J57+7))</f>
        <v>286</v>
      </c>
      <c r="D57" s="21">
        <f>IF($J57="","",SUMIFS('Hours Log'!$D:$D,'Hours Log'!$A:$A,"&gt;="&amp;$J57,'Hours Log'!$A:$A,"&lt;"&amp;$J57+7))</f>
        <v>27</v>
      </c>
      <c r="E57" s="22">
        <f t="shared" si="0"/>
        <v>0</v>
      </c>
      <c r="F57" s="21">
        <f t="shared" si="1"/>
        <v>0</v>
      </c>
      <c r="G57" s="21">
        <f>IF($J57="","",SUMIFS('Hours Log'!$E:$E,'Hours Log'!$A:$A,"&gt;="&amp;$J57,'Hours Log'!$A:$A,"&lt;"&amp;$J57+7))</f>
        <v>0</v>
      </c>
      <c r="H57" s="20"/>
      <c r="J57">
        <f>IF(COUNT('Hours Log'!$A$4:$A$5000)=0,"",IF(MIN('Hours Log'!$A$4:$A$5000)+7*(ROW()-10)&gt;MAX('Hours Log'!$A$4:$A$5000),"",MIN('Hours Log'!$A$4:$A$5000)+7*(ROW()-10)))</f>
        <v>45943</v>
      </c>
    </row>
    <row r="58" spans="1:10" x14ac:dyDescent="0.25">
      <c r="A58" s="20" t="e">
        <f ca="1">IF($J58="","",YEAR($J58-WEEKDAY($J58,2)+4)&amp;"-W"&amp;TEXT(_xludf.ISOWEEKNUM($J58),"00"))</f>
        <v>#NAME?</v>
      </c>
      <c r="B58" s="21"/>
      <c r="C58" s="21">
        <f>IF($J58="","",SUMIFS('Hours Log'!$C:$C,'Hours Log'!$A:$A,"&gt;="&amp;$J58,'Hours Log'!$A:$A,"&lt;"&amp;$J58+7)+SUMIFS('Hours Log'!$D:$D,'Hours Log'!$A:$A,"&gt;="&amp;$J58,'Hours Log'!$A:$A,"&lt;"&amp;$J58+7))</f>
        <v>272</v>
      </c>
      <c r="D58" s="21">
        <f>IF($J58="","",SUMIFS('Hours Log'!$D:$D,'Hours Log'!$A:$A,"&gt;="&amp;$J58,'Hours Log'!$A:$A,"&lt;"&amp;$J58+7))</f>
        <v>12</v>
      </c>
      <c r="E58" s="22">
        <f t="shared" si="0"/>
        <v>0</v>
      </c>
      <c r="F58" s="21">
        <f t="shared" si="1"/>
        <v>0</v>
      </c>
      <c r="G58" s="21">
        <f>IF($J58="","",SUMIFS('Hours Log'!$E:$E,'Hours Log'!$A:$A,"&gt;="&amp;$J58,'Hours Log'!$A:$A,"&lt;"&amp;$J58+7))</f>
        <v>10</v>
      </c>
      <c r="H58" s="20"/>
      <c r="J58">
        <f>IF(COUNT('Hours Log'!$A$4:$A$5000)=0,"",IF(MIN('Hours Log'!$A$4:$A$5000)+7*(ROW()-10)&gt;MAX('Hours Log'!$A$4:$A$5000),"",MIN('Hours Log'!$A$4:$A$5000)+7*(ROW()-10)))</f>
        <v>45950</v>
      </c>
    </row>
    <row r="59" spans="1:10" x14ac:dyDescent="0.25">
      <c r="A59" s="20" t="e">
        <f ca="1">IF($J59="","",YEAR($J59-WEEKDAY($J59,2)+4)&amp;"-W"&amp;TEXT(_xludf.ISOWEEKNUM($J59),"00"))</f>
        <v>#NAME?</v>
      </c>
      <c r="B59" s="21"/>
      <c r="C59" s="21">
        <f>IF($J59="","",SUMIFS('Hours Log'!$C:$C,'Hours Log'!$A:$A,"&gt;="&amp;$J59,'Hours Log'!$A:$A,"&lt;"&amp;$J59+7)+SUMIFS('Hours Log'!$D:$D,'Hours Log'!$A:$A,"&gt;="&amp;$J59,'Hours Log'!$A:$A,"&lt;"&amp;$J59+7))</f>
        <v>277</v>
      </c>
      <c r="D59" s="21">
        <f>IF($J59="","",SUMIFS('Hours Log'!$D:$D,'Hours Log'!$A:$A,"&gt;="&amp;$J59,'Hours Log'!$A:$A,"&lt;"&amp;$J59+7))</f>
        <v>22</v>
      </c>
      <c r="E59" s="22">
        <f t="shared" si="0"/>
        <v>0</v>
      </c>
      <c r="F59" s="21">
        <f t="shared" si="1"/>
        <v>0</v>
      </c>
      <c r="G59" s="21">
        <f>IF($J59="","",SUMIFS('Hours Log'!$E:$E,'Hours Log'!$A:$A,"&gt;="&amp;$J59,'Hours Log'!$A:$A,"&lt;"&amp;$J59+7))</f>
        <v>5</v>
      </c>
      <c r="H59" s="20"/>
      <c r="J59">
        <f>IF(COUNT('Hours Log'!$A$4:$A$5000)=0,"",IF(MIN('Hours Log'!$A$4:$A$5000)+7*(ROW()-10)&gt;MAX('Hours Log'!$A$4:$A$5000),"",MIN('Hours Log'!$A$4:$A$5000)+7*(ROW()-10)))</f>
        <v>45957</v>
      </c>
    </row>
    <row r="60" spans="1:10" x14ac:dyDescent="0.25">
      <c r="A60" s="20" t="e">
        <f ca="1">IF($J60="","",YEAR($J60-WEEKDAY($J60,2)+4)&amp;"-W"&amp;TEXT(_xludf.ISOWEEKNUM($J60),"00"))</f>
        <v>#NAME?</v>
      </c>
      <c r="B60" s="21"/>
      <c r="C60" s="21">
        <f>IF($J60="","",SUMIFS('Hours Log'!$C:$C,'Hours Log'!$A:$A,"&gt;="&amp;$J60,'Hours Log'!$A:$A,"&lt;"&amp;$J60+7)+SUMIFS('Hours Log'!$D:$D,'Hours Log'!$A:$A,"&gt;="&amp;$J60,'Hours Log'!$A:$A,"&lt;"&amp;$J60+7))</f>
        <v>291</v>
      </c>
      <c r="D60" s="21">
        <f>IF($J60="","",SUMIFS('Hours Log'!$D:$D,'Hours Log'!$A:$A,"&gt;="&amp;$J60,'Hours Log'!$A:$A,"&lt;"&amp;$J60+7))</f>
        <v>28</v>
      </c>
      <c r="E60" s="22">
        <f t="shared" si="0"/>
        <v>0</v>
      </c>
      <c r="F60" s="21">
        <f t="shared" si="1"/>
        <v>0</v>
      </c>
      <c r="G60" s="21">
        <f>IF($J60="","",SUMIFS('Hours Log'!$E:$E,'Hours Log'!$A:$A,"&gt;="&amp;$J60,'Hours Log'!$A:$A,"&lt;"&amp;$J60+7))</f>
        <v>3</v>
      </c>
      <c r="H60" s="20"/>
      <c r="J60">
        <f>IF(COUNT('Hours Log'!$A$4:$A$5000)=0,"",IF(MIN('Hours Log'!$A$4:$A$5000)+7*(ROW()-10)&gt;MAX('Hours Log'!$A$4:$A$5000),"",MIN('Hours Log'!$A$4:$A$5000)+7*(ROW()-10)))</f>
        <v>45964</v>
      </c>
    </row>
    <row r="61" spans="1:10" x14ac:dyDescent="0.25">
      <c r="A61" s="20" t="e">
        <f ca="1">IF($J61="","",YEAR($J61-WEEKDAY($J61,2)+4)&amp;"-W"&amp;TEXT(_xludf.ISOWEEKNUM($J61),"00"))</f>
        <v>#NAME?</v>
      </c>
      <c r="B61" s="21"/>
      <c r="C61" s="21">
        <f>IF($J61="","",SUMIFS('Hours Log'!$C:$C,'Hours Log'!$A:$A,"&gt;="&amp;$J61,'Hours Log'!$A:$A,"&lt;"&amp;$J61+7)+SUMIFS('Hours Log'!$D:$D,'Hours Log'!$A:$A,"&gt;="&amp;$J61,'Hours Log'!$A:$A,"&lt;"&amp;$J61+7))</f>
        <v>289</v>
      </c>
      <c r="D61" s="21">
        <f>IF($J61="","",SUMIFS('Hours Log'!$D:$D,'Hours Log'!$A:$A,"&gt;="&amp;$J61,'Hours Log'!$A:$A,"&lt;"&amp;$J61+7))</f>
        <v>29</v>
      </c>
      <c r="E61" s="22">
        <f t="shared" si="0"/>
        <v>0</v>
      </c>
      <c r="F61" s="21">
        <f t="shared" si="1"/>
        <v>0</v>
      </c>
      <c r="G61" s="21">
        <f>IF($J61="","",SUMIFS('Hours Log'!$E:$E,'Hours Log'!$A:$A,"&gt;="&amp;$J61,'Hours Log'!$A:$A,"&lt;"&amp;$J61+7))</f>
        <v>2.9999999999999996</v>
      </c>
      <c r="H61" s="20" t="s">
        <v>39</v>
      </c>
      <c r="J61">
        <f>IF(COUNT('Hours Log'!$A$4:$A$5000)=0,"",IF(MIN('Hours Log'!$A$4:$A$5000)+7*(ROW()-10)&gt;MAX('Hours Log'!$A$4:$A$5000),"",MIN('Hours Log'!$A$4:$A$5000)+7*(ROW()-10)))</f>
        <v>45971</v>
      </c>
    </row>
    <row r="62" spans="1:10" x14ac:dyDescent="0.25">
      <c r="A62" s="20" t="e">
        <f ca="1">IF($J62="","",YEAR($J62-WEEKDAY($J62,2)+4)&amp;"-W"&amp;TEXT(_xludf.ISOWEEKNUM($J62),"00"))</f>
        <v>#NAME?</v>
      </c>
      <c r="B62" s="21"/>
      <c r="C62" s="21">
        <f>IF($J62="","",SUMIFS('Hours Log'!$C:$C,'Hours Log'!$A:$A,"&gt;="&amp;$J62,'Hours Log'!$A:$A,"&lt;"&amp;$J62+7)+SUMIFS('Hours Log'!$D:$D,'Hours Log'!$A:$A,"&gt;="&amp;$J62,'Hours Log'!$A:$A,"&lt;"&amp;$J62+7))</f>
        <v>276</v>
      </c>
      <c r="D62" s="21">
        <f>IF($J62="","",SUMIFS('Hours Log'!$D:$D,'Hours Log'!$A:$A,"&gt;="&amp;$J62,'Hours Log'!$A:$A,"&lt;"&amp;$J62+7))</f>
        <v>19</v>
      </c>
      <c r="E62" s="22">
        <f t="shared" si="0"/>
        <v>0</v>
      </c>
      <c r="F62" s="21">
        <f t="shared" si="1"/>
        <v>0</v>
      </c>
      <c r="G62" s="21">
        <f>IF($J62="","",SUMIFS('Hours Log'!$E:$E,'Hours Log'!$A:$A,"&gt;="&amp;$J62,'Hours Log'!$A:$A,"&lt;"&amp;$J62+7))</f>
        <v>2</v>
      </c>
      <c r="H62" s="20"/>
      <c r="J62">
        <f>IF(COUNT('Hours Log'!$A$4:$A$5000)=0,"",IF(MIN('Hours Log'!$A$4:$A$5000)+7*(ROW()-10)&gt;MAX('Hours Log'!$A$4:$A$5000),"",MIN('Hours Log'!$A$4:$A$5000)+7*(ROW()-10)))</f>
        <v>45978</v>
      </c>
    </row>
    <row r="63" spans="1:10" x14ac:dyDescent="0.25">
      <c r="A63" s="20" t="e">
        <f ca="1">IF($J63="","",YEAR($J63-WEEKDAY($J63,2)+4)&amp;"-W"&amp;TEXT(_xludf.ISOWEEKNUM($J63),"00"))</f>
        <v>#NAME?</v>
      </c>
      <c r="B63" s="21"/>
      <c r="C63" s="21">
        <f>IF($J63="","",SUMIFS('Hours Log'!$C:$C,'Hours Log'!$A:$A,"&gt;="&amp;$J63,'Hours Log'!$A:$A,"&lt;"&amp;$J63+7)+SUMIFS('Hours Log'!$D:$D,'Hours Log'!$A:$A,"&gt;="&amp;$J63,'Hours Log'!$A:$A,"&lt;"&amp;$J63+7))</f>
        <v>267</v>
      </c>
      <c r="D63" s="21">
        <f>IF($J63="","",SUMIFS('Hours Log'!$D:$D,'Hours Log'!$A:$A,"&gt;="&amp;$J63,'Hours Log'!$A:$A,"&lt;"&amp;$J63+7))</f>
        <v>21</v>
      </c>
      <c r="E63" s="22">
        <f t="shared" si="0"/>
        <v>0</v>
      </c>
      <c r="F63" s="21">
        <f t="shared" si="1"/>
        <v>0</v>
      </c>
      <c r="G63" s="21">
        <f>IF($J63="","",SUMIFS('Hours Log'!$E:$E,'Hours Log'!$A:$A,"&gt;="&amp;$J63,'Hours Log'!$A:$A,"&lt;"&amp;$J63+7))</f>
        <v>4</v>
      </c>
      <c r="H63" s="20"/>
      <c r="J63">
        <f>IF(COUNT('Hours Log'!$A$4:$A$5000)=0,"",IF(MIN('Hours Log'!$A$4:$A$5000)+7*(ROW()-10)&gt;MAX('Hours Log'!$A$4:$A$5000),"",MIN('Hours Log'!$A$4:$A$5000)+7*(ROW()-10)))</f>
        <v>45985</v>
      </c>
    </row>
    <row r="64" spans="1:10" x14ac:dyDescent="0.25">
      <c r="A64" s="20" t="e">
        <f ca="1">IF($J64="","",YEAR($J64-WEEKDAY($J64,2)+4)&amp;"-W"&amp;TEXT(_xludf.ISOWEEKNUM($J64),"00"))</f>
        <v>#NAME?</v>
      </c>
      <c r="B64" s="21"/>
      <c r="C64" s="21">
        <f>IF($J64="","",SUMIFS('Hours Log'!$C:$C,'Hours Log'!$A:$A,"&gt;="&amp;$J64,'Hours Log'!$A:$A,"&lt;"&amp;$J64+7)+SUMIFS('Hours Log'!$D:$D,'Hours Log'!$A:$A,"&gt;="&amp;$J64,'Hours Log'!$A:$A,"&lt;"&amp;$J64+7))</f>
        <v>257</v>
      </c>
      <c r="D64" s="21">
        <f>IF($J64="","",SUMIFS('Hours Log'!$D:$D,'Hours Log'!$A:$A,"&gt;="&amp;$J64,'Hours Log'!$A:$A,"&lt;"&amp;$J64+7))</f>
        <v>22</v>
      </c>
      <c r="E64" s="22">
        <f t="shared" si="0"/>
        <v>0</v>
      </c>
      <c r="F64" s="21">
        <f t="shared" si="1"/>
        <v>0</v>
      </c>
      <c r="G64" s="21">
        <f>IF($J64="","",SUMIFS('Hours Log'!$E:$E,'Hours Log'!$A:$A,"&gt;="&amp;$J64,'Hours Log'!$A:$A,"&lt;"&amp;$J64+7))</f>
        <v>3.9999999999999996</v>
      </c>
      <c r="H64" s="20"/>
      <c r="J64">
        <f>IF(COUNT('Hours Log'!$A$4:$A$5000)=0,"",IF(MIN('Hours Log'!$A$4:$A$5000)+7*(ROW()-10)&gt;MAX('Hours Log'!$A$4:$A$5000),"",MIN('Hours Log'!$A$4:$A$5000)+7*(ROW()-10)))</f>
        <v>45992</v>
      </c>
    </row>
    <row r="65" spans="1:10" x14ac:dyDescent="0.25">
      <c r="A65" s="20" t="e">
        <f ca="1">IF($J65="","",YEAR($J65-WEEKDAY($J65,2)+4)&amp;"-W"&amp;TEXT(_xludf.ISOWEEKNUM($J65),"00"))</f>
        <v>#NAME?</v>
      </c>
      <c r="B65" s="21"/>
      <c r="C65" s="21">
        <f>IF($J65="","",SUMIFS('Hours Log'!$C:$C,'Hours Log'!$A:$A,"&gt;="&amp;$J65,'Hours Log'!$A:$A,"&lt;"&amp;$J65+7)+SUMIFS('Hours Log'!$D:$D,'Hours Log'!$A:$A,"&gt;="&amp;$J65,'Hours Log'!$A:$A,"&lt;"&amp;$J65+7))</f>
        <v>297</v>
      </c>
      <c r="D65" s="21">
        <f>IF($J65="","",SUMIFS('Hours Log'!$D:$D,'Hours Log'!$A:$A,"&gt;="&amp;$J65,'Hours Log'!$A:$A,"&lt;"&amp;$J65+7))</f>
        <v>23</v>
      </c>
      <c r="E65" s="22">
        <f t="shared" si="0"/>
        <v>0</v>
      </c>
      <c r="F65" s="21">
        <f t="shared" si="1"/>
        <v>0</v>
      </c>
      <c r="G65" s="21">
        <f>IF($J65="","",SUMIFS('Hours Log'!$E:$E,'Hours Log'!$A:$A,"&gt;="&amp;$J65,'Hours Log'!$A:$A,"&lt;"&amp;$J65+7))</f>
        <v>0</v>
      </c>
      <c r="H65" s="20"/>
      <c r="J65">
        <f>IF(COUNT('Hours Log'!$A$4:$A$5000)=0,"",IF(MIN('Hours Log'!$A$4:$A$5000)+7*(ROW()-10)&gt;MAX('Hours Log'!$A$4:$A$5000),"",MIN('Hours Log'!$A$4:$A$5000)+7*(ROW()-10)))</f>
        <v>45999</v>
      </c>
    </row>
    <row r="66" spans="1:10" x14ac:dyDescent="0.25">
      <c r="A66" s="20" t="e">
        <f ca="1">IF($J66="","",YEAR($J66-WEEKDAY($J66,2)+4)&amp;"-W"&amp;TEXT(_xludf.ISOWEEKNUM($J66),"00"))</f>
        <v>#NAME?</v>
      </c>
      <c r="B66" s="21"/>
      <c r="C66" s="21">
        <f>IF($J66="","",SUMIFS('Hours Log'!$C:$C,'Hours Log'!$A:$A,"&gt;="&amp;$J66,'Hours Log'!$A:$A,"&lt;"&amp;$J66+7)+SUMIFS('Hours Log'!$D:$D,'Hours Log'!$A:$A,"&gt;="&amp;$J66,'Hours Log'!$A:$A,"&lt;"&amp;$J66+7))</f>
        <v>270</v>
      </c>
      <c r="D66" s="21">
        <f>IF($J66="","",SUMIFS('Hours Log'!$D:$D,'Hours Log'!$A:$A,"&gt;="&amp;$J66,'Hours Log'!$A:$A,"&lt;"&amp;$J66+7))</f>
        <v>18</v>
      </c>
      <c r="E66" s="22">
        <f t="shared" si="0"/>
        <v>0</v>
      </c>
      <c r="F66" s="21">
        <f t="shared" si="1"/>
        <v>0</v>
      </c>
      <c r="G66" s="21">
        <f>IF($J66="","",SUMIFS('Hours Log'!$E:$E,'Hours Log'!$A:$A,"&gt;="&amp;$J66,'Hours Log'!$A:$A,"&lt;"&amp;$J66+7))</f>
        <v>8</v>
      </c>
      <c r="H66" s="20"/>
      <c r="J66">
        <f>IF(COUNT('Hours Log'!$A$4:$A$5000)=0,"",IF(MIN('Hours Log'!$A$4:$A$5000)+7*(ROW()-10)&gt;MAX('Hours Log'!$A$4:$A$5000),"",MIN('Hours Log'!$A$4:$A$5000)+7*(ROW()-10)))</f>
        <v>46006</v>
      </c>
    </row>
    <row r="67" spans="1:10" x14ac:dyDescent="0.25">
      <c r="A67" s="20" t="e">
        <f ca="1">IF($J67="","",YEAR($J67-WEEKDAY($J67,2)+4)&amp;"-W"&amp;TEXT(_xludf.ISOWEEKNUM($J67),"00"))</f>
        <v>#NAME?</v>
      </c>
      <c r="B67" s="21"/>
      <c r="C67" s="21">
        <f>IF($J67="","",SUMIFS('Hours Log'!$C:$C,'Hours Log'!$A:$A,"&gt;="&amp;$J67,'Hours Log'!$A:$A,"&lt;"&amp;$J67+7)+SUMIFS('Hours Log'!$D:$D,'Hours Log'!$A:$A,"&gt;="&amp;$J67,'Hours Log'!$A:$A,"&lt;"&amp;$J67+7))</f>
        <v>296.99999999999994</v>
      </c>
      <c r="D67" s="21">
        <f>IF($J67="","",SUMIFS('Hours Log'!$D:$D,'Hours Log'!$A:$A,"&gt;="&amp;$J67,'Hours Log'!$A:$A,"&lt;"&amp;$J67+7))</f>
        <v>25</v>
      </c>
      <c r="E67" s="22">
        <f t="shared" si="0"/>
        <v>0</v>
      </c>
      <c r="F67" s="21">
        <f t="shared" si="1"/>
        <v>0</v>
      </c>
      <c r="G67" s="21">
        <f>IF($J67="","",SUMIFS('Hours Log'!$E:$E,'Hours Log'!$A:$A,"&gt;="&amp;$J67,'Hours Log'!$A:$A,"&lt;"&amp;$J67+7))</f>
        <v>2</v>
      </c>
      <c r="H67" s="20"/>
      <c r="J67">
        <f>IF(COUNT('Hours Log'!$A$4:$A$5000)=0,"",IF(MIN('Hours Log'!$A$4:$A$5000)+7*(ROW()-10)&gt;MAX('Hours Log'!$A$4:$A$5000),"",MIN('Hours Log'!$A$4:$A$5000)+7*(ROW()-10)))</f>
        <v>46013</v>
      </c>
    </row>
    <row r="68" spans="1:10" x14ac:dyDescent="0.25">
      <c r="A68" s="20" t="e">
        <f ca="1">IF($J68="","",YEAR($J68-WEEKDAY($J68,2)+4)&amp;"-W"&amp;TEXT(_xludf.ISOWEEKNUM($J68),"00"))</f>
        <v>#NAME?</v>
      </c>
      <c r="B68" s="21"/>
      <c r="C68" s="21">
        <f>IF($J68="","",SUMIFS('Hours Log'!$C:$C,'Hours Log'!$A:$A,"&gt;="&amp;$J68,'Hours Log'!$A:$A,"&lt;"&amp;$J68+7)+SUMIFS('Hours Log'!$D:$D,'Hours Log'!$A:$A,"&gt;="&amp;$J68,'Hours Log'!$A:$A,"&lt;"&amp;$J68+7))</f>
        <v>293.00000000000006</v>
      </c>
      <c r="D68" s="21">
        <f>IF($J68="","",SUMIFS('Hours Log'!$D:$D,'Hours Log'!$A:$A,"&gt;="&amp;$J68,'Hours Log'!$A:$A,"&lt;"&amp;$J68+7))</f>
        <v>15</v>
      </c>
      <c r="E68" s="22">
        <f t="shared" si="0"/>
        <v>0</v>
      </c>
      <c r="F68" s="21">
        <f t="shared" si="1"/>
        <v>0</v>
      </c>
      <c r="G68" s="21">
        <f>IF($J68="","",SUMIFS('Hours Log'!$E:$E,'Hours Log'!$A:$A,"&gt;="&amp;$J68,'Hours Log'!$A:$A,"&lt;"&amp;$J68+7))</f>
        <v>4</v>
      </c>
      <c r="H68" s="20"/>
      <c r="J68">
        <f>IF(COUNT('Hours Log'!$A$4:$A$5000)=0,"",IF(MIN('Hours Log'!$A$4:$A$5000)+7*(ROW()-10)&gt;MAX('Hours Log'!$A$4:$A$5000),"",MIN('Hours Log'!$A$4:$A$5000)+7*(ROW()-10)))</f>
        <v>46020</v>
      </c>
    </row>
    <row r="69" spans="1:10" x14ac:dyDescent="0.25">
      <c r="A69" s="20" t="e">
        <f ca="1">IF($J69="","",YEAR($J69-WEEKDAY($J69,2)+4)&amp;"-W"&amp;TEXT(_xludf.ISOWEEKNUM($J69),"00"))</f>
        <v>#NAME?</v>
      </c>
      <c r="B69" s="21"/>
      <c r="C69" s="21">
        <f>IF($J69="","",SUMIFS('Hours Log'!$C:$C,'Hours Log'!$A:$A,"&gt;="&amp;$J69,'Hours Log'!$A:$A,"&lt;"&amp;$J69+7)+SUMIFS('Hours Log'!$D:$D,'Hours Log'!$A:$A,"&gt;="&amp;$J69,'Hours Log'!$A:$A,"&lt;"&amp;$J69+7))</f>
        <v>270</v>
      </c>
      <c r="D69" s="21">
        <f>IF($J69="","",SUMIFS('Hours Log'!$D:$D,'Hours Log'!$A:$A,"&gt;="&amp;$J69,'Hours Log'!$A:$A,"&lt;"&amp;$J69+7))</f>
        <v>24</v>
      </c>
      <c r="E69" s="22">
        <f t="shared" si="0"/>
        <v>0</v>
      </c>
      <c r="F69" s="21">
        <f t="shared" si="1"/>
        <v>0</v>
      </c>
      <c r="G69" s="21">
        <f>IF($J69="","",SUMIFS('Hours Log'!$E:$E,'Hours Log'!$A:$A,"&gt;="&amp;$J69,'Hours Log'!$A:$A,"&lt;"&amp;$J69+7))</f>
        <v>5</v>
      </c>
      <c r="H69" s="20"/>
      <c r="J69">
        <f>IF(COUNT('Hours Log'!$A$4:$A$5000)=0,"",IF(MIN('Hours Log'!$A$4:$A$5000)+7*(ROW()-10)&gt;MAX('Hours Log'!$A$4:$A$5000),"",MIN('Hours Log'!$A$4:$A$5000)+7*(ROW()-10)))</f>
        <v>46027</v>
      </c>
    </row>
    <row r="70" spans="1:10" x14ac:dyDescent="0.25">
      <c r="A70" s="20" t="e">
        <f ca="1">IF($J70="","",YEAR($J70-WEEKDAY($J70,2)+4)&amp;"-W"&amp;TEXT(_xludf.ISOWEEKNUM($J70),"00"))</f>
        <v>#NAME?</v>
      </c>
      <c r="B70" s="21"/>
      <c r="C70" s="21">
        <f>IF($J70="","",SUMIFS('Hours Log'!$C:$C,'Hours Log'!$A:$A,"&gt;="&amp;$J70,'Hours Log'!$A:$A,"&lt;"&amp;$J70+7)+SUMIFS('Hours Log'!$D:$D,'Hours Log'!$A:$A,"&gt;="&amp;$J70,'Hours Log'!$A:$A,"&lt;"&amp;$J70+7))</f>
        <v>261</v>
      </c>
      <c r="D70" s="21">
        <f>IF($J70="","",SUMIFS('Hours Log'!$D:$D,'Hours Log'!$A:$A,"&gt;="&amp;$J70,'Hours Log'!$A:$A,"&lt;"&amp;$J70+7))</f>
        <v>18</v>
      </c>
      <c r="E70" s="22">
        <f t="shared" si="0"/>
        <v>0</v>
      </c>
      <c r="F70" s="21">
        <f t="shared" si="1"/>
        <v>0</v>
      </c>
      <c r="G70" s="21">
        <f>IF($J70="","",SUMIFS('Hours Log'!$E:$E,'Hours Log'!$A:$A,"&gt;="&amp;$J70,'Hours Log'!$A:$A,"&lt;"&amp;$J70+7))</f>
        <v>5</v>
      </c>
      <c r="H70" s="20"/>
      <c r="J70">
        <f>IF(COUNT('Hours Log'!$A$4:$A$5000)=0,"",IF(MIN('Hours Log'!$A$4:$A$5000)+7*(ROW()-10)&gt;MAX('Hours Log'!$A$4:$A$5000),"",MIN('Hours Log'!$A$4:$A$5000)+7*(ROW()-10)))</f>
        <v>46034</v>
      </c>
    </row>
    <row r="71" spans="1:10" x14ac:dyDescent="0.25">
      <c r="A71" s="20" t="e">
        <f ca="1">IF($J71="","",YEAR($J71-WEEKDAY($J71,2)+4)&amp;"-W"&amp;TEXT(_xludf.ISOWEEKNUM($J71),"00"))</f>
        <v>#NAME?</v>
      </c>
      <c r="B71" s="21"/>
      <c r="C71" s="21">
        <f>IF($J71="","",SUMIFS('Hours Log'!$C:$C,'Hours Log'!$A:$A,"&gt;="&amp;$J71,'Hours Log'!$A:$A,"&lt;"&amp;$J71+7)+SUMIFS('Hours Log'!$D:$D,'Hours Log'!$A:$A,"&gt;="&amp;$J71,'Hours Log'!$A:$A,"&lt;"&amp;$J71+7))</f>
        <v>273</v>
      </c>
      <c r="D71" s="21">
        <f>IF($J71="","",SUMIFS('Hours Log'!$D:$D,'Hours Log'!$A:$A,"&gt;="&amp;$J71,'Hours Log'!$A:$A,"&lt;"&amp;$J71+7))</f>
        <v>26</v>
      </c>
      <c r="E71" s="22">
        <f t="shared" si="0"/>
        <v>0</v>
      </c>
      <c r="F71" s="21">
        <f t="shared" si="1"/>
        <v>0</v>
      </c>
      <c r="G71" s="21">
        <f>IF($J71="","",SUMIFS('Hours Log'!$E:$E,'Hours Log'!$A:$A,"&gt;="&amp;$J71,'Hours Log'!$A:$A,"&lt;"&amp;$J71+7))</f>
        <v>4</v>
      </c>
      <c r="H71" s="20"/>
      <c r="J71">
        <f>IF(COUNT('Hours Log'!$A$4:$A$5000)=0,"",IF(MIN('Hours Log'!$A$4:$A$5000)+7*(ROW()-10)&gt;MAX('Hours Log'!$A$4:$A$5000),"",MIN('Hours Log'!$A$4:$A$5000)+7*(ROW()-10)))</f>
        <v>46041</v>
      </c>
    </row>
    <row r="72" spans="1:10" x14ac:dyDescent="0.25">
      <c r="A72" s="20" t="e">
        <f ca="1">IF($J72="","",YEAR($J72-WEEKDAY($J72,2)+4)&amp;"-W"&amp;TEXT(_xludf.ISOWEEKNUM($J72),"00"))</f>
        <v>#NAME?</v>
      </c>
      <c r="B72" s="21"/>
      <c r="C72" s="21">
        <f>IF($J72="","",SUMIFS('Hours Log'!$C:$C,'Hours Log'!$A:$A,"&gt;="&amp;$J72,'Hours Log'!$A:$A,"&lt;"&amp;$J72+7)+SUMIFS('Hours Log'!$D:$D,'Hours Log'!$A:$A,"&gt;="&amp;$J72,'Hours Log'!$A:$A,"&lt;"&amp;$J72+7))</f>
        <v>290</v>
      </c>
      <c r="D72" s="21">
        <f>IF($J72="","",SUMIFS('Hours Log'!$D:$D,'Hours Log'!$A:$A,"&gt;="&amp;$J72,'Hours Log'!$A:$A,"&lt;"&amp;$J72+7))</f>
        <v>27</v>
      </c>
      <c r="E72" s="22">
        <f t="shared" si="0"/>
        <v>0</v>
      </c>
      <c r="F72" s="21">
        <f t="shared" si="1"/>
        <v>0</v>
      </c>
      <c r="G72" s="21">
        <f>IF($J72="","",SUMIFS('Hours Log'!$E:$E,'Hours Log'!$A:$A,"&gt;="&amp;$J72,'Hours Log'!$A:$A,"&lt;"&amp;$J72+7))</f>
        <v>4</v>
      </c>
      <c r="H72" s="20"/>
      <c r="J72">
        <f>IF(COUNT('Hours Log'!$A$4:$A$5000)=0,"",IF(MIN('Hours Log'!$A$4:$A$5000)+7*(ROW()-10)&gt;MAX('Hours Log'!$A$4:$A$5000),"",MIN('Hours Log'!$A$4:$A$5000)+7*(ROW()-10)))</f>
        <v>46048</v>
      </c>
    </row>
    <row r="73" spans="1:10" x14ac:dyDescent="0.25">
      <c r="A73" s="20" t="e">
        <f ca="1">IF($J73="","",YEAR($J73-WEEKDAY($J73,2)+4)&amp;"-W"&amp;TEXT(_xludf.ISOWEEKNUM($J73),"00"))</f>
        <v>#NAME?</v>
      </c>
      <c r="B73" s="21"/>
      <c r="C73" s="21">
        <f>IF($J73="","",SUMIFS('Hours Log'!$C:$C,'Hours Log'!$A:$A,"&gt;="&amp;$J73,'Hours Log'!$A:$A,"&lt;"&amp;$J73+7)+SUMIFS('Hours Log'!$D:$D,'Hours Log'!$A:$A,"&gt;="&amp;$J73,'Hours Log'!$A:$A,"&lt;"&amp;$J73+7))</f>
        <v>277</v>
      </c>
      <c r="D73" s="21">
        <f>IF($J73="","",SUMIFS('Hours Log'!$D:$D,'Hours Log'!$A:$A,"&gt;="&amp;$J73,'Hours Log'!$A:$A,"&lt;"&amp;$J73+7))</f>
        <v>27</v>
      </c>
      <c r="E73" s="22">
        <f t="shared" si="0"/>
        <v>0</v>
      </c>
      <c r="F73" s="21">
        <f t="shared" si="1"/>
        <v>0</v>
      </c>
      <c r="G73" s="21">
        <f>IF($J73="","",SUMIFS('Hours Log'!$E:$E,'Hours Log'!$A:$A,"&gt;="&amp;$J73,'Hours Log'!$A:$A,"&lt;"&amp;$J73+7))</f>
        <v>3</v>
      </c>
      <c r="H73" s="20"/>
      <c r="J73">
        <f>IF(COUNT('Hours Log'!$A$4:$A$5000)=0,"",IF(MIN('Hours Log'!$A$4:$A$5000)+7*(ROW()-10)&gt;MAX('Hours Log'!$A$4:$A$5000),"",MIN('Hours Log'!$A$4:$A$5000)+7*(ROW()-10)))</f>
        <v>46055</v>
      </c>
    </row>
    <row r="74" spans="1:10" x14ac:dyDescent="0.25">
      <c r="A74" s="20" t="e">
        <f ca="1">IF($J74="","",YEAR($J74-WEEKDAY($J74,2)+4)&amp;"-W"&amp;TEXT(_xludf.ISOWEEKNUM($J74),"00"))</f>
        <v>#NAME?</v>
      </c>
      <c r="B74" s="21"/>
      <c r="C74" s="21">
        <f>IF($J74="","",SUMIFS('Hours Log'!$C:$C,'Hours Log'!$A:$A,"&gt;="&amp;$J74,'Hours Log'!$A:$A,"&lt;"&amp;$J74+7)+SUMIFS('Hours Log'!$D:$D,'Hours Log'!$A:$A,"&gt;="&amp;$J74,'Hours Log'!$A:$A,"&lt;"&amp;$J74+7))</f>
        <v>293</v>
      </c>
      <c r="D74" s="21">
        <f>IF($J74="","",SUMIFS('Hours Log'!$D:$D,'Hours Log'!$A:$A,"&gt;="&amp;$J74,'Hours Log'!$A:$A,"&lt;"&amp;$J74+7))</f>
        <v>21</v>
      </c>
      <c r="E74" s="22">
        <f t="shared" ref="E74:E137" si="2">IF($J74="","",IFERROR(C74/(B74*40),0))</f>
        <v>0</v>
      </c>
      <c r="F74" s="21">
        <f t="shared" ref="F74:F137" si="3">IF($J74="","",0)</f>
        <v>0</v>
      </c>
      <c r="G74" s="21">
        <f>IF($J74="","",SUMIFS('Hours Log'!$E:$E,'Hours Log'!$A:$A,"&gt;="&amp;$J74,'Hours Log'!$A:$A,"&lt;"&amp;$J74+7))</f>
        <v>3</v>
      </c>
      <c r="H74" s="20" t="s">
        <v>39</v>
      </c>
      <c r="J74">
        <f>IF(COUNT('Hours Log'!$A$4:$A$5000)=0,"",IF(MIN('Hours Log'!$A$4:$A$5000)+7*(ROW()-10)&gt;MAX('Hours Log'!$A$4:$A$5000),"",MIN('Hours Log'!$A$4:$A$5000)+7*(ROW()-10)))</f>
        <v>46062</v>
      </c>
    </row>
    <row r="75" spans="1:10" x14ac:dyDescent="0.25">
      <c r="A75" s="20" t="e">
        <f ca="1">IF($J75="","",YEAR($J75-WEEKDAY($J75,2)+4)&amp;"-W"&amp;TEXT(_xludf.ISOWEEKNUM($J75),"00"))</f>
        <v>#NAME?</v>
      </c>
      <c r="B75" s="21"/>
      <c r="C75" s="21">
        <f>IF($J75="","",SUMIFS('Hours Log'!$C:$C,'Hours Log'!$A:$A,"&gt;="&amp;$J75,'Hours Log'!$A:$A,"&lt;"&amp;$J75+7)+SUMIFS('Hours Log'!$D:$D,'Hours Log'!$A:$A,"&gt;="&amp;$J75,'Hours Log'!$A:$A,"&lt;"&amp;$J75+7))</f>
        <v>265</v>
      </c>
      <c r="D75" s="21">
        <f>IF($J75="","",SUMIFS('Hours Log'!$D:$D,'Hours Log'!$A:$A,"&gt;="&amp;$J75,'Hours Log'!$A:$A,"&lt;"&amp;$J75+7))</f>
        <v>19</v>
      </c>
      <c r="E75" s="22">
        <f t="shared" si="2"/>
        <v>0</v>
      </c>
      <c r="F75" s="21">
        <f t="shared" si="3"/>
        <v>0</v>
      </c>
      <c r="G75" s="21">
        <f>IF($J75="","",SUMIFS('Hours Log'!$E:$E,'Hours Log'!$A:$A,"&gt;="&amp;$J75,'Hours Log'!$A:$A,"&lt;"&amp;$J75+7))</f>
        <v>2</v>
      </c>
      <c r="H75" s="20"/>
      <c r="J75">
        <f>IF(COUNT('Hours Log'!$A$4:$A$5000)=0,"",IF(MIN('Hours Log'!$A$4:$A$5000)+7*(ROW()-10)&gt;MAX('Hours Log'!$A$4:$A$5000),"",MIN('Hours Log'!$A$4:$A$5000)+7*(ROW()-10)))</f>
        <v>46069</v>
      </c>
    </row>
    <row r="76" spans="1:10" x14ac:dyDescent="0.25">
      <c r="A76" s="20" t="e">
        <f ca="1">IF($J76="","",YEAR($J76-WEEKDAY($J76,2)+4)&amp;"-W"&amp;TEXT(_xludf.ISOWEEKNUM($J76),"00"))</f>
        <v>#NAME?</v>
      </c>
      <c r="B76" s="21"/>
      <c r="C76" s="21">
        <f>IF($J76="","",SUMIFS('Hours Log'!$C:$C,'Hours Log'!$A:$A,"&gt;="&amp;$J76,'Hours Log'!$A:$A,"&lt;"&amp;$J76+7)+SUMIFS('Hours Log'!$D:$D,'Hours Log'!$A:$A,"&gt;="&amp;$J76,'Hours Log'!$A:$A,"&lt;"&amp;$J76+7))</f>
        <v>266</v>
      </c>
      <c r="D76" s="21">
        <f>IF($J76="","",SUMIFS('Hours Log'!$D:$D,'Hours Log'!$A:$A,"&gt;="&amp;$J76,'Hours Log'!$A:$A,"&lt;"&amp;$J76+7))</f>
        <v>20</v>
      </c>
      <c r="E76" s="22">
        <f t="shared" si="2"/>
        <v>0</v>
      </c>
      <c r="F76" s="21">
        <f t="shared" si="3"/>
        <v>0</v>
      </c>
      <c r="G76" s="21">
        <f>IF($J76="","",SUMIFS('Hours Log'!$E:$E,'Hours Log'!$A:$A,"&gt;="&amp;$J76,'Hours Log'!$A:$A,"&lt;"&amp;$J76+7))</f>
        <v>5</v>
      </c>
      <c r="H76" s="20"/>
      <c r="J76">
        <f>IF(COUNT('Hours Log'!$A$4:$A$5000)=0,"",IF(MIN('Hours Log'!$A$4:$A$5000)+7*(ROW()-10)&gt;MAX('Hours Log'!$A$4:$A$5000),"",MIN('Hours Log'!$A$4:$A$5000)+7*(ROW()-10)))</f>
        <v>46076</v>
      </c>
    </row>
    <row r="77" spans="1:10" x14ac:dyDescent="0.25">
      <c r="A77" s="20" t="e">
        <f ca="1">IF($J77="","",YEAR($J77-WEEKDAY($J77,2)+4)&amp;"-W"&amp;TEXT(_xludf.ISOWEEKNUM($J77),"00"))</f>
        <v>#NAME?</v>
      </c>
      <c r="B77" s="21"/>
      <c r="C77" s="21">
        <f>IF($J77="","",SUMIFS('Hours Log'!$C:$C,'Hours Log'!$A:$A,"&gt;="&amp;$J77,'Hours Log'!$A:$A,"&lt;"&amp;$J77+7)+SUMIFS('Hours Log'!$D:$D,'Hours Log'!$A:$A,"&gt;="&amp;$J77,'Hours Log'!$A:$A,"&lt;"&amp;$J77+7))</f>
        <v>282</v>
      </c>
      <c r="D77" s="21">
        <f>IF($J77="","",SUMIFS('Hours Log'!$D:$D,'Hours Log'!$A:$A,"&gt;="&amp;$J77,'Hours Log'!$A:$A,"&lt;"&amp;$J77+7))</f>
        <v>14</v>
      </c>
      <c r="E77" s="22">
        <f t="shared" si="2"/>
        <v>0</v>
      </c>
      <c r="F77" s="21">
        <f t="shared" si="3"/>
        <v>0</v>
      </c>
      <c r="G77" s="21">
        <f>IF($J77="","",SUMIFS('Hours Log'!$E:$E,'Hours Log'!$A:$A,"&gt;="&amp;$J77,'Hours Log'!$A:$A,"&lt;"&amp;$J77+7))</f>
        <v>5</v>
      </c>
      <c r="H77" s="20"/>
      <c r="J77">
        <f>IF(COUNT('Hours Log'!$A$4:$A$5000)=0,"",IF(MIN('Hours Log'!$A$4:$A$5000)+7*(ROW()-10)&gt;MAX('Hours Log'!$A$4:$A$5000),"",MIN('Hours Log'!$A$4:$A$5000)+7*(ROW()-10)))</f>
        <v>46083</v>
      </c>
    </row>
    <row r="78" spans="1:10" x14ac:dyDescent="0.25">
      <c r="A78" s="20" t="e">
        <f ca="1">IF($J78="","",YEAR($J78-WEEKDAY($J78,2)+4)&amp;"-W"&amp;TEXT(_xludf.ISOWEEKNUM($J78),"00"))</f>
        <v>#NAME?</v>
      </c>
      <c r="B78" s="21"/>
      <c r="C78" s="21">
        <f>IF($J78="","",SUMIFS('Hours Log'!$C:$C,'Hours Log'!$A:$A,"&gt;="&amp;$J78,'Hours Log'!$A:$A,"&lt;"&amp;$J78+7)+SUMIFS('Hours Log'!$D:$D,'Hours Log'!$A:$A,"&gt;="&amp;$J78,'Hours Log'!$A:$A,"&lt;"&amp;$J78+7))</f>
        <v>285</v>
      </c>
      <c r="D78" s="21">
        <f>IF($J78="","",SUMIFS('Hours Log'!$D:$D,'Hours Log'!$A:$A,"&gt;="&amp;$J78,'Hours Log'!$A:$A,"&lt;"&amp;$J78+7))</f>
        <v>17</v>
      </c>
      <c r="E78" s="22">
        <f t="shared" si="2"/>
        <v>0</v>
      </c>
      <c r="F78" s="21">
        <f t="shared" si="3"/>
        <v>0</v>
      </c>
      <c r="G78" s="21">
        <f>IF($J78="","",SUMIFS('Hours Log'!$E:$E,'Hours Log'!$A:$A,"&gt;="&amp;$J78,'Hours Log'!$A:$A,"&lt;"&amp;$J78+7))</f>
        <v>10</v>
      </c>
      <c r="H78" s="20"/>
      <c r="J78">
        <f>IF(COUNT('Hours Log'!$A$4:$A$5000)=0,"",IF(MIN('Hours Log'!$A$4:$A$5000)+7*(ROW()-10)&gt;MAX('Hours Log'!$A$4:$A$5000),"",MIN('Hours Log'!$A$4:$A$5000)+7*(ROW()-10)))</f>
        <v>46090</v>
      </c>
    </row>
    <row r="79" spans="1:10" x14ac:dyDescent="0.25">
      <c r="A79" s="20" t="e">
        <f ca="1">IF($J79="","",YEAR($J79-WEEKDAY($J79,2)+4)&amp;"-W"&amp;TEXT(_xludf.ISOWEEKNUM($J79),"00"))</f>
        <v>#NAME?</v>
      </c>
      <c r="B79" s="21"/>
      <c r="C79" s="21">
        <f>IF($J79="","",SUMIFS('Hours Log'!$C:$C,'Hours Log'!$A:$A,"&gt;="&amp;$J79,'Hours Log'!$A:$A,"&lt;"&amp;$J79+7)+SUMIFS('Hours Log'!$D:$D,'Hours Log'!$A:$A,"&gt;="&amp;$J79,'Hours Log'!$A:$A,"&lt;"&amp;$J79+7))</f>
        <v>298</v>
      </c>
      <c r="D79" s="21">
        <f>IF($J79="","",SUMIFS('Hours Log'!$D:$D,'Hours Log'!$A:$A,"&gt;="&amp;$J79,'Hours Log'!$A:$A,"&lt;"&amp;$J79+7))</f>
        <v>23</v>
      </c>
      <c r="E79" s="22">
        <f t="shared" si="2"/>
        <v>0</v>
      </c>
      <c r="F79" s="21">
        <f t="shared" si="3"/>
        <v>0</v>
      </c>
      <c r="G79" s="21">
        <f>IF($J79="","",SUMIFS('Hours Log'!$E:$E,'Hours Log'!$A:$A,"&gt;="&amp;$J79,'Hours Log'!$A:$A,"&lt;"&amp;$J79+7))</f>
        <v>2.9999999999999996</v>
      </c>
      <c r="H79" s="20" t="s">
        <v>41</v>
      </c>
      <c r="J79">
        <f>IF(COUNT('Hours Log'!$A$4:$A$5000)=0,"",IF(MIN('Hours Log'!$A$4:$A$5000)+7*(ROW()-10)&gt;MAX('Hours Log'!$A$4:$A$5000),"",MIN('Hours Log'!$A$4:$A$5000)+7*(ROW()-10)))</f>
        <v>46097</v>
      </c>
    </row>
    <row r="80" spans="1:10" x14ac:dyDescent="0.25">
      <c r="A80" s="20" t="e">
        <f ca="1">IF($J80="","",YEAR($J80-WEEKDAY($J80,2)+4)&amp;"-W"&amp;TEXT(_xludf.ISOWEEKNUM($J80),"00"))</f>
        <v>#NAME?</v>
      </c>
      <c r="B80" s="21"/>
      <c r="C80" s="21">
        <f>IF($J80="","",SUMIFS('Hours Log'!$C:$C,'Hours Log'!$A:$A,"&gt;="&amp;$J80,'Hours Log'!$A:$A,"&lt;"&amp;$J80+7)+SUMIFS('Hours Log'!$D:$D,'Hours Log'!$A:$A,"&gt;="&amp;$J80,'Hours Log'!$A:$A,"&lt;"&amp;$J80+7))</f>
        <v>285</v>
      </c>
      <c r="D80" s="21">
        <f>IF($J80="","",SUMIFS('Hours Log'!$D:$D,'Hours Log'!$A:$A,"&gt;="&amp;$J80,'Hours Log'!$A:$A,"&lt;"&amp;$J80+7))</f>
        <v>16</v>
      </c>
      <c r="E80" s="22">
        <f t="shared" si="2"/>
        <v>0</v>
      </c>
      <c r="F80" s="21">
        <f t="shared" si="3"/>
        <v>0</v>
      </c>
      <c r="G80" s="21">
        <f>IF($J80="","",SUMIFS('Hours Log'!$E:$E,'Hours Log'!$A:$A,"&gt;="&amp;$J80,'Hours Log'!$A:$A,"&lt;"&amp;$J80+7))</f>
        <v>4</v>
      </c>
      <c r="H80" s="20"/>
      <c r="J80">
        <f>IF(COUNT('Hours Log'!$A$4:$A$5000)=0,"",IF(MIN('Hours Log'!$A$4:$A$5000)+7*(ROW()-10)&gt;MAX('Hours Log'!$A$4:$A$5000),"",MIN('Hours Log'!$A$4:$A$5000)+7*(ROW()-10)))</f>
        <v>46104</v>
      </c>
    </row>
    <row r="81" spans="1:10" x14ac:dyDescent="0.25">
      <c r="A81" s="20" t="e">
        <f ca="1">IF($J81="","",YEAR($J81-WEEKDAY($J81,2)+4)&amp;"-W"&amp;TEXT(_xludf.ISOWEEKNUM($J81),"00"))</f>
        <v>#NAME?</v>
      </c>
      <c r="B81" s="21"/>
      <c r="C81" s="21">
        <f>IF($J81="","",SUMIFS('Hours Log'!$C:$C,'Hours Log'!$A:$A,"&gt;="&amp;$J81,'Hours Log'!$A:$A,"&lt;"&amp;$J81+7)+SUMIFS('Hours Log'!$D:$D,'Hours Log'!$A:$A,"&gt;="&amp;$J81,'Hours Log'!$A:$A,"&lt;"&amp;$J81+7))</f>
        <v>287</v>
      </c>
      <c r="D81" s="21">
        <f>IF($J81="","",SUMIFS('Hours Log'!$D:$D,'Hours Log'!$A:$A,"&gt;="&amp;$J81,'Hours Log'!$A:$A,"&lt;"&amp;$J81+7))</f>
        <v>20</v>
      </c>
      <c r="E81" s="22">
        <f t="shared" si="2"/>
        <v>0</v>
      </c>
      <c r="F81" s="21">
        <f t="shared" si="3"/>
        <v>0</v>
      </c>
      <c r="G81" s="21">
        <f>IF($J81="","",SUMIFS('Hours Log'!$E:$E,'Hours Log'!$A:$A,"&gt;="&amp;$J81,'Hours Log'!$A:$A,"&lt;"&amp;$J81+7))</f>
        <v>0</v>
      </c>
      <c r="H81" s="20"/>
      <c r="J81">
        <f>IF(COUNT('Hours Log'!$A$4:$A$5000)=0,"",IF(MIN('Hours Log'!$A$4:$A$5000)+7*(ROW()-10)&gt;MAX('Hours Log'!$A$4:$A$5000),"",MIN('Hours Log'!$A$4:$A$5000)+7*(ROW()-10)))</f>
        <v>46111</v>
      </c>
    </row>
    <row r="82" spans="1:10" x14ac:dyDescent="0.25">
      <c r="A82" s="20" t="e">
        <f ca="1">IF($J82="","",YEAR($J82-WEEKDAY($J82,2)+4)&amp;"-W"&amp;TEXT(_xludf.ISOWEEKNUM($J82),"00"))</f>
        <v>#NAME?</v>
      </c>
      <c r="B82" s="21"/>
      <c r="C82" s="21">
        <f>IF($J82="","",SUMIFS('Hours Log'!$C:$C,'Hours Log'!$A:$A,"&gt;="&amp;$J82,'Hours Log'!$A:$A,"&lt;"&amp;$J82+7)+SUMIFS('Hours Log'!$D:$D,'Hours Log'!$A:$A,"&gt;="&amp;$J82,'Hours Log'!$A:$A,"&lt;"&amp;$J82+7))</f>
        <v>258</v>
      </c>
      <c r="D82" s="21">
        <f>IF($J82="","",SUMIFS('Hours Log'!$D:$D,'Hours Log'!$A:$A,"&gt;="&amp;$J82,'Hours Log'!$A:$A,"&lt;"&amp;$J82+7))</f>
        <v>20</v>
      </c>
      <c r="E82" s="22">
        <f t="shared" si="2"/>
        <v>0</v>
      </c>
      <c r="F82" s="21">
        <f t="shared" si="3"/>
        <v>0</v>
      </c>
      <c r="G82" s="21">
        <f>IF($J82="","",SUMIFS('Hours Log'!$E:$E,'Hours Log'!$A:$A,"&gt;="&amp;$J82,'Hours Log'!$A:$A,"&lt;"&amp;$J82+7))</f>
        <v>10</v>
      </c>
      <c r="H82" s="20"/>
      <c r="J82">
        <f>IF(COUNT('Hours Log'!$A$4:$A$5000)=0,"",IF(MIN('Hours Log'!$A$4:$A$5000)+7*(ROW()-10)&gt;MAX('Hours Log'!$A$4:$A$5000),"",MIN('Hours Log'!$A$4:$A$5000)+7*(ROW()-10)))</f>
        <v>46118</v>
      </c>
    </row>
    <row r="83" spans="1:10" x14ac:dyDescent="0.25">
      <c r="A83" s="20" t="e">
        <f ca="1">IF($J83="","",YEAR($J83-WEEKDAY($J83,2)+4)&amp;"-W"&amp;TEXT(_xludf.ISOWEEKNUM($J83),"00"))</f>
        <v>#NAME?</v>
      </c>
      <c r="B83" s="21"/>
      <c r="C83" s="21">
        <f>IF($J83="","",SUMIFS('Hours Log'!$C:$C,'Hours Log'!$A:$A,"&gt;="&amp;$J83,'Hours Log'!$A:$A,"&lt;"&amp;$J83+7)+SUMIFS('Hours Log'!$D:$D,'Hours Log'!$A:$A,"&gt;="&amp;$J83,'Hours Log'!$A:$A,"&lt;"&amp;$J83+7))</f>
        <v>305</v>
      </c>
      <c r="D83" s="21">
        <f>IF($J83="","",SUMIFS('Hours Log'!$D:$D,'Hours Log'!$A:$A,"&gt;="&amp;$J83,'Hours Log'!$A:$A,"&lt;"&amp;$J83+7))</f>
        <v>20</v>
      </c>
      <c r="E83" s="22">
        <f t="shared" si="2"/>
        <v>0</v>
      </c>
      <c r="F83" s="21">
        <f t="shared" si="3"/>
        <v>0</v>
      </c>
      <c r="G83" s="21">
        <f>IF($J83="","",SUMIFS('Hours Log'!$E:$E,'Hours Log'!$A:$A,"&gt;="&amp;$J83,'Hours Log'!$A:$A,"&lt;"&amp;$J83+7))</f>
        <v>6</v>
      </c>
      <c r="H83" s="20"/>
      <c r="J83">
        <f>IF(COUNT('Hours Log'!$A$4:$A$5000)=0,"",IF(MIN('Hours Log'!$A$4:$A$5000)+7*(ROW()-10)&gt;MAX('Hours Log'!$A$4:$A$5000),"",MIN('Hours Log'!$A$4:$A$5000)+7*(ROW()-10)))</f>
        <v>46125</v>
      </c>
    </row>
    <row r="84" spans="1:10" x14ac:dyDescent="0.25">
      <c r="A84" s="20" t="e">
        <f ca="1">IF($J84="","",YEAR($J84-WEEKDAY($J84,2)+4)&amp;"-W"&amp;TEXT(_xludf.ISOWEEKNUM($J84),"00"))</f>
        <v>#NAME?</v>
      </c>
      <c r="B84" s="21"/>
      <c r="C84" s="21">
        <f>IF($J84="","",SUMIFS('Hours Log'!$C:$C,'Hours Log'!$A:$A,"&gt;="&amp;$J84,'Hours Log'!$A:$A,"&lt;"&amp;$J84+7)+SUMIFS('Hours Log'!$D:$D,'Hours Log'!$A:$A,"&gt;="&amp;$J84,'Hours Log'!$A:$A,"&lt;"&amp;$J84+7))</f>
        <v>286</v>
      </c>
      <c r="D84" s="21">
        <f>IF($J84="","",SUMIFS('Hours Log'!$D:$D,'Hours Log'!$A:$A,"&gt;="&amp;$J84,'Hours Log'!$A:$A,"&lt;"&amp;$J84+7))</f>
        <v>17</v>
      </c>
      <c r="E84" s="22">
        <f t="shared" si="2"/>
        <v>0</v>
      </c>
      <c r="F84" s="21">
        <f t="shared" si="3"/>
        <v>0</v>
      </c>
      <c r="G84" s="21">
        <f>IF($J84="","",SUMIFS('Hours Log'!$E:$E,'Hours Log'!$A:$A,"&gt;="&amp;$J84,'Hours Log'!$A:$A,"&lt;"&amp;$J84+7))</f>
        <v>6</v>
      </c>
      <c r="H84" s="20"/>
      <c r="J84">
        <f>IF(COUNT('Hours Log'!$A$4:$A$5000)=0,"",IF(MIN('Hours Log'!$A$4:$A$5000)+7*(ROW()-10)&gt;MAX('Hours Log'!$A$4:$A$5000),"",MIN('Hours Log'!$A$4:$A$5000)+7*(ROW()-10)))</f>
        <v>46132</v>
      </c>
    </row>
    <row r="85" spans="1:10" x14ac:dyDescent="0.25">
      <c r="A85" s="20" t="e">
        <f ca="1">IF($J85="","",YEAR($J85-WEEKDAY($J85,2)+4)&amp;"-W"&amp;TEXT(_xludf.ISOWEEKNUM($J85),"00"))</f>
        <v>#NAME?</v>
      </c>
      <c r="B85" s="21"/>
      <c r="C85" s="21">
        <f>IF($J85="","",SUMIFS('Hours Log'!$C:$C,'Hours Log'!$A:$A,"&gt;="&amp;$J85,'Hours Log'!$A:$A,"&lt;"&amp;$J85+7)+SUMIFS('Hours Log'!$D:$D,'Hours Log'!$A:$A,"&gt;="&amp;$J85,'Hours Log'!$A:$A,"&lt;"&amp;$J85+7))</f>
        <v>293</v>
      </c>
      <c r="D85" s="21">
        <f>IF($J85="","",SUMIFS('Hours Log'!$D:$D,'Hours Log'!$A:$A,"&gt;="&amp;$J85,'Hours Log'!$A:$A,"&lt;"&amp;$J85+7))</f>
        <v>33</v>
      </c>
      <c r="E85" s="22">
        <f t="shared" si="2"/>
        <v>0</v>
      </c>
      <c r="F85" s="21">
        <f t="shared" si="3"/>
        <v>0</v>
      </c>
      <c r="G85" s="21">
        <f>IF($J85="","",SUMIFS('Hours Log'!$E:$E,'Hours Log'!$A:$A,"&gt;="&amp;$J85,'Hours Log'!$A:$A,"&lt;"&amp;$J85+7))</f>
        <v>3.0000000000000004</v>
      </c>
      <c r="H85" s="20"/>
      <c r="J85">
        <f>IF(COUNT('Hours Log'!$A$4:$A$5000)=0,"",IF(MIN('Hours Log'!$A$4:$A$5000)+7*(ROW()-10)&gt;MAX('Hours Log'!$A$4:$A$5000),"",MIN('Hours Log'!$A$4:$A$5000)+7*(ROW()-10)))</f>
        <v>46139</v>
      </c>
    </row>
    <row r="86" spans="1:10" x14ac:dyDescent="0.25">
      <c r="A86" s="20" t="e">
        <f ca="1">IF($J86="","",YEAR($J86-WEEKDAY($J86,2)+4)&amp;"-W"&amp;TEXT(_xludf.ISOWEEKNUM($J86),"00"))</f>
        <v>#NAME?</v>
      </c>
      <c r="B86" s="21"/>
      <c r="C86" s="21">
        <f>IF($J86="","",SUMIFS('Hours Log'!$C:$C,'Hours Log'!$A:$A,"&gt;="&amp;$J86,'Hours Log'!$A:$A,"&lt;"&amp;$J86+7)+SUMIFS('Hours Log'!$D:$D,'Hours Log'!$A:$A,"&gt;="&amp;$J86,'Hours Log'!$A:$A,"&lt;"&amp;$J86+7))</f>
        <v>282.99999999999994</v>
      </c>
      <c r="D86" s="21">
        <f>IF($J86="","",SUMIFS('Hours Log'!$D:$D,'Hours Log'!$A:$A,"&gt;="&amp;$J86,'Hours Log'!$A:$A,"&lt;"&amp;$J86+7))</f>
        <v>15.000000000000002</v>
      </c>
      <c r="E86" s="22">
        <f t="shared" si="2"/>
        <v>0</v>
      </c>
      <c r="F86" s="21">
        <f t="shared" si="3"/>
        <v>0</v>
      </c>
      <c r="G86" s="21">
        <f>IF($J86="","",SUMIFS('Hours Log'!$E:$E,'Hours Log'!$A:$A,"&gt;="&amp;$J86,'Hours Log'!$A:$A,"&lt;"&amp;$J86+7))</f>
        <v>5</v>
      </c>
      <c r="H86" s="20"/>
      <c r="J86">
        <f>IF(COUNT('Hours Log'!$A$4:$A$5000)=0,"",IF(MIN('Hours Log'!$A$4:$A$5000)+7*(ROW()-10)&gt;MAX('Hours Log'!$A$4:$A$5000),"",MIN('Hours Log'!$A$4:$A$5000)+7*(ROW()-10)))</f>
        <v>46146</v>
      </c>
    </row>
    <row r="87" spans="1:10" x14ac:dyDescent="0.25">
      <c r="A87" s="20" t="e">
        <f ca="1">IF($J87="","",YEAR($J87-WEEKDAY($J87,2)+4)&amp;"-W"&amp;TEXT(_xludf.ISOWEEKNUM($J87),"00"))</f>
        <v>#NAME?</v>
      </c>
      <c r="B87" s="21"/>
      <c r="C87" s="21">
        <f>IF($J87="","",SUMIFS('Hours Log'!$C:$C,'Hours Log'!$A:$A,"&gt;="&amp;$J87,'Hours Log'!$A:$A,"&lt;"&amp;$J87+7)+SUMIFS('Hours Log'!$D:$D,'Hours Log'!$A:$A,"&gt;="&amp;$J87,'Hours Log'!$A:$A,"&lt;"&amp;$J87+7))</f>
        <v>296</v>
      </c>
      <c r="D87" s="21">
        <f>IF($J87="","",SUMIFS('Hours Log'!$D:$D,'Hours Log'!$A:$A,"&gt;="&amp;$J87,'Hours Log'!$A:$A,"&lt;"&amp;$J87+7))</f>
        <v>22</v>
      </c>
      <c r="E87" s="22">
        <f t="shared" si="2"/>
        <v>0</v>
      </c>
      <c r="F87" s="21">
        <f t="shared" si="3"/>
        <v>0</v>
      </c>
      <c r="G87" s="21">
        <f>IF($J87="","",SUMIFS('Hours Log'!$E:$E,'Hours Log'!$A:$A,"&gt;="&amp;$J87,'Hours Log'!$A:$A,"&lt;"&amp;$J87+7))</f>
        <v>4</v>
      </c>
      <c r="H87" s="20" t="s">
        <v>39</v>
      </c>
      <c r="J87">
        <f>IF(COUNT('Hours Log'!$A$4:$A$5000)=0,"",IF(MIN('Hours Log'!$A$4:$A$5000)+7*(ROW()-10)&gt;MAX('Hours Log'!$A$4:$A$5000),"",MIN('Hours Log'!$A$4:$A$5000)+7*(ROW()-10)))</f>
        <v>46153</v>
      </c>
    </row>
    <row r="88" spans="1:10" x14ac:dyDescent="0.25">
      <c r="A88" s="20" t="e">
        <f ca="1">IF($J88="","",YEAR($J88-WEEKDAY($J88,2)+4)&amp;"-W"&amp;TEXT(_xludf.ISOWEEKNUM($J88),"00"))</f>
        <v>#NAME?</v>
      </c>
      <c r="B88" s="21"/>
      <c r="C88" s="21">
        <f>IF($J88="","",SUMIFS('Hours Log'!$C:$C,'Hours Log'!$A:$A,"&gt;="&amp;$J88,'Hours Log'!$A:$A,"&lt;"&amp;$J88+7)+SUMIFS('Hours Log'!$D:$D,'Hours Log'!$A:$A,"&gt;="&amp;$J88,'Hours Log'!$A:$A,"&lt;"&amp;$J88+7))</f>
        <v>281</v>
      </c>
      <c r="D88" s="21">
        <f>IF($J88="","",SUMIFS('Hours Log'!$D:$D,'Hours Log'!$A:$A,"&gt;="&amp;$J88,'Hours Log'!$A:$A,"&lt;"&amp;$J88+7))</f>
        <v>20</v>
      </c>
      <c r="E88" s="22">
        <f t="shared" si="2"/>
        <v>0</v>
      </c>
      <c r="F88" s="21">
        <f t="shared" si="3"/>
        <v>0</v>
      </c>
      <c r="G88" s="21">
        <f>IF($J88="","",SUMIFS('Hours Log'!$E:$E,'Hours Log'!$A:$A,"&gt;="&amp;$J88,'Hours Log'!$A:$A,"&lt;"&amp;$J88+7))</f>
        <v>3</v>
      </c>
      <c r="H88" s="20"/>
      <c r="J88">
        <f>IF(COUNT('Hours Log'!$A$4:$A$5000)=0,"",IF(MIN('Hours Log'!$A$4:$A$5000)+7*(ROW()-10)&gt;MAX('Hours Log'!$A$4:$A$5000),"",MIN('Hours Log'!$A$4:$A$5000)+7*(ROW()-10)))</f>
        <v>46160</v>
      </c>
    </row>
    <row r="89" spans="1:10" x14ac:dyDescent="0.25">
      <c r="A89" s="20" t="e">
        <f ca="1">IF($J89="","",YEAR($J89-WEEKDAY($J89,2)+4)&amp;"-W"&amp;TEXT(_xludf.ISOWEEKNUM($J89),"00"))</f>
        <v>#NAME?</v>
      </c>
      <c r="B89" s="21"/>
      <c r="C89" s="21">
        <f>IF($J89="","",SUMIFS('Hours Log'!$C:$C,'Hours Log'!$A:$A,"&gt;="&amp;$J89,'Hours Log'!$A:$A,"&lt;"&amp;$J89+7)+SUMIFS('Hours Log'!$D:$D,'Hours Log'!$A:$A,"&gt;="&amp;$J89,'Hours Log'!$A:$A,"&lt;"&amp;$J89+7))</f>
        <v>260</v>
      </c>
      <c r="D89" s="21">
        <f>IF($J89="","",SUMIFS('Hours Log'!$D:$D,'Hours Log'!$A:$A,"&gt;="&amp;$J89,'Hours Log'!$A:$A,"&lt;"&amp;$J89+7))</f>
        <v>17</v>
      </c>
      <c r="E89" s="22">
        <f t="shared" si="2"/>
        <v>0</v>
      </c>
      <c r="F89" s="21">
        <f t="shared" si="3"/>
        <v>0</v>
      </c>
      <c r="G89" s="21">
        <f>IF($J89="","",SUMIFS('Hours Log'!$E:$E,'Hours Log'!$A:$A,"&gt;="&amp;$J89,'Hours Log'!$A:$A,"&lt;"&amp;$J89+7))</f>
        <v>5</v>
      </c>
      <c r="H89" s="20"/>
      <c r="J89">
        <f>IF(COUNT('Hours Log'!$A$4:$A$5000)=0,"",IF(MIN('Hours Log'!$A$4:$A$5000)+7*(ROW()-10)&gt;MAX('Hours Log'!$A$4:$A$5000),"",MIN('Hours Log'!$A$4:$A$5000)+7*(ROW()-10)))</f>
        <v>46167</v>
      </c>
    </row>
    <row r="90" spans="1:10" x14ac:dyDescent="0.25">
      <c r="A90" s="20" t="e">
        <f ca="1">IF($J90="","",YEAR($J90-WEEKDAY($J90,2)+4)&amp;"-W"&amp;TEXT(_xludf.ISOWEEKNUM($J90),"00"))</f>
        <v>#NAME?</v>
      </c>
      <c r="B90" s="21"/>
      <c r="C90" s="21">
        <f>IF($J90="","",SUMIFS('Hours Log'!$C:$C,'Hours Log'!$A:$A,"&gt;="&amp;$J90,'Hours Log'!$A:$A,"&lt;"&amp;$J90+7)+SUMIFS('Hours Log'!$D:$D,'Hours Log'!$A:$A,"&gt;="&amp;$J90,'Hours Log'!$A:$A,"&lt;"&amp;$J90+7))</f>
        <v>262</v>
      </c>
      <c r="D90" s="21">
        <f>IF($J90="","",SUMIFS('Hours Log'!$D:$D,'Hours Log'!$A:$A,"&gt;="&amp;$J90,'Hours Log'!$A:$A,"&lt;"&amp;$J90+7))</f>
        <v>13</v>
      </c>
      <c r="E90" s="22">
        <f t="shared" si="2"/>
        <v>0</v>
      </c>
      <c r="F90" s="21">
        <f t="shared" si="3"/>
        <v>0</v>
      </c>
      <c r="G90" s="21">
        <f>IF($J90="","",SUMIFS('Hours Log'!$E:$E,'Hours Log'!$A:$A,"&gt;="&amp;$J90,'Hours Log'!$A:$A,"&lt;"&amp;$J90+7))</f>
        <v>6.9999999999999991</v>
      </c>
      <c r="H90" s="20"/>
      <c r="J90">
        <f>IF(COUNT('Hours Log'!$A$4:$A$5000)=0,"",IF(MIN('Hours Log'!$A$4:$A$5000)+7*(ROW()-10)&gt;MAX('Hours Log'!$A$4:$A$5000),"",MIN('Hours Log'!$A$4:$A$5000)+7*(ROW()-10)))</f>
        <v>46174</v>
      </c>
    </row>
    <row r="91" spans="1:10" x14ac:dyDescent="0.25">
      <c r="A91" s="20" t="e">
        <f ca="1">IF($J91="","",YEAR($J91-WEEKDAY($J91,2)+4)&amp;"-W"&amp;TEXT(_xludf.ISOWEEKNUM($J91),"00"))</f>
        <v>#NAME?</v>
      </c>
      <c r="B91" s="21"/>
      <c r="C91" s="21">
        <f>IF($J91="","",SUMIFS('Hours Log'!$C:$C,'Hours Log'!$A:$A,"&gt;="&amp;$J91,'Hours Log'!$A:$A,"&lt;"&amp;$J91+7)+SUMIFS('Hours Log'!$D:$D,'Hours Log'!$A:$A,"&gt;="&amp;$J91,'Hours Log'!$A:$A,"&lt;"&amp;$J91+7))</f>
        <v>266</v>
      </c>
      <c r="D91" s="21">
        <f>IF($J91="","",SUMIFS('Hours Log'!$D:$D,'Hours Log'!$A:$A,"&gt;="&amp;$J91,'Hours Log'!$A:$A,"&lt;"&amp;$J91+7))</f>
        <v>20</v>
      </c>
      <c r="E91" s="22">
        <f t="shared" si="2"/>
        <v>0</v>
      </c>
      <c r="F91" s="21">
        <f t="shared" si="3"/>
        <v>0</v>
      </c>
      <c r="G91" s="21">
        <f>IF($J91="","",SUMIFS('Hours Log'!$E:$E,'Hours Log'!$A:$A,"&gt;="&amp;$J91,'Hours Log'!$A:$A,"&lt;"&amp;$J91+7))</f>
        <v>2</v>
      </c>
      <c r="H91" s="20"/>
      <c r="J91">
        <f>IF(COUNT('Hours Log'!$A$4:$A$5000)=0,"",IF(MIN('Hours Log'!$A$4:$A$5000)+7*(ROW()-10)&gt;MAX('Hours Log'!$A$4:$A$5000),"",MIN('Hours Log'!$A$4:$A$5000)+7*(ROW()-10)))</f>
        <v>46181</v>
      </c>
    </row>
    <row r="92" spans="1:10" x14ac:dyDescent="0.25">
      <c r="A92" s="20" t="e">
        <f ca="1">IF($J92="","",YEAR($J92-WEEKDAY($J92,2)+4)&amp;"-W"&amp;TEXT(_xludf.ISOWEEKNUM($J92),"00"))</f>
        <v>#NAME?</v>
      </c>
      <c r="B92" s="21"/>
      <c r="C92" s="21">
        <f>IF($J92="","",SUMIFS('Hours Log'!$C:$C,'Hours Log'!$A:$A,"&gt;="&amp;$J92,'Hours Log'!$A:$A,"&lt;"&amp;$J92+7)+SUMIFS('Hours Log'!$D:$D,'Hours Log'!$A:$A,"&gt;="&amp;$J92,'Hours Log'!$A:$A,"&lt;"&amp;$J92+7))</f>
        <v>264</v>
      </c>
      <c r="D92" s="21">
        <f>IF($J92="","",SUMIFS('Hours Log'!$D:$D,'Hours Log'!$A:$A,"&gt;="&amp;$J92,'Hours Log'!$A:$A,"&lt;"&amp;$J92+7))</f>
        <v>17</v>
      </c>
      <c r="E92" s="22">
        <f t="shared" si="2"/>
        <v>0</v>
      </c>
      <c r="F92" s="21">
        <f t="shared" si="3"/>
        <v>0</v>
      </c>
      <c r="G92" s="21">
        <f>IF($J92="","",SUMIFS('Hours Log'!$E:$E,'Hours Log'!$A:$A,"&gt;="&amp;$J92,'Hours Log'!$A:$A,"&lt;"&amp;$J92+7))</f>
        <v>2</v>
      </c>
      <c r="H92" s="20"/>
      <c r="J92">
        <f>IF(COUNT('Hours Log'!$A$4:$A$5000)=0,"",IF(MIN('Hours Log'!$A$4:$A$5000)+7*(ROW()-10)&gt;MAX('Hours Log'!$A$4:$A$5000),"",MIN('Hours Log'!$A$4:$A$5000)+7*(ROW()-10)))</f>
        <v>46188</v>
      </c>
    </row>
    <row r="93" spans="1:10" x14ac:dyDescent="0.25">
      <c r="A93" s="20" t="e">
        <f ca="1">IF($J93="","",YEAR($J93-WEEKDAY($J93,2)+4)&amp;"-W"&amp;TEXT(_xludf.ISOWEEKNUM($J93),"00"))</f>
        <v>#NAME?</v>
      </c>
      <c r="B93" s="21"/>
      <c r="C93" s="21">
        <f>IF($J93="","",SUMIFS('Hours Log'!$C:$C,'Hours Log'!$A:$A,"&gt;="&amp;$J93,'Hours Log'!$A:$A,"&lt;"&amp;$J93+7)+SUMIFS('Hours Log'!$D:$D,'Hours Log'!$A:$A,"&gt;="&amp;$J93,'Hours Log'!$A:$A,"&lt;"&amp;$J93+7))</f>
        <v>307.99999999999994</v>
      </c>
      <c r="D93" s="21">
        <f>IF($J93="","",SUMIFS('Hours Log'!$D:$D,'Hours Log'!$A:$A,"&gt;="&amp;$J93,'Hours Log'!$A:$A,"&lt;"&amp;$J93+7))</f>
        <v>20</v>
      </c>
      <c r="E93" s="22">
        <f t="shared" si="2"/>
        <v>0</v>
      </c>
      <c r="F93" s="21">
        <f t="shared" si="3"/>
        <v>0</v>
      </c>
      <c r="G93" s="21">
        <f>IF($J93="","",SUMIFS('Hours Log'!$E:$E,'Hours Log'!$A:$A,"&gt;="&amp;$J93,'Hours Log'!$A:$A,"&lt;"&amp;$J93+7))</f>
        <v>2</v>
      </c>
      <c r="H93" s="20"/>
      <c r="J93">
        <f>IF(COUNT('Hours Log'!$A$4:$A$5000)=0,"",IF(MIN('Hours Log'!$A$4:$A$5000)+7*(ROW()-10)&gt;MAX('Hours Log'!$A$4:$A$5000),"",MIN('Hours Log'!$A$4:$A$5000)+7*(ROW()-10)))</f>
        <v>46195</v>
      </c>
    </row>
    <row r="94" spans="1:10" x14ac:dyDescent="0.25">
      <c r="A94" s="20" t="e">
        <f ca="1">IF($J94="","",YEAR($J94-WEEKDAY($J94,2)+4)&amp;"-W"&amp;TEXT(_xludf.ISOWEEKNUM($J94),"00"))</f>
        <v>#NAME?</v>
      </c>
      <c r="B94" s="21"/>
      <c r="C94" s="21">
        <f>IF($J94="","",SUMIFS('Hours Log'!$C:$C,'Hours Log'!$A:$A,"&gt;="&amp;$J94,'Hours Log'!$A:$A,"&lt;"&amp;$J94+7)+SUMIFS('Hours Log'!$D:$D,'Hours Log'!$A:$A,"&gt;="&amp;$J94,'Hours Log'!$A:$A,"&lt;"&amp;$J94+7))</f>
        <v>293</v>
      </c>
      <c r="D94" s="21">
        <f>IF($J94="","",SUMIFS('Hours Log'!$D:$D,'Hours Log'!$A:$A,"&gt;="&amp;$J94,'Hours Log'!$A:$A,"&lt;"&amp;$J94+7))</f>
        <v>14.999999999999998</v>
      </c>
      <c r="E94" s="22">
        <f t="shared" si="2"/>
        <v>0</v>
      </c>
      <c r="F94" s="21">
        <f t="shared" si="3"/>
        <v>0</v>
      </c>
      <c r="G94" s="21">
        <f>IF($J94="","",SUMIFS('Hours Log'!$E:$E,'Hours Log'!$A:$A,"&gt;="&amp;$J94,'Hours Log'!$A:$A,"&lt;"&amp;$J94+7))</f>
        <v>10</v>
      </c>
      <c r="H94" s="20"/>
      <c r="J94">
        <f>IF(COUNT('Hours Log'!$A$4:$A$5000)=0,"",IF(MIN('Hours Log'!$A$4:$A$5000)+7*(ROW()-10)&gt;MAX('Hours Log'!$A$4:$A$5000),"",MIN('Hours Log'!$A$4:$A$5000)+7*(ROW()-10)))</f>
        <v>46202</v>
      </c>
    </row>
    <row r="95" spans="1:10" x14ac:dyDescent="0.25">
      <c r="A95" t="str">
        <f>IF($J95="","",YEAR($J95-WEEKDAY($J95,2)+4)&amp;"-W"&amp;TEXT(_xludf.ISOWEEKNUM($J95),"00"))</f>
        <v/>
      </c>
      <c r="B95"/>
      <c r="C95" t="str">
        <f>IF($J95="","",SUMIFS('Hours Log'!$C:$C,'Hours Log'!$A:$A,"&gt;="&amp;$J95,'Hours Log'!$A:$A,"&lt;"&amp;$J95+7)+SUMIFS('Hours Log'!$D:$D,'Hours Log'!$A:$A,"&gt;="&amp;$J95,'Hours Log'!$A:$A,"&lt;"&amp;$J95+7))</f>
        <v/>
      </c>
      <c r="D95" t="str">
        <f>IF($J95="","",SUMIFS('Hours Log'!$D:$D,'Hours Log'!$A:$A,"&gt;="&amp;$J95,'Hours Log'!$A:$A,"&lt;"&amp;$J95+7))</f>
        <v/>
      </c>
      <c r="E95" t="str">
        <f t="shared" si="2"/>
        <v/>
      </c>
      <c r="F95" t="str">
        <f t="shared" si="3"/>
        <v/>
      </c>
      <c r="G95" t="str">
        <f>IF($J95="","",SUMIFS('Hours Log'!$E:$E,'Hours Log'!$A:$A,"&gt;="&amp;$J95,'Hours Log'!$A:$A,"&lt;"&amp;$J95+7))</f>
        <v/>
      </c>
      <c r="J95" t="str">
        <f>IF(COUNT('Hours Log'!$A$4:$A$5000)=0,"",IF(MIN('Hours Log'!$A$4:$A$5000)+7*(ROW()-10)&gt;MAX('Hours Log'!$A$4:$A$5000),"",MIN('Hours Log'!$A$4:$A$5000)+7*(ROW()-10)))</f>
        <v/>
      </c>
    </row>
    <row r="96" spans="1:10" x14ac:dyDescent="0.25">
      <c r="A96" t="str">
        <f>IF($J96="","",YEAR($J96-WEEKDAY($J96,2)+4)&amp;"-W"&amp;TEXT(_xludf.ISOWEEKNUM($J96),"00"))</f>
        <v/>
      </c>
      <c r="B96"/>
      <c r="C96" t="str">
        <f>IF($J96="","",SUMIFS('Hours Log'!$C:$C,'Hours Log'!$A:$A,"&gt;="&amp;$J96,'Hours Log'!$A:$A,"&lt;"&amp;$J96+7)+SUMIFS('Hours Log'!$D:$D,'Hours Log'!$A:$A,"&gt;="&amp;$J96,'Hours Log'!$A:$A,"&lt;"&amp;$J96+7))</f>
        <v/>
      </c>
      <c r="D96" t="str">
        <f>IF($J96="","",SUMIFS('Hours Log'!$D:$D,'Hours Log'!$A:$A,"&gt;="&amp;$J96,'Hours Log'!$A:$A,"&lt;"&amp;$J96+7))</f>
        <v/>
      </c>
      <c r="E96" t="str">
        <f t="shared" si="2"/>
        <v/>
      </c>
      <c r="F96" t="str">
        <f t="shared" si="3"/>
        <v/>
      </c>
      <c r="G96" t="str">
        <f>IF($J96="","",SUMIFS('Hours Log'!$E:$E,'Hours Log'!$A:$A,"&gt;="&amp;$J96,'Hours Log'!$A:$A,"&lt;"&amp;$J96+7))</f>
        <v/>
      </c>
      <c r="J96" t="str">
        <f>IF(COUNT('Hours Log'!$A$4:$A$5000)=0,"",IF(MIN('Hours Log'!$A$4:$A$5000)+7*(ROW()-10)&gt;MAX('Hours Log'!$A$4:$A$5000),"",MIN('Hours Log'!$A$4:$A$5000)+7*(ROW()-10)))</f>
        <v/>
      </c>
    </row>
    <row r="97" spans="1:10" x14ac:dyDescent="0.25">
      <c r="A97" t="str">
        <f>IF($J97="","",YEAR($J97-WEEKDAY($J97,2)+4)&amp;"-W"&amp;TEXT(_xludf.ISOWEEKNUM($J97),"00"))</f>
        <v/>
      </c>
      <c r="B97"/>
      <c r="C97" t="str">
        <f>IF($J97="","",SUMIFS('Hours Log'!$C:$C,'Hours Log'!$A:$A,"&gt;="&amp;$J97,'Hours Log'!$A:$A,"&lt;"&amp;$J97+7)+SUMIFS('Hours Log'!$D:$D,'Hours Log'!$A:$A,"&gt;="&amp;$J97,'Hours Log'!$A:$A,"&lt;"&amp;$J97+7))</f>
        <v/>
      </c>
      <c r="D97" t="str">
        <f>IF($J97="","",SUMIFS('Hours Log'!$D:$D,'Hours Log'!$A:$A,"&gt;="&amp;$J97,'Hours Log'!$A:$A,"&lt;"&amp;$J97+7))</f>
        <v/>
      </c>
      <c r="E97" t="str">
        <f t="shared" si="2"/>
        <v/>
      </c>
      <c r="F97" t="str">
        <f t="shared" si="3"/>
        <v/>
      </c>
      <c r="G97" t="str">
        <f>IF($J97="","",SUMIFS('Hours Log'!$E:$E,'Hours Log'!$A:$A,"&gt;="&amp;$J97,'Hours Log'!$A:$A,"&lt;"&amp;$J97+7))</f>
        <v/>
      </c>
      <c r="J97" t="str">
        <f>IF(COUNT('Hours Log'!$A$4:$A$5000)=0,"",IF(MIN('Hours Log'!$A$4:$A$5000)+7*(ROW()-10)&gt;MAX('Hours Log'!$A$4:$A$5000),"",MIN('Hours Log'!$A$4:$A$5000)+7*(ROW()-10)))</f>
        <v/>
      </c>
    </row>
    <row r="98" spans="1:10" x14ac:dyDescent="0.25">
      <c r="A98" t="str">
        <f>IF($J98="","",YEAR($J98-WEEKDAY($J98,2)+4)&amp;"-W"&amp;TEXT(_xludf.ISOWEEKNUM($J98),"00"))</f>
        <v/>
      </c>
      <c r="B98"/>
      <c r="C98" t="str">
        <f>IF($J98="","",SUMIFS('Hours Log'!$C:$C,'Hours Log'!$A:$A,"&gt;="&amp;$J98,'Hours Log'!$A:$A,"&lt;"&amp;$J98+7)+SUMIFS('Hours Log'!$D:$D,'Hours Log'!$A:$A,"&gt;="&amp;$J98,'Hours Log'!$A:$A,"&lt;"&amp;$J98+7))</f>
        <v/>
      </c>
      <c r="D98" t="str">
        <f>IF($J98="","",SUMIFS('Hours Log'!$D:$D,'Hours Log'!$A:$A,"&gt;="&amp;$J98,'Hours Log'!$A:$A,"&lt;"&amp;$J98+7))</f>
        <v/>
      </c>
      <c r="E98" t="str">
        <f t="shared" si="2"/>
        <v/>
      </c>
      <c r="F98" t="str">
        <f t="shared" si="3"/>
        <v/>
      </c>
      <c r="G98" t="str">
        <f>IF($J98="","",SUMIFS('Hours Log'!$E:$E,'Hours Log'!$A:$A,"&gt;="&amp;$J98,'Hours Log'!$A:$A,"&lt;"&amp;$J98+7))</f>
        <v/>
      </c>
      <c r="J98" t="str">
        <f>IF(COUNT('Hours Log'!$A$4:$A$5000)=0,"",IF(MIN('Hours Log'!$A$4:$A$5000)+7*(ROW()-10)&gt;MAX('Hours Log'!$A$4:$A$5000),"",MIN('Hours Log'!$A$4:$A$5000)+7*(ROW()-10)))</f>
        <v/>
      </c>
    </row>
    <row r="99" spans="1:10" x14ac:dyDescent="0.25">
      <c r="A99" t="str">
        <f>IF($J99="","",YEAR($J99-WEEKDAY($J99,2)+4)&amp;"-W"&amp;TEXT(_xludf.ISOWEEKNUM($J99),"00"))</f>
        <v/>
      </c>
      <c r="B99"/>
      <c r="C99" t="str">
        <f>IF($J99="","",SUMIFS('Hours Log'!$C:$C,'Hours Log'!$A:$A,"&gt;="&amp;$J99,'Hours Log'!$A:$A,"&lt;"&amp;$J99+7)+SUMIFS('Hours Log'!$D:$D,'Hours Log'!$A:$A,"&gt;="&amp;$J99,'Hours Log'!$A:$A,"&lt;"&amp;$J99+7))</f>
        <v/>
      </c>
      <c r="D99" t="str">
        <f>IF($J99="","",SUMIFS('Hours Log'!$D:$D,'Hours Log'!$A:$A,"&gt;="&amp;$J99,'Hours Log'!$A:$A,"&lt;"&amp;$J99+7))</f>
        <v/>
      </c>
      <c r="E99" t="str">
        <f t="shared" si="2"/>
        <v/>
      </c>
      <c r="F99" t="str">
        <f t="shared" si="3"/>
        <v/>
      </c>
      <c r="G99" t="str">
        <f>IF($J99="","",SUMIFS('Hours Log'!$E:$E,'Hours Log'!$A:$A,"&gt;="&amp;$J99,'Hours Log'!$A:$A,"&lt;"&amp;$J99+7))</f>
        <v/>
      </c>
      <c r="J99" t="str">
        <f>IF(COUNT('Hours Log'!$A$4:$A$5000)=0,"",IF(MIN('Hours Log'!$A$4:$A$5000)+7*(ROW()-10)&gt;MAX('Hours Log'!$A$4:$A$5000),"",MIN('Hours Log'!$A$4:$A$5000)+7*(ROW()-10)))</f>
        <v/>
      </c>
    </row>
    <row r="100" spans="1:10" x14ac:dyDescent="0.25">
      <c r="A100" t="str">
        <f>IF($J100="","",YEAR($J100-WEEKDAY($J100,2)+4)&amp;"-W"&amp;TEXT(_xludf.ISOWEEKNUM($J100),"00"))</f>
        <v/>
      </c>
      <c r="B100"/>
      <c r="C100" t="str">
        <f>IF($J100="","",SUMIFS('Hours Log'!$C:$C,'Hours Log'!$A:$A,"&gt;="&amp;$J100,'Hours Log'!$A:$A,"&lt;"&amp;$J100+7)+SUMIFS('Hours Log'!$D:$D,'Hours Log'!$A:$A,"&gt;="&amp;$J100,'Hours Log'!$A:$A,"&lt;"&amp;$J100+7))</f>
        <v/>
      </c>
      <c r="D100" t="str">
        <f>IF($J100="","",SUMIFS('Hours Log'!$D:$D,'Hours Log'!$A:$A,"&gt;="&amp;$J100,'Hours Log'!$A:$A,"&lt;"&amp;$J100+7))</f>
        <v/>
      </c>
      <c r="E100" t="str">
        <f t="shared" si="2"/>
        <v/>
      </c>
      <c r="F100" t="str">
        <f t="shared" si="3"/>
        <v/>
      </c>
      <c r="G100" t="str">
        <f>IF($J100="","",SUMIFS('Hours Log'!$E:$E,'Hours Log'!$A:$A,"&gt;="&amp;$J100,'Hours Log'!$A:$A,"&lt;"&amp;$J100+7))</f>
        <v/>
      </c>
      <c r="J100" t="str">
        <f>IF(COUNT('Hours Log'!$A$4:$A$5000)=0,"",IF(MIN('Hours Log'!$A$4:$A$5000)+7*(ROW()-10)&gt;MAX('Hours Log'!$A$4:$A$5000),"",MIN('Hours Log'!$A$4:$A$5000)+7*(ROW()-10)))</f>
        <v/>
      </c>
    </row>
    <row r="101" spans="1:10" x14ac:dyDescent="0.25">
      <c r="A101" t="str">
        <f>IF($J101="","",YEAR($J101-WEEKDAY($J101,2)+4)&amp;"-W"&amp;TEXT(_xludf.ISOWEEKNUM($J101),"00"))</f>
        <v/>
      </c>
      <c r="B101"/>
      <c r="C101" t="str">
        <f>IF($J101="","",SUMIFS('Hours Log'!$C:$C,'Hours Log'!$A:$A,"&gt;="&amp;$J101,'Hours Log'!$A:$A,"&lt;"&amp;$J101+7)+SUMIFS('Hours Log'!$D:$D,'Hours Log'!$A:$A,"&gt;="&amp;$J101,'Hours Log'!$A:$A,"&lt;"&amp;$J101+7))</f>
        <v/>
      </c>
      <c r="D101" t="str">
        <f>IF($J101="","",SUMIFS('Hours Log'!$D:$D,'Hours Log'!$A:$A,"&gt;="&amp;$J101,'Hours Log'!$A:$A,"&lt;"&amp;$J101+7))</f>
        <v/>
      </c>
      <c r="E101" t="str">
        <f t="shared" si="2"/>
        <v/>
      </c>
      <c r="F101" t="str">
        <f t="shared" si="3"/>
        <v/>
      </c>
      <c r="G101" t="str">
        <f>IF($J101="","",SUMIFS('Hours Log'!$E:$E,'Hours Log'!$A:$A,"&gt;="&amp;$J101,'Hours Log'!$A:$A,"&lt;"&amp;$J101+7))</f>
        <v/>
      </c>
      <c r="J101" t="str">
        <f>IF(COUNT('Hours Log'!$A$4:$A$5000)=0,"",IF(MIN('Hours Log'!$A$4:$A$5000)+7*(ROW()-10)&gt;MAX('Hours Log'!$A$4:$A$5000),"",MIN('Hours Log'!$A$4:$A$5000)+7*(ROW()-10)))</f>
        <v/>
      </c>
    </row>
    <row r="102" spans="1:10" x14ac:dyDescent="0.25">
      <c r="A102" t="str">
        <f>IF($J102="","",YEAR($J102-WEEKDAY($J102,2)+4)&amp;"-W"&amp;TEXT(_xludf.ISOWEEKNUM($J102),"00"))</f>
        <v/>
      </c>
      <c r="B102"/>
      <c r="C102" t="str">
        <f>IF($J102="","",SUMIFS('Hours Log'!$C:$C,'Hours Log'!$A:$A,"&gt;="&amp;$J102,'Hours Log'!$A:$A,"&lt;"&amp;$J102+7)+SUMIFS('Hours Log'!$D:$D,'Hours Log'!$A:$A,"&gt;="&amp;$J102,'Hours Log'!$A:$A,"&lt;"&amp;$J102+7))</f>
        <v/>
      </c>
      <c r="D102" t="str">
        <f>IF($J102="","",SUMIFS('Hours Log'!$D:$D,'Hours Log'!$A:$A,"&gt;="&amp;$J102,'Hours Log'!$A:$A,"&lt;"&amp;$J102+7))</f>
        <v/>
      </c>
      <c r="E102" t="str">
        <f t="shared" si="2"/>
        <v/>
      </c>
      <c r="F102" t="str">
        <f t="shared" si="3"/>
        <v/>
      </c>
      <c r="G102" t="str">
        <f>IF($J102="","",SUMIFS('Hours Log'!$E:$E,'Hours Log'!$A:$A,"&gt;="&amp;$J102,'Hours Log'!$A:$A,"&lt;"&amp;$J102+7))</f>
        <v/>
      </c>
      <c r="J102" t="str">
        <f>IF(COUNT('Hours Log'!$A$4:$A$5000)=0,"",IF(MIN('Hours Log'!$A$4:$A$5000)+7*(ROW()-10)&gt;MAX('Hours Log'!$A$4:$A$5000),"",MIN('Hours Log'!$A$4:$A$5000)+7*(ROW()-10)))</f>
        <v/>
      </c>
    </row>
    <row r="103" spans="1:10" x14ac:dyDescent="0.25">
      <c r="A103" t="str">
        <f>IF($J103="","",YEAR($J103-WEEKDAY($J103,2)+4)&amp;"-W"&amp;TEXT(_xludf.ISOWEEKNUM($J103),"00"))</f>
        <v/>
      </c>
      <c r="B103"/>
      <c r="C103" t="str">
        <f>IF($J103="","",SUMIFS('Hours Log'!$C:$C,'Hours Log'!$A:$A,"&gt;="&amp;$J103,'Hours Log'!$A:$A,"&lt;"&amp;$J103+7)+SUMIFS('Hours Log'!$D:$D,'Hours Log'!$A:$A,"&gt;="&amp;$J103,'Hours Log'!$A:$A,"&lt;"&amp;$J103+7))</f>
        <v/>
      </c>
      <c r="D103" t="str">
        <f>IF($J103="","",SUMIFS('Hours Log'!$D:$D,'Hours Log'!$A:$A,"&gt;="&amp;$J103,'Hours Log'!$A:$A,"&lt;"&amp;$J103+7))</f>
        <v/>
      </c>
      <c r="E103" t="str">
        <f t="shared" si="2"/>
        <v/>
      </c>
      <c r="F103" t="str">
        <f t="shared" si="3"/>
        <v/>
      </c>
      <c r="G103" t="str">
        <f>IF($J103="","",SUMIFS('Hours Log'!$E:$E,'Hours Log'!$A:$A,"&gt;="&amp;$J103,'Hours Log'!$A:$A,"&lt;"&amp;$J103+7))</f>
        <v/>
      </c>
      <c r="J103" t="str">
        <f>IF(COUNT('Hours Log'!$A$4:$A$5000)=0,"",IF(MIN('Hours Log'!$A$4:$A$5000)+7*(ROW()-10)&gt;MAX('Hours Log'!$A$4:$A$5000),"",MIN('Hours Log'!$A$4:$A$5000)+7*(ROW()-10)))</f>
        <v/>
      </c>
    </row>
    <row r="104" spans="1:10" x14ac:dyDescent="0.25">
      <c r="A104" t="str">
        <f>IF($J104="","",YEAR($J104-WEEKDAY($J104,2)+4)&amp;"-W"&amp;TEXT(_xludf.ISOWEEKNUM($J104),"00"))</f>
        <v/>
      </c>
      <c r="B104"/>
      <c r="C104" t="str">
        <f>IF($J104="","",SUMIFS('Hours Log'!$C:$C,'Hours Log'!$A:$A,"&gt;="&amp;$J104,'Hours Log'!$A:$A,"&lt;"&amp;$J104+7)+SUMIFS('Hours Log'!$D:$D,'Hours Log'!$A:$A,"&gt;="&amp;$J104,'Hours Log'!$A:$A,"&lt;"&amp;$J104+7))</f>
        <v/>
      </c>
      <c r="D104" t="str">
        <f>IF($J104="","",SUMIFS('Hours Log'!$D:$D,'Hours Log'!$A:$A,"&gt;="&amp;$J104,'Hours Log'!$A:$A,"&lt;"&amp;$J104+7))</f>
        <v/>
      </c>
      <c r="E104" t="str">
        <f t="shared" si="2"/>
        <v/>
      </c>
      <c r="F104" t="str">
        <f t="shared" si="3"/>
        <v/>
      </c>
      <c r="G104" t="str">
        <f>IF($J104="","",SUMIFS('Hours Log'!$E:$E,'Hours Log'!$A:$A,"&gt;="&amp;$J104,'Hours Log'!$A:$A,"&lt;"&amp;$J104+7))</f>
        <v/>
      </c>
      <c r="J104" t="str">
        <f>IF(COUNT('Hours Log'!$A$4:$A$5000)=0,"",IF(MIN('Hours Log'!$A$4:$A$5000)+7*(ROW()-10)&gt;MAX('Hours Log'!$A$4:$A$5000),"",MIN('Hours Log'!$A$4:$A$5000)+7*(ROW()-10)))</f>
        <v/>
      </c>
    </row>
    <row r="105" spans="1:10" x14ac:dyDescent="0.25">
      <c r="A105" t="str">
        <f>IF($J105="","",YEAR($J105-WEEKDAY($J105,2)+4)&amp;"-W"&amp;TEXT(_xludf.ISOWEEKNUM($J105),"00"))</f>
        <v/>
      </c>
      <c r="B105"/>
      <c r="C105" t="str">
        <f>IF($J105="","",SUMIFS('Hours Log'!$C:$C,'Hours Log'!$A:$A,"&gt;="&amp;$J105,'Hours Log'!$A:$A,"&lt;"&amp;$J105+7)+SUMIFS('Hours Log'!$D:$D,'Hours Log'!$A:$A,"&gt;="&amp;$J105,'Hours Log'!$A:$A,"&lt;"&amp;$J105+7))</f>
        <v/>
      </c>
      <c r="D105" t="str">
        <f>IF($J105="","",SUMIFS('Hours Log'!$D:$D,'Hours Log'!$A:$A,"&gt;="&amp;$J105,'Hours Log'!$A:$A,"&lt;"&amp;$J105+7))</f>
        <v/>
      </c>
      <c r="E105" t="str">
        <f t="shared" si="2"/>
        <v/>
      </c>
      <c r="F105" t="str">
        <f t="shared" si="3"/>
        <v/>
      </c>
      <c r="G105" t="str">
        <f>IF($J105="","",SUMIFS('Hours Log'!$E:$E,'Hours Log'!$A:$A,"&gt;="&amp;$J105,'Hours Log'!$A:$A,"&lt;"&amp;$J105+7))</f>
        <v/>
      </c>
      <c r="J105" t="str">
        <f>IF(COUNT('Hours Log'!$A$4:$A$5000)=0,"",IF(MIN('Hours Log'!$A$4:$A$5000)+7*(ROW()-10)&gt;MAX('Hours Log'!$A$4:$A$5000),"",MIN('Hours Log'!$A$4:$A$5000)+7*(ROW()-10)))</f>
        <v/>
      </c>
    </row>
    <row r="106" spans="1:10" x14ac:dyDescent="0.25">
      <c r="A106" t="str">
        <f>IF($J106="","",YEAR($J106-WEEKDAY($J106,2)+4)&amp;"-W"&amp;TEXT(_xludf.ISOWEEKNUM($J106),"00"))</f>
        <v/>
      </c>
      <c r="B106"/>
      <c r="C106" t="str">
        <f>IF($J106="","",SUMIFS('Hours Log'!$C:$C,'Hours Log'!$A:$A,"&gt;="&amp;$J106,'Hours Log'!$A:$A,"&lt;"&amp;$J106+7)+SUMIFS('Hours Log'!$D:$D,'Hours Log'!$A:$A,"&gt;="&amp;$J106,'Hours Log'!$A:$A,"&lt;"&amp;$J106+7))</f>
        <v/>
      </c>
      <c r="D106" t="str">
        <f>IF($J106="","",SUMIFS('Hours Log'!$D:$D,'Hours Log'!$A:$A,"&gt;="&amp;$J106,'Hours Log'!$A:$A,"&lt;"&amp;$J106+7))</f>
        <v/>
      </c>
      <c r="E106" t="str">
        <f t="shared" si="2"/>
        <v/>
      </c>
      <c r="F106" t="str">
        <f t="shared" si="3"/>
        <v/>
      </c>
      <c r="G106" t="str">
        <f>IF($J106="","",SUMIFS('Hours Log'!$E:$E,'Hours Log'!$A:$A,"&gt;="&amp;$J106,'Hours Log'!$A:$A,"&lt;"&amp;$J106+7))</f>
        <v/>
      </c>
      <c r="J106" t="str">
        <f>IF(COUNT('Hours Log'!$A$4:$A$5000)=0,"",IF(MIN('Hours Log'!$A$4:$A$5000)+7*(ROW()-10)&gt;MAX('Hours Log'!$A$4:$A$5000),"",MIN('Hours Log'!$A$4:$A$5000)+7*(ROW()-10)))</f>
        <v/>
      </c>
    </row>
    <row r="107" spans="1:10" x14ac:dyDescent="0.25">
      <c r="A107" t="str">
        <f>IF($J107="","",YEAR($J107-WEEKDAY($J107,2)+4)&amp;"-W"&amp;TEXT(_xludf.ISOWEEKNUM($J107),"00"))</f>
        <v/>
      </c>
      <c r="B107"/>
      <c r="C107" t="str">
        <f>IF($J107="","",SUMIFS('Hours Log'!$C:$C,'Hours Log'!$A:$A,"&gt;="&amp;$J107,'Hours Log'!$A:$A,"&lt;"&amp;$J107+7)+SUMIFS('Hours Log'!$D:$D,'Hours Log'!$A:$A,"&gt;="&amp;$J107,'Hours Log'!$A:$A,"&lt;"&amp;$J107+7))</f>
        <v/>
      </c>
      <c r="D107" t="str">
        <f>IF($J107="","",SUMIFS('Hours Log'!$D:$D,'Hours Log'!$A:$A,"&gt;="&amp;$J107,'Hours Log'!$A:$A,"&lt;"&amp;$J107+7))</f>
        <v/>
      </c>
      <c r="E107" t="str">
        <f t="shared" si="2"/>
        <v/>
      </c>
      <c r="F107" t="str">
        <f t="shared" si="3"/>
        <v/>
      </c>
      <c r="G107" t="str">
        <f>IF($J107="","",SUMIFS('Hours Log'!$E:$E,'Hours Log'!$A:$A,"&gt;="&amp;$J107,'Hours Log'!$A:$A,"&lt;"&amp;$J107+7))</f>
        <v/>
      </c>
      <c r="J107" t="str">
        <f>IF(COUNT('Hours Log'!$A$4:$A$5000)=0,"",IF(MIN('Hours Log'!$A$4:$A$5000)+7*(ROW()-10)&gt;MAX('Hours Log'!$A$4:$A$5000),"",MIN('Hours Log'!$A$4:$A$5000)+7*(ROW()-10)))</f>
        <v/>
      </c>
    </row>
    <row r="108" spans="1:10" x14ac:dyDescent="0.25">
      <c r="A108" t="str">
        <f>IF($J108="","",YEAR($J108-WEEKDAY($J108,2)+4)&amp;"-W"&amp;TEXT(_xludf.ISOWEEKNUM($J108),"00"))</f>
        <v/>
      </c>
      <c r="B108"/>
      <c r="C108" t="str">
        <f>IF($J108="","",SUMIFS('Hours Log'!$C:$C,'Hours Log'!$A:$A,"&gt;="&amp;$J108,'Hours Log'!$A:$A,"&lt;"&amp;$J108+7)+SUMIFS('Hours Log'!$D:$D,'Hours Log'!$A:$A,"&gt;="&amp;$J108,'Hours Log'!$A:$A,"&lt;"&amp;$J108+7))</f>
        <v/>
      </c>
      <c r="D108" t="str">
        <f>IF($J108="","",SUMIFS('Hours Log'!$D:$D,'Hours Log'!$A:$A,"&gt;="&amp;$J108,'Hours Log'!$A:$A,"&lt;"&amp;$J108+7))</f>
        <v/>
      </c>
      <c r="E108" t="str">
        <f t="shared" si="2"/>
        <v/>
      </c>
      <c r="F108" t="str">
        <f t="shared" si="3"/>
        <v/>
      </c>
      <c r="G108" t="str">
        <f>IF($J108="","",SUMIFS('Hours Log'!$E:$E,'Hours Log'!$A:$A,"&gt;="&amp;$J108,'Hours Log'!$A:$A,"&lt;"&amp;$J108+7))</f>
        <v/>
      </c>
      <c r="J108" t="str">
        <f>IF(COUNT('Hours Log'!$A$4:$A$5000)=0,"",IF(MIN('Hours Log'!$A$4:$A$5000)+7*(ROW()-10)&gt;MAX('Hours Log'!$A$4:$A$5000),"",MIN('Hours Log'!$A$4:$A$5000)+7*(ROW()-10)))</f>
        <v/>
      </c>
    </row>
    <row r="109" spans="1:10" x14ac:dyDescent="0.25">
      <c r="A109" t="str">
        <f>IF($J109="","",YEAR($J109-WEEKDAY($J109,2)+4)&amp;"-W"&amp;TEXT(_xludf.ISOWEEKNUM($J109),"00"))</f>
        <v/>
      </c>
      <c r="B109"/>
      <c r="C109" t="str">
        <f>IF($J109="","",SUMIFS('Hours Log'!$C:$C,'Hours Log'!$A:$A,"&gt;="&amp;$J109,'Hours Log'!$A:$A,"&lt;"&amp;$J109+7)+SUMIFS('Hours Log'!$D:$D,'Hours Log'!$A:$A,"&gt;="&amp;$J109,'Hours Log'!$A:$A,"&lt;"&amp;$J109+7))</f>
        <v/>
      </c>
      <c r="D109" t="str">
        <f>IF($J109="","",SUMIFS('Hours Log'!$D:$D,'Hours Log'!$A:$A,"&gt;="&amp;$J109,'Hours Log'!$A:$A,"&lt;"&amp;$J109+7))</f>
        <v/>
      </c>
      <c r="E109" t="str">
        <f t="shared" si="2"/>
        <v/>
      </c>
      <c r="F109" t="str">
        <f t="shared" si="3"/>
        <v/>
      </c>
      <c r="G109" t="str">
        <f>IF($J109="","",SUMIFS('Hours Log'!$E:$E,'Hours Log'!$A:$A,"&gt;="&amp;$J109,'Hours Log'!$A:$A,"&lt;"&amp;$J109+7))</f>
        <v/>
      </c>
      <c r="J109" t="str">
        <f>IF(COUNT('Hours Log'!$A$4:$A$5000)=0,"",IF(MIN('Hours Log'!$A$4:$A$5000)+7*(ROW()-10)&gt;MAX('Hours Log'!$A$4:$A$5000),"",MIN('Hours Log'!$A$4:$A$5000)+7*(ROW()-10)))</f>
        <v/>
      </c>
    </row>
    <row r="110" spans="1:10" x14ac:dyDescent="0.25">
      <c r="A110" t="str">
        <f>IF($J110="","",YEAR($J110-WEEKDAY($J110,2)+4)&amp;"-W"&amp;TEXT(_xludf.ISOWEEKNUM($J110),"00"))</f>
        <v/>
      </c>
      <c r="B110"/>
      <c r="C110" t="str">
        <f>IF($J110="","",SUMIFS('Hours Log'!$C:$C,'Hours Log'!$A:$A,"&gt;="&amp;$J110,'Hours Log'!$A:$A,"&lt;"&amp;$J110+7)+SUMIFS('Hours Log'!$D:$D,'Hours Log'!$A:$A,"&gt;="&amp;$J110,'Hours Log'!$A:$A,"&lt;"&amp;$J110+7))</f>
        <v/>
      </c>
      <c r="D110" t="str">
        <f>IF($J110="","",SUMIFS('Hours Log'!$D:$D,'Hours Log'!$A:$A,"&gt;="&amp;$J110,'Hours Log'!$A:$A,"&lt;"&amp;$J110+7))</f>
        <v/>
      </c>
      <c r="E110" t="str">
        <f t="shared" si="2"/>
        <v/>
      </c>
      <c r="F110" t="str">
        <f t="shared" si="3"/>
        <v/>
      </c>
      <c r="G110" t="str">
        <f>IF($J110="","",SUMIFS('Hours Log'!$E:$E,'Hours Log'!$A:$A,"&gt;="&amp;$J110,'Hours Log'!$A:$A,"&lt;"&amp;$J110+7))</f>
        <v/>
      </c>
      <c r="J110" t="str">
        <f>IF(COUNT('Hours Log'!$A$4:$A$5000)=0,"",IF(MIN('Hours Log'!$A$4:$A$5000)+7*(ROW()-10)&gt;MAX('Hours Log'!$A$4:$A$5000),"",MIN('Hours Log'!$A$4:$A$5000)+7*(ROW()-10)))</f>
        <v/>
      </c>
    </row>
    <row r="111" spans="1:10" x14ac:dyDescent="0.25">
      <c r="A111" t="str">
        <f>IF($J111="","",YEAR($J111-WEEKDAY($J111,2)+4)&amp;"-W"&amp;TEXT(_xludf.ISOWEEKNUM($J111),"00"))</f>
        <v/>
      </c>
      <c r="B111"/>
      <c r="C111" t="str">
        <f>IF($J111="","",SUMIFS('Hours Log'!$C:$C,'Hours Log'!$A:$A,"&gt;="&amp;$J111,'Hours Log'!$A:$A,"&lt;"&amp;$J111+7)+SUMIFS('Hours Log'!$D:$D,'Hours Log'!$A:$A,"&gt;="&amp;$J111,'Hours Log'!$A:$A,"&lt;"&amp;$J111+7))</f>
        <v/>
      </c>
      <c r="D111" t="str">
        <f>IF($J111="","",SUMIFS('Hours Log'!$D:$D,'Hours Log'!$A:$A,"&gt;="&amp;$J111,'Hours Log'!$A:$A,"&lt;"&amp;$J111+7))</f>
        <v/>
      </c>
      <c r="E111" t="str">
        <f t="shared" si="2"/>
        <v/>
      </c>
      <c r="F111" t="str">
        <f t="shared" si="3"/>
        <v/>
      </c>
      <c r="G111" t="str">
        <f>IF($J111="","",SUMIFS('Hours Log'!$E:$E,'Hours Log'!$A:$A,"&gt;="&amp;$J111,'Hours Log'!$A:$A,"&lt;"&amp;$J111+7))</f>
        <v/>
      </c>
      <c r="J111" t="str">
        <f>IF(COUNT('Hours Log'!$A$4:$A$5000)=0,"",IF(MIN('Hours Log'!$A$4:$A$5000)+7*(ROW()-10)&gt;MAX('Hours Log'!$A$4:$A$5000),"",MIN('Hours Log'!$A$4:$A$5000)+7*(ROW()-10)))</f>
        <v/>
      </c>
    </row>
    <row r="112" spans="1:10" x14ac:dyDescent="0.25">
      <c r="A112" t="str">
        <f>IF($J112="","",YEAR($J112-WEEKDAY($J112,2)+4)&amp;"-W"&amp;TEXT(_xludf.ISOWEEKNUM($J112),"00"))</f>
        <v/>
      </c>
      <c r="B112"/>
      <c r="C112" t="str">
        <f>IF($J112="","",SUMIFS('Hours Log'!$C:$C,'Hours Log'!$A:$A,"&gt;="&amp;$J112,'Hours Log'!$A:$A,"&lt;"&amp;$J112+7)+SUMIFS('Hours Log'!$D:$D,'Hours Log'!$A:$A,"&gt;="&amp;$J112,'Hours Log'!$A:$A,"&lt;"&amp;$J112+7))</f>
        <v/>
      </c>
      <c r="D112" t="str">
        <f>IF($J112="","",SUMIFS('Hours Log'!$D:$D,'Hours Log'!$A:$A,"&gt;="&amp;$J112,'Hours Log'!$A:$A,"&lt;"&amp;$J112+7))</f>
        <v/>
      </c>
      <c r="E112" t="str">
        <f t="shared" si="2"/>
        <v/>
      </c>
      <c r="F112" t="str">
        <f t="shared" si="3"/>
        <v/>
      </c>
      <c r="G112" t="str">
        <f>IF($J112="","",SUMIFS('Hours Log'!$E:$E,'Hours Log'!$A:$A,"&gt;="&amp;$J112,'Hours Log'!$A:$A,"&lt;"&amp;$J112+7))</f>
        <v/>
      </c>
      <c r="J112" t="str">
        <f>IF(COUNT('Hours Log'!$A$4:$A$5000)=0,"",IF(MIN('Hours Log'!$A$4:$A$5000)+7*(ROW()-10)&gt;MAX('Hours Log'!$A$4:$A$5000),"",MIN('Hours Log'!$A$4:$A$5000)+7*(ROW()-10)))</f>
        <v/>
      </c>
    </row>
    <row r="113" spans="1:10" x14ac:dyDescent="0.25">
      <c r="A113" t="str">
        <f>IF($J113="","",YEAR($J113-WEEKDAY($J113,2)+4)&amp;"-W"&amp;TEXT(_xludf.ISOWEEKNUM($J113),"00"))</f>
        <v/>
      </c>
      <c r="B113"/>
      <c r="C113" t="str">
        <f>IF($J113="","",SUMIFS('Hours Log'!$C:$C,'Hours Log'!$A:$A,"&gt;="&amp;$J113,'Hours Log'!$A:$A,"&lt;"&amp;$J113+7)+SUMIFS('Hours Log'!$D:$D,'Hours Log'!$A:$A,"&gt;="&amp;$J113,'Hours Log'!$A:$A,"&lt;"&amp;$J113+7))</f>
        <v/>
      </c>
      <c r="D113" t="str">
        <f>IF($J113="","",SUMIFS('Hours Log'!$D:$D,'Hours Log'!$A:$A,"&gt;="&amp;$J113,'Hours Log'!$A:$A,"&lt;"&amp;$J113+7))</f>
        <v/>
      </c>
      <c r="E113" t="str">
        <f t="shared" si="2"/>
        <v/>
      </c>
      <c r="F113" t="str">
        <f t="shared" si="3"/>
        <v/>
      </c>
      <c r="G113" t="str">
        <f>IF($J113="","",SUMIFS('Hours Log'!$E:$E,'Hours Log'!$A:$A,"&gt;="&amp;$J113,'Hours Log'!$A:$A,"&lt;"&amp;$J113+7))</f>
        <v/>
      </c>
      <c r="J113" t="str">
        <f>IF(COUNT('Hours Log'!$A$4:$A$5000)=0,"",IF(MIN('Hours Log'!$A$4:$A$5000)+7*(ROW()-10)&gt;MAX('Hours Log'!$A$4:$A$5000),"",MIN('Hours Log'!$A$4:$A$5000)+7*(ROW()-10)))</f>
        <v/>
      </c>
    </row>
    <row r="114" spans="1:10" x14ac:dyDescent="0.25">
      <c r="A114" t="str">
        <f>IF($J114="","",YEAR($J114-WEEKDAY($J114,2)+4)&amp;"-W"&amp;TEXT(_xludf.ISOWEEKNUM($J114),"00"))</f>
        <v/>
      </c>
      <c r="B114"/>
      <c r="C114" t="str">
        <f>IF($J114="","",SUMIFS('Hours Log'!$C:$C,'Hours Log'!$A:$A,"&gt;="&amp;$J114,'Hours Log'!$A:$A,"&lt;"&amp;$J114+7)+SUMIFS('Hours Log'!$D:$D,'Hours Log'!$A:$A,"&gt;="&amp;$J114,'Hours Log'!$A:$A,"&lt;"&amp;$J114+7))</f>
        <v/>
      </c>
      <c r="D114" t="str">
        <f>IF($J114="","",SUMIFS('Hours Log'!$D:$D,'Hours Log'!$A:$A,"&gt;="&amp;$J114,'Hours Log'!$A:$A,"&lt;"&amp;$J114+7))</f>
        <v/>
      </c>
      <c r="E114" t="str">
        <f t="shared" si="2"/>
        <v/>
      </c>
      <c r="F114" t="str">
        <f t="shared" si="3"/>
        <v/>
      </c>
      <c r="G114" t="str">
        <f>IF($J114="","",SUMIFS('Hours Log'!$E:$E,'Hours Log'!$A:$A,"&gt;="&amp;$J114,'Hours Log'!$A:$A,"&lt;"&amp;$J114+7))</f>
        <v/>
      </c>
      <c r="J114" t="str">
        <f>IF(COUNT('Hours Log'!$A$4:$A$5000)=0,"",IF(MIN('Hours Log'!$A$4:$A$5000)+7*(ROW()-10)&gt;MAX('Hours Log'!$A$4:$A$5000),"",MIN('Hours Log'!$A$4:$A$5000)+7*(ROW()-10)))</f>
        <v/>
      </c>
    </row>
    <row r="115" spans="1:10" x14ac:dyDescent="0.25">
      <c r="A115" t="str">
        <f>IF($J115="","",YEAR($J115-WEEKDAY($J115,2)+4)&amp;"-W"&amp;TEXT(_xludf.ISOWEEKNUM($J115),"00"))</f>
        <v/>
      </c>
      <c r="B115"/>
      <c r="C115" t="str">
        <f>IF($J115="","",SUMIFS('Hours Log'!$C:$C,'Hours Log'!$A:$A,"&gt;="&amp;$J115,'Hours Log'!$A:$A,"&lt;"&amp;$J115+7)+SUMIFS('Hours Log'!$D:$D,'Hours Log'!$A:$A,"&gt;="&amp;$J115,'Hours Log'!$A:$A,"&lt;"&amp;$J115+7))</f>
        <v/>
      </c>
      <c r="D115" t="str">
        <f>IF($J115="","",SUMIFS('Hours Log'!$D:$D,'Hours Log'!$A:$A,"&gt;="&amp;$J115,'Hours Log'!$A:$A,"&lt;"&amp;$J115+7))</f>
        <v/>
      </c>
      <c r="E115" t="str">
        <f t="shared" si="2"/>
        <v/>
      </c>
      <c r="F115" t="str">
        <f t="shared" si="3"/>
        <v/>
      </c>
      <c r="G115" t="str">
        <f>IF($J115="","",SUMIFS('Hours Log'!$E:$E,'Hours Log'!$A:$A,"&gt;="&amp;$J115,'Hours Log'!$A:$A,"&lt;"&amp;$J115+7))</f>
        <v/>
      </c>
      <c r="J115" t="str">
        <f>IF(COUNT('Hours Log'!$A$4:$A$5000)=0,"",IF(MIN('Hours Log'!$A$4:$A$5000)+7*(ROW()-10)&gt;MAX('Hours Log'!$A$4:$A$5000),"",MIN('Hours Log'!$A$4:$A$5000)+7*(ROW()-10)))</f>
        <v/>
      </c>
    </row>
    <row r="116" spans="1:10" x14ac:dyDescent="0.25">
      <c r="A116" t="str">
        <f>IF($J116="","",YEAR($J116-WEEKDAY($J116,2)+4)&amp;"-W"&amp;TEXT(_xludf.ISOWEEKNUM($J116),"00"))</f>
        <v/>
      </c>
      <c r="B116"/>
      <c r="C116" t="str">
        <f>IF($J116="","",SUMIFS('Hours Log'!$C:$C,'Hours Log'!$A:$A,"&gt;="&amp;$J116,'Hours Log'!$A:$A,"&lt;"&amp;$J116+7)+SUMIFS('Hours Log'!$D:$D,'Hours Log'!$A:$A,"&gt;="&amp;$J116,'Hours Log'!$A:$A,"&lt;"&amp;$J116+7))</f>
        <v/>
      </c>
      <c r="D116" t="str">
        <f>IF($J116="","",SUMIFS('Hours Log'!$D:$D,'Hours Log'!$A:$A,"&gt;="&amp;$J116,'Hours Log'!$A:$A,"&lt;"&amp;$J116+7))</f>
        <v/>
      </c>
      <c r="E116" t="str">
        <f t="shared" si="2"/>
        <v/>
      </c>
      <c r="F116" t="str">
        <f t="shared" si="3"/>
        <v/>
      </c>
      <c r="G116" t="str">
        <f>IF($J116="","",SUMIFS('Hours Log'!$E:$E,'Hours Log'!$A:$A,"&gt;="&amp;$J116,'Hours Log'!$A:$A,"&lt;"&amp;$J116+7))</f>
        <v/>
      </c>
      <c r="J116" t="str">
        <f>IF(COUNT('Hours Log'!$A$4:$A$5000)=0,"",IF(MIN('Hours Log'!$A$4:$A$5000)+7*(ROW()-10)&gt;MAX('Hours Log'!$A$4:$A$5000),"",MIN('Hours Log'!$A$4:$A$5000)+7*(ROW()-10)))</f>
        <v/>
      </c>
    </row>
    <row r="117" spans="1:10" x14ac:dyDescent="0.25">
      <c r="A117" t="str">
        <f>IF($J117="","",YEAR($J117-WEEKDAY($J117,2)+4)&amp;"-W"&amp;TEXT(_xludf.ISOWEEKNUM($J117),"00"))</f>
        <v/>
      </c>
      <c r="B117"/>
      <c r="C117" t="str">
        <f>IF($J117="","",SUMIFS('Hours Log'!$C:$C,'Hours Log'!$A:$A,"&gt;="&amp;$J117,'Hours Log'!$A:$A,"&lt;"&amp;$J117+7)+SUMIFS('Hours Log'!$D:$D,'Hours Log'!$A:$A,"&gt;="&amp;$J117,'Hours Log'!$A:$A,"&lt;"&amp;$J117+7))</f>
        <v/>
      </c>
      <c r="D117" t="str">
        <f>IF($J117="","",SUMIFS('Hours Log'!$D:$D,'Hours Log'!$A:$A,"&gt;="&amp;$J117,'Hours Log'!$A:$A,"&lt;"&amp;$J117+7))</f>
        <v/>
      </c>
      <c r="E117" t="str">
        <f t="shared" si="2"/>
        <v/>
      </c>
      <c r="F117" t="str">
        <f t="shared" si="3"/>
        <v/>
      </c>
      <c r="G117" t="str">
        <f>IF($J117="","",SUMIFS('Hours Log'!$E:$E,'Hours Log'!$A:$A,"&gt;="&amp;$J117,'Hours Log'!$A:$A,"&lt;"&amp;$J117+7))</f>
        <v/>
      </c>
      <c r="J117" t="str">
        <f>IF(COUNT('Hours Log'!$A$4:$A$5000)=0,"",IF(MIN('Hours Log'!$A$4:$A$5000)+7*(ROW()-10)&gt;MAX('Hours Log'!$A$4:$A$5000),"",MIN('Hours Log'!$A$4:$A$5000)+7*(ROW()-10)))</f>
        <v/>
      </c>
    </row>
    <row r="118" spans="1:10" x14ac:dyDescent="0.25">
      <c r="A118" t="str">
        <f>IF($J118="","",YEAR($J118-WEEKDAY($J118,2)+4)&amp;"-W"&amp;TEXT(_xludf.ISOWEEKNUM($J118),"00"))</f>
        <v/>
      </c>
      <c r="B118"/>
      <c r="C118" t="str">
        <f>IF($J118="","",SUMIFS('Hours Log'!$C:$C,'Hours Log'!$A:$A,"&gt;="&amp;$J118,'Hours Log'!$A:$A,"&lt;"&amp;$J118+7)+SUMIFS('Hours Log'!$D:$D,'Hours Log'!$A:$A,"&gt;="&amp;$J118,'Hours Log'!$A:$A,"&lt;"&amp;$J118+7))</f>
        <v/>
      </c>
      <c r="D118" t="str">
        <f>IF($J118="","",SUMIFS('Hours Log'!$D:$D,'Hours Log'!$A:$A,"&gt;="&amp;$J118,'Hours Log'!$A:$A,"&lt;"&amp;$J118+7))</f>
        <v/>
      </c>
      <c r="E118" t="str">
        <f t="shared" si="2"/>
        <v/>
      </c>
      <c r="F118" t="str">
        <f t="shared" si="3"/>
        <v/>
      </c>
      <c r="G118" t="str">
        <f>IF($J118="","",SUMIFS('Hours Log'!$E:$E,'Hours Log'!$A:$A,"&gt;="&amp;$J118,'Hours Log'!$A:$A,"&lt;"&amp;$J118+7))</f>
        <v/>
      </c>
      <c r="J118" t="str">
        <f>IF(COUNT('Hours Log'!$A$4:$A$5000)=0,"",IF(MIN('Hours Log'!$A$4:$A$5000)+7*(ROW()-10)&gt;MAX('Hours Log'!$A$4:$A$5000),"",MIN('Hours Log'!$A$4:$A$5000)+7*(ROW()-10)))</f>
        <v/>
      </c>
    </row>
    <row r="119" spans="1:10" x14ac:dyDescent="0.25">
      <c r="A119" t="str">
        <f>IF($J119="","",YEAR($J119-WEEKDAY($J119,2)+4)&amp;"-W"&amp;TEXT(_xludf.ISOWEEKNUM($J119),"00"))</f>
        <v/>
      </c>
      <c r="B119"/>
      <c r="C119" t="str">
        <f>IF($J119="","",SUMIFS('Hours Log'!$C:$C,'Hours Log'!$A:$A,"&gt;="&amp;$J119,'Hours Log'!$A:$A,"&lt;"&amp;$J119+7)+SUMIFS('Hours Log'!$D:$D,'Hours Log'!$A:$A,"&gt;="&amp;$J119,'Hours Log'!$A:$A,"&lt;"&amp;$J119+7))</f>
        <v/>
      </c>
      <c r="D119" t="str">
        <f>IF($J119="","",SUMIFS('Hours Log'!$D:$D,'Hours Log'!$A:$A,"&gt;="&amp;$J119,'Hours Log'!$A:$A,"&lt;"&amp;$J119+7))</f>
        <v/>
      </c>
      <c r="E119" t="str">
        <f t="shared" si="2"/>
        <v/>
      </c>
      <c r="F119" t="str">
        <f t="shared" si="3"/>
        <v/>
      </c>
      <c r="G119" t="str">
        <f>IF($J119="","",SUMIFS('Hours Log'!$E:$E,'Hours Log'!$A:$A,"&gt;="&amp;$J119,'Hours Log'!$A:$A,"&lt;"&amp;$J119+7))</f>
        <v/>
      </c>
      <c r="J119" t="str">
        <f>IF(COUNT('Hours Log'!$A$4:$A$5000)=0,"",IF(MIN('Hours Log'!$A$4:$A$5000)+7*(ROW()-10)&gt;MAX('Hours Log'!$A$4:$A$5000),"",MIN('Hours Log'!$A$4:$A$5000)+7*(ROW()-10)))</f>
        <v/>
      </c>
    </row>
    <row r="120" spans="1:10" x14ac:dyDescent="0.25">
      <c r="A120" t="str">
        <f>IF($J120="","",YEAR($J120-WEEKDAY($J120,2)+4)&amp;"-W"&amp;TEXT(_xludf.ISOWEEKNUM($J120),"00"))</f>
        <v/>
      </c>
      <c r="B120"/>
      <c r="C120" t="str">
        <f>IF($J120="","",SUMIFS('Hours Log'!$C:$C,'Hours Log'!$A:$A,"&gt;="&amp;$J120,'Hours Log'!$A:$A,"&lt;"&amp;$J120+7)+SUMIFS('Hours Log'!$D:$D,'Hours Log'!$A:$A,"&gt;="&amp;$J120,'Hours Log'!$A:$A,"&lt;"&amp;$J120+7))</f>
        <v/>
      </c>
      <c r="D120" t="str">
        <f>IF($J120="","",SUMIFS('Hours Log'!$D:$D,'Hours Log'!$A:$A,"&gt;="&amp;$J120,'Hours Log'!$A:$A,"&lt;"&amp;$J120+7))</f>
        <v/>
      </c>
      <c r="E120" t="str">
        <f t="shared" si="2"/>
        <v/>
      </c>
      <c r="F120" t="str">
        <f t="shared" si="3"/>
        <v/>
      </c>
      <c r="G120" t="str">
        <f>IF($J120="","",SUMIFS('Hours Log'!$E:$E,'Hours Log'!$A:$A,"&gt;="&amp;$J120,'Hours Log'!$A:$A,"&lt;"&amp;$J120+7))</f>
        <v/>
      </c>
      <c r="J120" t="str">
        <f>IF(COUNT('Hours Log'!$A$4:$A$5000)=0,"",IF(MIN('Hours Log'!$A$4:$A$5000)+7*(ROW()-10)&gt;MAX('Hours Log'!$A$4:$A$5000),"",MIN('Hours Log'!$A$4:$A$5000)+7*(ROW()-10)))</f>
        <v/>
      </c>
    </row>
    <row r="121" spans="1:10" x14ac:dyDescent="0.25">
      <c r="A121" t="str">
        <f>IF($J121="","",YEAR($J121-WEEKDAY($J121,2)+4)&amp;"-W"&amp;TEXT(_xludf.ISOWEEKNUM($J121),"00"))</f>
        <v/>
      </c>
      <c r="B121"/>
      <c r="C121" t="str">
        <f>IF($J121="","",SUMIFS('Hours Log'!$C:$C,'Hours Log'!$A:$A,"&gt;="&amp;$J121,'Hours Log'!$A:$A,"&lt;"&amp;$J121+7)+SUMIFS('Hours Log'!$D:$D,'Hours Log'!$A:$A,"&gt;="&amp;$J121,'Hours Log'!$A:$A,"&lt;"&amp;$J121+7))</f>
        <v/>
      </c>
      <c r="D121" t="str">
        <f>IF($J121="","",SUMIFS('Hours Log'!$D:$D,'Hours Log'!$A:$A,"&gt;="&amp;$J121,'Hours Log'!$A:$A,"&lt;"&amp;$J121+7))</f>
        <v/>
      </c>
      <c r="E121" t="str">
        <f t="shared" si="2"/>
        <v/>
      </c>
      <c r="F121" t="str">
        <f t="shared" si="3"/>
        <v/>
      </c>
      <c r="G121" t="str">
        <f>IF($J121="","",SUMIFS('Hours Log'!$E:$E,'Hours Log'!$A:$A,"&gt;="&amp;$J121,'Hours Log'!$A:$A,"&lt;"&amp;$J121+7))</f>
        <v/>
      </c>
      <c r="J121" t="str">
        <f>IF(COUNT('Hours Log'!$A$4:$A$5000)=0,"",IF(MIN('Hours Log'!$A$4:$A$5000)+7*(ROW()-10)&gt;MAX('Hours Log'!$A$4:$A$5000),"",MIN('Hours Log'!$A$4:$A$5000)+7*(ROW()-10)))</f>
        <v/>
      </c>
    </row>
    <row r="122" spans="1:10" x14ac:dyDescent="0.25">
      <c r="A122" t="str">
        <f>IF($J122="","",YEAR($J122-WEEKDAY($J122,2)+4)&amp;"-W"&amp;TEXT(_xludf.ISOWEEKNUM($J122),"00"))</f>
        <v/>
      </c>
      <c r="B122"/>
      <c r="C122" t="str">
        <f>IF($J122="","",SUMIFS('Hours Log'!$C:$C,'Hours Log'!$A:$A,"&gt;="&amp;$J122,'Hours Log'!$A:$A,"&lt;"&amp;$J122+7)+SUMIFS('Hours Log'!$D:$D,'Hours Log'!$A:$A,"&gt;="&amp;$J122,'Hours Log'!$A:$A,"&lt;"&amp;$J122+7))</f>
        <v/>
      </c>
      <c r="D122" t="str">
        <f>IF($J122="","",SUMIFS('Hours Log'!$D:$D,'Hours Log'!$A:$A,"&gt;="&amp;$J122,'Hours Log'!$A:$A,"&lt;"&amp;$J122+7))</f>
        <v/>
      </c>
      <c r="E122" t="str">
        <f t="shared" si="2"/>
        <v/>
      </c>
      <c r="F122" t="str">
        <f t="shared" si="3"/>
        <v/>
      </c>
      <c r="G122" t="str">
        <f>IF($J122="","",SUMIFS('Hours Log'!$E:$E,'Hours Log'!$A:$A,"&gt;="&amp;$J122,'Hours Log'!$A:$A,"&lt;"&amp;$J122+7))</f>
        <v/>
      </c>
      <c r="J122" t="str">
        <f>IF(COUNT('Hours Log'!$A$4:$A$5000)=0,"",IF(MIN('Hours Log'!$A$4:$A$5000)+7*(ROW()-10)&gt;MAX('Hours Log'!$A$4:$A$5000),"",MIN('Hours Log'!$A$4:$A$5000)+7*(ROW()-10)))</f>
        <v/>
      </c>
    </row>
    <row r="123" spans="1:10" x14ac:dyDescent="0.25">
      <c r="A123" t="str">
        <f>IF($J123="","",YEAR($J123-WEEKDAY($J123,2)+4)&amp;"-W"&amp;TEXT(_xludf.ISOWEEKNUM($J123),"00"))</f>
        <v/>
      </c>
      <c r="B123"/>
      <c r="C123" t="str">
        <f>IF($J123="","",SUMIFS('Hours Log'!$C:$C,'Hours Log'!$A:$A,"&gt;="&amp;$J123,'Hours Log'!$A:$A,"&lt;"&amp;$J123+7)+SUMIFS('Hours Log'!$D:$D,'Hours Log'!$A:$A,"&gt;="&amp;$J123,'Hours Log'!$A:$A,"&lt;"&amp;$J123+7))</f>
        <v/>
      </c>
      <c r="D123" t="str">
        <f>IF($J123="","",SUMIFS('Hours Log'!$D:$D,'Hours Log'!$A:$A,"&gt;="&amp;$J123,'Hours Log'!$A:$A,"&lt;"&amp;$J123+7))</f>
        <v/>
      </c>
      <c r="E123" t="str">
        <f t="shared" si="2"/>
        <v/>
      </c>
      <c r="F123" t="str">
        <f t="shared" si="3"/>
        <v/>
      </c>
      <c r="G123" t="str">
        <f>IF($J123="","",SUMIFS('Hours Log'!$E:$E,'Hours Log'!$A:$A,"&gt;="&amp;$J123,'Hours Log'!$A:$A,"&lt;"&amp;$J123+7))</f>
        <v/>
      </c>
      <c r="J123" t="str">
        <f>IF(COUNT('Hours Log'!$A$4:$A$5000)=0,"",IF(MIN('Hours Log'!$A$4:$A$5000)+7*(ROW()-10)&gt;MAX('Hours Log'!$A$4:$A$5000),"",MIN('Hours Log'!$A$4:$A$5000)+7*(ROW()-10)))</f>
        <v/>
      </c>
    </row>
    <row r="124" spans="1:10" x14ac:dyDescent="0.25">
      <c r="A124" t="str">
        <f>IF($J124="","",YEAR($J124-WEEKDAY($J124,2)+4)&amp;"-W"&amp;TEXT(_xludf.ISOWEEKNUM($J124),"00"))</f>
        <v/>
      </c>
      <c r="B124"/>
      <c r="C124" t="str">
        <f>IF($J124="","",SUMIFS('Hours Log'!$C:$C,'Hours Log'!$A:$A,"&gt;="&amp;$J124,'Hours Log'!$A:$A,"&lt;"&amp;$J124+7)+SUMIFS('Hours Log'!$D:$D,'Hours Log'!$A:$A,"&gt;="&amp;$J124,'Hours Log'!$A:$A,"&lt;"&amp;$J124+7))</f>
        <v/>
      </c>
      <c r="D124" t="str">
        <f>IF($J124="","",SUMIFS('Hours Log'!$D:$D,'Hours Log'!$A:$A,"&gt;="&amp;$J124,'Hours Log'!$A:$A,"&lt;"&amp;$J124+7))</f>
        <v/>
      </c>
      <c r="E124" t="str">
        <f t="shared" si="2"/>
        <v/>
      </c>
      <c r="F124" t="str">
        <f t="shared" si="3"/>
        <v/>
      </c>
      <c r="G124" t="str">
        <f>IF($J124="","",SUMIFS('Hours Log'!$E:$E,'Hours Log'!$A:$A,"&gt;="&amp;$J124,'Hours Log'!$A:$A,"&lt;"&amp;$J124+7))</f>
        <v/>
      </c>
      <c r="J124" t="str">
        <f>IF(COUNT('Hours Log'!$A$4:$A$5000)=0,"",IF(MIN('Hours Log'!$A$4:$A$5000)+7*(ROW()-10)&gt;MAX('Hours Log'!$A$4:$A$5000),"",MIN('Hours Log'!$A$4:$A$5000)+7*(ROW()-10)))</f>
        <v/>
      </c>
    </row>
    <row r="125" spans="1:10" x14ac:dyDescent="0.25">
      <c r="A125" t="str">
        <f>IF($J125="","",YEAR($J125-WEEKDAY($J125,2)+4)&amp;"-W"&amp;TEXT(_xludf.ISOWEEKNUM($J125),"00"))</f>
        <v/>
      </c>
      <c r="B125"/>
      <c r="C125" t="str">
        <f>IF($J125="","",SUMIFS('Hours Log'!$C:$C,'Hours Log'!$A:$A,"&gt;="&amp;$J125,'Hours Log'!$A:$A,"&lt;"&amp;$J125+7)+SUMIFS('Hours Log'!$D:$D,'Hours Log'!$A:$A,"&gt;="&amp;$J125,'Hours Log'!$A:$A,"&lt;"&amp;$J125+7))</f>
        <v/>
      </c>
      <c r="D125" t="str">
        <f>IF($J125="","",SUMIFS('Hours Log'!$D:$D,'Hours Log'!$A:$A,"&gt;="&amp;$J125,'Hours Log'!$A:$A,"&lt;"&amp;$J125+7))</f>
        <v/>
      </c>
      <c r="E125" t="str">
        <f t="shared" si="2"/>
        <v/>
      </c>
      <c r="F125" t="str">
        <f t="shared" si="3"/>
        <v/>
      </c>
      <c r="G125" t="str">
        <f>IF($J125="","",SUMIFS('Hours Log'!$E:$E,'Hours Log'!$A:$A,"&gt;="&amp;$J125,'Hours Log'!$A:$A,"&lt;"&amp;$J125+7))</f>
        <v/>
      </c>
      <c r="J125" t="str">
        <f>IF(COUNT('Hours Log'!$A$4:$A$5000)=0,"",IF(MIN('Hours Log'!$A$4:$A$5000)+7*(ROW()-10)&gt;MAX('Hours Log'!$A$4:$A$5000),"",MIN('Hours Log'!$A$4:$A$5000)+7*(ROW()-10)))</f>
        <v/>
      </c>
    </row>
    <row r="126" spans="1:10" x14ac:dyDescent="0.25">
      <c r="A126" t="str">
        <f>IF($J126="","",YEAR($J126-WEEKDAY($J126,2)+4)&amp;"-W"&amp;TEXT(_xludf.ISOWEEKNUM($J126),"00"))</f>
        <v/>
      </c>
      <c r="B126"/>
      <c r="C126" t="str">
        <f>IF($J126="","",SUMIFS('Hours Log'!$C:$C,'Hours Log'!$A:$A,"&gt;="&amp;$J126,'Hours Log'!$A:$A,"&lt;"&amp;$J126+7)+SUMIFS('Hours Log'!$D:$D,'Hours Log'!$A:$A,"&gt;="&amp;$J126,'Hours Log'!$A:$A,"&lt;"&amp;$J126+7))</f>
        <v/>
      </c>
      <c r="D126" t="str">
        <f>IF($J126="","",SUMIFS('Hours Log'!$D:$D,'Hours Log'!$A:$A,"&gt;="&amp;$J126,'Hours Log'!$A:$A,"&lt;"&amp;$J126+7))</f>
        <v/>
      </c>
      <c r="E126" t="str">
        <f t="shared" si="2"/>
        <v/>
      </c>
      <c r="F126" t="str">
        <f t="shared" si="3"/>
        <v/>
      </c>
      <c r="G126" t="str">
        <f>IF($J126="","",SUMIFS('Hours Log'!$E:$E,'Hours Log'!$A:$A,"&gt;="&amp;$J126,'Hours Log'!$A:$A,"&lt;"&amp;$J126+7))</f>
        <v/>
      </c>
      <c r="J126" t="str">
        <f>IF(COUNT('Hours Log'!$A$4:$A$5000)=0,"",IF(MIN('Hours Log'!$A$4:$A$5000)+7*(ROW()-10)&gt;MAX('Hours Log'!$A$4:$A$5000),"",MIN('Hours Log'!$A$4:$A$5000)+7*(ROW()-10)))</f>
        <v/>
      </c>
    </row>
    <row r="127" spans="1:10" x14ac:dyDescent="0.25">
      <c r="A127" t="str">
        <f>IF($J127="","",YEAR($J127-WEEKDAY($J127,2)+4)&amp;"-W"&amp;TEXT(_xludf.ISOWEEKNUM($J127),"00"))</f>
        <v/>
      </c>
      <c r="B127"/>
      <c r="C127" t="str">
        <f>IF($J127="","",SUMIFS('Hours Log'!$C:$C,'Hours Log'!$A:$A,"&gt;="&amp;$J127,'Hours Log'!$A:$A,"&lt;"&amp;$J127+7)+SUMIFS('Hours Log'!$D:$D,'Hours Log'!$A:$A,"&gt;="&amp;$J127,'Hours Log'!$A:$A,"&lt;"&amp;$J127+7))</f>
        <v/>
      </c>
      <c r="D127" t="str">
        <f>IF($J127="","",SUMIFS('Hours Log'!$D:$D,'Hours Log'!$A:$A,"&gt;="&amp;$J127,'Hours Log'!$A:$A,"&lt;"&amp;$J127+7))</f>
        <v/>
      </c>
      <c r="E127" t="str">
        <f t="shared" si="2"/>
        <v/>
      </c>
      <c r="F127" t="str">
        <f t="shared" si="3"/>
        <v/>
      </c>
      <c r="G127" t="str">
        <f>IF($J127="","",SUMIFS('Hours Log'!$E:$E,'Hours Log'!$A:$A,"&gt;="&amp;$J127,'Hours Log'!$A:$A,"&lt;"&amp;$J127+7))</f>
        <v/>
      </c>
      <c r="J127" t="str">
        <f>IF(COUNT('Hours Log'!$A$4:$A$5000)=0,"",IF(MIN('Hours Log'!$A$4:$A$5000)+7*(ROW()-10)&gt;MAX('Hours Log'!$A$4:$A$5000),"",MIN('Hours Log'!$A$4:$A$5000)+7*(ROW()-10)))</f>
        <v/>
      </c>
    </row>
    <row r="128" spans="1:10" x14ac:dyDescent="0.25">
      <c r="A128" t="str">
        <f>IF($J128="","",YEAR($J128-WEEKDAY($J128,2)+4)&amp;"-W"&amp;TEXT(_xludf.ISOWEEKNUM($J128),"00"))</f>
        <v/>
      </c>
      <c r="B128"/>
      <c r="C128" t="str">
        <f>IF($J128="","",SUMIFS('Hours Log'!$C:$C,'Hours Log'!$A:$A,"&gt;="&amp;$J128,'Hours Log'!$A:$A,"&lt;"&amp;$J128+7)+SUMIFS('Hours Log'!$D:$D,'Hours Log'!$A:$A,"&gt;="&amp;$J128,'Hours Log'!$A:$A,"&lt;"&amp;$J128+7))</f>
        <v/>
      </c>
      <c r="D128" t="str">
        <f>IF($J128="","",SUMIFS('Hours Log'!$D:$D,'Hours Log'!$A:$A,"&gt;="&amp;$J128,'Hours Log'!$A:$A,"&lt;"&amp;$J128+7))</f>
        <v/>
      </c>
      <c r="E128" t="str">
        <f t="shared" si="2"/>
        <v/>
      </c>
      <c r="F128" t="str">
        <f t="shared" si="3"/>
        <v/>
      </c>
      <c r="G128" t="str">
        <f>IF($J128="","",SUMIFS('Hours Log'!$E:$E,'Hours Log'!$A:$A,"&gt;="&amp;$J128,'Hours Log'!$A:$A,"&lt;"&amp;$J128+7))</f>
        <v/>
      </c>
      <c r="J128" t="str">
        <f>IF(COUNT('Hours Log'!$A$4:$A$5000)=0,"",IF(MIN('Hours Log'!$A$4:$A$5000)+7*(ROW()-10)&gt;MAX('Hours Log'!$A$4:$A$5000),"",MIN('Hours Log'!$A$4:$A$5000)+7*(ROW()-10)))</f>
        <v/>
      </c>
    </row>
    <row r="129" spans="1:10" x14ac:dyDescent="0.25">
      <c r="A129" t="str">
        <f>IF($J129="","",YEAR($J129-WEEKDAY($J129,2)+4)&amp;"-W"&amp;TEXT(_xludf.ISOWEEKNUM($J129),"00"))</f>
        <v/>
      </c>
      <c r="B129"/>
      <c r="C129" t="str">
        <f>IF($J129="","",SUMIFS('Hours Log'!$C:$C,'Hours Log'!$A:$A,"&gt;="&amp;$J129,'Hours Log'!$A:$A,"&lt;"&amp;$J129+7)+SUMIFS('Hours Log'!$D:$D,'Hours Log'!$A:$A,"&gt;="&amp;$J129,'Hours Log'!$A:$A,"&lt;"&amp;$J129+7))</f>
        <v/>
      </c>
      <c r="D129" t="str">
        <f>IF($J129="","",SUMIFS('Hours Log'!$D:$D,'Hours Log'!$A:$A,"&gt;="&amp;$J129,'Hours Log'!$A:$A,"&lt;"&amp;$J129+7))</f>
        <v/>
      </c>
      <c r="E129" t="str">
        <f t="shared" si="2"/>
        <v/>
      </c>
      <c r="F129" t="str">
        <f t="shared" si="3"/>
        <v/>
      </c>
      <c r="G129" t="str">
        <f>IF($J129="","",SUMIFS('Hours Log'!$E:$E,'Hours Log'!$A:$A,"&gt;="&amp;$J129,'Hours Log'!$A:$A,"&lt;"&amp;$J129+7))</f>
        <v/>
      </c>
      <c r="J129" t="str">
        <f>IF(COUNT('Hours Log'!$A$4:$A$5000)=0,"",IF(MIN('Hours Log'!$A$4:$A$5000)+7*(ROW()-10)&gt;MAX('Hours Log'!$A$4:$A$5000),"",MIN('Hours Log'!$A$4:$A$5000)+7*(ROW()-10)))</f>
        <v/>
      </c>
    </row>
    <row r="130" spans="1:10" x14ac:dyDescent="0.25">
      <c r="A130" t="str">
        <f>IF($J130="","",YEAR($J130-WEEKDAY($J130,2)+4)&amp;"-W"&amp;TEXT(_xludf.ISOWEEKNUM($J130),"00"))</f>
        <v/>
      </c>
      <c r="B130"/>
      <c r="C130" t="str">
        <f>IF($J130="","",SUMIFS('Hours Log'!$C:$C,'Hours Log'!$A:$A,"&gt;="&amp;$J130,'Hours Log'!$A:$A,"&lt;"&amp;$J130+7)+SUMIFS('Hours Log'!$D:$D,'Hours Log'!$A:$A,"&gt;="&amp;$J130,'Hours Log'!$A:$A,"&lt;"&amp;$J130+7))</f>
        <v/>
      </c>
      <c r="D130" t="str">
        <f>IF($J130="","",SUMIFS('Hours Log'!$D:$D,'Hours Log'!$A:$A,"&gt;="&amp;$J130,'Hours Log'!$A:$A,"&lt;"&amp;$J130+7))</f>
        <v/>
      </c>
      <c r="E130" t="str">
        <f t="shared" si="2"/>
        <v/>
      </c>
      <c r="F130" t="str">
        <f t="shared" si="3"/>
        <v/>
      </c>
      <c r="G130" t="str">
        <f>IF($J130="","",SUMIFS('Hours Log'!$E:$E,'Hours Log'!$A:$A,"&gt;="&amp;$J130,'Hours Log'!$A:$A,"&lt;"&amp;$J130+7))</f>
        <v/>
      </c>
      <c r="J130" t="str">
        <f>IF(COUNT('Hours Log'!$A$4:$A$5000)=0,"",IF(MIN('Hours Log'!$A$4:$A$5000)+7*(ROW()-10)&gt;MAX('Hours Log'!$A$4:$A$5000),"",MIN('Hours Log'!$A$4:$A$5000)+7*(ROW()-10)))</f>
        <v/>
      </c>
    </row>
    <row r="131" spans="1:10" x14ac:dyDescent="0.25">
      <c r="A131" t="str">
        <f>IF($J131="","",YEAR($J131-WEEKDAY($J131,2)+4)&amp;"-W"&amp;TEXT(_xludf.ISOWEEKNUM($J131),"00"))</f>
        <v/>
      </c>
      <c r="B131"/>
      <c r="C131" t="str">
        <f>IF($J131="","",SUMIFS('Hours Log'!$C:$C,'Hours Log'!$A:$A,"&gt;="&amp;$J131,'Hours Log'!$A:$A,"&lt;"&amp;$J131+7)+SUMIFS('Hours Log'!$D:$D,'Hours Log'!$A:$A,"&gt;="&amp;$J131,'Hours Log'!$A:$A,"&lt;"&amp;$J131+7))</f>
        <v/>
      </c>
      <c r="D131" t="str">
        <f>IF($J131="","",SUMIFS('Hours Log'!$D:$D,'Hours Log'!$A:$A,"&gt;="&amp;$J131,'Hours Log'!$A:$A,"&lt;"&amp;$J131+7))</f>
        <v/>
      </c>
      <c r="E131" t="str">
        <f t="shared" si="2"/>
        <v/>
      </c>
      <c r="F131" t="str">
        <f t="shared" si="3"/>
        <v/>
      </c>
      <c r="G131" t="str">
        <f>IF($J131="","",SUMIFS('Hours Log'!$E:$E,'Hours Log'!$A:$A,"&gt;="&amp;$J131,'Hours Log'!$A:$A,"&lt;"&amp;$J131+7))</f>
        <v/>
      </c>
      <c r="J131" t="str">
        <f>IF(COUNT('Hours Log'!$A$4:$A$5000)=0,"",IF(MIN('Hours Log'!$A$4:$A$5000)+7*(ROW()-10)&gt;MAX('Hours Log'!$A$4:$A$5000),"",MIN('Hours Log'!$A$4:$A$5000)+7*(ROW()-10)))</f>
        <v/>
      </c>
    </row>
    <row r="132" spans="1:10" x14ac:dyDescent="0.25">
      <c r="A132" t="str">
        <f>IF($J132="","",YEAR($J132-WEEKDAY($J132,2)+4)&amp;"-W"&amp;TEXT(_xludf.ISOWEEKNUM($J132),"00"))</f>
        <v/>
      </c>
      <c r="B132"/>
      <c r="C132" t="str">
        <f>IF($J132="","",SUMIFS('Hours Log'!$C:$C,'Hours Log'!$A:$A,"&gt;="&amp;$J132,'Hours Log'!$A:$A,"&lt;"&amp;$J132+7)+SUMIFS('Hours Log'!$D:$D,'Hours Log'!$A:$A,"&gt;="&amp;$J132,'Hours Log'!$A:$A,"&lt;"&amp;$J132+7))</f>
        <v/>
      </c>
      <c r="D132" t="str">
        <f>IF($J132="","",SUMIFS('Hours Log'!$D:$D,'Hours Log'!$A:$A,"&gt;="&amp;$J132,'Hours Log'!$A:$A,"&lt;"&amp;$J132+7))</f>
        <v/>
      </c>
      <c r="E132" t="str">
        <f t="shared" si="2"/>
        <v/>
      </c>
      <c r="F132" t="str">
        <f t="shared" si="3"/>
        <v/>
      </c>
      <c r="G132" t="str">
        <f>IF($J132="","",SUMIFS('Hours Log'!$E:$E,'Hours Log'!$A:$A,"&gt;="&amp;$J132,'Hours Log'!$A:$A,"&lt;"&amp;$J132+7))</f>
        <v/>
      </c>
      <c r="J132" t="str">
        <f>IF(COUNT('Hours Log'!$A$4:$A$5000)=0,"",IF(MIN('Hours Log'!$A$4:$A$5000)+7*(ROW()-10)&gt;MAX('Hours Log'!$A$4:$A$5000),"",MIN('Hours Log'!$A$4:$A$5000)+7*(ROW()-10)))</f>
        <v/>
      </c>
    </row>
    <row r="133" spans="1:10" x14ac:dyDescent="0.25">
      <c r="A133" t="str">
        <f>IF($J133="","",YEAR($J133-WEEKDAY($J133,2)+4)&amp;"-W"&amp;TEXT(_xludf.ISOWEEKNUM($J133),"00"))</f>
        <v/>
      </c>
      <c r="B133"/>
      <c r="C133" t="str">
        <f>IF($J133="","",SUMIFS('Hours Log'!$C:$C,'Hours Log'!$A:$A,"&gt;="&amp;$J133,'Hours Log'!$A:$A,"&lt;"&amp;$J133+7)+SUMIFS('Hours Log'!$D:$D,'Hours Log'!$A:$A,"&gt;="&amp;$J133,'Hours Log'!$A:$A,"&lt;"&amp;$J133+7))</f>
        <v/>
      </c>
      <c r="D133" t="str">
        <f>IF($J133="","",SUMIFS('Hours Log'!$D:$D,'Hours Log'!$A:$A,"&gt;="&amp;$J133,'Hours Log'!$A:$A,"&lt;"&amp;$J133+7))</f>
        <v/>
      </c>
      <c r="E133" t="str">
        <f t="shared" si="2"/>
        <v/>
      </c>
      <c r="F133" t="str">
        <f t="shared" si="3"/>
        <v/>
      </c>
      <c r="G133" t="str">
        <f>IF($J133="","",SUMIFS('Hours Log'!$E:$E,'Hours Log'!$A:$A,"&gt;="&amp;$J133,'Hours Log'!$A:$A,"&lt;"&amp;$J133+7))</f>
        <v/>
      </c>
      <c r="J133" t="str">
        <f>IF(COUNT('Hours Log'!$A$4:$A$5000)=0,"",IF(MIN('Hours Log'!$A$4:$A$5000)+7*(ROW()-10)&gt;MAX('Hours Log'!$A$4:$A$5000),"",MIN('Hours Log'!$A$4:$A$5000)+7*(ROW()-10)))</f>
        <v/>
      </c>
    </row>
    <row r="134" spans="1:10" x14ac:dyDescent="0.25">
      <c r="A134" t="str">
        <f>IF($J134="","",YEAR($J134-WEEKDAY($J134,2)+4)&amp;"-W"&amp;TEXT(_xludf.ISOWEEKNUM($J134),"00"))</f>
        <v/>
      </c>
      <c r="B134"/>
      <c r="C134" t="str">
        <f>IF($J134="","",SUMIFS('Hours Log'!$C:$C,'Hours Log'!$A:$A,"&gt;="&amp;$J134,'Hours Log'!$A:$A,"&lt;"&amp;$J134+7)+SUMIFS('Hours Log'!$D:$D,'Hours Log'!$A:$A,"&gt;="&amp;$J134,'Hours Log'!$A:$A,"&lt;"&amp;$J134+7))</f>
        <v/>
      </c>
      <c r="D134" t="str">
        <f>IF($J134="","",SUMIFS('Hours Log'!$D:$D,'Hours Log'!$A:$A,"&gt;="&amp;$J134,'Hours Log'!$A:$A,"&lt;"&amp;$J134+7))</f>
        <v/>
      </c>
      <c r="E134" t="str">
        <f t="shared" si="2"/>
        <v/>
      </c>
      <c r="F134" t="str">
        <f t="shared" si="3"/>
        <v/>
      </c>
      <c r="G134" t="str">
        <f>IF($J134="","",SUMIFS('Hours Log'!$E:$E,'Hours Log'!$A:$A,"&gt;="&amp;$J134,'Hours Log'!$A:$A,"&lt;"&amp;$J134+7))</f>
        <v/>
      </c>
      <c r="J134" t="str">
        <f>IF(COUNT('Hours Log'!$A$4:$A$5000)=0,"",IF(MIN('Hours Log'!$A$4:$A$5000)+7*(ROW()-10)&gt;MAX('Hours Log'!$A$4:$A$5000),"",MIN('Hours Log'!$A$4:$A$5000)+7*(ROW()-10)))</f>
        <v/>
      </c>
    </row>
    <row r="135" spans="1:10" x14ac:dyDescent="0.25">
      <c r="A135" t="str">
        <f>IF($J135="","",YEAR($J135-WEEKDAY($J135,2)+4)&amp;"-W"&amp;TEXT(_xludf.ISOWEEKNUM($J135),"00"))</f>
        <v/>
      </c>
      <c r="B135"/>
      <c r="C135" t="str">
        <f>IF($J135="","",SUMIFS('Hours Log'!$C:$C,'Hours Log'!$A:$A,"&gt;="&amp;$J135,'Hours Log'!$A:$A,"&lt;"&amp;$J135+7)+SUMIFS('Hours Log'!$D:$D,'Hours Log'!$A:$A,"&gt;="&amp;$J135,'Hours Log'!$A:$A,"&lt;"&amp;$J135+7))</f>
        <v/>
      </c>
      <c r="D135" t="str">
        <f>IF($J135="","",SUMIFS('Hours Log'!$D:$D,'Hours Log'!$A:$A,"&gt;="&amp;$J135,'Hours Log'!$A:$A,"&lt;"&amp;$J135+7))</f>
        <v/>
      </c>
      <c r="E135" t="str">
        <f t="shared" si="2"/>
        <v/>
      </c>
      <c r="F135" t="str">
        <f t="shared" si="3"/>
        <v/>
      </c>
      <c r="G135" t="str">
        <f>IF($J135="","",SUMIFS('Hours Log'!$E:$E,'Hours Log'!$A:$A,"&gt;="&amp;$J135,'Hours Log'!$A:$A,"&lt;"&amp;$J135+7))</f>
        <v/>
      </c>
      <c r="J135" t="str">
        <f>IF(COUNT('Hours Log'!$A$4:$A$5000)=0,"",IF(MIN('Hours Log'!$A$4:$A$5000)+7*(ROW()-10)&gt;MAX('Hours Log'!$A$4:$A$5000),"",MIN('Hours Log'!$A$4:$A$5000)+7*(ROW()-10)))</f>
        <v/>
      </c>
    </row>
    <row r="136" spans="1:10" x14ac:dyDescent="0.25">
      <c r="A136" t="str">
        <f>IF($J136="","",YEAR($J136-WEEKDAY($J136,2)+4)&amp;"-W"&amp;TEXT(_xludf.ISOWEEKNUM($J136),"00"))</f>
        <v/>
      </c>
      <c r="B136"/>
      <c r="C136" t="str">
        <f>IF($J136="","",SUMIFS('Hours Log'!$C:$C,'Hours Log'!$A:$A,"&gt;="&amp;$J136,'Hours Log'!$A:$A,"&lt;"&amp;$J136+7)+SUMIFS('Hours Log'!$D:$D,'Hours Log'!$A:$A,"&gt;="&amp;$J136,'Hours Log'!$A:$A,"&lt;"&amp;$J136+7))</f>
        <v/>
      </c>
      <c r="D136" t="str">
        <f>IF($J136="","",SUMIFS('Hours Log'!$D:$D,'Hours Log'!$A:$A,"&gt;="&amp;$J136,'Hours Log'!$A:$A,"&lt;"&amp;$J136+7))</f>
        <v/>
      </c>
      <c r="E136" t="str">
        <f t="shared" si="2"/>
        <v/>
      </c>
      <c r="F136" t="str">
        <f t="shared" si="3"/>
        <v/>
      </c>
      <c r="G136" t="str">
        <f>IF($J136="","",SUMIFS('Hours Log'!$E:$E,'Hours Log'!$A:$A,"&gt;="&amp;$J136,'Hours Log'!$A:$A,"&lt;"&amp;$J136+7))</f>
        <v/>
      </c>
      <c r="J136" t="str">
        <f>IF(COUNT('Hours Log'!$A$4:$A$5000)=0,"",IF(MIN('Hours Log'!$A$4:$A$5000)+7*(ROW()-10)&gt;MAX('Hours Log'!$A$4:$A$5000),"",MIN('Hours Log'!$A$4:$A$5000)+7*(ROW()-10)))</f>
        <v/>
      </c>
    </row>
    <row r="137" spans="1:10" x14ac:dyDescent="0.25">
      <c r="A137" t="str">
        <f>IF($J137="","",YEAR($J137-WEEKDAY($J137,2)+4)&amp;"-W"&amp;TEXT(_xludf.ISOWEEKNUM($J137),"00"))</f>
        <v/>
      </c>
      <c r="B137"/>
      <c r="C137" t="str">
        <f>IF($J137="","",SUMIFS('Hours Log'!$C:$C,'Hours Log'!$A:$A,"&gt;="&amp;$J137,'Hours Log'!$A:$A,"&lt;"&amp;$J137+7)+SUMIFS('Hours Log'!$D:$D,'Hours Log'!$A:$A,"&gt;="&amp;$J137,'Hours Log'!$A:$A,"&lt;"&amp;$J137+7))</f>
        <v/>
      </c>
      <c r="D137" t="str">
        <f>IF($J137="","",SUMIFS('Hours Log'!$D:$D,'Hours Log'!$A:$A,"&gt;="&amp;$J137,'Hours Log'!$A:$A,"&lt;"&amp;$J137+7))</f>
        <v/>
      </c>
      <c r="E137" t="str">
        <f t="shared" si="2"/>
        <v/>
      </c>
      <c r="F137" t="str">
        <f t="shared" si="3"/>
        <v/>
      </c>
      <c r="G137" t="str">
        <f>IF($J137="","",SUMIFS('Hours Log'!$E:$E,'Hours Log'!$A:$A,"&gt;="&amp;$J137,'Hours Log'!$A:$A,"&lt;"&amp;$J137+7))</f>
        <v/>
      </c>
      <c r="J137" t="str">
        <f>IF(COUNT('Hours Log'!$A$4:$A$5000)=0,"",IF(MIN('Hours Log'!$A$4:$A$5000)+7*(ROW()-10)&gt;MAX('Hours Log'!$A$4:$A$5000),"",MIN('Hours Log'!$A$4:$A$5000)+7*(ROW()-10)))</f>
        <v/>
      </c>
    </row>
    <row r="138" spans="1:10" x14ac:dyDescent="0.25">
      <c r="A138" t="str">
        <f>IF($J138="","",YEAR($J138-WEEKDAY($J138,2)+4)&amp;"-W"&amp;TEXT(_xludf.ISOWEEKNUM($J138),"00"))</f>
        <v/>
      </c>
      <c r="B138"/>
      <c r="C138" t="str">
        <f>IF($J138="","",SUMIFS('Hours Log'!$C:$C,'Hours Log'!$A:$A,"&gt;="&amp;$J138,'Hours Log'!$A:$A,"&lt;"&amp;$J138+7)+SUMIFS('Hours Log'!$D:$D,'Hours Log'!$A:$A,"&gt;="&amp;$J138,'Hours Log'!$A:$A,"&lt;"&amp;$J138+7))</f>
        <v/>
      </c>
      <c r="D138" t="str">
        <f>IF($J138="","",SUMIFS('Hours Log'!$D:$D,'Hours Log'!$A:$A,"&gt;="&amp;$J138,'Hours Log'!$A:$A,"&lt;"&amp;$J138+7))</f>
        <v/>
      </c>
      <c r="E138" t="str">
        <f t="shared" ref="E138:E201" si="4">IF($J138="","",IFERROR(C138/(B138*40),0))</f>
        <v/>
      </c>
      <c r="F138" t="str">
        <f t="shared" ref="F138:F201" si="5">IF($J138="","",0)</f>
        <v/>
      </c>
      <c r="G138" t="str">
        <f>IF($J138="","",SUMIFS('Hours Log'!$E:$E,'Hours Log'!$A:$A,"&gt;="&amp;$J138,'Hours Log'!$A:$A,"&lt;"&amp;$J138+7))</f>
        <v/>
      </c>
      <c r="J138" t="str">
        <f>IF(COUNT('Hours Log'!$A$4:$A$5000)=0,"",IF(MIN('Hours Log'!$A$4:$A$5000)+7*(ROW()-10)&gt;MAX('Hours Log'!$A$4:$A$5000),"",MIN('Hours Log'!$A$4:$A$5000)+7*(ROW()-10)))</f>
        <v/>
      </c>
    </row>
    <row r="139" spans="1:10" x14ac:dyDescent="0.25">
      <c r="A139" t="str">
        <f>IF($J139="","",YEAR($J139-WEEKDAY($J139,2)+4)&amp;"-W"&amp;TEXT(_xludf.ISOWEEKNUM($J139),"00"))</f>
        <v/>
      </c>
      <c r="B139"/>
      <c r="C139" t="str">
        <f>IF($J139="","",SUMIFS('Hours Log'!$C:$C,'Hours Log'!$A:$A,"&gt;="&amp;$J139,'Hours Log'!$A:$A,"&lt;"&amp;$J139+7)+SUMIFS('Hours Log'!$D:$D,'Hours Log'!$A:$A,"&gt;="&amp;$J139,'Hours Log'!$A:$A,"&lt;"&amp;$J139+7))</f>
        <v/>
      </c>
      <c r="D139" t="str">
        <f>IF($J139="","",SUMIFS('Hours Log'!$D:$D,'Hours Log'!$A:$A,"&gt;="&amp;$J139,'Hours Log'!$A:$A,"&lt;"&amp;$J139+7))</f>
        <v/>
      </c>
      <c r="E139" t="str">
        <f t="shared" si="4"/>
        <v/>
      </c>
      <c r="F139" t="str">
        <f t="shared" si="5"/>
        <v/>
      </c>
      <c r="G139" t="str">
        <f>IF($J139="","",SUMIFS('Hours Log'!$E:$E,'Hours Log'!$A:$A,"&gt;="&amp;$J139,'Hours Log'!$A:$A,"&lt;"&amp;$J139+7))</f>
        <v/>
      </c>
      <c r="J139" t="str">
        <f>IF(COUNT('Hours Log'!$A$4:$A$5000)=0,"",IF(MIN('Hours Log'!$A$4:$A$5000)+7*(ROW()-10)&gt;MAX('Hours Log'!$A$4:$A$5000),"",MIN('Hours Log'!$A$4:$A$5000)+7*(ROW()-10)))</f>
        <v/>
      </c>
    </row>
    <row r="140" spans="1:10" x14ac:dyDescent="0.25">
      <c r="A140" t="str">
        <f>IF($J140="","",YEAR($J140-WEEKDAY($J140,2)+4)&amp;"-W"&amp;TEXT(_xludf.ISOWEEKNUM($J140),"00"))</f>
        <v/>
      </c>
      <c r="B140"/>
      <c r="C140" t="str">
        <f>IF($J140="","",SUMIFS('Hours Log'!$C:$C,'Hours Log'!$A:$A,"&gt;="&amp;$J140,'Hours Log'!$A:$A,"&lt;"&amp;$J140+7)+SUMIFS('Hours Log'!$D:$D,'Hours Log'!$A:$A,"&gt;="&amp;$J140,'Hours Log'!$A:$A,"&lt;"&amp;$J140+7))</f>
        <v/>
      </c>
      <c r="D140" t="str">
        <f>IF($J140="","",SUMIFS('Hours Log'!$D:$D,'Hours Log'!$A:$A,"&gt;="&amp;$J140,'Hours Log'!$A:$A,"&lt;"&amp;$J140+7))</f>
        <v/>
      </c>
      <c r="E140" t="str">
        <f t="shared" si="4"/>
        <v/>
      </c>
      <c r="F140" t="str">
        <f t="shared" si="5"/>
        <v/>
      </c>
      <c r="G140" t="str">
        <f>IF($J140="","",SUMIFS('Hours Log'!$E:$E,'Hours Log'!$A:$A,"&gt;="&amp;$J140,'Hours Log'!$A:$A,"&lt;"&amp;$J140+7))</f>
        <v/>
      </c>
      <c r="J140" t="str">
        <f>IF(COUNT('Hours Log'!$A$4:$A$5000)=0,"",IF(MIN('Hours Log'!$A$4:$A$5000)+7*(ROW()-10)&gt;MAX('Hours Log'!$A$4:$A$5000),"",MIN('Hours Log'!$A$4:$A$5000)+7*(ROW()-10)))</f>
        <v/>
      </c>
    </row>
    <row r="141" spans="1:10" x14ac:dyDescent="0.25">
      <c r="A141" t="str">
        <f>IF($J141="","",YEAR($J141-WEEKDAY($J141,2)+4)&amp;"-W"&amp;TEXT(_xludf.ISOWEEKNUM($J141),"00"))</f>
        <v/>
      </c>
      <c r="B141"/>
      <c r="C141" t="str">
        <f>IF($J141="","",SUMIFS('Hours Log'!$C:$C,'Hours Log'!$A:$A,"&gt;="&amp;$J141,'Hours Log'!$A:$A,"&lt;"&amp;$J141+7)+SUMIFS('Hours Log'!$D:$D,'Hours Log'!$A:$A,"&gt;="&amp;$J141,'Hours Log'!$A:$A,"&lt;"&amp;$J141+7))</f>
        <v/>
      </c>
      <c r="D141" t="str">
        <f>IF($J141="","",SUMIFS('Hours Log'!$D:$D,'Hours Log'!$A:$A,"&gt;="&amp;$J141,'Hours Log'!$A:$A,"&lt;"&amp;$J141+7))</f>
        <v/>
      </c>
      <c r="E141" t="str">
        <f t="shared" si="4"/>
        <v/>
      </c>
      <c r="F141" t="str">
        <f t="shared" si="5"/>
        <v/>
      </c>
      <c r="G141" t="str">
        <f>IF($J141="","",SUMIFS('Hours Log'!$E:$E,'Hours Log'!$A:$A,"&gt;="&amp;$J141,'Hours Log'!$A:$A,"&lt;"&amp;$J141+7))</f>
        <v/>
      </c>
      <c r="J141" t="str">
        <f>IF(COUNT('Hours Log'!$A$4:$A$5000)=0,"",IF(MIN('Hours Log'!$A$4:$A$5000)+7*(ROW()-10)&gt;MAX('Hours Log'!$A$4:$A$5000),"",MIN('Hours Log'!$A$4:$A$5000)+7*(ROW()-10)))</f>
        <v/>
      </c>
    </row>
    <row r="142" spans="1:10" x14ac:dyDescent="0.25">
      <c r="A142" t="str">
        <f>IF($J142="","",YEAR($J142-WEEKDAY($J142,2)+4)&amp;"-W"&amp;TEXT(_xludf.ISOWEEKNUM($J142),"00"))</f>
        <v/>
      </c>
      <c r="B142"/>
      <c r="C142" t="str">
        <f>IF($J142="","",SUMIFS('Hours Log'!$C:$C,'Hours Log'!$A:$A,"&gt;="&amp;$J142,'Hours Log'!$A:$A,"&lt;"&amp;$J142+7)+SUMIFS('Hours Log'!$D:$D,'Hours Log'!$A:$A,"&gt;="&amp;$J142,'Hours Log'!$A:$A,"&lt;"&amp;$J142+7))</f>
        <v/>
      </c>
      <c r="D142" t="str">
        <f>IF($J142="","",SUMIFS('Hours Log'!$D:$D,'Hours Log'!$A:$A,"&gt;="&amp;$J142,'Hours Log'!$A:$A,"&lt;"&amp;$J142+7))</f>
        <v/>
      </c>
      <c r="E142" t="str">
        <f t="shared" si="4"/>
        <v/>
      </c>
      <c r="F142" t="str">
        <f t="shared" si="5"/>
        <v/>
      </c>
      <c r="G142" t="str">
        <f>IF($J142="","",SUMIFS('Hours Log'!$E:$E,'Hours Log'!$A:$A,"&gt;="&amp;$J142,'Hours Log'!$A:$A,"&lt;"&amp;$J142+7))</f>
        <v/>
      </c>
      <c r="J142" t="str">
        <f>IF(COUNT('Hours Log'!$A$4:$A$5000)=0,"",IF(MIN('Hours Log'!$A$4:$A$5000)+7*(ROW()-10)&gt;MAX('Hours Log'!$A$4:$A$5000),"",MIN('Hours Log'!$A$4:$A$5000)+7*(ROW()-10)))</f>
        <v/>
      </c>
    </row>
    <row r="143" spans="1:10" x14ac:dyDescent="0.25">
      <c r="A143" t="str">
        <f>IF($J143="","",YEAR($J143-WEEKDAY($J143,2)+4)&amp;"-W"&amp;TEXT(_xludf.ISOWEEKNUM($J143),"00"))</f>
        <v/>
      </c>
      <c r="B143"/>
      <c r="C143" t="str">
        <f>IF($J143="","",SUMIFS('Hours Log'!$C:$C,'Hours Log'!$A:$A,"&gt;="&amp;$J143,'Hours Log'!$A:$A,"&lt;"&amp;$J143+7)+SUMIFS('Hours Log'!$D:$D,'Hours Log'!$A:$A,"&gt;="&amp;$J143,'Hours Log'!$A:$A,"&lt;"&amp;$J143+7))</f>
        <v/>
      </c>
      <c r="D143" t="str">
        <f>IF($J143="","",SUMIFS('Hours Log'!$D:$D,'Hours Log'!$A:$A,"&gt;="&amp;$J143,'Hours Log'!$A:$A,"&lt;"&amp;$J143+7))</f>
        <v/>
      </c>
      <c r="E143" t="str">
        <f t="shared" si="4"/>
        <v/>
      </c>
      <c r="F143" t="str">
        <f t="shared" si="5"/>
        <v/>
      </c>
      <c r="G143" t="str">
        <f>IF($J143="","",SUMIFS('Hours Log'!$E:$E,'Hours Log'!$A:$A,"&gt;="&amp;$J143,'Hours Log'!$A:$A,"&lt;"&amp;$J143+7))</f>
        <v/>
      </c>
      <c r="J143" t="str">
        <f>IF(COUNT('Hours Log'!$A$4:$A$5000)=0,"",IF(MIN('Hours Log'!$A$4:$A$5000)+7*(ROW()-10)&gt;MAX('Hours Log'!$A$4:$A$5000),"",MIN('Hours Log'!$A$4:$A$5000)+7*(ROW()-10)))</f>
        <v/>
      </c>
    </row>
    <row r="144" spans="1:10" x14ac:dyDescent="0.25">
      <c r="A144" t="str">
        <f>IF($J144="","",YEAR($J144-WEEKDAY($J144,2)+4)&amp;"-W"&amp;TEXT(_xludf.ISOWEEKNUM($J144),"00"))</f>
        <v/>
      </c>
      <c r="B144"/>
      <c r="C144" t="str">
        <f>IF($J144="","",SUMIFS('Hours Log'!$C:$C,'Hours Log'!$A:$A,"&gt;="&amp;$J144,'Hours Log'!$A:$A,"&lt;"&amp;$J144+7)+SUMIFS('Hours Log'!$D:$D,'Hours Log'!$A:$A,"&gt;="&amp;$J144,'Hours Log'!$A:$A,"&lt;"&amp;$J144+7))</f>
        <v/>
      </c>
      <c r="D144" t="str">
        <f>IF($J144="","",SUMIFS('Hours Log'!$D:$D,'Hours Log'!$A:$A,"&gt;="&amp;$J144,'Hours Log'!$A:$A,"&lt;"&amp;$J144+7))</f>
        <v/>
      </c>
      <c r="E144" t="str">
        <f t="shared" si="4"/>
        <v/>
      </c>
      <c r="F144" t="str">
        <f t="shared" si="5"/>
        <v/>
      </c>
      <c r="G144" t="str">
        <f>IF($J144="","",SUMIFS('Hours Log'!$E:$E,'Hours Log'!$A:$A,"&gt;="&amp;$J144,'Hours Log'!$A:$A,"&lt;"&amp;$J144+7))</f>
        <v/>
      </c>
      <c r="J144" t="str">
        <f>IF(COUNT('Hours Log'!$A$4:$A$5000)=0,"",IF(MIN('Hours Log'!$A$4:$A$5000)+7*(ROW()-10)&gt;MAX('Hours Log'!$A$4:$A$5000),"",MIN('Hours Log'!$A$4:$A$5000)+7*(ROW()-10)))</f>
        <v/>
      </c>
    </row>
    <row r="145" spans="1:10" x14ac:dyDescent="0.25">
      <c r="A145" t="str">
        <f>IF($J145="","",YEAR($J145-WEEKDAY($J145,2)+4)&amp;"-W"&amp;TEXT(_xludf.ISOWEEKNUM($J145),"00"))</f>
        <v/>
      </c>
      <c r="B145"/>
      <c r="C145" t="str">
        <f>IF($J145="","",SUMIFS('Hours Log'!$C:$C,'Hours Log'!$A:$A,"&gt;="&amp;$J145,'Hours Log'!$A:$A,"&lt;"&amp;$J145+7)+SUMIFS('Hours Log'!$D:$D,'Hours Log'!$A:$A,"&gt;="&amp;$J145,'Hours Log'!$A:$A,"&lt;"&amp;$J145+7))</f>
        <v/>
      </c>
      <c r="D145" t="str">
        <f>IF($J145="","",SUMIFS('Hours Log'!$D:$D,'Hours Log'!$A:$A,"&gt;="&amp;$J145,'Hours Log'!$A:$A,"&lt;"&amp;$J145+7))</f>
        <v/>
      </c>
      <c r="E145" t="str">
        <f t="shared" si="4"/>
        <v/>
      </c>
      <c r="F145" t="str">
        <f t="shared" si="5"/>
        <v/>
      </c>
      <c r="G145" t="str">
        <f>IF($J145="","",SUMIFS('Hours Log'!$E:$E,'Hours Log'!$A:$A,"&gt;="&amp;$J145,'Hours Log'!$A:$A,"&lt;"&amp;$J145+7))</f>
        <v/>
      </c>
      <c r="J145" t="str">
        <f>IF(COUNT('Hours Log'!$A$4:$A$5000)=0,"",IF(MIN('Hours Log'!$A$4:$A$5000)+7*(ROW()-10)&gt;MAX('Hours Log'!$A$4:$A$5000),"",MIN('Hours Log'!$A$4:$A$5000)+7*(ROW()-10)))</f>
        <v/>
      </c>
    </row>
    <row r="146" spans="1:10" x14ac:dyDescent="0.25">
      <c r="A146" t="str">
        <f>IF($J146="","",YEAR($J146-WEEKDAY($J146,2)+4)&amp;"-W"&amp;TEXT(_xludf.ISOWEEKNUM($J146),"00"))</f>
        <v/>
      </c>
      <c r="B146"/>
      <c r="C146" t="str">
        <f>IF($J146="","",SUMIFS('Hours Log'!$C:$C,'Hours Log'!$A:$A,"&gt;="&amp;$J146,'Hours Log'!$A:$A,"&lt;"&amp;$J146+7)+SUMIFS('Hours Log'!$D:$D,'Hours Log'!$A:$A,"&gt;="&amp;$J146,'Hours Log'!$A:$A,"&lt;"&amp;$J146+7))</f>
        <v/>
      </c>
      <c r="D146" t="str">
        <f>IF($J146="","",SUMIFS('Hours Log'!$D:$D,'Hours Log'!$A:$A,"&gt;="&amp;$J146,'Hours Log'!$A:$A,"&lt;"&amp;$J146+7))</f>
        <v/>
      </c>
      <c r="E146" t="str">
        <f t="shared" si="4"/>
        <v/>
      </c>
      <c r="F146" t="str">
        <f t="shared" si="5"/>
        <v/>
      </c>
      <c r="G146" t="str">
        <f>IF($J146="","",SUMIFS('Hours Log'!$E:$E,'Hours Log'!$A:$A,"&gt;="&amp;$J146,'Hours Log'!$A:$A,"&lt;"&amp;$J146+7))</f>
        <v/>
      </c>
      <c r="J146" t="str">
        <f>IF(COUNT('Hours Log'!$A$4:$A$5000)=0,"",IF(MIN('Hours Log'!$A$4:$A$5000)+7*(ROW()-10)&gt;MAX('Hours Log'!$A$4:$A$5000),"",MIN('Hours Log'!$A$4:$A$5000)+7*(ROW()-10)))</f>
        <v/>
      </c>
    </row>
    <row r="147" spans="1:10" x14ac:dyDescent="0.25">
      <c r="A147" t="str">
        <f>IF($J147="","",YEAR($J147-WEEKDAY($J147,2)+4)&amp;"-W"&amp;TEXT(_xludf.ISOWEEKNUM($J147),"00"))</f>
        <v/>
      </c>
      <c r="B147"/>
      <c r="C147" t="str">
        <f>IF($J147="","",SUMIFS('Hours Log'!$C:$C,'Hours Log'!$A:$A,"&gt;="&amp;$J147,'Hours Log'!$A:$A,"&lt;"&amp;$J147+7)+SUMIFS('Hours Log'!$D:$D,'Hours Log'!$A:$A,"&gt;="&amp;$J147,'Hours Log'!$A:$A,"&lt;"&amp;$J147+7))</f>
        <v/>
      </c>
      <c r="D147" t="str">
        <f>IF($J147="","",SUMIFS('Hours Log'!$D:$D,'Hours Log'!$A:$A,"&gt;="&amp;$J147,'Hours Log'!$A:$A,"&lt;"&amp;$J147+7))</f>
        <v/>
      </c>
      <c r="E147" t="str">
        <f t="shared" si="4"/>
        <v/>
      </c>
      <c r="F147" t="str">
        <f t="shared" si="5"/>
        <v/>
      </c>
      <c r="G147" t="str">
        <f>IF($J147="","",SUMIFS('Hours Log'!$E:$E,'Hours Log'!$A:$A,"&gt;="&amp;$J147,'Hours Log'!$A:$A,"&lt;"&amp;$J147+7))</f>
        <v/>
      </c>
      <c r="J147" t="str">
        <f>IF(COUNT('Hours Log'!$A$4:$A$5000)=0,"",IF(MIN('Hours Log'!$A$4:$A$5000)+7*(ROW()-10)&gt;MAX('Hours Log'!$A$4:$A$5000),"",MIN('Hours Log'!$A$4:$A$5000)+7*(ROW()-10)))</f>
        <v/>
      </c>
    </row>
    <row r="148" spans="1:10" x14ac:dyDescent="0.25">
      <c r="A148" t="str">
        <f>IF($J148="","",YEAR($J148-WEEKDAY($J148,2)+4)&amp;"-W"&amp;TEXT(_xludf.ISOWEEKNUM($J148),"00"))</f>
        <v/>
      </c>
      <c r="B148"/>
      <c r="C148" t="str">
        <f>IF($J148="","",SUMIFS('Hours Log'!$C:$C,'Hours Log'!$A:$A,"&gt;="&amp;$J148,'Hours Log'!$A:$A,"&lt;"&amp;$J148+7)+SUMIFS('Hours Log'!$D:$D,'Hours Log'!$A:$A,"&gt;="&amp;$J148,'Hours Log'!$A:$A,"&lt;"&amp;$J148+7))</f>
        <v/>
      </c>
      <c r="D148" t="str">
        <f>IF($J148="","",SUMIFS('Hours Log'!$D:$D,'Hours Log'!$A:$A,"&gt;="&amp;$J148,'Hours Log'!$A:$A,"&lt;"&amp;$J148+7))</f>
        <v/>
      </c>
      <c r="E148" t="str">
        <f t="shared" si="4"/>
        <v/>
      </c>
      <c r="F148" t="str">
        <f t="shared" si="5"/>
        <v/>
      </c>
      <c r="G148" t="str">
        <f>IF($J148="","",SUMIFS('Hours Log'!$E:$E,'Hours Log'!$A:$A,"&gt;="&amp;$J148,'Hours Log'!$A:$A,"&lt;"&amp;$J148+7))</f>
        <v/>
      </c>
      <c r="J148" t="str">
        <f>IF(COUNT('Hours Log'!$A$4:$A$5000)=0,"",IF(MIN('Hours Log'!$A$4:$A$5000)+7*(ROW()-10)&gt;MAX('Hours Log'!$A$4:$A$5000),"",MIN('Hours Log'!$A$4:$A$5000)+7*(ROW()-10)))</f>
        <v/>
      </c>
    </row>
    <row r="149" spans="1:10" x14ac:dyDescent="0.25">
      <c r="A149" t="str">
        <f>IF($J149="","",YEAR($J149-WEEKDAY($J149,2)+4)&amp;"-W"&amp;TEXT(_xludf.ISOWEEKNUM($J149),"00"))</f>
        <v/>
      </c>
      <c r="B149"/>
      <c r="C149" t="str">
        <f>IF($J149="","",SUMIFS('Hours Log'!$C:$C,'Hours Log'!$A:$A,"&gt;="&amp;$J149,'Hours Log'!$A:$A,"&lt;"&amp;$J149+7)+SUMIFS('Hours Log'!$D:$D,'Hours Log'!$A:$A,"&gt;="&amp;$J149,'Hours Log'!$A:$A,"&lt;"&amp;$J149+7))</f>
        <v/>
      </c>
      <c r="D149" t="str">
        <f>IF($J149="","",SUMIFS('Hours Log'!$D:$D,'Hours Log'!$A:$A,"&gt;="&amp;$J149,'Hours Log'!$A:$A,"&lt;"&amp;$J149+7))</f>
        <v/>
      </c>
      <c r="E149" t="str">
        <f t="shared" si="4"/>
        <v/>
      </c>
      <c r="F149" t="str">
        <f t="shared" si="5"/>
        <v/>
      </c>
      <c r="G149" t="str">
        <f>IF($J149="","",SUMIFS('Hours Log'!$E:$E,'Hours Log'!$A:$A,"&gt;="&amp;$J149,'Hours Log'!$A:$A,"&lt;"&amp;$J149+7))</f>
        <v/>
      </c>
      <c r="J149" t="str">
        <f>IF(COUNT('Hours Log'!$A$4:$A$5000)=0,"",IF(MIN('Hours Log'!$A$4:$A$5000)+7*(ROW()-10)&gt;MAX('Hours Log'!$A$4:$A$5000),"",MIN('Hours Log'!$A$4:$A$5000)+7*(ROW()-10)))</f>
        <v/>
      </c>
    </row>
    <row r="150" spans="1:10" x14ac:dyDescent="0.25">
      <c r="A150" t="str">
        <f>IF($J150="","",YEAR($J150-WEEKDAY($J150,2)+4)&amp;"-W"&amp;TEXT(_xludf.ISOWEEKNUM($J150),"00"))</f>
        <v/>
      </c>
      <c r="B150"/>
      <c r="C150" t="str">
        <f>IF($J150="","",SUMIFS('Hours Log'!$C:$C,'Hours Log'!$A:$A,"&gt;="&amp;$J150,'Hours Log'!$A:$A,"&lt;"&amp;$J150+7)+SUMIFS('Hours Log'!$D:$D,'Hours Log'!$A:$A,"&gt;="&amp;$J150,'Hours Log'!$A:$A,"&lt;"&amp;$J150+7))</f>
        <v/>
      </c>
      <c r="D150" t="str">
        <f>IF($J150="","",SUMIFS('Hours Log'!$D:$D,'Hours Log'!$A:$A,"&gt;="&amp;$J150,'Hours Log'!$A:$A,"&lt;"&amp;$J150+7))</f>
        <v/>
      </c>
      <c r="E150" t="str">
        <f t="shared" si="4"/>
        <v/>
      </c>
      <c r="F150" t="str">
        <f t="shared" si="5"/>
        <v/>
      </c>
      <c r="G150" t="str">
        <f>IF($J150="","",SUMIFS('Hours Log'!$E:$E,'Hours Log'!$A:$A,"&gt;="&amp;$J150,'Hours Log'!$A:$A,"&lt;"&amp;$J150+7))</f>
        <v/>
      </c>
      <c r="J150" t="str">
        <f>IF(COUNT('Hours Log'!$A$4:$A$5000)=0,"",IF(MIN('Hours Log'!$A$4:$A$5000)+7*(ROW()-10)&gt;MAX('Hours Log'!$A$4:$A$5000),"",MIN('Hours Log'!$A$4:$A$5000)+7*(ROW()-10)))</f>
        <v/>
      </c>
    </row>
    <row r="151" spans="1:10" x14ac:dyDescent="0.25">
      <c r="A151" t="str">
        <f>IF($J151="","",YEAR($J151-WEEKDAY($J151,2)+4)&amp;"-W"&amp;TEXT(_xludf.ISOWEEKNUM($J151),"00"))</f>
        <v/>
      </c>
      <c r="B151"/>
      <c r="C151" t="str">
        <f>IF($J151="","",SUMIFS('Hours Log'!$C:$C,'Hours Log'!$A:$A,"&gt;="&amp;$J151,'Hours Log'!$A:$A,"&lt;"&amp;$J151+7)+SUMIFS('Hours Log'!$D:$D,'Hours Log'!$A:$A,"&gt;="&amp;$J151,'Hours Log'!$A:$A,"&lt;"&amp;$J151+7))</f>
        <v/>
      </c>
      <c r="D151" t="str">
        <f>IF($J151="","",SUMIFS('Hours Log'!$D:$D,'Hours Log'!$A:$A,"&gt;="&amp;$J151,'Hours Log'!$A:$A,"&lt;"&amp;$J151+7))</f>
        <v/>
      </c>
      <c r="E151" t="str">
        <f t="shared" si="4"/>
        <v/>
      </c>
      <c r="F151" t="str">
        <f t="shared" si="5"/>
        <v/>
      </c>
      <c r="G151" t="str">
        <f>IF($J151="","",SUMIFS('Hours Log'!$E:$E,'Hours Log'!$A:$A,"&gt;="&amp;$J151,'Hours Log'!$A:$A,"&lt;"&amp;$J151+7))</f>
        <v/>
      </c>
      <c r="J151" t="str">
        <f>IF(COUNT('Hours Log'!$A$4:$A$5000)=0,"",IF(MIN('Hours Log'!$A$4:$A$5000)+7*(ROW()-10)&gt;MAX('Hours Log'!$A$4:$A$5000),"",MIN('Hours Log'!$A$4:$A$5000)+7*(ROW()-10)))</f>
        <v/>
      </c>
    </row>
    <row r="152" spans="1:10" x14ac:dyDescent="0.25">
      <c r="A152" t="str">
        <f>IF($J152="","",YEAR($J152-WEEKDAY($J152,2)+4)&amp;"-W"&amp;TEXT(_xludf.ISOWEEKNUM($J152),"00"))</f>
        <v/>
      </c>
      <c r="B152"/>
      <c r="C152" t="str">
        <f>IF($J152="","",SUMIFS('Hours Log'!$C:$C,'Hours Log'!$A:$A,"&gt;="&amp;$J152,'Hours Log'!$A:$A,"&lt;"&amp;$J152+7)+SUMIFS('Hours Log'!$D:$D,'Hours Log'!$A:$A,"&gt;="&amp;$J152,'Hours Log'!$A:$A,"&lt;"&amp;$J152+7))</f>
        <v/>
      </c>
      <c r="D152" t="str">
        <f>IF($J152="","",SUMIFS('Hours Log'!$D:$D,'Hours Log'!$A:$A,"&gt;="&amp;$J152,'Hours Log'!$A:$A,"&lt;"&amp;$J152+7))</f>
        <v/>
      </c>
      <c r="E152" t="str">
        <f t="shared" si="4"/>
        <v/>
      </c>
      <c r="F152" t="str">
        <f t="shared" si="5"/>
        <v/>
      </c>
      <c r="G152" t="str">
        <f>IF($J152="","",SUMIFS('Hours Log'!$E:$E,'Hours Log'!$A:$A,"&gt;="&amp;$J152,'Hours Log'!$A:$A,"&lt;"&amp;$J152+7))</f>
        <v/>
      </c>
      <c r="J152" t="str">
        <f>IF(COUNT('Hours Log'!$A$4:$A$5000)=0,"",IF(MIN('Hours Log'!$A$4:$A$5000)+7*(ROW()-10)&gt;MAX('Hours Log'!$A$4:$A$5000),"",MIN('Hours Log'!$A$4:$A$5000)+7*(ROW()-10)))</f>
        <v/>
      </c>
    </row>
    <row r="153" spans="1:10" x14ac:dyDescent="0.25">
      <c r="A153" t="str">
        <f>IF($J153="","",YEAR($J153-WEEKDAY($J153,2)+4)&amp;"-W"&amp;TEXT(_xludf.ISOWEEKNUM($J153),"00"))</f>
        <v/>
      </c>
      <c r="B153"/>
      <c r="C153" t="str">
        <f>IF($J153="","",SUMIFS('Hours Log'!$C:$C,'Hours Log'!$A:$A,"&gt;="&amp;$J153,'Hours Log'!$A:$A,"&lt;"&amp;$J153+7)+SUMIFS('Hours Log'!$D:$D,'Hours Log'!$A:$A,"&gt;="&amp;$J153,'Hours Log'!$A:$A,"&lt;"&amp;$J153+7))</f>
        <v/>
      </c>
      <c r="D153" t="str">
        <f>IF($J153="","",SUMIFS('Hours Log'!$D:$D,'Hours Log'!$A:$A,"&gt;="&amp;$J153,'Hours Log'!$A:$A,"&lt;"&amp;$J153+7))</f>
        <v/>
      </c>
      <c r="E153" t="str">
        <f t="shared" si="4"/>
        <v/>
      </c>
      <c r="F153" t="str">
        <f t="shared" si="5"/>
        <v/>
      </c>
      <c r="G153" t="str">
        <f>IF($J153="","",SUMIFS('Hours Log'!$E:$E,'Hours Log'!$A:$A,"&gt;="&amp;$J153,'Hours Log'!$A:$A,"&lt;"&amp;$J153+7))</f>
        <v/>
      </c>
      <c r="J153" t="str">
        <f>IF(COUNT('Hours Log'!$A$4:$A$5000)=0,"",IF(MIN('Hours Log'!$A$4:$A$5000)+7*(ROW()-10)&gt;MAX('Hours Log'!$A$4:$A$5000),"",MIN('Hours Log'!$A$4:$A$5000)+7*(ROW()-10)))</f>
        <v/>
      </c>
    </row>
    <row r="154" spans="1:10" x14ac:dyDescent="0.25">
      <c r="A154" t="str">
        <f>IF($J154="","",YEAR($J154-WEEKDAY($J154,2)+4)&amp;"-W"&amp;TEXT(_xludf.ISOWEEKNUM($J154),"00"))</f>
        <v/>
      </c>
      <c r="B154"/>
      <c r="C154" t="str">
        <f>IF($J154="","",SUMIFS('Hours Log'!$C:$C,'Hours Log'!$A:$A,"&gt;="&amp;$J154,'Hours Log'!$A:$A,"&lt;"&amp;$J154+7)+SUMIFS('Hours Log'!$D:$D,'Hours Log'!$A:$A,"&gt;="&amp;$J154,'Hours Log'!$A:$A,"&lt;"&amp;$J154+7))</f>
        <v/>
      </c>
      <c r="D154" t="str">
        <f>IF($J154="","",SUMIFS('Hours Log'!$D:$D,'Hours Log'!$A:$A,"&gt;="&amp;$J154,'Hours Log'!$A:$A,"&lt;"&amp;$J154+7))</f>
        <v/>
      </c>
      <c r="E154" t="str">
        <f t="shared" si="4"/>
        <v/>
      </c>
      <c r="F154" t="str">
        <f t="shared" si="5"/>
        <v/>
      </c>
      <c r="G154" t="str">
        <f>IF($J154="","",SUMIFS('Hours Log'!$E:$E,'Hours Log'!$A:$A,"&gt;="&amp;$J154,'Hours Log'!$A:$A,"&lt;"&amp;$J154+7))</f>
        <v/>
      </c>
      <c r="J154" t="str">
        <f>IF(COUNT('Hours Log'!$A$4:$A$5000)=0,"",IF(MIN('Hours Log'!$A$4:$A$5000)+7*(ROW()-10)&gt;MAX('Hours Log'!$A$4:$A$5000),"",MIN('Hours Log'!$A$4:$A$5000)+7*(ROW()-10)))</f>
        <v/>
      </c>
    </row>
    <row r="155" spans="1:10" x14ac:dyDescent="0.25">
      <c r="A155" t="str">
        <f>IF($J155="","",YEAR($J155-WEEKDAY($J155,2)+4)&amp;"-W"&amp;TEXT(_xludf.ISOWEEKNUM($J155),"00"))</f>
        <v/>
      </c>
      <c r="B155"/>
      <c r="C155" t="str">
        <f>IF($J155="","",SUMIFS('Hours Log'!$C:$C,'Hours Log'!$A:$A,"&gt;="&amp;$J155,'Hours Log'!$A:$A,"&lt;"&amp;$J155+7)+SUMIFS('Hours Log'!$D:$D,'Hours Log'!$A:$A,"&gt;="&amp;$J155,'Hours Log'!$A:$A,"&lt;"&amp;$J155+7))</f>
        <v/>
      </c>
      <c r="D155" t="str">
        <f>IF($J155="","",SUMIFS('Hours Log'!$D:$D,'Hours Log'!$A:$A,"&gt;="&amp;$J155,'Hours Log'!$A:$A,"&lt;"&amp;$J155+7))</f>
        <v/>
      </c>
      <c r="E155" t="str">
        <f t="shared" si="4"/>
        <v/>
      </c>
      <c r="F155" t="str">
        <f t="shared" si="5"/>
        <v/>
      </c>
      <c r="G155" t="str">
        <f>IF($J155="","",SUMIFS('Hours Log'!$E:$E,'Hours Log'!$A:$A,"&gt;="&amp;$J155,'Hours Log'!$A:$A,"&lt;"&amp;$J155+7))</f>
        <v/>
      </c>
      <c r="J155" t="str">
        <f>IF(COUNT('Hours Log'!$A$4:$A$5000)=0,"",IF(MIN('Hours Log'!$A$4:$A$5000)+7*(ROW()-10)&gt;MAX('Hours Log'!$A$4:$A$5000),"",MIN('Hours Log'!$A$4:$A$5000)+7*(ROW()-10)))</f>
        <v/>
      </c>
    </row>
    <row r="156" spans="1:10" x14ac:dyDescent="0.25">
      <c r="A156" t="str">
        <f>IF($J156="","",YEAR($J156-WEEKDAY($J156,2)+4)&amp;"-W"&amp;TEXT(_xludf.ISOWEEKNUM($J156),"00"))</f>
        <v/>
      </c>
      <c r="B156"/>
      <c r="C156" t="str">
        <f>IF($J156="","",SUMIFS('Hours Log'!$C:$C,'Hours Log'!$A:$A,"&gt;="&amp;$J156,'Hours Log'!$A:$A,"&lt;"&amp;$J156+7)+SUMIFS('Hours Log'!$D:$D,'Hours Log'!$A:$A,"&gt;="&amp;$J156,'Hours Log'!$A:$A,"&lt;"&amp;$J156+7))</f>
        <v/>
      </c>
      <c r="D156" t="str">
        <f>IF($J156="","",SUMIFS('Hours Log'!$D:$D,'Hours Log'!$A:$A,"&gt;="&amp;$J156,'Hours Log'!$A:$A,"&lt;"&amp;$J156+7))</f>
        <v/>
      </c>
      <c r="E156" t="str">
        <f t="shared" si="4"/>
        <v/>
      </c>
      <c r="F156" t="str">
        <f t="shared" si="5"/>
        <v/>
      </c>
      <c r="G156" t="str">
        <f>IF($J156="","",SUMIFS('Hours Log'!$E:$E,'Hours Log'!$A:$A,"&gt;="&amp;$J156,'Hours Log'!$A:$A,"&lt;"&amp;$J156+7))</f>
        <v/>
      </c>
      <c r="J156" t="str">
        <f>IF(COUNT('Hours Log'!$A$4:$A$5000)=0,"",IF(MIN('Hours Log'!$A$4:$A$5000)+7*(ROW()-10)&gt;MAX('Hours Log'!$A$4:$A$5000),"",MIN('Hours Log'!$A$4:$A$5000)+7*(ROW()-10)))</f>
        <v/>
      </c>
    </row>
    <row r="157" spans="1:10" x14ac:dyDescent="0.25">
      <c r="A157" t="str">
        <f>IF($J157="","",YEAR($J157-WEEKDAY($J157,2)+4)&amp;"-W"&amp;TEXT(_xludf.ISOWEEKNUM($J157),"00"))</f>
        <v/>
      </c>
      <c r="B157"/>
      <c r="C157" t="str">
        <f>IF($J157="","",SUMIFS('Hours Log'!$C:$C,'Hours Log'!$A:$A,"&gt;="&amp;$J157,'Hours Log'!$A:$A,"&lt;"&amp;$J157+7)+SUMIFS('Hours Log'!$D:$D,'Hours Log'!$A:$A,"&gt;="&amp;$J157,'Hours Log'!$A:$A,"&lt;"&amp;$J157+7))</f>
        <v/>
      </c>
      <c r="D157" t="str">
        <f>IF($J157="","",SUMIFS('Hours Log'!$D:$D,'Hours Log'!$A:$A,"&gt;="&amp;$J157,'Hours Log'!$A:$A,"&lt;"&amp;$J157+7))</f>
        <v/>
      </c>
      <c r="E157" t="str">
        <f t="shared" si="4"/>
        <v/>
      </c>
      <c r="F157" t="str">
        <f t="shared" si="5"/>
        <v/>
      </c>
      <c r="G157" t="str">
        <f>IF($J157="","",SUMIFS('Hours Log'!$E:$E,'Hours Log'!$A:$A,"&gt;="&amp;$J157,'Hours Log'!$A:$A,"&lt;"&amp;$J157+7))</f>
        <v/>
      </c>
      <c r="J157" t="str">
        <f>IF(COUNT('Hours Log'!$A$4:$A$5000)=0,"",IF(MIN('Hours Log'!$A$4:$A$5000)+7*(ROW()-10)&gt;MAX('Hours Log'!$A$4:$A$5000),"",MIN('Hours Log'!$A$4:$A$5000)+7*(ROW()-10)))</f>
        <v/>
      </c>
    </row>
    <row r="158" spans="1:10" x14ac:dyDescent="0.25">
      <c r="A158" t="str">
        <f>IF($J158="","",YEAR($J158-WEEKDAY($J158,2)+4)&amp;"-W"&amp;TEXT(_xludf.ISOWEEKNUM($J158),"00"))</f>
        <v/>
      </c>
      <c r="B158"/>
      <c r="C158" t="str">
        <f>IF($J158="","",SUMIFS('Hours Log'!$C:$C,'Hours Log'!$A:$A,"&gt;="&amp;$J158,'Hours Log'!$A:$A,"&lt;"&amp;$J158+7)+SUMIFS('Hours Log'!$D:$D,'Hours Log'!$A:$A,"&gt;="&amp;$J158,'Hours Log'!$A:$A,"&lt;"&amp;$J158+7))</f>
        <v/>
      </c>
      <c r="D158" t="str">
        <f>IF($J158="","",SUMIFS('Hours Log'!$D:$D,'Hours Log'!$A:$A,"&gt;="&amp;$J158,'Hours Log'!$A:$A,"&lt;"&amp;$J158+7))</f>
        <v/>
      </c>
      <c r="E158" t="str">
        <f t="shared" si="4"/>
        <v/>
      </c>
      <c r="F158" t="str">
        <f t="shared" si="5"/>
        <v/>
      </c>
      <c r="G158" t="str">
        <f>IF($J158="","",SUMIFS('Hours Log'!$E:$E,'Hours Log'!$A:$A,"&gt;="&amp;$J158,'Hours Log'!$A:$A,"&lt;"&amp;$J158+7))</f>
        <v/>
      </c>
      <c r="J158" t="str">
        <f>IF(COUNT('Hours Log'!$A$4:$A$5000)=0,"",IF(MIN('Hours Log'!$A$4:$A$5000)+7*(ROW()-10)&gt;MAX('Hours Log'!$A$4:$A$5000),"",MIN('Hours Log'!$A$4:$A$5000)+7*(ROW()-10)))</f>
        <v/>
      </c>
    </row>
    <row r="159" spans="1:10" x14ac:dyDescent="0.25">
      <c r="A159" t="str">
        <f>IF($J159="","",YEAR($J159-WEEKDAY($J159,2)+4)&amp;"-W"&amp;TEXT(_xludf.ISOWEEKNUM($J159),"00"))</f>
        <v/>
      </c>
      <c r="B159"/>
      <c r="C159" t="str">
        <f>IF($J159="","",SUMIFS('Hours Log'!$C:$C,'Hours Log'!$A:$A,"&gt;="&amp;$J159,'Hours Log'!$A:$A,"&lt;"&amp;$J159+7)+SUMIFS('Hours Log'!$D:$D,'Hours Log'!$A:$A,"&gt;="&amp;$J159,'Hours Log'!$A:$A,"&lt;"&amp;$J159+7))</f>
        <v/>
      </c>
      <c r="D159" t="str">
        <f>IF($J159="","",SUMIFS('Hours Log'!$D:$D,'Hours Log'!$A:$A,"&gt;="&amp;$J159,'Hours Log'!$A:$A,"&lt;"&amp;$J159+7))</f>
        <v/>
      </c>
      <c r="E159" t="str">
        <f t="shared" si="4"/>
        <v/>
      </c>
      <c r="F159" t="str">
        <f t="shared" si="5"/>
        <v/>
      </c>
      <c r="G159" t="str">
        <f>IF($J159="","",SUMIFS('Hours Log'!$E:$E,'Hours Log'!$A:$A,"&gt;="&amp;$J159,'Hours Log'!$A:$A,"&lt;"&amp;$J159+7))</f>
        <v/>
      </c>
      <c r="J159" t="str">
        <f>IF(COUNT('Hours Log'!$A$4:$A$5000)=0,"",IF(MIN('Hours Log'!$A$4:$A$5000)+7*(ROW()-10)&gt;MAX('Hours Log'!$A$4:$A$5000),"",MIN('Hours Log'!$A$4:$A$5000)+7*(ROW()-10)))</f>
        <v/>
      </c>
    </row>
    <row r="160" spans="1:10" x14ac:dyDescent="0.25">
      <c r="A160" t="str">
        <f>IF($J160="","",YEAR($J160-WEEKDAY($J160,2)+4)&amp;"-W"&amp;TEXT(_xludf.ISOWEEKNUM($J160),"00"))</f>
        <v/>
      </c>
      <c r="B160"/>
      <c r="C160" t="str">
        <f>IF($J160="","",SUMIFS('Hours Log'!$C:$C,'Hours Log'!$A:$A,"&gt;="&amp;$J160,'Hours Log'!$A:$A,"&lt;"&amp;$J160+7)+SUMIFS('Hours Log'!$D:$D,'Hours Log'!$A:$A,"&gt;="&amp;$J160,'Hours Log'!$A:$A,"&lt;"&amp;$J160+7))</f>
        <v/>
      </c>
      <c r="D160" t="str">
        <f>IF($J160="","",SUMIFS('Hours Log'!$D:$D,'Hours Log'!$A:$A,"&gt;="&amp;$J160,'Hours Log'!$A:$A,"&lt;"&amp;$J160+7))</f>
        <v/>
      </c>
      <c r="E160" t="str">
        <f t="shared" si="4"/>
        <v/>
      </c>
      <c r="F160" t="str">
        <f t="shared" si="5"/>
        <v/>
      </c>
      <c r="G160" t="str">
        <f>IF($J160="","",SUMIFS('Hours Log'!$E:$E,'Hours Log'!$A:$A,"&gt;="&amp;$J160,'Hours Log'!$A:$A,"&lt;"&amp;$J160+7))</f>
        <v/>
      </c>
      <c r="J160" t="str">
        <f>IF(COUNT('Hours Log'!$A$4:$A$5000)=0,"",IF(MIN('Hours Log'!$A$4:$A$5000)+7*(ROW()-10)&gt;MAX('Hours Log'!$A$4:$A$5000),"",MIN('Hours Log'!$A$4:$A$5000)+7*(ROW()-10)))</f>
        <v/>
      </c>
    </row>
    <row r="161" spans="1:10" x14ac:dyDescent="0.25">
      <c r="A161" t="str">
        <f>IF($J161="","",YEAR($J161-WEEKDAY($J161,2)+4)&amp;"-W"&amp;TEXT(_xludf.ISOWEEKNUM($J161),"00"))</f>
        <v/>
      </c>
      <c r="B161"/>
      <c r="C161" t="str">
        <f>IF($J161="","",SUMIFS('Hours Log'!$C:$C,'Hours Log'!$A:$A,"&gt;="&amp;$J161,'Hours Log'!$A:$A,"&lt;"&amp;$J161+7)+SUMIFS('Hours Log'!$D:$D,'Hours Log'!$A:$A,"&gt;="&amp;$J161,'Hours Log'!$A:$A,"&lt;"&amp;$J161+7))</f>
        <v/>
      </c>
      <c r="D161" t="str">
        <f>IF($J161="","",SUMIFS('Hours Log'!$D:$D,'Hours Log'!$A:$A,"&gt;="&amp;$J161,'Hours Log'!$A:$A,"&lt;"&amp;$J161+7))</f>
        <v/>
      </c>
      <c r="E161" t="str">
        <f t="shared" si="4"/>
        <v/>
      </c>
      <c r="F161" t="str">
        <f t="shared" si="5"/>
        <v/>
      </c>
      <c r="G161" t="str">
        <f>IF($J161="","",SUMIFS('Hours Log'!$E:$E,'Hours Log'!$A:$A,"&gt;="&amp;$J161,'Hours Log'!$A:$A,"&lt;"&amp;$J161+7))</f>
        <v/>
      </c>
      <c r="J161" t="str">
        <f>IF(COUNT('Hours Log'!$A$4:$A$5000)=0,"",IF(MIN('Hours Log'!$A$4:$A$5000)+7*(ROW()-10)&gt;MAX('Hours Log'!$A$4:$A$5000),"",MIN('Hours Log'!$A$4:$A$5000)+7*(ROW()-10)))</f>
        <v/>
      </c>
    </row>
    <row r="162" spans="1:10" x14ac:dyDescent="0.25">
      <c r="A162" t="str">
        <f>IF($J162="","",YEAR($J162-WEEKDAY($J162,2)+4)&amp;"-W"&amp;TEXT(_xludf.ISOWEEKNUM($J162),"00"))</f>
        <v/>
      </c>
      <c r="B162"/>
      <c r="C162" t="str">
        <f>IF($J162="","",SUMIFS('Hours Log'!$C:$C,'Hours Log'!$A:$A,"&gt;="&amp;$J162,'Hours Log'!$A:$A,"&lt;"&amp;$J162+7)+SUMIFS('Hours Log'!$D:$D,'Hours Log'!$A:$A,"&gt;="&amp;$J162,'Hours Log'!$A:$A,"&lt;"&amp;$J162+7))</f>
        <v/>
      </c>
      <c r="D162" t="str">
        <f>IF($J162="","",SUMIFS('Hours Log'!$D:$D,'Hours Log'!$A:$A,"&gt;="&amp;$J162,'Hours Log'!$A:$A,"&lt;"&amp;$J162+7))</f>
        <v/>
      </c>
      <c r="E162" t="str">
        <f t="shared" si="4"/>
        <v/>
      </c>
      <c r="F162" t="str">
        <f t="shared" si="5"/>
        <v/>
      </c>
      <c r="G162" t="str">
        <f>IF($J162="","",SUMIFS('Hours Log'!$E:$E,'Hours Log'!$A:$A,"&gt;="&amp;$J162,'Hours Log'!$A:$A,"&lt;"&amp;$J162+7))</f>
        <v/>
      </c>
      <c r="J162" t="str">
        <f>IF(COUNT('Hours Log'!$A$4:$A$5000)=0,"",IF(MIN('Hours Log'!$A$4:$A$5000)+7*(ROW()-10)&gt;MAX('Hours Log'!$A$4:$A$5000),"",MIN('Hours Log'!$A$4:$A$5000)+7*(ROW()-10)))</f>
        <v/>
      </c>
    </row>
    <row r="163" spans="1:10" x14ac:dyDescent="0.25">
      <c r="A163" t="str">
        <f>IF($J163="","",YEAR($J163-WEEKDAY($J163,2)+4)&amp;"-W"&amp;TEXT(_xludf.ISOWEEKNUM($J163),"00"))</f>
        <v/>
      </c>
      <c r="B163"/>
      <c r="C163" t="str">
        <f>IF($J163="","",SUMIFS('Hours Log'!$C:$C,'Hours Log'!$A:$A,"&gt;="&amp;$J163,'Hours Log'!$A:$A,"&lt;"&amp;$J163+7)+SUMIFS('Hours Log'!$D:$D,'Hours Log'!$A:$A,"&gt;="&amp;$J163,'Hours Log'!$A:$A,"&lt;"&amp;$J163+7))</f>
        <v/>
      </c>
      <c r="D163" t="str">
        <f>IF($J163="","",SUMIFS('Hours Log'!$D:$D,'Hours Log'!$A:$A,"&gt;="&amp;$J163,'Hours Log'!$A:$A,"&lt;"&amp;$J163+7))</f>
        <v/>
      </c>
      <c r="E163" t="str">
        <f t="shared" si="4"/>
        <v/>
      </c>
      <c r="F163" t="str">
        <f t="shared" si="5"/>
        <v/>
      </c>
      <c r="G163" t="str">
        <f>IF($J163="","",SUMIFS('Hours Log'!$E:$E,'Hours Log'!$A:$A,"&gt;="&amp;$J163,'Hours Log'!$A:$A,"&lt;"&amp;$J163+7))</f>
        <v/>
      </c>
      <c r="J163" t="str">
        <f>IF(COUNT('Hours Log'!$A$4:$A$5000)=0,"",IF(MIN('Hours Log'!$A$4:$A$5000)+7*(ROW()-10)&gt;MAX('Hours Log'!$A$4:$A$5000),"",MIN('Hours Log'!$A$4:$A$5000)+7*(ROW()-10)))</f>
        <v/>
      </c>
    </row>
    <row r="164" spans="1:10" x14ac:dyDescent="0.25">
      <c r="A164" t="str">
        <f>IF($J164="","",YEAR($J164-WEEKDAY($J164,2)+4)&amp;"-W"&amp;TEXT(_xludf.ISOWEEKNUM($J164),"00"))</f>
        <v/>
      </c>
      <c r="B164"/>
      <c r="C164" t="str">
        <f>IF($J164="","",SUMIFS('Hours Log'!$C:$C,'Hours Log'!$A:$A,"&gt;="&amp;$J164,'Hours Log'!$A:$A,"&lt;"&amp;$J164+7)+SUMIFS('Hours Log'!$D:$D,'Hours Log'!$A:$A,"&gt;="&amp;$J164,'Hours Log'!$A:$A,"&lt;"&amp;$J164+7))</f>
        <v/>
      </c>
      <c r="D164" t="str">
        <f>IF($J164="","",SUMIFS('Hours Log'!$D:$D,'Hours Log'!$A:$A,"&gt;="&amp;$J164,'Hours Log'!$A:$A,"&lt;"&amp;$J164+7))</f>
        <v/>
      </c>
      <c r="E164" t="str">
        <f t="shared" si="4"/>
        <v/>
      </c>
      <c r="F164" t="str">
        <f t="shared" si="5"/>
        <v/>
      </c>
      <c r="G164" t="str">
        <f>IF($J164="","",SUMIFS('Hours Log'!$E:$E,'Hours Log'!$A:$A,"&gt;="&amp;$J164,'Hours Log'!$A:$A,"&lt;"&amp;$J164+7))</f>
        <v/>
      </c>
      <c r="J164" t="str">
        <f>IF(COUNT('Hours Log'!$A$4:$A$5000)=0,"",IF(MIN('Hours Log'!$A$4:$A$5000)+7*(ROW()-10)&gt;MAX('Hours Log'!$A$4:$A$5000),"",MIN('Hours Log'!$A$4:$A$5000)+7*(ROW()-10)))</f>
        <v/>
      </c>
    </row>
    <row r="165" spans="1:10" x14ac:dyDescent="0.25">
      <c r="A165" t="str">
        <f>IF($J165="","",YEAR($J165-WEEKDAY($J165,2)+4)&amp;"-W"&amp;TEXT(_xludf.ISOWEEKNUM($J165),"00"))</f>
        <v/>
      </c>
      <c r="B165"/>
      <c r="C165" t="str">
        <f>IF($J165="","",SUMIFS('Hours Log'!$C:$C,'Hours Log'!$A:$A,"&gt;="&amp;$J165,'Hours Log'!$A:$A,"&lt;"&amp;$J165+7)+SUMIFS('Hours Log'!$D:$D,'Hours Log'!$A:$A,"&gt;="&amp;$J165,'Hours Log'!$A:$A,"&lt;"&amp;$J165+7))</f>
        <v/>
      </c>
      <c r="D165" t="str">
        <f>IF($J165="","",SUMIFS('Hours Log'!$D:$D,'Hours Log'!$A:$A,"&gt;="&amp;$J165,'Hours Log'!$A:$A,"&lt;"&amp;$J165+7))</f>
        <v/>
      </c>
      <c r="E165" t="str">
        <f t="shared" si="4"/>
        <v/>
      </c>
      <c r="F165" t="str">
        <f t="shared" si="5"/>
        <v/>
      </c>
      <c r="G165" t="str">
        <f>IF($J165="","",SUMIFS('Hours Log'!$E:$E,'Hours Log'!$A:$A,"&gt;="&amp;$J165,'Hours Log'!$A:$A,"&lt;"&amp;$J165+7))</f>
        <v/>
      </c>
      <c r="J165" t="str">
        <f>IF(COUNT('Hours Log'!$A$4:$A$5000)=0,"",IF(MIN('Hours Log'!$A$4:$A$5000)+7*(ROW()-10)&gt;MAX('Hours Log'!$A$4:$A$5000),"",MIN('Hours Log'!$A$4:$A$5000)+7*(ROW()-10)))</f>
        <v/>
      </c>
    </row>
    <row r="166" spans="1:10" x14ac:dyDescent="0.25">
      <c r="A166" t="str">
        <f>IF($J166="","",YEAR($J166-WEEKDAY($J166,2)+4)&amp;"-W"&amp;TEXT(_xludf.ISOWEEKNUM($J166),"00"))</f>
        <v/>
      </c>
      <c r="B166"/>
      <c r="C166" t="str">
        <f>IF($J166="","",SUMIFS('Hours Log'!$C:$C,'Hours Log'!$A:$A,"&gt;="&amp;$J166,'Hours Log'!$A:$A,"&lt;"&amp;$J166+7)+SUMIFS('Hours Log'!$D:$D,'Hours Log'!$A:$A,"&gt;="&amp;$J166,'Hours Log'!$A:$A,"&lt;"&amp;$J166+7))</f>
        <v/>
      </c>
      <c r="D166" t="str">
        <f>IF($J166="","",SUMIFS('Hours Log'!$D:$D,'Hours Log'!$A:$A,"&gt;="&amp;$J166,'Hours Log'!$A:$A,"&lt;"&amp;$J166+7))</f>
        <v/>
      </c>
      <c r="E166" t="str">
        <f t="shared" si="4"/>
        <v/>
      </c>
      <c r="F166" t="str">
        <f t="shared" si="5"/>
        <v/>
      </c>
      <c r="G166" t="str">
        <f>IF($J166="","",SUMIFS('Hours Log'!$E:$E,'Hours Log'!$A:$A,"&gt;="&amp;$J166,'Hours Log'!$A:$A,"&lt;"&amp;$J166+7))</f>
        <v/>
      </c>
      <c r="J166" t="str">
        <f>IF(COUNT('Hours Log'!$A$4:$A$5000)=0,"",IF(MIN('Hours Log'!$A$4:$A$5000)+7*(ROW()-10)&gt;MAX('Hours Log'!$A$4:$A$5000),"",MIN('Hours Log'!$A$4:$A$5000)+7*(ROW()-10)))</f>
        <v/>
      </c>
    </row>
    <row r="167" spans="1:10" x14ac:dyDescent="0.25">
      <c r="A167" t="str">
        <f>IF($J167="","",YEAR($J167-WEEKDAY($J167,2)+4)&amp;"-W"&amp;TEXT(_xludf.ISOWEEKNUM($J167),"00"))</f>
        <v/>
      </c>
      <c r="B167"/>
      <c r="C167" t="str">
        <f>IF($J167="","",SUMIFS('Hours Log'!$C:$C,'Hours Log'!$A:$A,"&gt;="&amp;$J167,'Hours Log'!$A:$A,"&lt;"&amp;$J167+7)+SUMIFS('Hours Log'!$D:$D,'Hours Log'!$A:$A,"&gt;="&amp;$J167,'Hours Log'!$A:$A,"&lt;"&amp;$J167+7))</f>
        <v/>
      </c>
      <c r="D167" t="str">
        <f>IF($J167="","",SUMIFS('Hours Log'!$D:$D,'Hours Log'!$A:$A,"&gt;="&amp;$J167,'Hours Log'!$A:$A,"&lt;"&amp;$J167+7))</f>
        <v/>
      </c>
      <c r="E167" t="str">
        <f t="shared" si="4"/>
        <v/>
      </c>
      <c r="F167" t="str">
        <f t="shared" si="5"/>
        <v/>
      </c>
      <c r="G167" t="str">
        <f>IF($J167="","",SUMIFS('Hours Log'!$E:$E,'Hours Log'!$A:$A,"&gt;="&amp;$J167,'Hours Log'!$A:$A,"&lt;"&amp;$J167+7))</f>
        <v/>
      </c>
      <c r="J167" t="str">
        <f>IF(COUNT('Hours Log'!$A$4:$A$5000)=0,"",IF(MIN('Hours Log'!$A$4:$A$5000)+7*(ROW()-10)&gt;MAX('Hours Log'!$A$4:$A$5000),"",MIN('Hours Log'!$A$4:$A$5000)+7*(ROW()-10)))</f>
        <v/>
      </c>
    </row>
    <row r="168" spans="1:10" x14ac:dyDescent="0.25">
      <c r="A168" t="str">
        <f>IF($J168="","",YEAR($J168-WEEKDAY($J168,2)+4)&amp;"-W"&amp;TEXT(_xludf.ISOWEEKNUM($J168),"00"))</f>
        <v/>
      </c>
      <c r="B168"/>
      <c r="C168" t="str">
        <f>IF($J168="","",SUMIFS('Hours Log'!$C:$C,'Hours Log'!$A:$A,"&gt;="&amp;$J168,'Hours Log'!$A:$A,"&lt;"&amp;$J168+7)+SUMIFS('Hours Log'!$D:$D,'Hours Log'!$A:$A,"&gt;="&amp;$J168,'Hours Log'!$A:$A,"&lt;"&amp;$J168+7))</f>
        <v/>
      </c>
      <c r="D168" t="str">
        <f>IF($J168="","",SUMIFS('Hours Log'!$D:$D,'Hours Log'!$A:$A,"&gt;="&amp;$J168,'Hours Log'!$A:$A,"&lt;"&amp;$J168+7))</f>
        <v/>
      </c>
      <c r="E168" t="str">
        <f t="shared" si="4"/>
        <v/>
      </c>
      <c r="F168" t="str">
        <f t="shared" si="5"/>
        <v/>
      </c>
      <c r="G168" t="str">
        <f>IF($J168="","",SUMIFS('Hours Log'!$E:$E,'Hours Log'!$A:$A,"&gt;="&amp;$J168,'Hours Log'!$A:$A,"&lt;"&amp;$J168+7))</f>
        <v/>
      </c>
      <c r="J168" t="str">
        <f>IF(COUNT('Hours Log'!$A$4:$A$5000)=0,"",IF(MIN('Hours Log'!$A$4:$A$5000)+7*(ROW()-10)&gt;MAX('Hours Log'!$A$4:$A$5000),"",MIN('Hours Log'!$A$4:$A$5000)+7*(ROW()-10)))</f>
        <v/>
      </c>
    </row>
    <row r="169" spans="1:10" x14ac:dyDescent="0.25">
      <c r="A169" t="str">
        <f>IF($J169="","",YEAR($J169-WEEKDAY($J169,2)+4)&amp;"-W"&amp;TEXT(_xludf.ISOWEEKNUM($J169),"00"))</f>
        <v/>
      </c>
      <c r="B169"/>
      <c r="C169" t="str">
        <f>IF($J169="","",SUMIFS('Hours Log'!$C:$C,'Hours Log'!$A:$A,"&gt;="&amp;$J169,'Hours Log'!$A:$A,"&lt;"&amp;$J169+7)+SUMIFS('Hours Log'!$D:$D,'Hours Log'!$A:$A,"&gt;="&amp;$J169,'Hours Log'!$A:$A,"&lt;"&amp;$J169+7))</f>
        <v/>
      </c>
      <c r="D169" t="str">
        <f>IF($J169="","",SUMIFS('Hours Log'!$D:$D,'Hours Log'!$A:$A,"&gt;="&amp;$J169,'Hours Log'!$A:$A,"&lt;"&amp;$J169+7))</f>
        <v/>
      </c>
      <c r="E169" t="str">
        <f t="shared" si="4"/>
        <v/>
      </c>
      <c r="F169" t="str">
        <f t="shared" si="5"/>
        <v/>
      </c>
      <c r="G169" t="str">
        <f>IF($J169="","",SUMIFS('Hours Log'!$E:$E,'Hours Log'!$A:$A,"&gt;="&amp;$J169,'Hours Log'!$A:$A,"&lt;"&amp;$J169+7))</f>
        <v/>
      </c>
      <c r="J169" t="str">
        <f>IF(COUNT('Hours Log'!$A$4:$A$5000)=0,"",IF(MIN('Hours Log'!$A$4:$A$5000)+7*(ROW()-10)&gt;MAX('Hours Log'!$A$4:$A$5000),"",MIN('Hours Log'!$A$4:$A$5000)+7*(ROW()-10)))</f>
        <v/>
      </c>
    </row>
    <row r="170" spans="1:10" x14ac:dyDescent="0.25">
      <c r="A170" t="str">
        <f>IF($J170="","",YEAR($J170-WEEKDAY($J170,2)+4)&amp;"-W"&amp;TEXT(_xludf.ISOWEEKNUM($J170),"00"))</f>
        <v/>
      </c>
      <c r="B170"/>
      <c r="C170" t="str">
        <f>IF($J170="","",SUMIFS('Hours Log'!$C:$C,'Hours Log'!$A:$A,"&gt;="&amp;$J170,'Hours Log'!$A:$A,"&lt;"&amp;$J170+7)+SUMIFS('Hours Log'!$D:$D,'Hours Log'!$A:$A,"&gt;="&amp;$J170,'Hours Log'!$A:$A,"&lt;"&amp;$J170+7))</f>
        <v/>
      </c>
      <c r="D170" t="str">
        <f>IF($J170="","",SUMIFS('Hours Log'!$D:$D,'Hours Log'!$A:$A,"&gt;="&amp;$J170,'Hours Log'!$A:$A,"&lt;"&amp;$J170+7))</f>
        <v/>
      </c>
      <c r="E170" t="str">
        <f t="shared" si="4"/>
        <v/>
      </c>
      <c r="F170" t="str">
        <f t="shared" si="5"/>
        <v/>
      </c>
      <c r="G170" t="str">
        <f>IF($J170="","",SUMIFS('Hours Log'!$E:$E,'Hours Log'!$A:$A,"&gt;="&amp;$J170,'Hours Log'!$A:$A,"&lt;"&amp;$J170+7))</f>
        <v/>
      </c>
      <c r="J170" t="str">
        <f>IF(COUNT('Hours Log'!$A$4:$A$5000)=0,"",IF(MIN('Hours Log'!$A$4:$A$5000)+7*(ROW()-10)&gt;MAX('Hours Log'!$A$4:$A$5000),"",MIN('Hours Log'!$A$4:$A$5000)+7*(ROW()-10)))</f>
        <v/>
      </c>
    </row>
    <row r="171" spans="1:10" x14ac:dyDescent="0.25">
      <c r="A171" t="str">
        <f>IF($J171="","",YEAR($J171-WEEKDAY($J171,2)+4)&amp;"-W"&amp;TEXT(_xludf.ISOWEEKNUM($J171),"00"))</f>
        <v/>
      </c>
      <c r="B171"/>
      <c r="C171" t="str">
        <f>IF($J171="","",SUMIFS('Hours Log'!$C:$C,'Hours Log'!$A:$A,"&gt;="&amp;$J171,'Hours Log'!$A:$A,"&lt;"&amp;$J171+7)+SUMIFS('Hours Log'!$D:$D,'Hours Log'!$A:$A,"&gt;="&amp;$J171,'Hours Log'!$A:$A,"&lt;"&amp;$J171+7))</f>
        <v/>
      </c>
      <c r="D171" t="str">
        <f>IF($J171="","",SUMIFS('Hours Log'!$D:$D,'Hours Log'!$A:$A,"&gt;="&amp;$J171,'Hours Log'!$A:$A,"&lt;"&amp;$J171+7))</f>
        <v/>
      </c>
      <c r="E171" t="str">
        <f t="shared" si="4"/>
        <v/>
      </c>
      <c r="F171" t="str">
        <f t="shared" si="5"/>
        <v/>
      </c>
      <c r="G171" t="str">
        <f>IF($J171="","",SUMIFS('Hours Log'!$E:$E,'Hours Log'!$A:$A,"&gt;="&amp;$J171,'Hours Log'!$A:$A,"&lt;"&amp;$J171+7))</f>
        <v/>
      </c>
      <c r="J171" t="str">
        <f>IF(COUNT('Hours Log'!$A$4:$A$5000)=0,"",IF(MIN('Hours Log'!$A$4:$A$5000)+7*(ROW()-10)&gt;MAX('Hours Log'!$A$4:$A$5000),"",MIN('Hours Log'!$A$4:$A$5000)+7*(ROW()-10)))</f>
        <v/>
      </c>
    </row>
    <row r="172" spans="1:10" x14ac:dyDescent="0.25">
      <c r="A172" t="str">
        <f>IF($J172="","",YEAR($J172-WEEKDAY($J172,2)+4)&amp;"-W"&amp;TEXT(_xludf.ISOWEEKNUM($J172),"00"))</f>
        <v/>
      </c>
      <c r="B172"/>
      <c r="C172" t="str">
        <f>IF($J172="","",SUMIFS('Hours Log'!$C:$C,'Hours Log'!$A:$A,"&gt;="&amp;$J172,'Hours Log'!$A:$A,"&lt;"&amp;$J172+7)+SUMIFS('Hours Log'!$D:$D,'Hours Log'!$A:$A,"&gt;="&amp;$J172,'Hours Log'!$A:$A,"&lt;"&amp;$J172+7))</f>
        <v/>
      </c>
      <c r="D172" t="str">
        <f>IF($J172="","",SUMIFS('Hours Log'!$D:$D,'Hours Log'!$A:$A,"&gt;="&amp;$J172,'Hours Log'!$A:$A,"&lt;"&amp;$J172+7))</f>
        <v/>
      </c>
      <c r="E172" t="str">
        <f t="shared" si="4"/>
        <v/>
      </c>
      <c r="F172" t="str">
        <f t="shared" si="5"/>
        <v/>
      </c>
      <c r="G172" t="str">
        <f>IF($J172="","",SUMIFS('Hours Log'!$E:$E,'Hours Log'!$A:$A,"&gt;="&amp;$J172,'Hours Log'!$A:$A,"&lt;"&amp;$J172+7))</f>
        <v/>
      </c>
      <c r="J172" t="str">
        <f>IF(COUNT('Hours Log'!$A$4:$A$5000)=0,"",IF(MIN('Hours Log'!$A$4:$A$5000)+7*(ROW()-10)&gt;MAX('Hours Log'!$A$4:$A$5000),"",MIN('Hours Log'!$A$4:$A$5000)+7*(ROW()-10)))</f>
        <v/>
      </c>
    </row>
    <row r="173" spans="1:10" x14ac:dyDescent="0.25">
      <c r="A173" t="str">
        <f>IF($J173="","",YEAR($J173-WEEKDAY($J173,2)+4)&amp;"-W"&amp;TEXT(_xludf.ISOWEEKNUM($J173),"00"))</f>
        <v/>
      </c>
      <c r="B173"/>
      <c r="C173" t="str">
        <f>IF($J173="","",SUMIFS('Hours Log'!$C:$C,'Hours Log'!$A:$A,"&gt;="&amp;$J173,'Hours Log'!$A:$A,"&lt;"&amp;$J173+7)+SUMIFS('Hours Log'!$D:$D,'Hours Log'!$A:$A,"&gt;="&amp;$J173,'Hours Log'!$A:$A,"&lt;"&amp;$J173+7))</f>
        <v/>
      </c>
      <c r="D173" t="str">
        <f>IF($J173="","",SUMIFS('Hours Log'!$D:$D,'Hours Log'!$A:$A,"&gt;="&amp;$J173,'Hours Log'!$A:$A,"&lt;"&amp;$J173+7))</f>
        <v/>
      </c>
      <c r="E173" t="str">
        <f t="shared" si="4"/>
        <v/>
      </c>
      <c r="F173" t="str">
        <f t="shared" si="5"/>
        <v/>
      </c>
      <c r="G173" t="str">
        <f>IF($J173="","",SUMIFS('Hours Log'!$E:$E,'Hours Log'!$A:$A,"&gt;="&amp;$J173,'Hours Log'!$A:$A,"&lt;"&amp;$J173+7))</f>
        <v/>
      </c>
      <c r="J173" t="str">
        <f>IF(COUNT('Hours Log'!$A$4:$A$5000)=0,"",IF(MIN('Hours Log'!$A$4:$A$5000)+7*(ROW()-10)&gt;MAX('Hours Log'!$A$4:$A$5000),"",MIN('Hours Log'!$A$4:$A$5000)+7*(ROW()-10)))</f>
        <v/>
      </c>
    </row>
    <row r="174" spans="1:10" x14ac:dyDescent="0.25">
      <c r="A174" t="str">
        <f>IF($J174="","",YEAR($J174-WEEKDAY($J174,2)+4)&amp;"-W"&amp;TEXT(_xludf.ISOWEEKNUM($J174),"00"))</f>
        <v/>
      </c>
      <c r="B174"/>
      <c r="C174" t="str">
        <f>IF($J174="","",SUMIFS('Hours Log'!$C:$C,'Hours Log'!$A:$A,"&gt;="&amp;$J174,'Hours Log'!$A:$A,"&lt;"&amp;$J174+7)+SUMIFS('Hours Log'!$D:$D,'Hours Log'!$A:$A,"&gt;="&amp;$J174,'Hours Log'!$A:$A,"&lt;"&amp;$J174+7))</f>
        <v/>
      </c>
      <c r="D174" t="str">
        <f>IF($J174="","",SUMIFS('Hours Log'!$D:$D,'Hours Log'!$A:$A,"&gt;="&amp;$J174,'Hours Log'!$A:$A,"&lt;"&amp;$J174+7))</f>
        <v/>
      </c>
      <c r="E174" t="str">
        <f t="shared" si="4"/>
        <v/>
      </c>
      <c r="F174" t="str">
        <f t="shared" si="5"/>
        <v/>
      </c>
      <c r="G174" t="str">
        <f>IF($J174="","",SUMIFS('Hours Log'!$E:$E,'Hours Log'!$A:$A,"&gt;="&amp;$J174,'Hours Log'!$A:$A,"&lt;"&amp;$J174+7))</f>
        <v/>
      </c>
      <c r="J174" t="str">
        <f>IF(COUNT('Hours Log'!$A$4:$A$5000)=0,"",IF(MIN('Hours Log'!$A$4:$A$5000)+7*(ROW()-10)&gt;MAX('Hours Log'!$A$4:$A$5000),"",MIN('Hours Log'!$A$4:$A$5000)+7*(ROW()-10)))</f>
        <v/>
      </c>
    </row>
    <row r="175" spans="1:10" x14ac:dyDescent="0.25">
      <c r="A175" t="str">
        <f>IF($J175="","",YEAR($J175-WEEKDAY($J175,2)+4)&amp;"-W"&amp;TEXT(_xludf.ISOWEEKNUM($J175),"00"))</f>
        <v/>
      </c>
      <c r="B175"/>
      <c r="C175" t="str">
        <f>IF($J175="","",SUMIFS('Hours Log'!$C:$C,'Hours Log'!$A:$A,"&gt;="&amp;$J175,'Hours Log'!$A:$A,"&lt;"&amp;$J175+7)+SUMIFS('Hours Log'!$D:$D,'Hours Log'!$A:$A,"&gt;="&amp;$J175,'Hours Log'!$A:$A,"&lt;"&amp;$J175+7))</f>
        <v/>
      </c>
      <c r="D175" t="str">
        <f>IF($J175="","",SUMIFS('Hours Log'!$D:$D,'Hours Log'!$A:$A,"&gt;="&amp;$J175,'Hours Log'!$A:$A,"&lt;"&amp;$J175+7))</f>
        <v/>
      </c>
      <c r="E175" t="str">
        <f t="shared" si="4"/>
        <v/>
      </c>
      <c r="F175" t="str">
        <f t="shared" si="5"/>
        <v/>
      </c>
      <c r="G175" t="str">
        <f>IF($J175="","",SUMIFS('Hours Log'!$E:$E,'Hours Log'!$A:$A,"&gt;="&amp;$J175,'Hours Log'!$A:$A,"&lt;"&amp;$J175+7))</f>
        <v/>
      </c>
      <c r="J175" t="str">
        <f>IF(COUNT('Hours Log'!$A$4:$A$5000)=0,"",IF(MIN('Hours Log'!$A$4:$A$5000)+7*(ROW()-10)&gt;MAX('Hours Log'!$A$4:$A$5000),"",MIN('Hours Log'!$A$4:$A$5000)+7*(ROW()-10)))</f>
        <v/>
      </c>
    </row>
    <row r="176" spans="1:10" x14ac:dyDescent="0.25">
      <c r="A176" t="str">
        <f>IF($J176="","",YEAR($J176-WEEKDAY($J176,2)+4)&amp;"-W"&amp;TEXT(_xludf.ISOWEEKNUM($J176),"00"))</f>
        <v/>
      </c>
      <c r="B176"/>
      <c r="C176" t="str">
        <f>IF($J176="","",SUMIFS('Hours Log'!$C:$C,'Hours Log'!$A:$A,"&gt;="&amp;$J176,'Hours Log'!$A:$A,"&lt;"&amp;$J176+7)+SUMIFS('Hours Log'!$D:$D,'Hours Log'!$A:$A,"&gt;="&amp;$J176,'Hours Log'!$A:$A,"&lt;"&amp;$J176+7))</f>
        <v/>
      </c>
      <c r="D176" t="str">
        <f>IF($J176="","",SUMIFS('Hours Log'!$D:$D,'Hours Log'!$A:$A,"&gt;="&amp;$J176,'Hours Log'!$A:$A,"&lt;"&amp;$J176+7))</f>
        <v/>
      </c>
      <c r="E176" t="str">
        <f t="shared" si="4"/>
        <v/>
      </c>
      <c r="F176" t="str">
        <f t="shared" si="5"/>
        <v/>
      </c>
      <c r="G176" t="str">
        <f>IF($J176="","",SUMIFS('Hours Log'!$E:$E,'Hours Log'!$A:$A,"&gt;="&amp;$J176,'Hours Log'!$A:$A,"&lt;"&amp;$J176+7))</f>
        <v/>
      </c>
      <c r="J176" t="str">
        <f>IF(COUNT('Hours Log'!$A$4:$A$5000)=0,"",IF(MIN('Hours Log'!$A$4:$A$5000)+7*(ROW()-10)&gt;MAX('Hours Log'!$A$4:$A$5000),"",MIN('Hours Log'!$A$4:$A$5000)+7*(ROW()-10)))</f>
        <v/>
      </c>
    </row>
    <row r="177" spans="1:10" x14ac:dyDescent="0.25">
      <c r="A177" t="str">
        <f>IF($J177="","",YEAR($J177-WEEKDAY($J177,2)+4)&amp;"-W"&amp;TEXT(_xludf.ISOWEEKNUM($J177),"00"))</f>
        <v/>
      </c>
      <c r="B177"/>
      <c r="C177" t="str">
        <f>IF($J177="","",SUMIFS('Hours Log'!$C:$C,'Hours Log'!$A:$A,"&gt;="&amp;$J177,'Hours Log'!$A:$A,"&lt;"&amp;$J177+7)+SUMIFS('Hours Log'!$D:$D,'Hours Log'!$A:$A,"&gt;="&amp;$J177,'Hours Log'!$A:$A,"&lt;"&amp;$J177+7))</f>
        <v/>
      </c>
      <c r="D177" t="str">
        <f>IF($J177="","",SUMIFS('Hours Log'!$D:$D,'Hours Log'!$A:$A,"&gt;="&amp;$J177,'Hours Log'!$A:$A,"&lt;"&amp;$J177+7))</f>
        <v/>
      </c>
      <c r="E177" t="str">
        <f t="shared" si="4"/>
        <v/>
      </c>
      <c r="F177" t="str">
        <f t="shared" si="5"/>
        <v/>
      </c>
      <c r="G177" t="str">
        <f>IF($J177="","",SUMIFS('Hours Log'!$E:$E,'Hours Log'!$A:$A,"&gt;="&amp;$J177,'Hours Log'!$A:$A,"&lt;"&amp;$J177+7))</f>
        <v/>
      </c>
      <c r="J177" t="str">
        <f>IF(COUNT('Hours Log'!$A$4:$A$5000)=0,"",IF(MIN('Hours Log'!$A$4:$A$5000)+7*(ROW()-10)&gt;MAX('Hours Log'!$A$4:$A$5000),"",MIN('Hours Log'!$A$4:$A$5000)+7*(ROW()-10)))</f>
        <v/>
      </c>
    </row>
    <row r="178" spans="1:10" x14ac:dyDescent="0.25">
      <c r="A178" t="str">
        <f>IF($J178="","",YEAR($J178-WEEKDAY($J178,2)+4)&amp;"-W"&amp;TEXT(_xludf.ISOWEEKNUM($J178),"00"))</f>
        <v/>
      </c>
      <c r="B178"/>
      <c r="C178" t="str">
        <f>IF($J178="","",SUMIFS('Hours Log'!$C:$C,'Hours Log'!$A:$A,"&gt;="&amp;$J178,'Hours Log'!$A:$A,"&lt;"&amp;$J178+7)+SUMIFS('Hours Log'!$D:$D,'Hours Log'!$A:$A,"&gt;="&amp;$J178,'Hours Log'!$A:$A,"&lt;"&amp;$J178+7))</f>
        <v/>
      </c>
      <c r="D178" t="str">
        <f>IF($J178="","",SUMIFS('Hours Log'!$D:$D,'Hours Log'!$A:$A,"&gt;="&amp;$J178,'Hours Log'!$A:$A,"&lt;"&amp;$J178+7))</f>
        <v/>
      </c>
      <c r="E178" t="str">
        <f t="shared" si="4"/>
        <v/>
      </c>
      <c r="F178" t="str">
        <f t="shared" si="5"/>
        <v/>
      </c>
      <c r="G178" t="str">
        <f>IF($J178="","",SUMIFS('Hours Log'!$E:$E,'Hours Log'!$A:$A,"&gt;="&amp;$J178,'Hours Log'!$A:$A,"&lt;"&amp;$J178+7))</f>
        <v/>
      </c>
      <c r="J178" t="str">
        <f>IF(COUNT('Hours Log'!$A$4:$A$5000)=0,"",IF(MIN('Hours Log'!$A$4:$A$5000)+7*(ROW()-10)&gt;MAX('Hours Log'!$A$4:$A$5000),"",MIN('Hours Log'!$A$4:$A$5000)+7*(ROW()-10)))</f>
        <v/>
      </c>
    </row>
    <row r="179" spans="1:10" x14ac:dyDescent="0.25">
      <c r="A179" t="str">
        <f>IF($J179="","",YEAR($J179-WEEKDAY($J179,2)+4)&amp;"-W"&amp;TEXT(_xludf.ISOWEEKNUM($J179),"00"))</f>
        <v/>
      </c>
      <c r="B179"/>
      <c r="C179" t="str">
        <f>IF($J179="","",SUMIFS('Hours Log'!$C:$C,'Hours Log'!$A:$A,"&gt;="&amp;$J179,'Hours Log'!$A:$A,"&lt;"&amp;$J179+7)+SUMIFS('Hours Log'!$D:$D,'Hours Log'!$A:$A,"&gt;="&amp;$J179,'Hours Log'!$A:$A,"&lt;"&amp;$J179+7))</f>
        <v/>
      </c>
      <c r="D179" t="str">
        <f>IF($J179="","",SUMIFS('Hours Log'!$D:$D,'Hours Log'!$A:$A,"&gt;="&amp;$J179,'Hours Log'!$A:$A,"&lt;"&amp;$J179+7))</f>
        <v/>
      </c>
      <c r="E179" t="str">
        <f t="shared" si="4"/>
        <v/>
      </c>
      <c r="F179" t="str">
        <f t="shared" si="5"/>
        <v/>
      </c>
      <c r="G179" t="str">
        <f>IF($J179="","",SUMIFS('Hours Log'!$E:$E,'Hours Log'!$A:$A,"&gt;="&amp;$J179,'Hours Log'!$A:$A,"&lt;"&amp;$J179+7))</f>
        <v/>
      </c>
      <c r="J179" t="str">
        <f>IF(COUNT('Hours Log'!$A$4:$A$5000)=0,"",IF(MIN('Hours Log'!$A$4:$A$5000)+7*(ROW()-10)&gt;MAX('Hours Log'!$A$4:$A$5000),"",MIN('Hours Log'!$A$4:$A$5000)+7*(ROW()-10)))</f>
        <v/>
      </c>
    </row>
    <row r="180" spans="1:10" x14ac:dyDescent="0.25">
      <c r="A180" t="str">
        <f>IF($J180="","",YEAR($J180-WEEKDAY($J180,2)+4)&amp;"-W"&amp;TEXT(_xludf.ISOWEEKNUM($J180),"00"))</f>
        <v/>
      </c>
      <c r="B180"/>
      <c r="C180" t="str">
        <f>IF($J180="","",SUMIFS('Hours Log'!$C:$C,'Hours Log'!$A:$A,"&gt;="&amp;$J180,'Hours Log'!$A:$A,"&lt;"&amp;$J180+7)+SUMIFS('Hours Log'!$D:$D,'Hours Log'!$A:$A,"&gt;="&amp;$J180,'Hours Log'!$A:$A,"&lt;"&amp;$J180+7))</f>
        <v/>
      </c>
      <c r="D180" t="str">
        <f>IF($J180="","",SUMIFS('Hours Log'!$D:$D,'Hours Log'!$A:$A,"&gt;="&amp;$J180,'Hours Log'!$A:$A,"&lt;"&amp;$J180+7))</f>
        <v/>
      </c>
      <c r="E180" t="str">
        <f t="shared" si="4"/>
        <v/>
      </c>
      <c r="F180" t="str">
        <f t="shared" si="5"/>
        <v/>
      </c>
      <c r="G180" t="str">
        <f>IF($J180="","",SUMIFS('Hours Log'!$E:$E,'Hours Log'!$A:$A,"&gt;="&amp;$J180,'Hours Log'!$A:$A,"&lt;"&amp;$J180+7))</f>
        <v/>
      </c>
      <c r="J180" t="str">
        <f>IF(COUNT('Hours Log'!$A$4:$A$5000)=0,"",IF(MIN('Hours Log'!$A$4:$A$5000)+7*(ROW()-10)&gt;MAX('Hours Log'!$A$4:$A$5000),"",MIN('Hours Log'!$A$4:$A$5000)+7*(ROW()-10)))</f>
        <v/>
      </c>
    </row>
    <row r="181" spans="1:10" x14ac:dyDescent="0.25">
      <c r="A181" t="str">
        <f>IF($J181="","",YEAR($J181-WEEKDAY($J181,2)+4)&amp;"-W"&amp;TEXT(_xludf.ISOWEEKNUM($J181),"00"))</f>
        <v/>
      </c>
      <c r="B181"/>
      <c r="C181" t="str">
        <f>IF($J181="","",SUMIFS('Hours Log'!$C:$C,'Hours Log'!$A:$A,"&gt;="&amp;$J181,'Hours Log'!$A:$A,"&lt;"&amp;$J181+7)+SUMIFS('Hours Log'!$D:$D,'Hours Log'!$A:$A,"&gt;="&amp;$J181,'Hours Log'!$A:$A,"&lt;"&amp;$J181+7))</f>
        <v/>
      </c>
      <c r="D181" t="str">
        <f>IF($J181="","",SUMIFS('Hours Log'!$D:$D,'Hours Log'!$A:$A,"&gt;="&amp;$J181,'Hours Log'!$A:$A,"&lt;"&amp;$J181+7))</f>
        <v/>
      </c>
      <c r="E181" t="str">
        <f t="shared" si="4"/>
        <v/>
      </c>
      <c r="F181" t="str">
        <f t="shared" si="5"/>
        <v/>
      </c>
      <c r="G181" t="str">
        <f>IF($J181="","",SUMIFS('Hours Log'!$E:$E,'Hours Log'!$A:$A,"&gt;="&amp;$J181,'Hours Log'!$A:$A,"&lt;"&amp;$J181+7))</f>
        <v/>
      </c>
      <c r="J181" t="str">
        <f>IF(COUNT('Hours Log'!$A$4:$A$5000)=0,"",IF(MIN('Hours Log'!$A$4:$A$5000)+7*(ROW()-10)&gt;MAX('Hours Log'!$A$4:$A$5000),"",MIN('Hours Log'!$A$4:$A$5000)+7*(ROW()-10)))</f>
        <v/>
      </c>
    </row>
    <row r="182" spans="1:10" x14ac:dyDescent="0.25">
      <c r="A182" t="str">
        <f>IF($J182="","",YEAR($J182-WEEKDAY($J182,2)+4)&amp;"-W"&amp;TEXT(_xludf.ISOWEEKNUM($J182),"00"))</f>
        <v/>
      </c>
      <c r="B182"/>
      <c r="C182" t="str">
        <f>IF($J182="","",SUMIFS('Hours Log'!$C:$C,'Hours Log'!$A:$A,"&gt;="&amp;$J182,'Hours Log'!$A:$A,"&lt;"&amp;$J182+7)+SUMIFS('Hours Log'!$D:$D,'Hours Log'!$A:$A,"&gt;="&amp;$J182,'Hours Log'!$A:$A,"&lt;"&amp;$J182+7))</f>
        <v/>
      </c>
      <c r="D182" t="str">
        <f>IF($J182="","",SUMIFS('Hours Log'!$D:$D,'Hours Log'!$A:$A,"&gt;="&amp;$J182,'Hours Log'!$A:$A,"&lt;"&amp;$J182+7))</f>
        <v/>
      </c>
      <c r="E182" t="str">
        <f t="shared" si="4"/>
        <v/>
      </c>
      <c r="F182" t="str">
        <f t="shared" si="5"/>
        <v/>
      </c>
      <c r="G182" t="str">
        <f>IF($J182="","",SUMIFS('Hours Log'!$E:$E,'Hours Log'!$A:$A,"&gt;="&amp;$J182,'Hours Log'!$A:$A,"&lt;"&amp;$J182+7))</f>
        <v/>
      </c>
      <c r="J182" t="str">
        <f>IF(COUNT('Hours Log'!$A$4:$A$5000)=0,"",IF(MIN('Hours Log'!$A$4:$A$5000)+7*(ROW()-10)&gt;MAX('Hours Log'!$A$4:$A$5000),"",MIN('Hours Log'!$A$4:$A$5000)+7*(ROW()-10)))</f>
        <v/>
      </c>
    </row>
    <row r="183" spans="1:10" x14ac:dyDescent="0.25">
      <c r="A183" t="str">
        <f>IF($J183="","",YEAR($J183-WEEKDAY($J183,2)+4)&amp;"-W"&amp;TEXT(_xludf.ISOWEEKNUM($J183),"00"))</f>
        <v/>
      </c>
      <c r="B183"/>
      <c r="C183" t="str">
        <f>IF($J183="","",SUMIFS('Hours Log'!$C:$C,'Hours Log'!$A:$A,"&gt;="&amp;$J183,'Hours Log'!$A:$A,"&lt;"&amp;$J183+7)+SUMIFS('Hours Log'!$D:$D,'Hours Log'!$A:$A,"&gt;="&amp;$J183,'Hours Log'!$A:$A,"&lt;"&amp;$J183+7))</f>
        <v/>
      </c>
      <c r="D183" t="str">
        <f>IF($J183="","",SUMIFS('Hours Log'!$D:$D,'Hours Log'!$A:$A,"&gt;="&amp;$J183,'Hours Log'!$A:$A,"&lt;"&amp;$J183+7))</f>
        <v/>
      </c>
      <c r="E183" t="str">
        <f t="shared" si="4"/>
        <v/>
      </c>
      <c r="F183" t="str">
        <f t="shared" si="5"/>
        <v/>
      </c>
      <c r="G183" t="str">
        <f>IF($J183="","",SUMIFS('Hours Log'!$E:$E,'Hours Log'!$A:$A,"&gt;="&amp;$J183,'Hours Log'!$A:$A,"&lt;"&amp;$J183+7))</f>
        <v/>
      </c>
      <c r="J183" t="str">
        <f>IF(COUNT('Hours Log'!$A$4:$A$5000)=0,"",IF(MIN('Hours Log'!$A$4:$A$5000)+7*(ROW()-10)&gt;MAX('Hours Log'!$A$4:$A$5000),"",MIN('Hours Log'!$A$4:$A$5000)+7*(ROW()-10)))</f>
        <v/>
      </c>
    </row>
    <row r="184" spans="1:10" x14ac:dyDescent="0.25">
      <c r="A184" t="str">
        <f>IF($J184="","",YEAR($J184-WEEKDAY($J184,2)+4)&amp;"-W"&amp;TEXT(_xludf.ISOWEEKNUM($J184),"00"))</f>
        <v/>
      </c>
      <c r="B184"/>
      <c r="C184" t="str">
        <f>IF($J184="","",SUMIFS('Hours Log'!$C:$C,'Hours Log'!$A:$A,"&gt;="&amp;$J184,'Hours Log'!$A:$A,"&lt;"&amp;$J184+7)+SUMIFS('Hours Log'!$D:$D,'Hours Log'!$A:$A,"&gt;="&amp;$J184,'Hours Log'!$A:$A,"&lt;"&amp;$J184+7))</f>
        <v/>
      </c>
      <c r="D184" t="str">
        <f>IF($J184="","",SUMIFS('Hours Log'!$D:$D,'Hours Log'!$A:$A,"&gt;="&amp;$J184,'Hours Log'!$A:$A,"&lt;"&amp;$J184+7))</f>
        <v/>
      </c>
      <c r="E184" t="str">
        <f t="shared" si="4"/>
        <v/>
      </c>
      <c r="F184" t="str">
        <f t="shared" si="5"/>
        <v/>
      </c>
      <c r="G184" t="str">
        <f>IF($J184="","",SUMIFS('Hours Log'!$E:$E,'Hours Log'!$A:$A,"&gt;="&amp;$J184,'Hours Log'!$A:$A,"&lt;"&amp;$J184+7))</f>
        <v/>
      </c>
      <c r="J184" t="str">
        <f>IF(COUNT('Hours Log'!$A$4:$A$5000)=0,"",IF(MIN('Hours Log'!$A$4:$A$5000)+7*(ROW()-10)&gt;MAX('Hours Log'!$A$4:$A$5000),"",MIN('Hours Log'!$A$4:$A$5000)+7*(ROW()-10)))</f>
        <v/>
      </c>
    </row>
    <row r="185" spans="1:10" x14ac:dyDescent="0.25">
      <c r="A185" t="str">
        <f>IF($J185="","",YEAR($J185-WEEKDAY($J185,2)+4)&amp;"-W"&amp;TEXT(_xludf.ISOWEEKNUM($J185),"00"))</f>
        <v/>
      </c>
      <c r="B185"/>
      <c r="C185" t="str">
        <f>IF($J185="","",SUMIFS('Hours Log'!$C:$C,'Hours Log'!$A:$A,"&gt;="&amp;$J185,'Hours Log'!$A:$A,"&lt;"&amp;$J185+7)+SUMIFS('Hours Log'!$D:$D,'Hours Log'!$A:$A,"&gt;="&amp;$J185,'Hours Log'!$A:$A,"&lt;"&amp;$J185+7))</f>
        <v/>
      </c>
      <c r="D185" t="str">
        <f>IF($J185="","",SUMIFS('Hours Log'!$D:$D,'Hours Log'!$A:$A,"&gt;="&amp;$J185,'Hours Log'!$A:$A,"&lt;"&amp;$J185+7))</f>
        <v/>
      </c>
      <c r="E185" t="str">
        <f t="shared" si="4"/>
        <v/>
      </c>
      <c r="F185" t="str">
        <f t="shared" si="5"/>
        <v/>
      </c>
      <c r="G185" t="str">
        <f>IF($J185="","",SUMIFS('Hours Log'!$E:$E,'Hours Log'!$A:$A,"&gt;="&amp;$J185,'Hours Log'!$A:$A,"&lt;"&amp;$J185+7))</f>
        <v/>
      </c>
      <c r="J185" t="str">
        <f>IF(COUNT('Hours Log'!$A$4:$A$5000)=0,"",IF(MIN('Hours Log'!$A$4:$A$5000)+7*(ROW()-10)&gt;MAX('Hours Log'!$A$4:$A$5000),"",MIN('Hours Log'!$A$4:$A$5000)+7*(ROW()-10)))</f>
        <v/>
      </c>
    </row>
    <row r="186" spans="1:10" x14ac:dyDescent="0.25">
      <c r="A186" t="str">
        <f>IF($J186="","",YEAR($J186-WEEKDAY($J186,2)+4)&amp;"-W"&amp;TEXT(_xludf.ISOWEEKNUM($J186),"00"))</f>
        <v/>
      </c>
      <c r="B186"/>
      <c r="C186" t="str">
        <f>IF($J186="","",SUMIFS('Hours Log'!$C:$C,'Hours Log'!$A:$A,"&gt;="&amp;$J186,'Hours Log'!$A:$A,"&lt;"&amp;$J186+7)+SUMIFS('Hours Log'!$D:$D,'Hours Log'!$A:$A,"&gt;="&amp;$J186,'Hours Log'!$A:$A,"&lt;"&amp;$J186+7))</f>
        <v/>
      </c>
      <c r="D186" t="str">
        <f>IF($J186="","",SUMIFS('Hours Log'!$D:$D,'Hours Log'!$A:$A,"&gt;="&amp;$J186,'Hours Log'!$A:$A,"&lt;"&amp;$J186+7))</f>
        <v/>
      </c>
      <c r="E186" t="str">
        <f t="shared" si="4"/>
        <v/>
      </c>
      <c r="F186" t="str">
        <f t="shared" si="5"/>
        <v/>
      </c>
      <c r="G186" t="str">
        <f>IF($J186="","",SUMIFS('Hours Log'!$E:$E,'Hours Log'!$A:$A,"&gt;="&amp;$J186,'Hours Log'!$A:$A,"&lt;"&amp;$J186+7))</f>
        <v/>
      </c>
      <c r="J186" t="str">
        <f>IF(COUNT('Hours Log'!$A$4:$A$5000)=0,"",IF(MIN('Hours Log'!$A$4:$A$5000)+7*(ROW()-10)&gt;MAX('Hours Log'!$A$4:$A$5000),"",MIN('Hours Log'!$A$4:$A$5000)+7*(ROW()-10)))</f>
        <v/>
      </c>
    </row>
    <row r="187" spans="1:10" x14ac:dyDescent="0.25">
      <c r="A187" t="str">
        <f>IF($J187="","",YEAR($J187-WEEKDAY($J187,2)+4)&amp;"-W"&amp;TEXT(_xludf.ISOWEEKNUM($J187),"00"))</f>
        <v/>
      </c>
      <c r="B187"/>
      <c r="C187" t="str">
        <f>IF($J187="","",SUMIFS('Hours Log'!$C:$C,'Hours Log'!$A:$A,"&gt;="&amp;$J187,'Hours Log'!$A:$A,"&lt;"&amp;$J187+7)+SUMIFS('Hours Log'!$D:$D,'Hours Log'!$A:$A,"&gt;="&amp;$J187,'Hours Log'!$A:$A,"&lt;"&amp;$J187+7))</f>
        <v/>
      </c>
      <c r="D187" t="str">
        <f>IF($J187="","",SUMIFS('Hours Log'!$D:$D,'Hours Log'!$A:$A,"&gt;="&amp;$J187,'Hours Log'!$A:$A,"&lt;"&amp;$J187+7))</f>
        <v/>
      </c>
      <c r="E187" t="str">
        <f t="shared" si="4"/>
        <v/>
      </c>
      <c r="F187" t="str">
        <f t="shared" si="5"/>
        <v/>
      </c>
      <c r="G187" t="str">
        <f>IF($J187="","",SUMIFS('Hours Log'!$E:$E,'Hours Log'!$A:$A,"&gt;="&amp;$J187,'Hours Log'!$A:$A,"&lt;"&amp;$J187+7))</f>
        <v/>
      </c>
      <c r="J187" t="str">
        <f>IF(COUNT('Hours Log'!$A$4:$A$5000)=0,"",IF(MIN('Hours Log'!$A$4:$A$5000)+7*(ROW()-10)&gt;MAX('Hours Log'!$A$4:$A$5000),"",MIN('Hours Log'!$A$4:$A$5000)+7*(ROW()-10)))</f>
        <v/>
      </c>
    </row>
    <row r="188" spans="1:10" x14ac:dyDescent="0.25">
      <c r="A188" t="str">
        <f>IF($J188="","",YEAR($J188-WEEKDAY($J188,2)+4)&amp;"-W"&amp;TEXT(_xludf.ISOWEEKNUM($J188),"00"))</f>
        <v/>
      </c>
      <c r="B188"/>
      <c r="C188" t="str">
        <f>IF($J188="","",SUMIFS('Hours Log'!$C:$C,'Hours Log'!$A:$A,"&gt;="&amp;$J188,'Hours Log'!$A:$A,"&lt;"&amp;$J188+7)+SUMIFS('Hours Log'!$D:$D,'Hours Log'!$A:$A,"&gt;="&amp;$J188,'Hours Log'!$A:$A,"&lt;"&amp;$J188+7))</f>
        <v/>
      </c>
      <c r="D188" t="str">
        <f>IF($J188="","",SUMIFS('Hours Log'!$D:$D,'Hours Log'!$A:$A,"&gt;="&amp;$J188,'Hours Log'!$A:$A,"&lt;"&amp;$J188+7))</f>
        <v/>
      </c>
      <c r="E188" t="str">
        <f t="shared" si="4"/>
        <v/>
      </c>
      <c r="F188" t="str">
        <f t="shared" si="5"/>
        <v/>
      </c>
      <c r="G188" t="str">
        <f>IF($J188="","",SUMIFS('Hours Log'!$E:$E,'Hours Log'!$A:$A,"&gt;="&amp;$J188,'Hours Log'!$A:$A,"&lt;"&amp;$J188+7))</f>
        <v/>
      </c>
      <c r="J188" t="str">
        <f>IF(COUNT('Hours Log'!$A$4:$A$5000)=0,"",IF(MIN('Hours Log'!$A$4:$A$5000)+7*(ROW()-10)&gt;MAX('Hours Log'!$A$4:$A$5000),"",MIN('Hours Log'!$A$4:$A$5000)+7*(ROW()-10)))</f>
        <v/>
      </c>
    </row>
    <row r="189" spans="1:10" x14ac:dyDescent="0.25">
      <c r="A189" t="str">
        <f>IF($J189="","",YEAR($J189-WEEKDAY($J189,2)+4)&amp;"-W"&amp;TEXT(_xludf.ISOWEEKNUM($J189),"00"))</f>
        <v/>
      </c>
      <c r="B189"/>
      <c r="C189" t="str">
        <f>IF($J189="","",SUMIFS('Hours Log'!$C:$C,'Hours Log'!$A:$A,"&gt;="&amp;$J189,'Hours Log'!$A:$A,"&lt;"&amp;$J189+7)+SUMIFS('Hours Log'!$D:$D,'Hours Log'!$A:$A,"&gt;="&amp;$J189,'Hours Log'!$A:$A,"&lt;"&amp;$J189+7))</f>
        <v/>
      </c>
      <c r="D189" t="str">
        <f>IF($J189="","",SUMIFS('Hours Log'!$D:$D,'Hours Log'!$A:$A,"&gt;="&amp;$J189,'Hours Log'!$A:$A,"&lt;"&amp;$J189+7))</f>
        <v/>
      </c>
      <c r="E189" t="str">
        <f t="shared" si="4"/>
        <v/>
      </c>
      <c r="F189" t="str">
        <f t="shared" si="5"/>
        <v/>
      </c>
      <c r="G189" t="str">
        <f>IF($J189="","",SUMIFS('Hours Log'!$E:$E,'Hours Log'!$A:$A,"&gt;="&amp;$J189,'Hours Log'!$A:$A,"&lt;"&amp;$J189+7))</f>
        <v/>
      </c>
      <c r="J189" t="str">
        <f>IF(COUNT('Hours Log'!$A$4:$A$5000)=0,"",IF(MIN('Hours Log'!$A$4:$A$5000)+7*(ROW()-10)&gt;MAX('Hours Log'!$A$4:$A$5000),"",MIN('Hours Log'!$A$4:$A$5000)+7*(ROW()-10)))</f>
        <v/>
      </c>
    </row>
    <row r="190" spans="1:10" x14ac:dyDescent="0.25">
      <c r="A190" t="str">
        <f>IF($J190="","",YEAR($J190-WEEKDAY($J190,2)+4)&amp;"-W"&amp;TEXT(_xludf.ISOWEEKNUM($J190),"00"))</f>
        <v/>
      </c>
      <c r="B190"/>
      <c r="C190" t="str">
        <f>IF($J190="","",SUMIFS('Hours Log'!$C:$C,'Hours Log'!$A:$A,"&gt;="&amp;$J190,'Hours Log'!$A:$A,"&lt;"&amp;$J190+7)+SUMIFS('Hours Log'!$D:$D,'Hours Log'!$A:$A,"&gt;="&amp;$J190,'Hours Log'!$A:$A,"&lt;"&amp;$J190+7))</f>
        <v/>
      </c>
      <c r="D190" t="str">
        <f>IF($J190="","",SUMIFS('Hours Log'!$D:$D,'Hours Log'!$A:$A,"&gt;="&amp;$J190,'Hours Log'!$A:$A,"&lt;"&amp;$J190+7))</f>
        <v/>
      </c>
      <c r="E190" t="str">
        <f t="shared" si="4"/>
        <v/>
      </c>
      <c r="F190" t="str">
        <f t="shared" si="5"/>
        <v/>
      </c>
      <c r="G190" t="str">
        <f>IF($J190="","",SUMIFS('Hours Log'!$E:$E,'Hours Log'!$A:$A,"&gt;="&amp;$J190,'Hours Log'!$A:$A,"&lt;"&amp;$J190+7))</f>
        <v/>
      </c>
      <c r="J190" t="str">
        <f>IF(COUNT('Hours Log'!$A$4:$A$5000)=0,"",IF(MIN('Hours Log'!$A$4:$A$5000)+7*(ROW()-10)&gt;MAX('Hours Log'!$A$4:$A$5000),"",MIN('Hours Log'!$A$4:$A$5000)+7*(ROW()-10)))</f>
        <v/>
      </c>
    </row>
    <row r="191" spans="1:10" x14ac:dyDescent="0.25">
      <c r="A191" t="str">
        <f>IF($J191="","",YEAR($J191-WEEKDAY($J191,2)+4)&amp;"-W"&amp;TEXT(_xludf.ISOWEEKNUM($J191),"00"))</f>
        <v/>
      </c>
      <c r="B191"/>
      <c r="C191" t="str">
        <f>IF($J191="","",SUMIFS('Hours Log'!$C:$C,'Hours Log'!$A:$A,"&gt;="&amp;$J191,'Hours Log'!$A:$A,"&lt;"&amp;$J191+7)+SUMIFS('Hours Log'!$D:$D,'Hours Log'!$A:$A,"&gt;="&amp;$J191,'Hours Log'!$A:$A,"&lt;"&amp;$J191+7))</f>
        <v/>
      </c>
      <c r="D191" t="str">
        <f>IF($J191="","",SUMIFS('Hours Log'!$D:$D,'Hours Log'!$A:$A,"&gt;="&amp;$J191,'Hours Log'!$A:$A,"&lt;"&amp;$J191+7))</f>
        <v/>
      </c>
      <c r="E191" t="str">
        <f t="shared" si="4"/>
        <v/>
      </c>
      <c r="F191" t="str">
        <f t="shared" si="5"/>
        <v/>
      </c>
      <c r="G191" t="str">
        <f>IF($J191="","",SUMIFS('Hours Log'!$E:$E,'Hours Log'!$A:$A,"&gt;="&amp;$J191,'Hours Log'!$A:$A,"&lt;"&amp;$J191+7))</f>
        <v/>
      </c>
      <c r="J191" t="str">
        <f>IF(COUNT('Hours Log'!$A$4:$A$5000)=0,"",IF(MIN('Hours Log'!$A$4:$A$5000)+7*(ROW()-10)&gt;MAX('Hours Log'!$A$4:$A$5000),"",MIN('Hours Log'!$A$4:$A$5000)+7*(ROW()-10)))</f>
        <v/>
      </c>
    </row>
    <row r="192" spans="1:10" x14ac:dyDescent="0.25">
      <c r="A192" t="str">
        <f>IF($J192="","",YEAR($J192-WEEKDAY($J192,2)+4)&amp;"-W"&amp;TEXT(_xludf.ISOWEEKNUM($J192),"00"))</f>
        <v/>
      </c>
      <c r="B192"/>
      <c r="C192" t="str">
        <f>IF($J192="","",SUMIFS('Hours Log'!$C:$C,'Hours Log'!$A:$A,"&gt;="&amp;$J192,'Hours Log'!$A:$A,"&lt;"&amp;$J192+7)+SUMIFS('Hours Log'!$D:$D,'Hours Log'!$A:$A,"&gt;="&amp;$J192,'Hours Log'!$A:$A,"&lt;"&amp;$J192+7))</f>
        <v/>
      </c>
      <c r="D192" t="str">
        <f>IF($J192="","",SUMIFS('Hours Log'!$D:$D,'Hours Log'!$A:$A,"&gt;="&amp;$J192,'Hours Log'!$A:$A,"&lt;"&amp;$J192+7))</f>
        <v/>
      </c>
      <c r="E192" t="str">
        <f t="shared" si="4"/>
        <v/>
      </c>
      <c r="F192" t="str">
        <f t="shared" si="5"/>
        <v/>
      </c>
      <c r="G192" t="str">
        <f>IF($J192="","",SUMIFS('Hours Log'!$E:$E,'Hours Log'!$A:$A,"&gt;="&amp;$J192,'Hours Log'!$A:$A,"&lt;"&amp;$J192+7))</f>
        <v/>
      </c>
      <c r="J192" t="str">
        <f>IF(COUNT('Hours Log'!$A$4:$A$5000)=0,"",IF(MIN('Hours Log'!$A$4:$A$5000)+7*(ROW()-10)&gt;MAX('Hours Log'!$A$4:$A$5000),"",MIN('Hours Log'!$A$4:$A$5000)+7*(ROW()-10)))</f>
        <v/>
      </c>
    </row>
    <row r="193" spans="1:10" x14ac:dyDescent="0.25">
      <c r="A193" t="str">
        <f>IF($J193="","",YEAR($J193-WEEKDAY($J193,2)+4)&amp;"-W"&amp;TEXT(_xludf.ISOWEEKNUM($J193),"00"))</f>
        <v/>
      </c>
      <c r="B193"/>
      <c r="C193" t="str">
        <f>IF($J193="","",SUMIFS('Hours Log'!$C:$C,'Hours Log'!$A:$A,"&gt;="&amp;$J193,'Hours Log'!$A:$A,"&lt;"&amp;$J193+7)+SUMIFS('Hours Log'!$D:$D,'Hours Log'!$A:$A,"&gt;="&amp;$J193,'Hours Log'!$A:$A,"&lt;"&amp;$J193+7))</f>
        <v/>
      </c>
      <c r="D193" t="str">
        <f>IF($J193="","",SUMIFS('Hours Log'!$D:$D,'Hours Log'!$A:$A,"&gt;="&amp;$J193,'Hours Log'!$A:$A,"&lt;"&amp;$J193+7))</f>
        <v/>
      </c>
      <c r="E193" t="str">
        <f t="shared" si="4"/>
        <v/>
      </c>
      <c r="F193" t="str">
        <f t="shared" si="5"/>
        <v/>
      </c>
      <c r="G193" t="str">
        <f>IF($J193="","",SUMIFS('Hours Log'!$E:$E,'Hours Log'!$A:$A,"&gt;="&amp;$J193,'Hours Log'!$A:$A,"&lt;"&amp;$J193+7))</f>
        <v/>
      </c>
      <c r="J193" t="str">
        <f>IF(COUNT('Hours Log'!$A$4:$A$5000)=0,"",IF(MIN('Hours Log'!$A$4:$A$5000)+7*(ROW()-10)&gt;MAX('Hours Log'!$A$4:$A$5000),"",MIN('Hours Log'!$A$4:$A$5000)+7*(ROW()-10)))</f>
        <v/>
      </c>
    </row>
    <row r="194" spans="1:10" x14ac:dyDescent="0.25">
      <c r="A194" t="str">
        <f>IF($J194="","",YEAR($J194-WEEKDAY($J194,2)+4)&amp;"-W"&amp;TEXT(_xludf.ISOWEEKNUM($J194),"00"))</f>
        <v/>
      </c>
      <c r="B194"/>
      <c r="C194" t="str">
        <f>IF($J194="","",SUMIFS('Hours Log'!$C:$C,'Hours Log'!$A:$A,"&gt;="&amp;$J194,'Hours Log'!$A:$A,"&lt;"&amp;$J194+7)+SUMIFS('Hours Log'!$D:$D,'Hours Log'!$A:$A,"&gt;="&amp;$J194,'Hours Log'!$A:$A,"&lt;"&amp;$J194+7))</f>
        <v/>
      </c>
      <c r="D194" t="str">
        <f>IF($J194="","",SUMIFS('Hours Log'!$D:$D,'Hours Log'!$A:$A,"&gt;="&amp;$J194,'Hours Log'!$A:$A,"&lt;"&amp;$J194+7))</f>
        <v/>
      </c>
      <c r="E194" t="str">
        <f t="shared" si="4"/>
        <v/>
      </c>
      <c r="F194" t="str">
        <f t="shared" si="5"/>
        <v/>
      </c>
      <c r="G194" t="str">
        <f>IF($J194="","",SUMIFS('Hours Log'!$E:$E,'Hours Log'!$A:$A,"&gt;="&amp;$J194,'Hours Log'!$A:$A,"&lt;"&amp;$J194+7))</f>
        <v/>
      </c>
      <c r="J194" t="str">
        <f>IF(COUNT('Hours Log'!$A$4:$A$5000)=0,"",IF(MIN('Hours Log'!$A$4:$A$5000)+7*(ROW()-10)&gt;MAX('Hours Log'!$A$4:$A$5000),"",MIN('Hours Log'!$A$4:$A$5000)+7*(ROW()-10)))</f>
        <v/>
      </c>
    </row>
    <row r="195" spans="1:10" x14ac:dyDescent="0.25">
      <c r="A195" t="str">
        <f>IF($J195="","",YEAR($J195-WEEKDAY($J195,2)+4)&amp;"-W"&amp;TEXT(_xludf.ISOWEEKNUM($J195),"00"))</f>
        <v/>
      </c>
      <c r="B195"/>
      <c r="C195" t="str">
        <f>IF($J195="","",SUMIFS('Hours Log'!$C:$C,'Hours Log'!$A:$A,"&gt;="&amp;$J195,'Hours Log'!$A:$A,"&lt;"&amp;$J195+7)+SUMIFS('Hours Log'!$D:$D,'Hours Log'!$A:$A,"&gt;="&amp;$J195,'Hours Log'!$A:$A,"&lt;"&amp;$J195+7))</f>
        <v/>
      </c>
      <c r="D195" t="str">
        <f>IF($J195="","",SUMIFS('Hours Log'!$D:$D,'Hours Log'!$A:$A,"&gt;="&amp;$J195,'Hours Log'!$A:$A,"&lt;"&amp;$J195+7))</f>
        <v/>
      </c>
      <c r="E195" t="str">
        <f t="shared" si="4"/>
        <v/>
      </c>
      <c r="F195" t="str">
        <f t="shared" si="5"/>
        <v/>
      </c>
      <c r="G195" t="str">
        <f>IF($J195="","",SUMIFS('Hours Log'!$E:$E,'Hours Log'!$A:$A,"&gt;="&amp;$J195,'Hours Log'!$A:$A,"&lt;"&amp;$J195+7))</f>
        <v/>
      </c>
      <c r="J195" t="str">
        <f>IF(COUNT('Hours Log'!$A$4:$A$5000)=0,"",IF(MIN('Hours Log'!$A$4:$A$5000)+7*(ROW()-10)&gt;MAX('Hours Log'!$A$4:$A$5000),"",MIN('Hours Log'!$A$4:$A$5000)+7*(ROW()-10)))</f>
        <v/>
      </c>
    </row>
    <row r="196" spans="1:10" x14ac:dyDescent="0.25">
      <c r="A196" t="str">
        <f>IF($J196="","",YEAR($J196-WEEKDAY($J196,2)+4)&amp;"-W"&amp;TEXT(_xludf.ISOWEEKNUM($J196),"00"))</f>
        <v/>
      </c>
      <c r="B196"/>
      <c r="C196" t="str">
        <f>IF($J196="","",SUMIFS('Hours Log'!$C:$C,'Hours Log'!$A:$A,"&gt;="&amp;$J196,'Hours Log'!$A:$A,"&lt;"&amp;$J196+7)+SUMIFS('Hours Log'!$D:$D,'Hours Log'!$A:$A,"&gt;="&amp;$J196,'Hours Log'!$A:$A,"&lt;"&amp;$J196+7))</f>
        <v/>
      </c>
      <c r="D196" t="str">
        <f>IF($J196="","",SUMIFS('Hours Log'!$D:$D,'Hours Log'!$A:$A,"&gt;="&amp;$J196,'Hours Log'!$A:$A,"&lt;"&amp;$J196+7))</f>
        <v/>
      </c>
      <c r="E196" t="str">
        <f t="shared" si="4"/>
        <v/>
      </c>
      <c r="F196" t="str">
        <f t="shared" si="5"/>
        <v/>
      </c>
      <c r="G196" t="str">
        <f>IF($J196="","",SUMIFS('Hours Log'!$E:$E,'Hours Log'!$A:$A,"&gt;="&amp;$J196,'Hours Log'!$A:$A,"&lt;"&amp;$J196+7))</f>
        <v/>
      </c>
      <c r="J196" t="str">
        <f>IF(COUNT('Hours Log'!$A$4:$A$5000)=0,"",IF(MIN('Hours Log'!$A$4:$A$5000)+7*(ROW()-10)&gt;MAX('Hours Log'!$A$4:$A$5000),"",MIN('Hours Log'!$A$4:$A$5000)+7*(ROW()-10)))</f>
        <v/>
      </c>
    </row>
    <row r="197" spans="1:10" x14ac:dyDescent="0.25">
      <c r="A197" t="str">
        <f>IF($J197="","",YEAR($J197-WEEKDAY($J197,2)+4)&amp;"-W"&amp;TEXT(_xludf.ISOWEEKNUM($J197),"00"))</f>
        <v/>
      </c>
      <c r="B197"/>
      <c r="C197" t="str">
        <f>IF($J197="","",SUMIFS('Hours Log'!$C:$C,'Hours Log'!$A:$A,"&gt;="&amp;$J197,'Hours Log'!$A:$A,"&lt;"&amp;$J197+7)+SUMIFS('Hours Log'!$D:$D,'Hours Log'!$A:$A,"&gt;="&amp;$J197,'Hours Log'!$A:$A,"&lt;"&amp;$J197+7))</f>
        <v/>
      </c>
      <c r="D197" t="str">
        <f>IF($J197="","",SUMIFS('Hours Log'!$D:$D,'Hours Log'!$A:$A,"&gt;="&amp;$J197,'Hours Log'!$A:$A,"&lt;"&amp;$J197+7))</f>
        <v/>
      </c>
      <c r="E197" t="str">
        <f t="shared" si="4"/>
        <v/>
      </c>
      <c r="F197" t="str">
        <f t="shared" si="5"/>
        <v/>
      </c>
      <c r="G197" t="str">
        <f>IF($J197="","",SUMIFS('Hours Log'!$E:$E,'Hours Log'!$A:$A,"&gt;="&amp;$J197,'Hours Log'!$A:$A,"&lt;"&amp;$J197+7))</f>
        <v/>
      </c>
      <c r="J197" t="str">
        <f>IF(COUNT('Hours Log'!$A$4:$A$5000)=0,"",IF(MIN('Hours Log'!$A$4:$A$5000)+7*(ROW()-10)&gt;MAX('Hours Log'!$A$4:$A$5000),"",MIN('Hours Log'!$A$4:$A$5000)+7*(ROW()-10)))</f>
        <v/>
      </c>
    </row>
    <row r="198" spans="1:10" x14ac:dyDescent="0.25">
      <c r="A198" t="str">
        <f>IF($J198="","",YEAR($J198-WEEKDAY($J198,2)+4)&amp;"-W"&amp;TEXT(_xludf.ISOWEEKNUM($J198),"00"))</f>
        <v/>
      </c>
      <c r="B198"/>
      <c r="C198" t="str">
        <f>IF($J198="","",SUMIFS('Hours Log'!$C:$C,'Hours Log'!$A:$A,"&gt;="&amp;$J198,'Hours Log'!$A:$A,"&lt;"&amp;$J198+7)+SUMIFS('Hours Log'!$D:$D,'Hours Log'!$A:$A,"&gt;="&amp;$J198,'Hours Log'!$A:$A,"&lt;"&amp;$J198+7))</f>
        <v/>
      </c>
      <c r="D198" t="str">
        <f>IF($J198="","",SUMIFS('Hours Log'!$D:$D,'Hours Log'!$A:$A,"&gt;="&amp;$J198,'Hours Log'!$A:$A,"&lt;"&amp;$J198+7))</f>
        <v/>
      </c>
      <c r="E198" t="str">
        <f t="shared" si="4"/>
        <v/>
      </c>
      <c r="F198" t="str">
        <f t="shared" si="5"/>
        <v/>
      </c>
      <c r="G198" t="str">
        <f>IF($J198="","",SUMIFS('Hours Log'!$E:$E,'Hours Log'!$A:$A,"&gt;="&amp;$J198,'Hours Log'!$A:$A,"&lt;"&amp;$J198+7))</f>
        <v/>
      </c>
      <c r="J198" t="str">
        <f>IF(COUNT('Hours Log'!$A$4:$A$5000)=0,"",IF(MIN('Hours Log'!$A$4:$A$5000)+7*(ROW()-10)&gt;MAX('Hours Log'!$A$4:$A$5000),"",MIN('Hours Log'!$A$4:$A$5000)+7*(ROW()-10)))</f>
        <v/>
      </c>
    </row>
    <row r="199" spans="1:10" x14ac:dyDescent="0.25">
      <c r="A199" t="str">
        <f>IF($J199="","",YEAR($J199-WEEKDAY($J199,2)+4)&amp;"-W"&amp;TEXT(_xludf.ISOWEEKNUM($J199),"00"))</f>
        <v/>
      </c>
      <c r="B199"/>
      <c r="C199" t="str">
        <f>IF($J199="","",SUMIFS('Hours Log'!$C:$C,'Hours Log'!$A:$A,"&gt;="&amp;$J199,'Hours Log'!$A:$A,"&lt;"&amp;$J199+7)+SUMIFS('Hours Log'!$D:$D,'Hours Log'!$A:$A,"&gt;="&amp;$J199,'Hours Log'!$A:$A,"&lt;"&amp;$J199+7))</f>
        <v/>
      </c>
      <c r="D199" t="str">
        <f>IF($J199="","",SUMIFS('Hours Log'!$D:$D,'Hours Log'!$A:$A,"&gt;="&amp;$J199,'Hours Log'!$A:$A,"&lt;"&amp;$J199+7))</f>
        <v/>
      </c>
      <c r="E199" t="str">
        <f t="shared" si="4"/>
        <v/>
      </c>
      <c r="F199" t="str">
        <f t="shared" si="5"/>
        <v/>
      </c>
      <c r="G199" t="str">
        <f>IF($J199="","",SUMIFS('Hours Log'!$E:$E,'Hours Log'!$A:$A,"&gt;="&amp;$J199,'Hours Log'!$A:$A,"&lt;"&amp;$J199+7))</f>
        <v/>
      </c>
      <c r="J199" t="str">
        <f>IF(COUNT('Hours Log'!$A$4:$A$5000)=0,"",IF(MIN('Hours Log'!$A$4:$A$5000)+7*(ROW()-10)&gt;MAX('Hours Log'!$A$4:$A$5000),"",MIN('Hours Log'!$A$4:$A$5000)+7*(ROW()-10)))</f>
        <v/>
      </c>
    </row>
    <row r="200" spans="1:10" x14ac:dyDescent="0.25">
      <c r="A200" t="str">
        <f>IF($J200="","",YEAR($J200-WEEKDAY($J200,2)+4)&amp;"-W"&amp;TEXT(_xludf.ISOWEEKNUM($J200),"00"))</f>
        <v/>
      </c>
      <c r="B200"/>
      <c r="C200" t="str">
        <f>IF($J200="","",SUMIFS('Hours Log'!$C:$C,'Hours Log'!$A:$A,"&gt;="&amp;$J200,'Hours Log'!$A:$A,"&lt;"&amp;$J200+7)+SUMIFS('Hours Log'!$D:$D,'Hours Log'!$A:$A,"&gt;="&amp;$J200,'Hours Log'!$A:$A,"&lt;"&amp;$J200+7))</f>
        <v/>
      </c>
      <c r="D200" t="str">
        <f>IF($J200="","",SUMIFS('Hours Log'!$D:$D,'Hours Log'!$A:$A,"&gt;="&amp;$J200,'Hours Log'!$A:$A,"&lt;"&amp;$J200+7))</f>
        <v/>
      </c>
      <c r="E200" t="str">
        <f t="shared" si="4"/>
        <v/>
      </c>
      <c r="F200" t="str">
        <f t="shared" si="5"/>
        <v/>
      </c>
      <c r="G200" t="str">
        <f>IF($J200="","",SUMIFS('Hours Log'!$E:$E,'Hours Log'!$A:$A,"&gt;="&amp;$J200,'Hours Log'!$A:$A,"&lt;"&amp;$J200+7))</f>
        <v/>
      </c>
      <c r="J200" t="str">
        <f>IF(COUNT('Hours Log'!$A$4:$A$5000)=0,"",IF(MIN('Hours Log'!$A$4:$A$5000)+7*(ROW()-10)&gt;MAX('Hours Log'!$A$4:$A$5000),"",MIN('Hours Log'!$A$4:$A$5000)+7*(ROW()-10)))</f>
        <v/>
      </c>
    </row>
    <row r="201" spans="1:10" x14ac:dyDescent="0.25">
      <c r="A201" t="str">
        <f>IF($J201="","",YEAR($J201-WEEKDAY($J201,2)+4)&amp;"-W"&amp;TEXT(_xludf.ISOWEEKNUM($J201),"00"))</f>
        <v/>
      </c>
      <c r="B201"/>
      <c r="C201" t="str">
        <f>IF($J201="","",SUMIFS('Hours Log'!$C:$C,'Hours Log'!$A:$A,"&gt;="&amp;$J201,'Hours Log'!$A:$A,"&lt;"&amp;$J201+7)+SUMIFS('Hours Log'!$D:$D,'Hours Log'!$A:$A,"&gt;="&amp;$J201,'Hours Log'!$A:$A,"&lt;"&amp;$J201+7))</f>
        <v/>
      </c>
      <c r="D201" t="str">
        <f>IF($J201="","",SUMIFS('Hours Log'!$D:$D,'Hours Log'!$A:$A,"&gt;="&amp;$J201,'Hours Log'!$A:$A,"&lt;"&amp;$J201+7))</f>
        <v/>
      </c>
      <c r="E201" t="str">
        <f t="shared" si="4"/>
        <v/>
      </c>
      <c r="F201" t="str">
        <f t="shared" si="5"/>
        <v/>
      </c>
      <c r="G201" t="str">
        <f>IF($J201="","",SUMIFS('Hours Log'!$E:$E,'Hours Log'!$A:$A,"&gt;="&amp;$J201,'Hours Log'!$A:$A,"&lt;"&amp;$J201+7))</f>
        <v/>
      </c>
      <c r="J201" t="str">
        <f>IF(COUNT('Hours Log'!$A$4:$A$5000)=0,"",IF(MIN('Hours Log'!$A$4:$A$5000)+7*(ROW()-10)&gt;MAX('Hours Log'!$A$4:$A$5000),"",MIN('Hours Log'!$A$4:$A$5000)+7*(ROW()-10)))</f>
        <v/>
      </c>
    </row>
    <row r="202" spans="1:10" x14ac:dyDescent="0.25">
      <c r="A202" t="str">
        <f>IF($J202="","",YEAR($J202-WEEKDAY($J202,2)+4)&amp;"-W"&amp;TEXT(_xludf.ISOWEEKNUM($J202),"00"))</f>
        <v/>
      </c>
      <c r="B202"/>
      <c r="C202" t="str">
        <f>IF($J202="","",SUMIFS('Hours Log'!$C:$C,'Hours Log'!$A:$A,"&gt;="&amp;$J202,'Hours Log'!$A:$A,"&lt;"&amp;$J202+7)+SUMIFS('Hours Log'!$D:$D,'Hours Log'!$A:$A,"&gt;="&amp;$J202,'Hours Log'!$A:$A,"&lt;"&amp;$J202+7))</f>
        <v/>
      </c>
      <c r="D202" t="str">
        <f>IF($J202="","",SUMIFS('Hours Log'!$D:$D,'Hours Log'!$A:$A,"&gt;="&amp;$J202,'Hours Log'!$A:$A,"&lt;"&amp;$J202+7))</f>
        <v/>
      </c>
      <c r="E202" t="str">
        <f t="shared" ref="E202:E265" si="6">IF($J202="","",IFERROR(C202/(B202*40),0))</f>
        <v/>
      </c>
      <c r="F202" t="str">
        <f t="shared" ref="F202:F265" si="7">IF($J202="","",0)</f>
        <v/>
      </c>
      <c r="G202" t="str">
        <f>IF($J202="","",SUMIFS('Hours Log'!$E:$E,'Hours Log'!$A:$A,"&gt;="&amp;$J202,'Hours Log'!$A:$A,"&lt;"&amp;$J202+7))</f>
        <v/>
      </c>
      <c r="J202" t="str">
        <f>IF(COUNT('Hours Log'!$A$4:$A$5000)=0,"",IF(MIN('Hours Log'!$A$4:$A$5000)+7*(ROW()-10)&gt;MAX('Hours Log'!$A$4:$A$5000),"",MIN('Hours Log'!$A$4:$A$5000)+7*(ROW()-10)))</f>
        <v/>
      </c>
    </row>
    <row r="203" spans="1:10" x14ac:dyDescent="0.25">
      <c r="A203" t="str">
        <f>IF($J203="","",YEAR($J203-WEEKDAY($J203,2)+4)&amp;"-W"&amp;TEXT(_xludf.ISOWEEKNUM($J203),"00"))</f>
        <v/>
      </c>
      <c r="B203"/>
      <c r="C203" t="str">
        <f>IF($J203="","",SUMIFS('Hours Log'!$C:$C,'Hours Log'!$A:$A,"&gt;="&amp;$J203,'Hours Log'!$A:$A,"&lt;"&amp;$J203+7)+SUMIFS('Hours Log'!$D:$D,'Hours Log'!$A:$A,"&gt;="&amp;$J203,'Hours Log'!$A:$A,"&lt;"&amp;$J203+7))</f>
        <v/>
      </c>
      <c r="D203" t="str">
        <f>IF($J203="","",SUMIFS('Hours Log'!$D:$D,'Hours Log'!$A:$A,"&gt;="&amp;$J203,'Hours Log'!$A:$A,"&lt;"&amp;$J203+7))</f>
        <v/>
      </c>
      <c r="E203" t="str">
        <f t="shared" si="6"/>
        <v/>
      </c>
      <c r="F203" t="str">
        <f t="shared" si="7"/>
        <v/>
      </c>
      <c r="G203" t="str">
        <f>IF($J203="","",SUMIFS('Hours Log'!$E:$E,'Hours Log'!$A:$A,"&gt;="&amp;$J203,'Hours Log'!$A:$A,"&lt;"&amp;$J203+7))</f>
        <v/>
      </c>
      <c r="J203" t="str">
        <f>IF(COUNT('Hours Log'!$A$4:$A$5000)=0,"",IF(MIN('Hours Log'!$A$4:$A$5000)+7*(ROW()-10)&gt;MAX('Hours Log'!$A$4:$A$5000),"",MIN('Hours Log'!$A$4:$A$5000)+7*(ROW()-10)))</f>
        <v/>
      </c>
    </row>
    <row r="204" spans="1:10" x14ac:dyDescent="0.25">
      <c r="A204" t="str">
        <f>IF($J204="","",YEAR($J204-WEEKDAY($J204,2)+4)&amp;"-W"&amp;TEXT(_xludf.ISOWEEKNUM($J204),"00"))</f>
        <v/>
      </c>
      <c r="B204"/>
      <c r="C204" t="str">
        <f>IF($J204="","",SUMIFS('Hours Log'!$C:$C,'Hours Log'!$A:$A,"&gt;="&amp;$J204,'Hours Log'!$A:$A,"&lt;"&amp;$J204+7)+SUMIFS('Hours Log'!$D:$D,'Hours Log'!$A:$A,"&gt;="&amp;$J204,'Hours Log'!$A:$A,"&lt;"&amp;$J204+7))</f>
        <v/>
      </c>
      <c r="D204" t="str">
        <f>IF($J204="","",SUMIFS('Hours Log'!$D:$D,'Hours Log'!$A:$A,"&gt;="&amp;$J204,'Hours Log'!$A:$A,"&lt;"&amp;$J204+7))</f>
        <v/>
      </c>
      <c r="E204" t="str">
        <f t="shared" si="6"/>
        <v/>
      </c>
      <c r="F204" t="str">
        <f t="shared" si="7"/>
        <v/>
      </c>
      <c r="G204" t="str">
        <f>IF($J204="","",SUMIFS('Hours Log'!$E:$E,'Hours Log'!$A:$A,"&gt;="&amp;$J204,'Hours Log'!$A:$A,"&lt;"&amp;$J204+7))</f>
        <v/>
      </c>
      <c r="J204" t="str">
        <f>IF(COUNT('Hours Log'!$A$4:$A$5000)=0,"",IF(MIN('Hours Log'!$A$4:$A$5000)+7*(ROW()-10)&gt;MAX('Hours Log'!$A$4:$A$5000),"",MIN('Hours Log'!$A$4:$A$5000)+7*(ROW()-10)))</f>
        <v/>
      </c>
    </row>
    <row r="205" spans="1:10" x14ac:dyDescent="0.25">
      <c r="A205" t="str">
        <f>IF($J205="","",YEAR($J205-WEEKDAY($J205,2)+4)&amp;"-W"&amp;TEXT(_xludf.ISOWEEKNUM($J205),"00"))</f>
        <v/>
      </c>
      <c r="B205"/>
      <c r="C205" t="str">
        <f>IF($J205="","",SUMIFS('Hours Log'!$C:$C,'Hours Log'!$A:$A,"&gt;="&amp;$J205,'Hours Log'!$A:$A,"&lt;"&amp;$J205+7)+SUMIFS('Hours Log'!$D:$D,'Hours Log'!$A:$A,"&gt;="&amp;$J205,'Hours Log'!$A:$A,"&lt;"&amp;$J205+7))</f>
        <v/>
      </c>
      <c r="D205" t="str">
        <f>IF($J205="","",SUMIFS('Hours Log'!$D:$D,'Hours Log'!$A:$A,"&gt;="&amp;$J205,'Hours Log'!$A:$A,"&lt;"&amp;$J205+7))</f>
        <v/>
      </c>
      <c r="E205" t="str">
        <f t="shared" si="6"/>
        <v/>
      </c>
      <c r="F205" t="str">
        <f t="shared" si="7"/>
        <v/>
      </c>
      <c r="G205" t="str">
        <f>IF($J205="","",SUMIFS('Hours Log'!$E:$E,'Hours Log'!$A:$A,"&gt;="&amp;$J205,'Hours Log'!$A:$A,"&lt;"&amp;$J205+7))</f>
        <v/>
      </c>
      <c r="J205" t="str">
        <f>IF(COUNT('Hours Log'!$A$4:$A$5000)=0,"",IF(MIN('Hours Log'!$A$4:$A$5000)+7*(ROW()-10)&gt;MAX('Hours Log'!$A$4:$A$5000),"",MIN('Hours Log'!$A$4:$A$5000)+7*(ROW()-10)))</f>
        <v/>
      </c>
    </row>
    <row r="206" spans="1:10" x14ac:dyDescent="0.25">
      <c r="A206" t="str">
        <f>IF($J206="","",YEAR($J206-WEEKDAY($J206,2)+4)&amp;"-W"&amp;TEXT(_xludf.ISOWEEKNUM($J206),"00"))</f>
        <v/>
      </c>
      <c r="B206"/>
      <c r="C206" t="str">
        <f>IF($J206="","",SUMIFS('Hours Log'!$C:$C,'Hours Log'!$A:$A,"&gt;="&amp;$J206,'Hours Log'!$A:$A,"&lt;"&amp;$J206+7)+SUMIFS('Hours Log'!$D:$D,'Hours Log'!$A:$A,"&gt;="&amp;$J206,'Hours Log'!$A:$A,"&lt;"&amp;$J206+7))</f>
        <v/>
      </c>
      <c r="D206" t="str">
        <f>IF($J206="","",SUMIFS('Hours Log'!$D:$D,'Hours Log'!$A:$A,"&gt;="&amp;$J206,'Hours Log'!$A:$A,"&lt;"&amp;$J206+7))</f>
        <v/>
      </c>
      <c r="E206" t="str">
        <f t="shared" si="6"/>
        <v/>
      </c>
      <c r="F206" t="str">
        <f t="shared" si="7"/>
        <v/>
      </c>
      <c r="G206" t="str">
        <f>IF($J206="","",SUMIFS('Hours Log'!$E:$E,'Hours Log'!$A:$A,"&gt;="&amp;$J206,'Hours Log'!$A:$A,"&lt;"&amp;$J206+7))</f>
        <v/>
      </c>
      <c r="J206" t="str">
        <f>IF(COUNT('Hours Log'!$A$4:$A$5000)=0,"",IF(MIN('Hours Log'!$A$4:$A$5000)+7*(ROW()-10)&gt;MAX('Hours Log'!$A$4:$A$5000),"",MIN('Hours Log'!$A$4:$A$5000)+7*(ROW()-10)))</f>
        <v/>
      </c>
    </row>
    <row r="207" spans="1:10" x14ac:dyDescent="0.25">
      <c r="A207" t="str">
        <f>IF($J207="","",YEAR($J207-WEEKDAY($J207,2)+4)&amp;"-W"&amp;TEXT(_xludf.ISOWEEKNUM($J207),"00"))</f>
        <v/>
      </c>
      <c r="B207"/>
      <c r="C207" t="str">
        <f>IF($J207="","",SUMIFS('Hours Log'!$C:$C,'Hours Log'!$A:$A,"&gt;="&amp;$J207,'Hours Log'!$A:$A,"&lt;"&amp;$J207+7)+SUMIFS('Hours Log'!$D:$D,'Hours Log'!$A:$A,"&gt;="&amp;$J207,'Hours Log'!$A:$A,"&lt;"&amp;$J207+7))</f>
        <v/>
      </c>
      <c r="D207" t="str">
        <f>IF($J207="","",SUMIFS('Hours Log'!$D:$D,'Hours Log'!$A:$A,"&gt;="&amp;$J207,'Hours Log'!$A:$A,"&lt;"&amp;$J207+7))</f>
        <v/>
      </c>
      <c r="E207" t="str">
        <f t="shared" si="6"/>
        <v/>
      </c>
      <c r="F207" t="str">
        <f t="shared" si="7"/>
        <v/>
      </c>
      <c r="G207" t="str">
        <f>IF($J207="","",SUMIFS('Hours Log'!$E:$E,'Hours Log'!$A:$A,"&gt;="&amp;$J207,'Hours Log'!$A:$A,"&lt;"&amp;$J207+7))</f>
        <v/>
      </c>
      <c r="J207" t="str">
        <f>IF(COUNT('Hours Log'!$A$4:$A$5000)=0,"",IF(MIN('Hours Log'!$A$4:$A$5000)+7*(ROW()-10)&gt;MAX('Hours Log'!$A$4:$A$5000),"",MIN('Hours Log'!$A$4:$A$5000)+7*(ROW()-10)))</f>
        <v/>
      </c>
    </row>
    <row r="208" spans="1:10" x14ac:dyDescent="0.25">
      <c r="A208" t="str">
        <f>IF($J208="","",YEAR($J208-WEEKDAY($J208,2)+4)&amp;"-W"&amp;TEXT(_xludf.ISOWEEKNUM($J208),"00"))</f>
        <v/>
      </c>
      <c r="B208"/>
      <c r="C208" t="str">
        <f>IF($J208="","",SUMIFS('Hours Log'!$C:$C,'Hours Log'!$A:$A,"&gt;="&amp;$J208,'Hours Log'!$A:$A,"&lt;"&amp;$J208+7)+SUMIFS('Hours Log'!$D:$D,'Hours Log'!$A:$A,"&gt;="&amp;$J208,'Hours Log'!$A:$A,"&lt;"&amp;$J208+7))</f>
        <v/>
      </c>
      <c r="D208" t="str">
        <f>IF($J208="","",SUMIFS('Hours Log'!$D:$D,'Hours Log'!$A:$A,"&gt;="&amp;$J208,'Hours Log'!$A:$A,"&lt;"&amp;$J208+7))</f>
        <v/>
      </c>
      <c r="E208" t="str">
        <f t="shared" si="6"/>
        <v/>
      </c>
      <c r="F208" t="str">
        <f t="shared" si="7"/>
        <v/>
      </c>
      <c r="G208" t="str">
        <f>IF($J208="","",SUMIFS('Hours Log'!$E:$E,'Hours Log'!$A:$A,"&gt;="&amp;$J208,'Hours Log'!$A:$A,"&lt;"&amp;$J208+7))</f>
        <v/>
      </c>
      <c r="J208" t="str">
        <f>IF(COUNT('Hours Log'!$A$4:$A$5000)=0,"",IF(MIN('Hours Log'!$A$4:$A$5000)+7*(ROW()-10)&gt;MAX('Hours Log'!$A$4:$A$5000),"",MIN('Hours Log'!$A$4:$A$5000)+7*(ROW()-10)))</f>
        <v/>
      </c>
    </row>
    <row r="209" spans="1:10" x14ac:dyDescent="0.25">
      <c r="A209" t="str">
        <f>IF($J209="","",YEAR($J209-WEEKDAY($J209,2)+4)&amp;"-W"&amp;TEXT(_xludf.ISOWEEKNUM($J209),"00"))</f>
        <v/>
      </c>
      <c r="B209"/>
      <c r="C209" t="str">
        <f>IF($J209="","",SUMIFS('Hours Log'!$C:$C,'Hours Log'!$A:$A,"&gt;="&amp;$J209,'Hours Log'!$A:$A,"&lt;"&amp;$J209+7)+SUMIFS('Hours Log'!$D:$D,'Hours Log'!$A:$A,"&gt;="&amp;$J209,'Hours Log'!$A:$A,"&lt;"&amp;$J209+7))</f>
        <v/>
      </c>
      <c r="D209" t="str">
        <f>IF($J209="","",SUMIFS('Hours Log'!$D:$D,'Hours Log'!$A:$A,"&gt;="&amp;$J209,'Hours Log'!$A:$A,"&lt;"&amp;$J209+7))</f>
        <v/>
      </c>
      <c r="E209" t="str">
        <f t="shared" si="6"/>
        <v/>
      </c>
      <c r="F209" t="str">
        <f t="shared" si="7"/>
        <v/>
      </c>
      <c r="G209" t="str">
        <f>IF($J209="","",SUMIFS('Hours Log'!$E:$E,'Hours Log'!$A:$A,"&gt;="&amp;$J209,'Hours Log'!$A:$A,"&lt;"&amp;$J209+7))</f>
        <v/>
      </c>
      <c r="J209" t="str">
        <f>IF(COUNT('Hours Log'!$A$4:$A$5000)=0,"",IF(MIN('Hours Log'!$A$4:$A$5000)+7*(ROW()-10)&gt;MAX('Hours Log'!$A$4:$A$5000),"",MIN('Hours Log'!$A$4:$A$5000)+7*(ROW()-10)))</f>
        <v/>
      </c>
    </row>
    <row r="210" spans="1:10" x14ac:dyDescent="0.25">
      <c r="A210" t="str">
        <f>IF($J210="","",YEAR($J210-WEEKDAY($J210,2)+4)&amp;"-W"&amp;TEXT(_xludf.ISOWEEKNUM($J210),"00"))</f>
        <v/>
      </c>
      <c r="B210"/>
      <c r="C210" t="str">
        <f>IF($J210="","",SUMIFS('Hours Log'!$C:$C,'Hours Log'!$A:$A,"&gt;="&amp;$J210,'Hours Log'!$A:$A,"&lt;"&amp;$J210+7)+SUMIFS('Hours Log'!$D:$D,'Hours Log'!$A:$A,"&gt;="&amp;$J210,'Hours Log'!$A:$A,"&lt;"&amp;$J210+7))</f>
        <v/>
      </c>
      <c r="D210" t="str">
        <f>IF($J210="","",SUMIFS('Hours Log'!$D:$D,'Hours Log'!$A:$A,"&gt;="&amp;$J210,'Hours Log'!$A:$A,"&lt;"&amp;$J210+7))</f>
        <v/>
      </c>
      <c r="E210" t="str">
        <f t="shared" si="6"/>
        <v/>
      </c>
      <c r="F210" t="str">
        <f t="shared" si="7"/>
        <v/>
      </c>
      <c r="G210" t="str">
        <f>IF($J210="","",SUMIFS('Hours Log'!$E:$E,'Hours Log'!$A:$A,"&gt;="&amp;$J210,'Hours Log'!$A:$A,"&lt;"&amp;$J210+7))</f>
        <v/>
      </c>
      <c r="J210" t="str">
        <f>IF(COUNT('Hours Log'!$A$4:$A$5000)=0,"",IF(MIN('Hours Log'!$A$4:$A$5000)+7*(ROW()-10)&gt;MAX('Hours Log'!$A$4:$A$5000),"",MIN('Hours Log'!$A$4:$A$5000)+7*(ROW()-10)))</f>
        <v/>
      </c>
    </row>
    <row r="211" spans="1:10" x14ac:dyDescent="0.25">
      <c r="A211" t="str">
        <f>IF($J211="","",YEAR($J211-WEEKDAY($J211,2)+4)&amp;"-W"&amp;TEXT(_xludf.ISOWEEKNUM($J211),"00"))</f>
        <v/>
      </c>
      <c r="B211"/>
      <c r="C211" t="str">
        <f>IF($J211="","",SUMIFS('Hours Log'!$C:$C,'Hours Log'!$A:$A,"&gt;="&amp;$J211,'Hours Log'!$A:$A,"&lt;"&amp;$J211+7)+SUMIFS('Hours Log'!$D:$D,'Hours Log'!$A:$A,"&gt;="&amp;$J211,'Hours Log'!$A:$A,"&lt;"&amp;$J211+7))</f>
        <v/>
      </c>
      <c r="D211" t="str">
        <f>IF($J211="","",SUMIFS('Hours Log'!$D:$D,'Hours Log'!$A:$A,"&gt;="&amp;$J211,'Hours Log'!$A:$A,"&lt;"&amp;$J211+7))</f>
        <v/>
      </c>
      <c r="E211" t="str">
        <f t="shared" si="6"/>
        <v/>
      </c>
      <c r="F211" t="str">
        <f t="shared" si="7"/>
        <v/>
      </c>
      <c r="G211" t="str">
        <f>IF($J211="","",SUMIFS('Hours Log'!$E:$E,'Hours Log'!$A:$A,"&gt;="&amp;$J211,'Hours Log'!$A:$A,"&lt;"&amp;$J211+7))</f>
        <v/>
      </c>
      <c r="J211" t="str">
        <f>IF(COUNT('Hours Log'!$A$4:$A$5000)=0,"",IF(MIN('Hours Log'!$A$4:$A$5000)+7*(ROW()-10)&gt;MAX('Hours Log'!$A$4:$A$5000),"",MIN('Hours Log'!$A$4:$A$5000)+7*(ROW()-10)))</f>
        <v/>
      </c>
    </row>
    <row r="212" spans="1:10" x14ac:dyDescent="0.25">
      <c r="A212" t="str">
        <f>IF($J212="","",YEAR($J212-WEEKDAY($J212,2)+4)&amp;"-W"&amp;TEXT(_xludf.ISOWEEKNUM($J212),"00"))</f>
        <v/>
      </c>
      <c r="B212"/>
      <c r="C212" t="str">
        <f>IF($J212="","",SUMIFS('Hours Log'!$C:$C,'Hours Log'!$A:$A,"&gt;="&amp;$J212,'Hours Log'!$A:$A,"&lt;"&amp;$J212+7)+SUMIFS('Hours Log'!$D:$D,'Hours Log'!$A:$A,"&gt;="&amp;$J212,'Hours Log'!$A:$A,"&lt;"&amp;$J212+7))</f>
        <v/>
      </c>
      <c r="D212" t="str">
        <f>IF($J212="","",SUMIFS('Hours Log'!$D:$D,'Hours Log'!$A:$A,"&gt;="&amp;$J212,'Hours Log'!$A:$A,"&lt;"&amp;$J212+7))</f>
        <v/>
      </c>
      <c r="E212" t="str">
        <f t="shared" si="6"/>
        <v/>
      </c>
      <c r="F212" t="str">
        <f t="shared" si="7"/>
        <v/>
      </c>
      <c r="G212" t="str">
        <f>IF($J212="","",SUMIFS('Hours Log'!$E:$E,'Hours Log'!$A:$A,"&gt;="&amp;$J212,'Hours Log'!$A:$A,"&lt;"&amp;$J212+7))</f>
        <v/>
      </c>
      <c r="J212" t="str">
        <f>IF(COUNT('Hours Log'!$A$4:$A$5000)=0,"",IF(MIN('Hours Log'!$A$4:$A$5000)+7*(ROW()-10)&gt;MAX('Hours Log'!$A$4:$A$5000),"",MIN('Hours Log'!$A$4:$A$5000)+7*(ROW()-10)))</f>
        <v/>
      </c>
    </row>
    <row r="213" spans="1:10" x14ac:dyDescent="0.25">
      <c r="A213" t="str">
        <f>IF($J213="","",YEAR($J213-WEEKDAY($J213,2)+4)&amp;"-W"&amp;TEXT(_xludf.ISOWEEKNUM($J213),"00"))</f>
        <v/>
      </c>
      <c r="B213"/>
      <c r="C213" t="str">
        <f>IF($J213="","",SUMIFS('Hours Log'!$C:$C,'Hours Log'!$A:$A,"&gt;="&amp;$J213,'Hours Log'!$A:$A,"&lt;"&amp;$J213+7)+SUMIFS('Hours Log'!$D:$D,'Hours Log'!$A:$A,"&gt;="&amp;$J213,'Hours Log'!$A:$A,"&lt;"&amp;$J213+7))</f>
        <v/>
      </c>
      <c r="D213" t="str">
        <f>IF($J213="","",SUMIFS('Hours Log'!$D:$D,'Hours Log'!$A:$A,"&gt;="&amp;$J213,'Hours Log'!$A:$A,"&lt;"&amp;$J213+7))</f>
        <v/>
      </c>
      <c r="E213" t="str">
        <f t="shared" si="6"/>
        <v/>
      </c>
      <c r="F213" t="str">
        <f t="shared" si="7"/>
        <v/>
      </c>
      <c r="G213" t="str">
        <f>IF($J213="","",SUMIFS('Hours Log'!$E:$E,'Hours Log'!$A:$A,"&gt;="&amp;$J213,'Hours Log'!$A:$A,"&lt;"&amp;$J213+7))</f>
        <v/>
      </c>
      <c r="J213" t="str">
        <f>IF(COUNT('Hours Log'!$A$4:$A$5000)=0,"",IF(MIN('Hours Log'!$A$4:$A$5000)+7*(ROW()-10)&gt;MAX('Hours Log'!$A$4:$A$5000),"",MIN('Hours Log'!$A$4:$A$5000)+7*(ROW()-10)))</f>
        <v/>
      </c>
    </row>
    <row r="214" spans="1:10" x14ac:dyDescent="0.25">
      <c r="A214" t="str">
        <f>IF($J214="","",YEAR($J214-WEEKDAY($J214,2)+4)&amp;"-W"&amp;TEXT(_xludf.ISOWEEKNUM($J214),"00"))</f>
        <v/>
      </c>
      <c r="B214"/>
      <c r="C214" t="str">
        <f>IF($J214="","",SUMIFS('Hours Log'!$C:$C,'Hours Log'!$A:$A,"&gt;="&amp;$J214,'Hours Log'!$A:$A,"&lt;"&amp;$J214+7)+SUMIFS('Hours Log'!$D:$D,'Hours Log'!$A:$A,"&gt;="&amp;$J214,'Hours Log'!$A:$A,"&lt;"&amp;$J214+7))</f>
        <v/>
      </c>
      <c r="D214" t="str">
        <f>IF($J214="","",SUMIFS('Hours Log'!$D:$D,'Hours Log'!$A:$A,"&gt;="&amp;$J214,'Hours Log'!$A:$A,"&lt;"&amp;$J214+7))</f>
        <v/>
      </c>
      <c r="E214" t="str">
        <f t="shared" si="6"/>
        <v/>
      </c>
      <c r="F214" t="str">
        <f t="shared" si="7"/>
        <v/>
      </c>
      <c r="G214" t="str">
        <f>IF($J214="","",SUMIFS('Hours Log'!$E:$E,'Hours Log'!$A:$A,"&gt;="&amp;$J214,'Hours Log'!$A:$A,"&lt;"&amp;$J214+7))</f>
        <v/>
      </c>
      <c r="J214" t="str">
        <f>IF(COUNT('Hours Log'!$A$4:$A$5000)=0,"",IF(MIN('Hours Log'!$A$4:$A$5000)+7*(ROW()-10)&gt;MAX('Hours Log'!$A$4:$A$5000),"",MIN('Hours Log'!$A$4:$A$5000)+7*(ROW()-10)))</f>
        <v/>
      </c>
    </row>
    <row r="215" spans="1:10" x14ac:dyDescent="0.25">
      <c r="A215" t="str">
        <f>IF($J215="","",YEAR($J215-WEEKDAY($J215,2)+4)&amp;"-W"&amp;TEXT(_xludf.ISOWEEKNUM($J215),"00"))</f>
        <v/>
      </c>
      <c r="B215"/>
      <c r="C215" t="str">
        <f>IF($J215="","",SUMIFS('Hours Log'!$C:$C,'Hours Log'!$A:$A,"&gt;="&amp;$J215,'Hours Log'!$A:$A,"&lt;"&amp;$J215+7)+SUMIFS('Hours Log'!$D:$D,'Hours Log'!$A:$A,"&gt;="&amp;$J215,'Hours Log'!$A:$A,"&lt;"&amp;$J215+7))</f>
        <v/>
      </c>
      <c r="D215" t="str">
        <f>IF($J215="","",SUMIFS('Hours Log'!$D:$D,'Hours Log'!$A:$A,"&gt;="&amp;$J215,'Hours Log'!$A:$A,"&lt;"&amp;$J215+7))</f>
        <v/>
      </c>
      <c r="E215" t="str">
        <f t="shared" si="6"/>
        <v/>
      </c>
      <c r="F215" t="str">
        <f t="shared" si="7"/>
        <v/>
      </c>
      <c r="G215" t="str">
        <f>IF($J215="","",SUMIFS('Hours Log'!$E:$E,'Hours Log'!$A:$A,"&gt;="&amp;$J215,'Hours Log'!$A:$A,"&lt;"&amp;$J215+7))</f>
        <v/>
      </c>
      <c r="J215" t="str">
        <f>IF(COUNT('Hours Log'!$A$4:$A$5000)=0,"",IF(MIN('Hours Log'!$A$4:$A$5000)+7*(ROW()-10)&gt;MAX('Hours Log'!$A$4:$A$5000),"",MIN('Hours Log'!$A$4:$A$5000)+7*(ROW()-10)))</f>
        <v/>
      </c>
    </row>
    <row r="216" spans="1:10" x14ac:dyDescent="0.25">
      <c r="A216" t="str">
        <f>IF($J216="","",YEAR($J216-WEEKDAY($J216,2)+4)&amp;"-W"&amp;TEXT(_xludf.ISOWEEKNUM($J216),"00"))</f>
        <v/>
      </c>
      <c r="B216"/>
      <c r="C216" t="str">
        <f>IF($J216="","",SUMIFS('Hours Log'!$C:$C,'Hours Log'!$A:$A,"&gt;="&amp;$J216,'Hours Log'!$A:$A,"&lt;"&amp;$J216+7)+SUMIFS('Hours Log'!$D:$D,'Hours Log'!$A:$A,"&gt;="&amp;$J216,'Hours Log'!$A:$A,"&lt;"&amp;$J216+7))</f>
        <v/>
      </c>
      <c r="D216" t="str">
        <f>IF($J216="","",SUMIFS('Hours Log'!$D:$D,'Hours Log'!$A:$A,"&gt;="&amp;$J216,'Hours Log'!$A:$A,"&lt;"&amp;$J216+7))</f>
        <v/>
      </c>
      <c r="E216" t="str">
        <f t="shared" si="6"/>
        <v/>
      </c>
      <c r="F216" t="str">
        <f t="shared" si="7"/>
        <v/>
      </c>
      <c r="G216" t="str">
        <f>IF($J216="","",SUMIFS('Hours Log'!$E:$E,'Hours Log'!$A:$A,"&gt;="&amp;$J216,'Hours Log'!$A:$A,"&lt;"&amp;$J216+7))</f>
        <v/>
      </c>
      <c r="J216" t="str">
        <f>IF(COUNT('Hours Log'!$A$4:$A$5000)=0,"",IF(MIN('Hours Log'!$A$4:$A$5000)+7*(ROW()-10)&gt;MAX('Hours Log'!$A$4:$A$5000),"",MIN('Hours Log'!$A$4:$A$5000)+7*(ROW()-10)))</f>
        <v/>
      </c>
    </row>
    <row r="217" spans="1:10" x14ac:dyDescent="0.25">
      <c r="A217" t="str">
        <f>IF($J217="","",YEAR($J217-WEEKDAY($J217,2)+4)&amp;"-W"&amp;TEXT(_xludf.ISOWEEKNUM($J217),"00"))</f>
        <v/>
      </c>
      <c r="B217"/>
      <c r="C217" t="str">
        <f>IF($J217="","",SUMIFS('Hours Log'!$C:$C,'Hours Log'!$A:$A,"&gt;="&amp;$J217,'Hours Log'!$A:$A,"&lt;"&amp;$J217+7)+SUMIFS('Hours Log'!$D:$D,'Hours Log'!$A:$A,"&gt;="&amp;$J217,'Hours Log'!$A:$A,"&lt;"&amp;$J217+7))</f>
        <v/>
      </c>
      <c r="D217" t="str">
        <f>IF($J217="","",SUMIFS('Hours Log'!$D:$D,'Hours Log'!$A:$A,"&gt;="&amp;$J217,'Hours Log'!$A:$A,"&lt;"&amp;$J217+7))</f>
        <v/>
      </c>
      <c r="E217" t="str">
        <f t="shared" si="6"/>
        <v/>
      </c>
      <c r="F217" t="str">
        <f t="shared" si="7"/>
        <v/>
      </c>
      <c r="G217" t="str">
        <f>IF($J217="","",SUMIFS('Hours Log'!$E:$E,'Hours Log'!$A:$A,"&gt;="&amp;$J217,'Hours Log'!$A:$A,"&lt;"&amp;$J217+7))</f>
        <v/>
      </c>
      <c r="J217" t="str">
        <f>IF(COUNT('Hours Log'!$A$4:$A$5000)=0,"",IF(MIN('Hours Log'!$A$4:$A$5000)+7*(ROW()-10)&gt;MAX('Hours Log'!$A$4:$A$5000),"",MIN('Hours Log'!$A$4:$A$5000)+7*(ROW()-10)))</f>
        <v/>
      </c>
    </row>
    <row r="218" spans="1:10" x14ac:dyDescent="0.25">
      <c r="A218" t="str">
        <f>IF($J218="","",YEAR($J218-WEEKDAY($J218,2)+4)&amp;"-W"&amp;TEXT(_xludf.ISOWEEKNUM($J218),"00"))</f>
        <v/>
      </c>
      <c r="B218"/>
      <c r="C218" t="str">
        <f>IF($J218="","",SUMIFS('Hours Log'!$C:$C,'Hours Log'!$A:$A,"&gt;="&amp;$J218,'Hours Log'!$A:$A,"&lt;"&amp;$J218+7)+SUMIFS('Hours Log'!$D:$D,'Hours Log'!$A:$A,"&gt;="&amp;$J218,'Hours Log'!$A:$A,"&lt;"&amp;$J218+7))</f>
        <v/>
      </c>
      <c r="D218" t="str">
        <f>IF($J218="","",SUMIFS('Hours Log'!$D:$D,'Hours Log'!$A:$A,"&gt;="&amp;$J218,'Hours Log'!$A:$A,"&lt;"&amp;$J218+7))</f>
        <v/>
      </c>
      <c r="E218" t="str">
        <f t="shared" si="6"/>
        <v/>
      </c>
      <c r="F218" t="str">
        <f t="shared" si="7"/>
        <v/>
      </c>
      <c r="G218" t="str">
        <f>IF($J218="","",SUMIFS('Hours Log'!$E:$E,'Hours Log'!$A:$A,"&gt;="&amp;$J218,'Hours Log'!$A:$A,"&lt;"&amp;$J218+7))</f>
        <v/>
      </c>
      <c r="J218" t="str">
        <f>IF(COUNT('Hours Log'!$A$4:$A$5000)=0,"",IF(MIN('Hours Log'!$A$4:$A$5000)+7*(ROW()-10)&gt;MAX('Hours Log'!$A$4:$A$5000),"",MIN('Hours Log'!$A$4:$A$5000)+7*(ROW()-10)))</f>
        <v/>
      </c>
    </row>
    <row r="219" spans="1:10" x14ac:dyDescent="0.25">
      <c r="A219" t="str">
        <f>IF($J219="","",YEAR($J219-WEEKDAY($J219,2)+4)&amp;"-W"&amp;TEXT(_xludf.ISOWEEKNUM($J219),"00"))</f>
        <v/>
      </c>
      <c r="B219"/>
      <c r="C219" t="str">
        <f>IF($J219="","",SUMIFS('Hours Log'!$C:$C,'Hours Log'!$A:$A,"&gt;="&amp;$J219,'Hours Log'!$A:$A,"&lt;"&amp;$J219+7)+SUMIFS('Hours Log'!$D:$D,'Hours Log'!$A:$A,"&gt;="&amp;$J219,'Hours Log'!$A:$A,"&lt;"&amp;$J219+7))</f>
        <v/>
      </c>
      <c r="D219" t="str">
        <f>IF($J219="","",SUMIFS('Hours Log'!$D:$D,'Hours Log'!$A:$A,"&gt;="&amp;$J219,'Hours Log'!$A:$A,"&lt;"&amp;$J219+7))</f>
        <v/>
      </c>
      <c r="E219" t="str">
        <f t="shared" si="6"/>
        <v/>
      </c>
      <c r="F219" t="str">
        <f t="shared" si="7"/>
        <v/>
      </c>
      <c r="G219" t="str">
        <f>IF($J219="","",SUMIFS('Hours Log'!$E:$E,'Hours Log'!$A:$A,"&gt;="&amp;$J219,'Hours Log'!$A:$A,"&lt;"&amp;$J219+7))</f>
        <v/>
      </c>
      <c r="J219" t="str">
        <f>IF(COUNT('Hours Log'!$A$4:$A$5000)=0,"",IF(MIN('Hours Log'!$A$4:$A$5000)+7*(ROW()-10)&gt;MAX('Hours Log'!$A$4:$A$5000),"",MIN('Hours Log'!$A$4:$A$5000)+7*(ROW()-10)))</f>
        <v/>
      </c>
    </row>
    <row r="220" spans="1:10" x14ac:dyDescent="0.25">
      <c r="A220" t="str">
        <f>IF($J220="","",YEAR($J220-WEEKDAY($J220,2)+4)&amp;"-W"&amp;TEXT(_xludf.ISOWEEKNUM($J220),"00"))</f>
        <v/>
      </c>
      <c r="B220"/>
      <c r="C220" t="str">
        <f>IF($J220="","",SUMIFS('Hours Log'!$C:$C,'Hours Log'!$A:$A,"&gt;="&amp;$J220,'Hours Log'!$A:$A,"&lt;"&amp;$J220+7)+SUMIFS('Hours Log'!$D:$D,'Hours Log'!$A:$A,"&gt;="&amp;$J220,'Hours Log'!$A:$A,"&lt;"&amp;$J220+7))</f>
        <v/>
      </c>
      <c r="D220" t="str">
        <f>IF($J220="","",SUMIFS('Hours Log'!$D:$D,'Hours Log'!$A:$A,"&gt;="&amp;$J220,'Hours Log'!$A:$A,"&lt;"&amp;$J220+7))</f>
        <v/>
      </c>
      <c r="E220" t="str">
        <f t="shared" si="6"/>
        <v/>
      </c>
      <c r="F220" t="str">
        <f t="shared" si="7"/>
        <v/>
      </c>
      <c r="G220" t="str">
        <f>IF($J220="","",SUMIFS('Hours Log'!$E:$E,'Hours Log'!$A:$A,"&gt;="&amp;$J220,'Hours Log'!$A:$A,"&lt;"&amp;$J220+7))</f>
        <v/>
      </c>
      <c r="J220" t="str">
        <f>IF(COUNT('Hours Log'!$A$4:$A$5000)=0,"",IF(MIN('Hours Log'!$A$4:$A$5000)+7*(ROW()-10)&gt;MAX('Hours Log'!$A$4:$A$5000),"",MIN('Hours Log'!$A$4:$A$5000)+7*(ROW()-10)))</f>
        <v/>
      </c>
    </row>
    <row r="221" spans="1:10" x14ac:dyDescent="0.25">
      <c r="A221" t="str">
        <f>IF($J221="","",YEAR($J221-WEEKDAY($J221,2)+4)&amp;"-W"&amp;TEXT(_xludf.ISOWEEKNUM($J221),"00"))</f>
        <v/>
      </c>
      <c r="B221"/>
      <c r="C221" t="str">
        <f>IF($J221="","",SUMIFS('Hours Log'!$C:$C,'Hours Log'!$A:$A,"&gt;="&amp;$J221,'Hours Log'!$A:$A,"&lt;"&amp;$J221+7)+SUMIFS('Hours Log'!$D:$D,'Hours Log'!$A:$A,"&gt;="&amp;$J221,'Hours Log'!$A:$A,"&lt;"&amp;$J221+7))</f>
        <v/>
      </c>
      <c r="D221" t="str">
        <f>IF($J221="","",SUMIFS('Hours Log'!$D:$D,'Hours Log'!$A:$A,"&gt;="&amp;$J221,'Hours Log'!$A:$A,"&lt;"&amp;$J221+7))</f>
        <v/>
      </c>
      <c r="E221" t="str">
        <f t="shared" si="6"/>
        <v/>
      </c>
      <c r="F221" t="str">
        <f t="shared" si="7"/>
        <v/>
      </c>
      <c r="G221" t="str">
        <f>IF($J221="","",SUMIFS('Hours Log'!$E:$E,'Hours Log'!$A:$A,"&gt;="&amp;$J221,'Hours Log'!$A:$A,"&lt;"&amp;$J221+7))</f>
        <v/>
      </c>
      <c r="J221" t="str">
        <f>IF(COUNT('Hours Log'!$A$4:$A$5000)=0,"",IF(MIN('Hours Log'!$A$4:$A$5000)+7*(ROW()-10)&gt;MAX('Hours Log'!$A$4:$A$5000),"",MIN('Hours Log'!$A$4:$A$5000)+7*(ROW()-10)))</f>
        <v/>
      </c>
    </row>
    <row r="222" spans="1:10" x14ac:dyDescent="0.25">
      <c r="A222" t="str">
        <f>IF($J222="","",YEAR($J222-WEEKDAY($J222,2)+4)&amp;"-W"&amp;TEXT(_xludf.ISOWEEKNUM($J222),"00"))</f>
        <v/>
      </c>
      <c r="B222"/>
      <c r="C222" t="str">
        <f>IF($J222="","",SUMIFS('Hours Log'!$C:$C,'Hours Log'!$A:$A,"&gt;="&amp;$J222,'Hours Log'!$A:$A,"&lt;"&amp;$J222+7)+SUMIFS('Hours Log'!$D:$D,'Hours Log'!$A:$A,"&gt;="&amp;$J222,'Hours Log'!$A:$A,"&lt;"&amp;$J222+7))</f>
        <v/>
      </c>
      <c r="D222" t="str">
        <f>IF($J222="","",SUMIFS('Hours Log'!$D:$D,'Hours Log'!$A:$A,"&gt;="&amp;$J222,'Hours Log'!$A:$A,"&lt;"&amp;$J222+7))</f>
        <v/>
      </c>
      <c r="E222" t="str">
        <f t="shared" si="6"/>
        <v/>
      </c>
      <c r="F222" t="str">
        <f t="shared" si="7"/>
        <v/>
      </c>
      <c r="G222" t="str">
        <f>IF($J222="","",SUMIFS('Hours Log'!$E:$E,'Hours Log'!$A:$A,"&gt;="&amp;$J222,'Hours Log'!$A:$A,"&lt;"&amp;$J222+7))</f>
        <v/>
      </c>
      <c r="J222" t="str">
        <f>IF(COUNT('Hours Log'!$A$4:$A$5000)=0,"",IF(MIN('Hours Log'!$A$4:$A$5000)+7*(ROW()-10)&gt;MAX('Hours Log'!$A$4:$A$5000),"",MIN('Hours Log'!$A$4:$A$5000)+7*(ROW()-10)))</f>
        <v/>
      </c>
    </row>
    <row r="223" spans="1:10" x14ac:dyDescent="0.25">
      <c r="A223" t="str">
        <f>IF($J223="","",YEAR($J223-WEEKDAY($J223,2)+4)&amp;"-W"&amp;TEXT(_xludf.ISOWEEKNUM($J223),"00"))</f>
        <v/>
      </c>
      <c r="B223"/>
      <c r="C223" t="str">
        <f>IF($J223="","",SUMIFS('Hours Log'!$C:$C,'Hours Log'!$A:$A,"&gt;="&amp;$J223,'Hours Log'!$A:$A,"&lt;"&amp;$J223+7)+SUMIFS('Hours Log'!$D:$D,'Hours Log'!$A:$A,"&gt;="&amp;$J223,'Hours Log'!$A:$A,"&lt;"&amp;$J223+7))</f>
        <v/>
      </c>
      <c r="D223" t="str">
        <f>IF($J223="","",SUMIFS('Hours Log'!$D:$D,'Hours Log'!$A:$A,"&gt;="&amp;$J223,'Hours Log'!$A:$A,"&lt;"&amp;$J223+7))</f>
        <v/>
      </c>
      <c r="E223" t="str">
        <f t="shared" si="6"/>
        <v/>
      </c>
      <c r="F223" t="str">
        <f t="shared" si="7"/>
        <v/>
      </c>
      <c r="G223" t="str">
        <f>IF($J223="","",SUMIFS('Hours Log'!$E:$E,'Hours Log'!$A:$A,"&gt;="&amp;$J223,'Hours Log'!$A:$A,"&lt;"&amp;$J223+7))</f>
        <v/>
      </c>
      <c r="J223" t="str">
        <f>IF(COUNT('Hours Log'!$A$4:$A$5000)=0,"",IF(MIN('Hours Log'!$A$4:$A$5000)+7*(ROW()-10)&gt;MAX('Hours Log'!$A$4:$A$5000),"",MIN('Hours Log'!$A$4:$A$5000)+7*(ROW()-10)))</f>
        <v/>
      </c>
    </row>
    <row r="224" spans="1:10" x14ac:dyDescent="0.25">
      <c r="A224" t="str">
        <f>IF($J224="","",YEAR($J224-WEEKDAY($J224,2)+4)&amp;"-W"&amp;TEXT(_xludf.ISOWEEKNUM($J224),"00"))</f>
        <v/>
      </c>
      <c r="B224"/>
      <c r="C224" t="str">
        <f>IF($J224="","",SUMIFS('Hours Log'!$C:$C,'Hours Log'!$A:$A,"&gt;="&amp;$J224,'Hours Log'!$A:$A,"&lt;"&amp;$J224+7)+SUMIFS('Hours Log'!$D:$D,'Hours Log'!$A:$A,"&gt;="&amp;$J224,'Hours Log'!$A:$A,"&lt;"&amp;$J224+7))</f>
        <v/>
      </c>
      <c r="D224" t="str">
        <f>IF($J224="","",SUMIFS('Hours Log'!$D:$D,'Hours Log'!$A:$A,"&gt;="&amp;$J224,'Hours Log'!$A:$A,"&lt;"&amp;$J224+7))</f>
        <v/>
      </c>
      <c r="E224" t="str">
        <f t="shared" si="6"/>
        <v/>
      </c>
      <c r="F224" t="str">
        <f t="shared" si="7"/>
        <v/>
      </c>
      <c r="G224" t="str">
        <f>IF($J224="","",SUMIFS('Hours Log'!$E:$E,'Hours Log'!$A:$A,"&gt;="&amp;$J224,'Hours Log'!$A:$A,"&lt;"&amp;$J224+7))</f>
        <v/>
      </c>
      <c r="J224" t="str">
        <f>IF(COUNT('Hours Log'!$A$4:$A$5000)=0,"",IF(MIN('Hours Log'!$A$4:$A$5000)+7*(ROW()-10)&gt;MAX('Hours Log'!$A$4:$A$5000),"",MIN('Hours Log'!$A$4:$A$5000)+7*(ROW()-10)))</f>
        <v/>
      </c>
    </row>
    <row r="225" spans="1:10" x14ac:dyDescent="0.25">
      <c r="A225" t="str">
        <f>IF($J225="","",YEAR($J225-WEEKDAY($J225,2)+4)&amp;"-W"&amp;TEXT(_xludf.ISOWEEKNUM($J225),"00"))</f>
        <v/>
      </c>
      <c r="B225"/>
      <c r="C225" t="str">
        <f>IF($J225="","",SUMIFS('Hours Log'!$C:$C,'Hours Log'!$A:$A,"&gt;="&amp;$J225,'Hours Log'!$A:$A,"&lt;"&amp;$J225+7)+SUMIFS('Hours Log'!$D:$D,'Hours Log'!$A:$A,"&gt;="&amp;$J225,'Hours Log'!$A:$A,"&lt;"&amp;$J225+7))</f>
        <v/>
      </c>
      <c r="D225" t="str">
        <f>IF($J225="","",SUMIFS('Hours Log'!$D:$D,'Hours Log'!$A:$A,"&gt;="&amp;$J225,'Hours Log'!$A:$A,"&lt;"&amp;$J225+7))</f>
        <v/>
      </c>
      <c r="E225" t="str">
        <f t="shared" si="6"/>
        <v/>
      </c>
      <c r="F225" t="str">
        <f t="shared" si="7"/>
        <v/>
      </c>
      <c r="G225" t="str">
        <f>IF($J225="","",SUMIFS('Hours Log'!$E:$E,'Hours Log'!$A:$A,"&gt;="&amp;$J225,'Hours Log'!$A:$A,"&lt;"&amp;$J225+7))</f>
        <v/>
      </c>
      <c r="J225" t="str">
        <f>IF(COUNT('Hours Log'!$A$4:$A$5000)=0,"",IF(MIN('Hours Log'!$A$4:$A$5000)+7*(ROW()-10)&gt;MAX('Hours Log'!$A$4:$A$5000),"",MIN('Hours Log'!$A$4:$A$5000)+7*(ROW()-10)))</f>
        <v/>
      </c>
    </row>
    <row r="226" spans="1:10" x14ac:dyDescent="0.25">
      <c r="A226" t="str">
        <f>IF($J226="","",YEAR($J226-WEEKDAY($J226,2)+4)&amp;"-W"&amp;TEXT(_xludf.ISOWEEKNUM($J226),"00"))</f>
        <v/>
      </c>
      <c r="B226"/>
      <c r="C226" t="str">
        <f>IF($J226="","",SUMIFS('Hours Log'!$C:$C,'Hours Log'!$A:$A,"&gt;="&amp;$J226,'Hours Log'!$A:$A,"&lt;"&amp;$J226+7)+SUMIFS('Hours Log'!$D:$D,'Hours Log'!$A:$A,"&gt;="&amp;$J226,'Hours Log'!$A:$A,"&lt;"&amp;$J226+7))</f>
        <v/>
      </c>
      <c r="D226" t="str">
        <f>IF($J226="","",SUMIFS('Hours Log'!$D:$D,'Hours Log'!$A:$A,"&gt;="&amp;$J226,'Hours Log'!$A:$A,"&lt;"&amp;$J226+7))</f>
        <v/>
      </c>
      <c r="E226" t="str">
        <f t="shared" si="6"/>
        <v/>
      </c>
      <c r="F226" t="str">
        <f t="shared" si="7"/>
        <v/>
      </c>
      <c r="G226" t="str">
        <f>IF($J226="","",SUMIFS('Hours Log'!$E:$E,'Hours Log'!$A:$A,"&gt;="&amp;$J226,'Hours Log'!$A:$A,"&lt;"&amp;$J226+7))</f>
        <v/>
      </c>
      <c r="J226" t="str">
        <f>IF(COUNT('Hours Log'!$A$4:$A$5000)=0,"",IF(MIN('Hours Log'!$A$4:$A$5000)+7*(ROW()-10)&gt;MAX('Hours Log'!$A$4:$A$5000),"",MIN('Hours Log'!$A$4:$A$5000)+7*(ROW()-10)))</f>
        <v/>
      </c>
    </row>
    <row r="227" spans="1:10" x14ac:dyDescent="0.25">
      <c r="A227" t="str">
        <f>IF($J227="","",YEAR($J227-WEEKDAY($J227,2)+4)&amp;"-W"&amp;TEXT(_xludf.ISOWEEKNUM($J227),"00"))</f>
        <v/>
      </c>
      <c r="B227"/>
      <c r="C227" t="str">
        <f>IF($J227="","",SUMIFS('Hours Log'!$C:$C,'Hours Log'!$A:$A,"&gt;="&amp;$J227,'Hours Log'!$A:$A,"&lt;"&amp;$J227+7)+SUMIFS('Hours Log'!$D:$D,'Hours Log'!$A:$A,"&gt;="&amp;$J227,'Hours Log'!$A:$A,"&lt;"&amp;$J227+7))</f>
        <v/>
      </c>
      <c r="D227" t="str">
        <f>IF($J227="","",SUMIFS('Hours Log'!$D:$D,'Hours Log'!$A:$A,"&gt;="&amp;$J227,'Hours Log'!$A:$A,"&lt;"&amp;$J227+7))</f>
        <v/>
      </c>
      <c r="E227" t="str">
        <f t="shared" si="6"/>
        <v/>
      </c>
      <c r="F227" t="str">
        <f t="shared" si="7"/>
        <v/>
      </c>
      <c r="G227" t="str">
        <f>IF($J227="","",SUMIFS('Hours Log'!$E:$E,'Hours Log'!$A:$A,"&gt;="&amp;$J227,'Hours Log'!$A:$A,"&lt;"&amp;$J227+7))</f>
        <v/>
      </c>
      <c r="J227" t="str">
        <f>IF(COUNT('Hours Log'!$A$4:$A$5000)=0,"",IF(MIN('Hours Log'!$A$4:$A$5000)+7*(ROW()-10)&gt;MAX('Hours Log'!$A$4:$A$5000),"",MIN('Hours Log'!$A$4:$A$5000)+7*(ROW()-10)))</f>
        <v/>
      </c>
    </row>
    <row r="228" spans="1:10" x14ac:dyDescent="0.25">
      <c r="A228" t="str">
        <f>IF($J228="","",YEAR($J228-WEEKDAY($J228,2)+4)&amp;"-W"&amp;TEXT(_xludf.ISOWEEKNUM($J228),"00"))</f>
        <v/>
      </c>
      <c r="B228"/>
      <c r="C228" t="str">
        <f>IF($J228="","",SUMIFS('Hours Log'!$C:$C,'Hours Log'!$A:$A,"&gt;="&amp;$J228,'Hours Log'!$A:$A,"&lt;"&amp;$J228+7)+SUMIFS('Hours Log'!$D:$D,'Hours Log'!$A:$A,"&gt;="&amp;$J228,'Hours Log'!$A:$A,"&lt;"&amp;$J228+7))</f>
        <v/>
      </c>
      <c r="D228" t="str">
        <f>IF($J228="","",SUMIFS('Hours Log'!$D:$D,'Hours Log'!$A:$A,"&gt;="&amp;$J228,'Hours Log'!$A:$A,"&lt;"&amp;$J228+7))</f>
        <v/>
      </c>
      <c r="E228" t="str">
        <f t="shared" si="6"/>
        <v/>
      </c>
      <c r="F228" t="str">
        <f t="shared" si="7"/>
        <v/>
      </c>
      <c r="G228" t="str">
        <f>IF($J228="","",SUMIFS('Hours Log'!$E:$E,'Hours Log'!$A:$A,"&gt;="&amp;$J228,'Hours Log'!$A:$A,"&lt;"&amp;$J228+7))</f>
        <v/>
      </c>
      <c r="J228" t="str">
        <f>IF(COUNT('Hours Log'!$A$4:$A$5000)=0,"",IF(MIN('Hours Log'!$A$4:$A$5000)+7*(ROW()-10)&gt;MAX('Hours Log'!$A$4:$A$5000),"",MIN('Hours Log'!$A$4:$A$5000)+7*(ROW()-10)))</f>
        <v/>
      </c>
    </row>
    <row r="229" spans="1:10" x14ac:dyDescent="0.25">
      <c r="A229" t="str">
        <f>IF($J229="","",YEAR($J229-WEEKDAY($J229,2)+4)&amp;"-W"&amp;TEXT(_xludf.ISOWEEKNUM($J229),"00"))</f>
        <v/>
      </c>
      <c r="B229"/>
      <c r="C229" t="str">
        <f>IF($J229="","",SUMIFS('Hours Log'!$C:$C,'Hours Log'!$A:$A,"&gt;="&amp;$J229,'Hours Log'!$A:$A,"&lt;"&amp;$J229+7)+SUMIFS('Hours Log'!$D:$D,'Hours Log'!$A:$A,"&gt;="&amp;$J229,'Hours Log'!$A:$A,"&lt;"&amp;$J229+7))</f>
        <v/>
      </c>
      <c r="D229" t="str">
        <f>IF($J229="","",SUMIFS('Hours Log'!$D:$D,'Hours Log'!$A:$A,"&gt;="&amp;$J229,'Hours Log'!$A:$A,"&lt;"&amp;$J229+7))</f>
        <v/>
      </c>
      <c r="E229" t="str">
        <f t="shared" si="6"/>
        <v/>
      </c>
      <c r="F229" t="str">
        <f t="shared" si="7"/>
        <v/>
      </c>
      <c r="G229" t="str">
        <f>IF($J229="","",SUMIFS('Hours Log'!$E:$E,'Hours Log'!$A:$A,"&gt;="&amp;$J229,'Hours Log'!$A:$A,"&lt;"&amp;$J229+7))</f>
        <v/>
      </c>
      <c r="J229" t="str">
        <f>IF(COUNT('Hours Log'!$A$4:$A$5000)=0,"",IF(MIN('Hours Log'!$A$4:$A$5000)+7*(ROW()-10)&gt;MAX('Hours Log'!$A$4:$A$5000),"",MIN('Hours Log'!$A$4:$A$5000)+7*(ROW()-10)))</f>
        <v/>
      </c>
    </row>
    <row r="230" spans="1:10" x14ac:dyDescent="0.25">
      <c r="A230" t="str">
        <f>IF($J230="","",YEAR($J230-WEEKDAY($J230,2)+4)&amp;"-W"&amp;TEXT(_xludf.ISOWEEKNUM($J230),"00"))</f>
        <v/>
      </c>
      <c r="B230"/>
      <c r="C230" t="str">
        <f>IF($J230="","",SUMIFS('Hours Log'!$C:$C,'Hours Log'!$A:$A,"&gt;="&amp;$J230,'Hours Log'!$A:$A,"&lt;"&amp;$J230+7)+SUMIFS('Hours Log'!$D:$D,'Hours Log'!$A:$A,"&gt;="&amp;$J230,'Hours Log'!$A:$A,"&lt;"&amp;$J230+7))</f>
        <v/>
      </c>
      <c r="D230" t="str">
        <f>IF($J230="","",SUMIFS('Hours Log'!$D:$D,'Hours Log'!$A:$A,"&gt;="&amp;$J230,'Hours Log'!$A:$A,"&lt;"&amp;$J230+7))</f>
        <v/>
      </c>
      <c r="E230" t="str">
        <f t="shared" si="6"/>
        <v/>
      </c>
      <c r="F230" t="str">
        <f t="shared" si="7"/>
        <v/>
      </c>
      <c r="G230" t="str">
        <f>IF($J230="","",SUMIFS('Hours Log'!$E:$E,'Hours Log'!$A:$A,"&gt;="&amp;$J230,'Hours Log'!$A:$A,"&lt;"&amp;$J230+7))</f>
        <v/>
      </c>
      <c r="J230" t="str">
        <f>IF(COUNT('Hours Log'!$A$4:$A$5000)=0,"",IF(MIN('Hours Log'!$A$4:$A$5000)+7*(ROW()-10)&gt;MAX('Hours Log'!$A$4:$A$5000),"",MIN('Hours Log'!$A$4:$A$5000)+7*(ROW()-10)))</f>
        <v/>
      </c>
    </row>
    <row r="231" spans="1:10" x14ac:dyDescent="0.25">
      <c r="A231" t="str">
        <f>IF($J231="","",YEAR($J231-WEEKDAY($J231,2)+4)&amp;"-W"&amp;TEXT(_xludf.ISOWEEKNUM($J231),"00"))</f>
        <v/>
      </c>
      <c r="B231"/>
      <c r="C231" t="str">
        <f>IF($J231="","",SUMIFS('Hours Log'!$C:$C,'Hours Log'!$A:$A,"&gt;="&amp;$J231,'Hours Log'!$A:$A,"&lt;"&amp;$J231+7)+SUMIFS('Hours Log'!$D:$D,'Hours Log'!$A:$A,"&gt;="&amp;$J231,'Hours Log'!$A:$A,"&lt;"&amp;$J231+7))</f>
        <v/>
      </c>
      <c r="D231" t="str">
        <f>IF($J231="","",SUMIFS('Hours Log'!$D:$D,'Hours Log'!$A:$A,"&gt;="&amp;$J231,'Hours Log'!$A:$A,"&lt;"&amp;$J231+7))</f>
        <v/>
      </c>
      <c r="E231" t="str">
        <f t="shared" si="6"/>
        <v/>
      </c>
      <c r="F231" t="str">
        <f t="shared" si="7"/>
        <v/>
      </c>
      <c r="G231" t="str">
        <f>IF($J231="","",SUMIFS('Hours Log'!$E:$E,'Hours Log'!$A:$A,"&gt;="&amp;$J231,'Hours Log'!$A:$A,"&lt;"&amp;$J231+7))</f>
        <v/>
      </c>
      <c r="J231" t="str">
        <f>IF(COUNT('Hours Log'!$A$4:$A$5000)=0,"",IF(MIN('Hours Log'!$A$4:$A$5000)+7*(ROW()-10)&gt;MAX('Hours Log'!$A$4:$A$5000),"",MIN('Hours Log'!$A$4:$A$5000)+7*(ROW()-10)))</f>
        <v/>
      </c>
    </row>
    <row r="232" spans="1:10" x14ac:dyDescent="0.25">
      <c r="A232" t="str">
        <f>IF($J232="","",YEAR($J232-WEEKDAY($J232,2)+4)&amp;"-W"&amp;TEXT(_xludf.ISOWEEKNUM($J232),"00"))</f>
        <v/>
      </c>
      <c r="B232"/>
      <c r="C232" t="str">
        <f>IF($J232="","",SUMIFS('Hours Log'!$C:$C,'Hours Log'!$A:$A,"&gt;="&amp;$J232,'Hours Log'!$A:$A,"&lt;"&amp;$J232+7)+SUMIFS('Hours Log'!$D:$D,'Hours Log'!$A:$A,"&gt;="&amp;$J232,'Hours Log'!$A:$A,"&lt;"&amp;$J232+7))</f>
        <v/>
      </c>
      <c r="D232" t="str">
        <f>IF($J232="","",SUMIFS('Hours Log'!$D:$D,'Hours Log'!$A:$A,"&gt;="&amp;$J232,'Hours Log'!$A:$A,"&lt;"&amp;$J232+7))</f>
        <v/>
      </c>
      <c r="E232" t="str">
        <f t="shared" si="6"/>
        <v/>
      </c>
      <c r="F232" t="str">
        <f t="shared" si="7"/>
        <v/>
      </c>
      <c r="G232" t="str">
        <f>IF($J232="","",SUMIFS('Hours Log'!$E:$E,'Hours Log'!$A:$A,"&gt;="&amp;$J232,'Hours Log'!$A:$A,"&lt;"&amp;$J232+7))</f>
        <v/>
      </c>
      <c r="J232" t="str">
        <f>IF(COUNT('Hours Log'!$A$4:$A$5000)=0,"",IF(MIN('Hours Log'!$A$4:$A$5000)+7*(ROW()-10)&gt;MAX('Hours Log'!$A$4:$A$5000),"",MIN('Hours Log'!$A$4:$A$5000)+7*(ROW()-10)))</f>
        <v/>
      </c>
    </row>
    <row r="233" spans="1:10" x14ac:dyDescent="0.25">
      <c r="A233" t="str">
        <f>IF($J233="","",YEAR($J233-WEEKDAY($J233,2)+4)&amp;"-W"&amp;TEXT(_xludf.ISOWEEKNUM($J233),"00"))</f>
        <v/>
      </c>
      <c r="B233"/>
      <c r="C233" t="str">
        <f>IF($J233="","",SUMIFS('Hours Log'!$C:$C,'Hours Log'!$A:$A,"&gt;="&amp;$J233,'Hours Log'!$A:$A,"&lt;"&amp;$J233+7)+SUMIFS('Hours Log'!$D:$D,'Hours Log'!$A:$A,"&gt;="&amp;$J233,'Hours Log'!$A:$A,"&lt;"&amp;$J233+7))</f>
        <v/>
      </c>
      <c r="D233" t="str">
        <f>IF($J233="","",SUMIFS('Hours Log'!$D:$D,'Hours Log'!$A:$A,"&gt;="&amp;$J233,'Hours Log'!$A:$A,"&lt;"&amp;$J233+7))</f>
        <v/>
      </c>
      <c r="E233" t="str">
        <f t="shared" si="6"/>
        <v/>
      </c>
      <c r="F233" t="str">
        <f t="shared" si="7"/>
        <v/>
      </c>
      <c r="G233" t="str">
        <f>IF($J233="","",SUMIFS('Hours Log'!$E:$E,'Hours Log'!$A:$A,"&gt;="&amp;$J233,'Hours Log'!$A:$A,"&lt;"&amp;$J233+7))</f>
        <v/>
      </c>
      <c r="J233" t="str">
        <f>IF(COUNT('Hours Log'!$A$4:$A$5000)=0,"",IF(MIN('Hours Log'!$A$4:$A$5000)+7*(ROW()-10)&gt;MAX('Hours Log'!$A$4:$A$5000),"",MIN('Hours Log'!$A$4:$A$5000)+7*(ROW()-10)))</f>
        <v/>
      </c>
    </row>
    <row r="234" spans="1:10" x14ac:dyDescent="0.25">
      <c r="A234" t="str">
        <f>IF($J234="","",YEAR($J234-WEEKDAY($J234,2)+4)&amp;"-W"&amp;TEXT(_xludf.ISOWEEKNUM($J234),"00"))</f>
        <v/>
      </c>
      <c r="B234"/>
      <c r="C234" t="str">
        <f>IF($J234="","",SUMIFS('Hours Log'!$C:$C,'Hours Log'!$A:$A,"&gt;="&amp;$J234,'Hours Log'!$A:$A,"&lt;"&amp;$J234+7)+SUMIFS('Hours Log'!$D:$D,'Hours Log'!$A:$A,"&gt;="&amp;$J234,'Hours Log'!$A:$A,"&lt;"&amp;$J234+7))</f>
        <v/>
      </c>
      <c r="D234" t="str">
        <f>IF($J234="","",SUMIFS('Hours Log'!$D:$D,'Hours Log'!$A:$A,"&gt;="&amp;$J234,'Hours Log'!$A:$A,"&lt;"&amp;$J234+7))</f>
        <v/>
      </c>
      <c r="E234" t="str">
        <f t="shared" si="6"/>
        <v/>
      </c>
      <c r="F234" t="str">
        <f t="shared" si="7"/>
        <v/>
      </c>
      <c r="G234" t="str">
        <f>IF($J234="","",SUMIFS('Hours Log'!$E:$E,'Hours Log'!$A:$A,"&gt;="&amp;$J234,'Hours Log'!$A:$A,"&lt;"&amp;$J234+7))</f>
        <v/>
      </c>
      <c r="J234" t="str">
        <f>IF(COUNT('Hours Log'!$A$4:$A$5000)=0,"",IF(MIN('Hours Log'!$A$4:$A$5000)+7*(ROW()-10)&gt;MAX('Hours Log'!$A$4:$A$5000),"",MIN('Hours Log'!$A$4:$A$5000)+7*(ROW()-10)))</f>
        <v/>
      </c>
    </row>
    <row r="235" spans="1:10" x14ac:dyDescent="0.25">
      <c r="A235" t="str">
        <f>IF($J235="","",YEAR($J235-WEEKDAY($J235,2)+4)&amp;"-W"&amp;TEXT(_xludf.ISOWEEKNUM($J235),"00"))</f>
        <v/>
      </c>
      <c r="B235"/>
      <c r="C235" t="str">
        <f>IF($J235="","",SUMIFS('Hours Log'!$C:$C,'Hours Log'!$A:$A,"&gt;="&amp;$J235,'Hours Log'!$A:$A,"&lt;"&amp;$J235+7)+SUMIFS('Hours Log'!$D:$D,'Hours Log'!$A:$A,"&gt;="&amp;$J235,'Hours Log'!$A:$A,"&lt;"&amp;$J235+7))</f>
        <v/>
      </c>
      <c r="D235" t="str">
        <f>IF($J235="","",SUMIFS('Hours Log'!$D:$D,'Hours Log'!$A:$A,"&gt;="&amp;$J235,'Hours Log'!$A:$A,"&lt;"&amp;$J235+7))</f>
        <v/>
      </c>
      <c r="E235" t="str">
        <f t="shared" si="6"/>
        <v/>
      </c>
      <c r="F235" t="str">
        <f t="shared" si="7"/>
        <v/>
      </c>
      <c r="G235" t="str">
        <f>IF($J235="","",SUMIFS('Hours Log'!$E:$E,'Hours Log'!$A:$A,"&gt;="&amp;$J235,'Hours Log'!$A:$A,"&lt;"&amp;$J235+7))</f>
        <v/>
      </c>
      <c r="J235" t="str">
        <f>IF(COUNT('Hours Log'!$A$4:$A$5000)=0,"",IF(MIN('Hours Log'!$A$4:$A$5000)+7*(ROW()-10)&gt;MAX('Hours Log'!$A$4:$A$5000),"",MIN('Hours Log'!$A$4:$A$5000)+7*(ROW()-10)))</f>
        <v/>
      </c>
    </row>
    <row r="236" spans="1:10" x14ac:dyDescent="0.25">
      <c r="A236" t="str">
        <f>IF($J236="","",YEAR($J236-WEEKDAY($J236,2)+4)&amp;"-W"&amp;TEXT(_xludf.ISOWEEKNUM($J236),"00"))</f>
        <v/>
      </c>
      <c r="B236"/>
      <c r="C236" t="str">
        <f>IF($J236="","",SUMIFS('Hours Log'!$C:$C,'Hours Log'!$A:$A,"&gt;="&amp;$J236,'Hours Log'!$A:$A,"&lt;"&amp;$J236+7)+SUMIFS('Hours Log'!$D:$D,'Hours Log'!$A:$A,"&gt;="&amp;$J236,'Hours Log'!$A:$A,"&lt;"&amp;$J236+7))</f>
        <v/>
      </c>
      <c r="D236" t="str">
        <f>IF($J236="","",SUMIFS('Hours Log'!$D:$D,'Hours Log'!$A:$A,"&gt;="&amp;$J236,'Hours Log'!$A:$A,"&lt;"&amp;$J236+7))</f>
        <v/>
      </c>
      <c r="E236" t="str">
        <f t="shared" si="6"/>
        <v/>
      </c>
      <c r="F236" t="str">
        <f t="shared" si="7"/>
        <v/>
      </c>
      <c r="G236" t="str">
        <f>IF($J236="","",SUMIFS('Hours Log'!$E:$E,'Hours Log'!$A:$A,"&gt;="&amp;$J236,'Hours Log'!$A:$A,"&lt;"&amp;$J236+7))</f>
        <v/>
      </c>
      <c r="J236" t="str">
        <f>IF(COUNT('Hours Log'!$A$4:$A$5000)=0,"",IF(MIN('Hours Log'!$A$4:$A$5000)+7*(ROW()-10)&gt;MAX('Hours Log'!$A$4:$A$5000),"",MIN('Hours Log'!$A$4:$A$5000)+7*(ROW()-10)))</f>
        <v/>
      </c>
    </row>
    <row r="237" spans="1:10" x14ac:dyDescent="0.25">
      <c r="A237" t="str">
        <f>IF($J237="","",YEAR($J237-WEEKDAY($J237,2)+4)&amp;"-W"&amp;TEXT(_xludf.ISOWEEKNUM($J237),"00"))</f>
        <v/>
      </c>
      <c r="B237"/>
      <c r="C237" t="str">
        <f>IF($J237="","",SUMIFS('Hours Log'!$C:$C,'Hours Log'!$A:$A,"&gt;="&amp;$J237,'Hours Log'!$A:$A,"&lt;"&amp;$J237+7)+SUMIFS('Hours Log'!$D:$D,'Hours Log'!$A:$A,"&gt;="&amp;$J237,'Hours Log'!$A:$A,"&lt;"&amp;$J237+7))</f>
        <v/>
      </c>
      <c r="D237" t="str">
        <f>IF($J237="","",SUMIFS('Hours Log'!$D:$D,'Hours Log'!$A:$A,"&gt;="&amp;$J237,'Hours Log'!$A:$A,"&lt;"&amp;$J237+7))</f>
        <v/>
      </c>
      <c r="E237" t="str">
        <f t="shared" si="6"/>
        <v/>
      </c>
      <c r="F237" t="str">
        <f t="shared" si="7"/>
        <v/>
      </c>
      <c r="G237" t="str">
        <f>IF($J237="","",SUMIFS('Hours Log'!$E:$E,'Hours Log'!$A:$A,"&gt;="&amp;$J237,'Hours Log'!$A:$A,"&lt;"&amp;$J237+7))</f>
        <v/>
      </c>
      <c r="J237" t="str">
        <f>IF(COUNT('Hours Log'!$A$4:$A$5000)=0,"",IF(MIN('Hours Log'!$A$4:$A$5000)+7*(ROW()-10)&gt;MAX('Hours Log'!$A$4:$A$5000),"",MIN('Hours Log'!$A$4:$A$5000)+7*(ROW()-10)))</f>
        <v/>
      </c>
    </row>
    <row r="238" spans="1:10" x14ac:dyDescent="0.25">
      <c r="A238" t="str">
        <f>IF($J238="","",YEAR($J238-WEEKDAY($J238,2)+4)&amp;"-W"&amp;TEXT(_xludf.ISOWEEKNUM($J238),"00"))</f>
        <v/>
      </c>
      <c r="B238"/>
      <c r="C238" t="str">
        <f>IF($J238="","",SUMIFS('Hours Log'!$C:$C,'Hours Log'!$A:$A,"&gt;="&amp;$J238,'Hours Log'!$A:$A,"&lt;"&amp;$J238+7)+SUMIFS('Hours Log'!$D:$D,'Hours Log'!$A:$A,"&gt;="&amp;$J238,'Hours Log'!$A:$A,"&lt;"&amp;$J238+7))</f>
        <v/>
      </c>
      <c r="D238" t="str">
        <f>IF($J238="","",SUMIFS('Hours Log'!$D:$D,'Hours Log'!$A:$A,"&gt;="&amp;$J238,'Hours Log'!$A:$A,"&lt;"&amp;$J238+7))</f>
        <v/>
      </c>
      <c r="E238" t="str">
        <f t="shared" si="6"/>
        <v/>
      </c>
      <c r="F238" t="str">
        <f t="shared" si="7"/>
        <v/>
      </c>
      <c r="G238" t="str">
        <f>IF($J238="","",SUMIFS('Hours Log'!$E:$E,'Hours Log'!$A:$A,"&gt;="&amp;$J238,'Hours Log'!$A:$A,"&lt;"&amp;$J238+7))</f>
        <v/>
      </c>
      <c r="J238" t="str">
        <f>IF(COUNT('Hours Log'!$A$4:$A$5000)=0,"",IF(MIN('Hours Log'!$A$4:$A$5000)+7*(ROW()-10)&gt;MAX('Hours Log'!$A$4:$A$5000),"",MIN('Hours Log'!$A$4:$A$5000)+7*(ROW()-10)))</f>
        <v/>
      </c>
    </row>
    <row r="239" spans="1:10" x14ac:dyDescent="0.25">
      <c r="A239" t="str">
        <f>IF($J239="","",YEAR($J239-WEEKDAY($J239,2)+4)&amp;"-W"&amp;TEXT(_xludf.ISOWEEKNUM($J239),"00"))</f>
        <v/>
      </c>
      <c r="B239"/>
      <c r="C239" t="str">
        <f>IF($J239="","",SUMIFS('Hours Log'!$C:$C,'Hours Log'!$A:$A,"&gt;="&amp;$J239,'Hours Log'!$A:$A,"&lt;"&amp;$J239+7)+SUMIFS('Hours Log'!$D:$D,'Hours Log'!$A:$A,"&gt;="&amp;$J239,'Hours Log'!$A:$A,"&lt;"&amp;$J239+7))</f>
        <v/>
      </c>
      <c r="D239" t="str">
        <f>IF($J239="","",SUMIFS('Hours Log'!$D:$D,'Hours Log'!$A:$A,"&gt;="&amp;$J239,'Hours Log'!$A:$A,"&lt;"&amp;$J239+7))</f>
        <v/>
      </c>
      <c r="E239" t="str">
        <f t="shared" si="6"/>
        <v/>
      </c>
      <c r="F239" t="str">
        <f t="shared" si="7"/>
        <v/>
      </c>
      <c r="G239" t="str">
        <f>IF($J239="","",SUMIFS('Hours Log'!$E:$E,'Hours Log'!$A:$A,"&gt;="&amp;$J239,'Hours Log'!$A:$A,"&lt;"&amp;$J239+7))</f>
        <v/>
      </c>
      <c r="J239" t="str">
        <f>IF(COUNT('Hours Log'!$A$4:$A$5000)=0,"",IF(MIN('Hours Log'!$A$4:$A$5000)+7*(ROW()-10)&gt;MAX('Hours Log'!$A$4:$A$5000),"",MIN('Hours Log'!$A$4:$A$5000)+7*(ROW()-10)))</f>
        <v/>
      </c>
    </row>
    <row r="240" spans="1:10" x14ac:dyDescent="0.25">
      <c r="A240" t="str">
        <f>IF($J240="","",YEAR($J240-WEEKDAY($J240,2)+4)&amp;"-W"&amp;TEXT(_xludf.ISOWEEKNUM($J240),"00"))</f>
        <v/>
      </c>
      <c r="B240"/>
      <c r="C240" t="str">
        <f>IF($J240="","",SUMIFS('Hours Log'!$C:$C,'Hours Log'!$A:$A,"&gt;="&amp;$J240,'Hours Log'!$A:$A,"&lt;"&amp;$J240+7)+SUMIFS('Hours Log'!$D:$D,'Hours Log'!$A:$A,"&gt;="&amp;$J240,'Hours Log'!$A:$A,"&lt;"&amp;$J240+7))</f>
        <v/>
      </c>
      <c r="D240" t="str">
        <f>IF($J240="","",SUMIFS('Hours Log'!$D:$D,'Hours Log'!$A:$A,"&gt;="&amp;$J240,'Hours Log'!$A:$A,"&lt;"&amp;$J240+7))</f>
        <v/>
      </c>
      <c r="E240" t="str">
        <f t="shared" si="6"/>
        <v/>
      </c>
      <c r="F240" t="str">
        <f t="shared" si="7"/>
        <v/>
      </c>
      <c r="G240" t="str">
        <f>IF($J240="","",SUMIFS('Hours Log'!$E:$E,'Hours Log'!$A:$A,"&gt;="&amp;$J240,'Hours Log'!$A:$A,"&lt;"&amp;$J240+7))</f>
        <v/>
      </c>
      <c r="J240" t="str">
        <f>IF(COUNT('Hours Log'!$A$4:$A$5000)=0,"",IF(MIN('Hours Log'!$A$4:$A$5000)+7*(ROW()-10)&gt;MAX('Hours Log'!$A$4:$A$5000),"",MIN('Hours Log'!$A$4:$A$5000)+7*(ROW()-10)))</f>
        <v/>
      </c>
    </row>
    <row r="241" spans="1:10" x14ac:dyDescent="0.25">
      <c r="A241" t="str">
        <f>IF($J241="","",YEAR($J241-WEEKDAY($J241,2)+4)&amp;"-W"&amp;TEXT(_xludf.ISOWEEKNUM($J241),"00"))</f>
        <v/>
      </c>
      <c r="B241"/>
      <c r="C241" t="str">
        <f>IF($J241="","",SUMIFS('Hours Log'!$C:$C,'Hours Log'!$A:$A,"&gt;="&amp;$J241,'Hours Log'!$A:$A,"&lt;"&amp;$J241+7)+SUMIFS('Hours Log'!$D:$D,'Hours Log'!$A:$A,"&gt;="&amp;$J241,'Hours Log'!$A:$A,"&lt;"&amp;$J241+7))</f>
        <v/>
      </c>
      <c r="D241" t="str">
        <f>IF($J241="","",SUMIFS('Hours Log'!$D:$D,'Hours Log'!$A:$A,"&gt;="&amp;$J241,'Hours Log'!$A:$A,"&lt;"&amp;$J241+7))</f>
        <v/>
      </c>
      <c r="E241" t="str">
        <f t="shared" si="6"/>
        <v/>
      </c>
      <c r="F241" t="str">
        <f t="shared" si="7"/>
        <v/>
      </c>
      <c r="G241" t="str">
        <f>IF($J241="","",SUMIFS('Hours Log'!$E:$E,'Hours Log'!$A:$A,"&gt;="&amp;$J241,'Hours Log'!$A:$A,"&lt;"&amp;$J241+7))</f>
        <v/>
      </c>
      <c r="J241" t="str">
        <f>IF(COUNT('Hours Log'!$A$4:$A$5000)=0,"",IF(MIN('Hours Log'!$A$4:$A$5000)+7*(ROW()-10)&gt;MAX('Hours Log'!$A$4:$A$5000),"",MIN('Hours Log'!$A$4:$A$5000)+7*(ROW()-10)))</f>
        <v/>
      </c>
    </row>
    <row r="242" spans="1:10" x14ac:dyDescent="0.25">
      <c r="A242" t="str">
        <f>IF($J242="","",YEAR($J242-WEEKDAY($J242,2)+4)&amp;"-W"&amp;TEXT(_xludf.ISOWEEKNUM($J242),"00"))</f>
        <v/>
      </c>
      <c r="B242"/>
      <c r="C242" t="str">
        <f>IF($J242="","",SUMIFS('Hours Log'!$C:$C,'Hours Log'!$A:$A,"&gt;="&amp;$J242,'Hours Log'!$A:$A,"&lt;"&amp;$J242+7)+SUMIFS('Hours Log'!$D:$D,'Hours Log'!$A:$A,"&gt;="&amp;$J242,'Hours Log'!$A:$A,"&lt;"&amp;$J242+7))</f>
        <v/>
      </c>
      <c r="D242" t="str">
        <f>IF($J242="","",SUMIFS('Hours Log'!$D:$D,'Hours Log'!$A:$A,"&gt;="&amp;$J242,'Hours Log'!$A:$A,"&lt;"&amp;$J242+7))</f>
        <v/>
      </c>
      <c r="E242" t="str">
        <f t="shared" si="6"/>
        <v/>
      </c>
      <c r="F242" t="str">
        <f t="shared" si="7"/>
        <v/>
      </c>
      <c r="G242" t="str">
        <f>IF($J242="","",SUMIFS('Hours Log'!$E:$E,'Hours Log'!$A:$A,"&gt;="&amp;$J242,'Hours Log'!$A:$A,"&lt;"&amp;$J242+7))</f>
        <v/>
      </c>
      <c r="J242" t="str">
        <f>IF(COUNT('Hours Log'!$A$4:$A$5000)=0,"",IF(MIN('Hours Log'!$A$4:$A$5000)+7*(ROW()-10)&gt;MAX('Hours Log'!$A$4:$A$5000),"",MIN('Hours Log'!$A$4:$A$5000)+7*(ROW()-10)))</f>
        <v/>
      </c>
    </row>
    <row r="243" spans="1:10" x14ac:dyDescent="0.25">
      <c r="A243" t="str">
        <f>IF($J243="","",YEAR($J243-WEEKDAY($J243,2)+4)&amp;"-W"&amp;TEXT(_xludf.ISOWEEKNUM($J243),"00"))</f>
        <v/>
      </c>
      <c r="B243"/>
      <c r="C243" t="str">
        <f>IF($J243="","",SUMIFS('Hours Log'!$C:$C,'Hours Log'!$A:$A,"&gt;="&amp;$J243,'Hours Log'!$A:$A,"&lt;"&amp;$J243+7)+SUMIFS('Hours Log'!$D:$D,'Hours Log'!$A:$A,"&gt;="&amp;$J243,'Hours Log'!$A:$A,"&lt;"&amp;$J243+7))</f>
        <v/>
      </c>
      <c r="D243" t="str">
        <f>IF($J243="","",SUMIFS('Hours Log'!$D:$D,'Hours Log'!$A:$A,"&gt;="&amp;$J243,'Hours Log'!$A:$A,"&lt;"&amp;$J243+7))</f>
        <v/>
      </c>
      <c r="E243" t="str">
        <f t="shared" si="6"/>
        <v/>
      </c>
      <c r="F243" t="str">
        <f t="shared" si="7"/>
        <v/>
      </c>
      <c r="G243" t="str">
        <f>IF($J243="","",SUMIFS('Hours Log'!$E:$E,'Hours Log'!$A:$A,"&gt;="&amp;$J243,'Hours Log'!$A:$A,"&lt;"&amp;$J243+7))</f>
        <v/>
      </c>
      <c r="J243" t="str">
        <f>IF(COUNT('Hours Log'!$A$4:$A$5000)=0,"",IF(MIN('Hours Log'!$A$4:$A$5000)+7*(ROW()-10)&gt;MAX('Hours Log'!$A$4:$A$5000),"",MIN('Hours Log'!$A$4:$A$5000)+7*(ROW()-10)))</f>
        <v/>
      </c>
    </row>
    <row r="244" spans="1:10" x14ac:dyDescent="0.25">
      <c r="A244" t="str">
        <f>IF($J244="","",YEAR($J244-WEEKDAY($J244,2)+4)&amp;"-W"&amp;TEXT(_xludf.ISOWEEKNUM($J244),"00"))</f>
        <v/>
      </c>
      <c r="B244"/>
      <c r="C244" t="str">
        <f>IF($J244="","",SUMIFS('Hours Log'!$C:$C,'Hours Log'!$A:$A,"&gt;="&amp;$J244,'Hours Log'!$A:$A,"&lt;"&amp;$J244+7)+SUMIFS('Hours Log'!$D:$D,'Hours Log'!$A:$A,"&gt;="&amp;$J244,'Hours Log'!$A:$A,"&lt;"&amp;$J244+7))</f>
        <v/>
      </c>
      <c r="D244" t="str">
        <f>IF($J244="","",SUMIFS('Hours Log'!$D:$D,'Hours Log'!$A:$A,"&gt;="&amp;$J244,'Hours Log'!$A:$A,"&lt;"&amp;$J244+7))</f>
        <v/>
      </c>
      <c r="E244" t="str">
        <f t="shared" si="6"/>
        <v/>
      </c>
      <c r="F244" t="str">
        <f t="shared" si="7"/>
        <v/>
      </c>
      <c r="G244" t="str">
        <f>IF($J244="","",SUMIFS('Hours Log'!$E:$E,'Hours Log'!$A:$A,"&gt;="&amp;$J244,'Hours Log'!$A:$A,"&lt;"&amp;$J244+7))</f>
        <v/>
      </c>
      <c r="J244" t="str">
        <f>IF(COUNT('Hours Log'!$A$4:$A$5000)=0,"",IF(MIN('Hours Log'!$A$4:$A$5000)+7*(ROW()-10)&gt;MAX('Hours Log'!$A$4:$A$5000),"",MIN('Hours Log'!$A$4:$A$5000)+7*(ROW()-10)))</f>
        <v/>
      </c>
    </row>
    <row r="245" spans="1:10" x14ac:dyDescent="0.25">
      <c r="A245" t="str">
        <f>IF($J245="","",YEAR($J245-WEEKDAY($J245,2)+4)&amp;"-W"&amp;TEXT(_xludf.ISOWEEKNUM($J245),"00"))</f>
        <v/>
      </c>
      <c r="B245"/>
      <c r="C245" t="str">
        <f>IF($J245="","",SUMIFS('Hours Log'!$C:$C,'Hours Log'!$A:$A,"&gt;="&amp;$J245,'Hours Log'!$A:$A,"&lt;"&amp;$J245+7)+SUMIFS('Hours Log'!$D:$D,'Hours Log'!$A:$A,"&gt;="&amp;$J245,'Hours Log'!$A:$A,"&lt;"&amp;$J245+7))</f>
        <v/>
      </c>
      <c r="D245" t="str">
        <f>IF($J245="","",SUMIFS('Hours Log'!$D:$D,'Hours Log'!$A:$A,"&gt;="&amp;$J245,'Hours Log'!$A:$A,"&lt;"&amp;$J245+7))</f>
        <v/>
      </c>
      <c r="E245" t="str">
        <f t="shared" si="6"/>
        <v/>
      </c>
      <c r="F245" t="str">
        <f t="shared" si="7"/>
        <v/>
      </c>
      <c r="G245" t="str">
        <f>IF($J245="","",SUMIFS('Hours Log'!$E:$E,'Hours Log'!$A:$A,"&gt;="&amp;$J245,'Hours Log'!$A:$A,"&lt;"&amp;$J245+7))</f>
        <v/>
      </c>
      <c r="J245" t="str">
        <f>IF(COUNT('Hours Log'!$A$4:$A$5000)=0,"",IF(MIN('Hours Log'!$A$4:$A$5000)+7*(ROW()-10)&gt;MAX('Hours Log'!$A$4:$A$5000),"",MIN('Hours Log'!$A$4:$A$5000)+7*(ROW()-10)))</f>
        <v/>
      </c>
    </row>
    <row r="246" spans="1:10" x14ac:dyDescent="0.25">
      <c r="A246" t="str">
        <f>IF($J246="","",YEAR($J246-WEEKDAY($J246,2)+4)&amp;"-W"&amp;TEXT(_xludf.ISOWEEKNUM($J246),"00"))</f>
        <v/>
      </c>
      <c r="B246"/>
      <c r="C246" t="str">
        <f>IF($J246="","",SUMIFS('Hours Log'!$C:$C,'Hours Log'!$A:$A,"&gt;="&amp;$J246,'Hours Log'!$A:$A,"&lt;"&amp;$J246+7)+SUMIFS('Hours Log'!$D:$D,'Hours Log'!$A:$A,"&gt;="&amp;$J246,'Hours Log'!$A:$A,"&lt;"&amp;$J246+7))</f>
        <v/>
      </c>
      <c r="D246" t="str">
        <f>IF($J246="","",SUMIFS('Hours Log'!$D:$D,'Hours Log'!$A:$A,"&gt;="&amp;$J246,'Hours Log'!$A:$A,"&lt;"&amp;$J246+7))</f>
        <v/>
      </c>
      <c r="E246" t="str">
        <f t="shared" si="6"/>
        <v/>
      </c>
      <c r="F246" t="str">
        <f t="shared" si="7"/>
        <v/>
      </c>
      <c r="G246" t="str">
        <f>IF($J246="","",SUMIFS('Hours Log'!$E:$E,'Hours Log'!$A:$A,"&gt;="&amp;$J246,'Hours Log'!$A:$A,"&lt;"&amp;$J246+7))</f>
        <v/>
      </c>
      <c r="J246" t="str">
        <f>IF(COUNT('Hours Log'!$A$4:$A$5000)=0,"",IF(MIN('Hours Log'!$A$4:$A$5000)+7*(ROW()-10)&gt;MAX('Hours Log'!$A$4:$A$5000),"",MIN('Hours Log'!$A$4:$A$5000)+7*(ROW()-10)))</f>
        <v/>
      </c>
    </row>
    <row r="247" spans="1:10" x14ac:dyDescent="0.25">
      <c r="A247" t="str">
        <f>IF($J247="","",YEAR($J247-WEEKDAY($J247,2)+4)&amp;"-W"&amp;TEXT(_xludf.ISOWEEKNUM($J247),"00"))</f>
        <v/>
      </c>
      <c r="B247"/>
      <c r="C247" t="str">
        <f>IF($J247="","",SUMIFS('Hours Log'!$C:$C,'Hours Log'!$A:$A,"&gt;="&amp;$J247,'Hours Log'!$A:$A,"&lt;"&amp;$J247+7)+SUMIFS('Hours Log'!$D:$D,'Hours Log'!$A:$A,"&gt;="&amp;$J247,'Hours Log'!$A:$A,"&lt;"&amp;$J247+7))</f>
        <v/>
      </c>
      <c r="D247" t="str">
        <f>IF($J247="","",SUMIFS('Hours Log'!$D:$D,'Hours Log'!$A:$A,"&gt;="&amp;$J247,'Hours Log'!$A:$A,"&lt;"&amp;$J247+7))</f>
        <v/>
      </c>
      <c r="E247" t="str">
        <f t="shared" si="6"/>
        <v/>
      </c>
      <c r="F247" t="str">
        <f t="shared" si="7"/>
        <v/>
      </c>
      <c r="G247" t="str">
        <f>IF($J247="","",SUMIFS('Hours Log'!$E:$E,'Hours Log'!$A:$A,"&gt;="&amp;$J247,'Hours Log'!$A:$A,"&lt;"&amp;$J247+7))</f>
        <v/>
      </c>
      <c r="J247" t="str">
        <f>IF(COUNT('Hours Log'!$A$4:$A$5000)=0,"",IF(MIN('Hours Log'!$A$4:$A$5000)+7*(ROW()-10)&gt;MAX('Hours Log'!$A$4:$A$5000),"",MIN('Hours Log'!$A$4:$A$5000)+7*(ROW()-10)))</f>
        <v/>
      </c>
    </row>
    <row r="248" spans="1:10" x14ac:dyDescent="0.25">
      <c r="A248" t="str">
        <f>IF($J248="","",YEAR($J248-WEEKDAY($J248,2)+4)&amp;"-W"&amp;TEXT(_xludf.ISOWEEKNUM($J248),"00"))</f>
        <v/>
      </c>
      <c r="B248"/>
      <c r="C248" t="str">
        <f>IF($J248="","",SUMIFS('Hours Log'!$C:$C,'Hours Log'!$A:$A,"&gt;="&amp;$J248,'Hours Log'!$A:$A,"&lt;"&amp;$J248+7)+SUMIFS('Hours Log'!$D:$D,'Hours Log'!$A:$A,"&gt;="&amp;$J248,'Hours Log'!$A:$A,"&lt;"&amp;$J248+7))</f>
        <v/>
      </c>
      <c r="D248" t="str">
        <f>IF($J248="","",SUMIFS('Hours Log'!$D:$D,'Hours Log'!$A:$A,"&gt;="&amp;$J248,'Hours Log'!$A:$A,"&lt;"&amp;$J248+7))</f>
        <v/>
      </c>
      <c r="E248" t="str">
        <f t="shared" si="6"/>
        <v/>
      </c>
      <c r="F248" t="str">
        <f t="shared" si="7"/>
        <v/>
      </c>
      <c r="G248" t="str">
        <f>IF($J248="","",SUMIFS('Hours Log'!$E:$E,'Hours Log'!$A:$A,"&gt;="&amp;$J248,'Hours Log'!$A:$A,"&lt;"&amp;$J248+7))</f>
        <v/>
      </c>
      <c r="J248" t="str">
        <f>IF(COUNT('Hours Log'!$A$4:$A$5000)=0,"",IF(MIN('Hours Log'!$A$4:$A$5000)+7*(ROW()-10)&gt;MAX('Hours Log'!$A$4:$A$5000),"",MIN('Hours Log'!$A$4:$A$5000)+7*(ROW()-10)))</f>
        <v/>
      </c>
    </row>
    <row r="249" spans="1:10" x14ac:dyDescent="0.25">
      <c r="A249" t="str">
        <f>IF($J249="","",YEAR($J249-WEEKDAY($J249,2)+4)&amp;"-W"&amp;TEXT(_xludf.ISOWEEKNUM($J249),"00"))</f>
        <v/>
      </c>
      <c r="B249"/>
      <c r="C249" t="str">
        <f>IF($J249="","",SUMIFS('Hours Log'!$C:$C,'Hours Log'!$A:$A,"&gt;="&amp;$J249,'Hours Log'!$A:$A,"&lt;"&amp;$J249+7)+SUMIFS('Hours Log'!$D:$D,'Hours Log'!$A:$A,"&gt;="&amp;$J249,'Hours Log'!$A:$A,"&lt;"&amp;$J249+7))</f>
        <v/>
      </c>
      <c r="D249" t="str">
        <f>IF($J249="","",SUMIFS('Hours Log'!$D:$D,'Hours Log'!$A:$A,"&gt;="&amp;$J249,'Hours Log'!$A:$A,"&lt;"&amp;$J249+7))</f>
        <v/>
      </c>
      <c r="E249" t="str">
        <f t="shared" si="6"/>
        <v/>
      </c>
      <c r="F249" t="str">
        <f t="shared" si="7"/>
        <v/>
      </c>
      <c r="G249" t="str">
        <f>IF($J249="","",SUMIFS('Hours Log'!$E:$E,'Hours Log'!$A:$A,"&gt;="&amp;$J249,'Hours Log'!$A:$A,"&lt;"&amp;$J249+7))</f>
        <v/>
      </c>
      <c r="J249" t="str">
        <f>IF(COUNT('Hours Log'!$A$4:$A$5000)=0,"",IF(MIN('Hours Log'!$A$4:$A$5000)+7*(ROW()-10)&gt;MAX('Hours Log'!$A$4:$A$5000),"",MIN('Hours Log'!$A$4:$A$5000)+7*(ROW()-10)))</f>
        <v/>
      </c>
    </row>
    <row r="250" spans="1:10" x14ac:dyDescent="0.25">
      <c r="A250" t="str">
        <f>IF($J250="","",YEAR($J250-WEEKDAY($J250,2)+4)&amp;"-W"&amp;TEXT(_xludf.ISOWEEKNUM($J250),"00"))</f>
        <v/>
      </c>
      <c r="B250"/>
      <c r="C250" t="str">
        <f>IF($J250="","",SUMIFS('Hours Log'!$C:$C,'Hours Log'!$A:$A,"&gt;="&amp;$J250,'Hours Log'!$A:$A,"&lt;"&amp;$J250+7)+SUMIFS('Hours Log'!$D:$D,'Hours Log'!$A:$A,"&gt;="&amp;$J250,'Hours Log'!$A:$A,"&lt;"&amp;$J250+7))</f>
        <v/>
      </c>
      <c r="D250" t="str">
        <f>IF($J250="","",SUMIFS('Hours Log'!$D:$D,'Hours Log'!$A:$A,"&gt;="&amp;$J250,'Hours Log'!$A:$A,"&lt;"&amp;$J250+7))</f>
        <v/>
      </c>
      <c r="E250" t="str">
        <f t="shared" si="6"/>
        <v/>
      </c>
      <c r="F250" t="str">
        <f t="shared" si="7"/>
        <v/>
      </c>
      <c r="G250" t="str">
        <f>IF($J250="","",SUMIFS('Hours Log'!$E:$E,'Hours Log'!$A:$A,"&gt;="&amp;$J250,'Hours Log'!$A:$A,"&lt;"&amp;$J250+7))</f>
        <v/>
      </c>
      <c r="J250" t="str">
        <f>IF(COUNT('Hours Log'!$A$4:$A$5000)=0,"",IF(MIN('Hours Log'!$A$4:$A$5000)+7*(ROW()-10)&gt;MAX('Hours Log'!$A$4:$A$5000),"",MIN('Hours Log'!$A$4:$A$5000)+7*(ROW()-10)))</f>
        <v/>
      </c>
    </row>
    <row r="251" spans="1:10" x14ac:dyDescent="0.25">
      <c r="A251" t="str">
        <f>IF($J251="","",YEAR($J251-WEEKDAY($J251,2)+4)&amp;"-W"&amp;TEXT(_xludf.ISOWEEKNUM($J251),"00"))</f>
        <v/>
      </c>
      <c r="B251"/>
      <c r="C251" t="str">
        <f>IF($J251="","",SUMIFS('Hours Log'!$C:$C,'Hours Log'!$A:$A,"&gt;="&amp;$J251,'Hours Log'!$A:$A,"&lt;"&amp;$J251+7)+SUMIFS('Hours Log'!$D:$D,'Hours Log'!$A:$A,"&gt;="&amp;$J251,'Hours Log'!$A:$A,"&lt;"&amp;$J251+7))</f>
        <v/>
      </c>
      <c r="D251" t="str">
        <f>IF($J251="","",SUMIFS('Hours Log'!$D:$D,'Hours Log'!$A:$A,"&gt;="&amp;$J251,'Hours Log'!$A:$A,"&lt;"&amp;$J251+7))</f>
        <v/>
      </c>
      <c r="E251" t="str">
        <f t="shared" si="6"/>
        <v/>
      </c>
      <c r="F251" t="str">
        <f t="shared" si="7"/>
        <v/>
      </c>
      <c r="G251" t="str">
        <f>IF($J251="","",SUMIFS('Hours Log'!$E:$E,'Hours Log'!$A:$A,"&gt;="&amp;$J251,'Hours Log'!$A:$A,"&lt;"&amp;$J251+7))</f>
        <v/>
      </c>
      <c r="J251" t="str">
        <f>IF(COUNT('Hours Log'!$A$4:$A$5000)=0,"",IF(MIN('Hours Log'!$A$4:$A$5000)+7*(ROW()-10)&gt;MAX('Hours Log'!$A$4:$A$5000),"",MIN('Hours Log'!$A$4:$A$5000)+7*(ROW()-10)))</f>
        <v/>
      </c>
    </row>
    <row r="252" spans="1:10" x14ac:dyDescent="0.25">
      <c r="A252" t="str">
        <f>IF($J252="","",YEAR($J252-WEEKDAY($J252,2)+4)&amp;"-W"&amp;TEXT(_xludf.ISOWEEKNUM($J252),"00"))</f>
        <v/>
      </c>
      <c r="B252"/>
      <c r="C252" t="str">
        <f>IF($J252="","",SUMIFS('Hours Log'!$C:$C,'Hours Log'!$A:$A,"&gt;="&amp;$J252,'Hours Log'!$A:$A,"&lt;"&amp;$J252+7)+SUMIFS('Hours Log'!$D:$D,'Hours Log'!$A:$A,"&gt;="&amp;$J252,'Hours Log'!$A:$A,"&lt;"&amp;$J252+7))</f>
        <v/>
      </c>
      <c r="D252" t="str">
        <f>IF($J252="","",SUMIFS('Hours Log'!$D:$D,'Hours Log'!$A:$A,"&gt;="&amp;$J252,'Hours Log'!$A:$A,"&lt;"&amp;$J252+7))</f>
        <v/>
      </c>
      <c r="E252" t="str">
        <f t="shared" si="6"/>
        <v/>
      </c>
      <c r="F252" t="str">
        <f t="shared" si="7"/>
        <v/>
      </c>
      <c r="G252" t="str">
        <f>IF($J252="","",SUMIFS('Hours Log'!$E:$E,'Hours Log'!$A:$A,"&gt;="&amp;$J252,'Hours Log'!$A:$A,"&lt;"&amp;$J252+7))</f>
        <v/>
      </c>
      <c r="J252" t="str">
        <f>IF(COUNT('Hours Log'!$A$4:$A$5000)=0,"",IF(MIN('Hours Log'!$A$4:$A$5000)+7*(ROW()-10)&gt;MAX('Hours Log'!$A$4:$A$5000),"",MIN('Hours Log'!$A$4:$A$5000)+7*(ROW()-10)))</f>
        <v/>
      </c>
    </row>
    <row r="253" spans="1:10" x14ac:dyDescent="0.25">
      <c r="A253" t="str">
        <f>IF($J253="","",YEAR($J253-WEEKDAY($J253,2)+4)&amp;"-W"&amp;TEXT(_xludf.ISOWEEKNUM($J253),"00"))</f>
        <v/>
      </c>
      <c r="B253"/>
      <c r="C253" t="str">
        <f>IF($J253="","",SUMIFS('Hours Log'!$C:$C,'Hours Log'!$A:$A,"&gt;="&amp;$J253,'Hours Log'!$A:$A,"&lt;"&amp;$J253+7)+SUMIFS('Hours Log'!$D:$D,'Hours Log'!$A:$A,"&gt;="&amp;$J253,'Hours Log'!$A:$A,"&lt;"&amp;$J253+7))</f>
        <v/>
      </c>
      <c r="D253" t="str">
        <f>IF($J253="","",SUMIFS('Hours Log'!$D:$D,'Hours Log'!$A:$A,"&gt;="&amp;$J253,'Hours Log'!$A:$A,"&lt;"&amp;$J253+7))</f>
        <v/>
      </c>
      <c r="E253" t="str">
        <f t="shared" si="6"/>
        <v/>
      </c>
      <c r="F253" t="str">
        <f t="shared" si="7"/>
        <v/>
      </c>
      <c r="G253" t="str">
        <f>IF($J253="","",SUMIFS('Hours Log'!$E:$E,'Hours Log'!$A:$A,"&gt;="&amp;$J253,'Hours Log'!$A:$A,"&lt;"&amp;$J253+7))</f>
        <v/>
      </c>
      <c r="J253" t="str">
        <f>IF(COUNT('Hours Log'!$A$4:$A$5000)=0,"",IF(MIN('Hours Log'!$A$4:$A$5000)+7*(ROW()-10)&gt;MAX('Hours Log'!$A$4:$A$5000),"",MIN('Hours Log'!$A$4:$A$5000)+7*(ROW()-10)))</f>
        <v/>
      </c>
    </row>
    <row r="254" spans="1:10" x14ac:dyDescent="0.25">
      <c r="A254" t="str">
        <f>IF($J254="","",YEAR($J254-WEEKDAY($J254,2)+4)&amp;"-W"&amp;TEXT(_xludf.ISOWEEKNUM($J254),"00"))</f>
        <v/>
      </c>
      <c r="B254"/>
      <c r="C254" t="str">
        <f>IF($J254="","",SUMIFS('Hours Log'!$C:$C,'Hours Log'!$A:$A,"&gt;="&amp;$J254,'Hours Log'!$A:$A,"&lt;"&amp;$J254+7)+SUMIFS('Hours Log'!$D:$D,'Hours Log'!$A:$A,"&gt;="&amp;$J254,'Hours Log'!$A:$A,"&lt;"&amp;$J254+7))</f>
        <v/>
      </c>
      <c r="D254" t="str">
        <f>IF($J254="","",SUMIFS('Hours Log'!$D:$D,'Hours Log'!$A:$A,"&gt;="&amp;$J254,'Hours Log'!$A:$A,"&lt;"&amp;$J254+7))</f>
        <v/>
      </c>
      <c r="E254" t="str">
        <f t="shared" si="6"/>
        <v/>
      </c>
      <c r="F254" t="str">
        <f t="shared" si="7"/>
        <v/>
      </c>
      <c r="G254" t="str">
        <f>IF($J254="","",SUMIFS('Hours Log'!$E:$E,'Hours Log'!$A:$A,"&gt;="&amp;$J254,'Hours Log'!$A:$A,"&lt;"&amp;$J254+7))</f>
        <v/>
      </c>
      <c r="J254" t="str">
        <f>IF(COUNT('Hours Log'!$A$4:$A$5000)=0,"",IF(MIN('Hours Log'!$A$4:$A$5000)+7*(ROW()-10)&gt;MAX('Hours Log'!$A$4:$A$5000),"",MIN('Hours Log'!$A$4:$A$5000)+7*(ROW()-10)))</f>
        <v/>
      </c>
    </row>
    <row r="255" spans="1:10" x14ac:dyDescent="0.25">
      <c r="A255" t="str">
        <f>IF($J255="","",YEAR($J255-WEEKDAY($J255,2)+4)&amp;"-W"&amp;TEXT(_xludf.ISOWEEKNUM($J255),"00"))</f>
        <v/>
      </c>
      <c r="B255"/>
      <c r="C255" t="str">
        <f>IF($J255="","",SUMIFS('Hours Log'!$C:$C,'Hours Log'!$A:$A,"&gt;="&amp;$J255,'Hours Log'!$A:$A,"&lt;"&amp;$J255+7)+SUMIFS('Hours Log'!$D:$D,'Hours Log'!$A:$A,"&gt;="&amp;$J255,'Hours Log'!$A:$A,"&lt;"&amp;$J255+7))</f>
        <v/>
      </c>
      <c r="D255" t="str">
        <f>IF($J255="","",SUMIFS('Hours Log'!$D:$D,'Hours Log'!$A:$A,"&gt;="&amp;$J255,'Hours Log'!$A:$A,"&lt;"&amp;$J255+7))</f>
        <v/>
      </c>
      <c r="E255" t="str">
        <f t="shared" si="6"/>
        <v/>
      </c>
      <c r="F255" t="str">
        <f t="shared" si="7"/>
        <v/>
      </c>
      <c r="G255" t="str">
        <f>IF($J255="","",SUMIFS('Hours Log'!$E:$E,'Hours Log'!$A:$A,"&gt;="&amp;$J255,'Hours Log'!$A:$A,"&lt;"&amp;$J255+7))</f>
        <v/>
      </c>
      <c r="J255" t="str">
        <f>IF(COUNT('Hours Log'!$A$4:$A$5000)=0,"",IF(MIN('Hours Log'!$A$4:$A$5000)+7*(ROW()-10)&gt;MAX('Hours Log'!$A$4:$A$5000),"",MIN('Hours Log'!$A$4:$A$5000)+7*(ROW()-10)))</f>
        <v/>
      </c>
    </row>
    <row r="256" spans="1:10" x14ac:dyDescent="0.25">
      <c r="A256" t="str">
        <f>IF($J256="","",YEAR($J256-WEEKDAY($J256,2)+4)&amp;"-W"&amp;TEXT(_xludf.ISOWEEKNUM($J256),"00"))</f>
        <v/>
      </c>
      <c r="B256"/>
      <c r="C256" t="str">
        <f>IF($J256="","",SUMIFS('Hours Log'!$C:$C,'Hours Log'!$A:$A,"&gt;="&amp;$J256,'Hours Log'!$A:$A,"&lt;"&amp;$J256+7)+SUMIFS('Hours Log'!$D:$D,'Hours Log'!$A:$A,"&gt;="&amp;$J256,'Hours Log'!$A:$A,"&lt;"&amp;$J256+7))</f>
        <v/>
      </c>
      <c r="D256" t="str">
        <f>IF($J256="","",SUMIFS('Hours Log'!$D:$D,'Hours Log'!$A:$A,"&gt;="&amp;$J256,'Hours Log'!$A:$A,"&lt;"&amp;$J256+7))</f>
        <v/>
      </c>
      <c r="E256" t="str">
        <f t="shared" si="6"/>
        <v/>
      </c>
      <c r="F256" t="str">
        <f t="shared" si="7"/>
        <v/>
      </c>
      <c r="G256" t="str">
        <f>IF($J256="","",SUMIFS('Hours Log'!$E:$E,'Hours Log'!$A:$A,"&gt;="&amp;$J256,'Hours Log'!$A:$A,"&lt;"&amp;$J256+7))</f>
        <v/>
      </c>
      <c r="J256" t="str">
        <f>IF(COUNT('Hours Log'!$A$4:$A$5000)=0,"",IF(MIN('Hours Log'!$A$4:$A$5000)+7*(ROW()-10)&gt;MAX('Hours Log'!$A$4:$A$5000),"",MIN('Hours Log'!$A$4:$A$5000)+7*(ROW()-10)))</f>
        <v/>
      </c>
    </row>
    <row r="257" spans="1:10" x14ac:dyDescent="0.25">
      <c r="A257" t="str">
        <f>IF($J257="","",YEAR($J257-WEEKDAY($J257,2)+4)&amp;"-W"&amp;TEXT(_xludf.ISOWEEKNUM($J257),"00"))</f>
        <v/>
      </c>
      <c r="B257"/>
      <c r="C257" t="str">
        <f>IF($J257="","",SUMIFS('Hours Log'!$C:$C,'Hours Log'!$A:$A,"&gt;="&amp;$J257,'Hours Log'!$A:$A,"&lt;"&amp;$J257+7)+SUMIFS('Hours Log'!$D:$D,'Hours Log'!$A:$A,"&gt;="&amp;$J257,'Hours Log'!$A:$A,"&lt;"&amp;$J257+7))</f>
        <v/>
      </c>
      <c r="D257" t="str">
        <f>IF($J257="","",SUMIFS('Hours Log'!$D:$D,'Hours Log'!$A:$A,"&gt;="&amp;$J257,'Hours Log'!$A:$A,"&lt;"&amp;$J257+7))</f>
        <v/>
      </c>
      <c r="E257" t="str">
        <f t="shared" si="6"/>
        <v/>
      </c>
      <c r="F257" t="str">
        <f t="shared" si="7"/>
        <v/>
      </c>
      <c r="G257" t="str">
        <f>IF($J257="","",SUMIFS('Hours Log'!$E:$E,'Hours Log'!$A:$A,"&gt;="&amp;$J257,'Hours Log'!$A:$A,"&lt;"&amp;$J257+7))</f>
        <v/>
      </c>
      <c r="J257" t="str">
        <f>IF(COUNT('Hours Log'!$A$4:$A$5000)=0,"",IF(MIN('Hours Log'!$A$4:$A$5000)+7*(ROW()-10)&gt;MAX('Hours Log'!$A$4:$A$5000),"",MIN('Hours Log'!$A$4:$A$5000)+7*(ROW()-10)))</f>
        <v/>
      </c>
    </row>
    <row r="258" spans="1:10" x14ac:dyDescent="0.25">
      <c r="A258" t="str">
        <f>IF($J258="","",YEAR($J258-WEEKDAY($J258,2)+4)&amp;"-W"&amp;TEXT(_xludf.ISOWEEKNUM($J258),"00"))</f>
        <v/>
      </c>
      <c r="B258"/>
      <c r="C258" t="str">
        <f>IF($J258="","",SUMIFS('Hours Log'!$C:$C,'Hours Log'!$A:$A,"&gt;="&amp;$J258,'Hours Log'!$A:$A,"&lt;"&amp;$J258+7)+SUMIFS('Hours Log'!$D:$D,'Hours Log'!$A:$A,"&gt;="&amp;$J258,'Hours Log'!$A:$A,"&lt;"&amp;$J258+7))</f>
        <v/>
      </c>
      <c r="D258" t="str">
        <f>IF($J258="","",SUMIFS('Hours Log'!$D:$D,'Hours Log'!$A:$A,"&gt;="&amp;$J258,'Hours Log'!$A:$A,"&lt;"&amp;$J258+7))</f>
        <v/>
      </c>
      <c r="E258" t="str">
        <f t="shared" si="6"/>
        <v/>
      </c>
      <c r="F258" t="str">
        <f t="shared" si="7"/>
        <v/>
      </c>
      <c r="G258" t="str">
        <f>IF($J258="","",SUMIFS('Hours Log'!$E:$E,'Hours Log'!$A:$A,"&gt;="&amp;$J258,'Hours Log'!$A:$A,"&lt;"&amp;$J258+7))</f>
        <v/>
      </c>
      <c r="J258" t="str">
        <f>IF(COUNT('Hours Log'!$A$4:$A$5000)=0,"",IF(MIN('Hours Log'!$A$4:$A$5000)+7*(ROW()-10)&gt;MAX('Hours Log'!$A$4:$A$5000),"",MIN('Hours Log'!$A$4:$A$5000)+7*(ROW()-10)))</f>
        <v/>
      </c>
    </row>
    <row r="259" spans="1:10" x14ac:dyDescent="0.25">
      <c r="A259" t="str">
        <f>IF($J259="","",YEAR($J259-WEEKDAY($J259,2)+4)&amp;"-W"&amp;TEXT(_xludf.ISOWEEKNUM($J259),"00"))</f>
        <v/>
      </c>
      <c r="B259"/>
      <c r="C259" t="str">
        <f>IF($J259="","",SUMIFS('Hours Log'!$C:$C,'Hours Log'!$A:$A,"&gt;="&amp;$J259,'Hours Log'!$A:$A,"&lt;"&amp;$J259+7)+SUMIFS('Hours Log'!$D:$D,'Hours Log'!$A:$A,"&gt;="&amp;$J259,'Hours Log'!$A:$A,"&lt;"&amp;$J259+7))</f>
        <v/>
      </c>
      <c r="D259" t="str">
        <f>IF($J259="","",SUMIFS('Hours Log'!$D:$D,'Hours Log'!$A:$A,"&gt;="&amp;$J259,'Hours Log'!$A:$A,"&lt;"&amp;$J259+7))</f>
        <v/>
      </c>
      <c r="E259" t="str">
        <f t="shared" si="6"/>
        <v/>
      </c>
      <c r="F259" t="str">
        <f t="shared" si="7"/>
        <v/>
      </c>
      <c r="G259" t="str">
        <f>IF($J259="","",SUMIFS('Hours Log'!$E:$E,'Hours Log'!$A:$A,"&gt;="&amp;$J259,'Hours Log'!$A:$A,"&lt;"&amp;$J259+7))</f>
        <v/>
      </c>
      <c r="J259" t="str">
        <f>IF(COUNT('Hours Log'!$A$4:$A$5000)=0,"",IF(MIN('Hours Log'!$A$4:$A$5000)+7*(ROW()-10)&gt;MAX('Hours Log'!$A$4:$A$5000),"",MIN('Hours Log'!$A$4:$A$5000)+7*(ROW()-10)))</f>
        <v/>
      </c>
    </row>
    <row r="260" spans="1:10" x14ac:dyDescent="0.25">
      <c r="A260" t="str">
        <f>IF($J260="","",YEAR($J260-WEEKDAY($J260,2)+4)&amp;"-W"&amp;TEXT(_xludf.ISOWEEKNUM($J260),"00"))</f>
        <v/>
      </c>
      <c r="B260"/>
      <c r="C260" t="str">
        <f>IF($J260="","",SUMIFS('Hours Log'!$C:$C,'Hours Log'!$A:$A,"&gt;="&amp;$J260,'Hours Log'!$A:$A,"&lt;"&amp;$J260+7)+SUMIFS('Hours Log'!$D:$D,'Hours Log'!$A:$A,"&gt;="&amp;$J260,'Hours Log'!$A:$A,"&lt;"&amp;$J260+7))</f>
        <v/>
      </c>
      <c r="D260" t="str">
        <f>IF($J260="","",SUMIFS('Hours Log'!$D:$D,'Hours Log'!$A:$A,"&gt;="&amp;$J260,'Hours Log'!$A:$A,"&lt;"&amp;$J260+7))</f>
        <v/>
      </c>
      <c r="E260" t="str">
        <f t="shared" si="6"/>
        <v/>
      </c>
      <c r="F260" t="str">
        <f t="shared" si="7"/>
        <v/>
      </c>
      <c r="G260" t="str">
        <f>IF($J260="","",SUMIFS('Hours Log'!$E:$E,'Hours Log'!$A:$A,"&gt;="&amp;$J260,'Hours Log'!$A:$A,"&lt;"&amp;$J260+7))</f>
        <v/>
      </c>
      <c r="J260" t="str">
        <f>IF(COUNT('Hours Log'!$A$4:$A$5000)=0,"",IF(MIN('Hours Log'!$A$4:$A$5000)+7*(ROW()-10)&gt;MAX('Hours Log'!$A$4:$A$5000),"",MIN('Hours Log'!$A$4:$A$5000)+7*(ROW()-10)))</f>
        <v/>
      </c>
    </row>
    <row r="261" spans="1:10" x14ac:dyDescent="0.25">
      <c r="A261" t="str">
        <f>IF($J261="","",YEAR($J261-WEEKDAY($J261,2)+4)&amp;"-W"&amp;TEXT(_xludf.ISOWEEKNUM($J261),"00"))</f>
        <v/>
      </c>
      <c r="B261"/>
      <c r="C261" t="str">
        <f>IF($J261="","",SUMIFS('Hours Log'!$C:$C,'Hours Log'!$A:$A,"&gt;="&amp;$J261,'Hours Log'!$A:$A,"&lt;"&amp;$J261+7)+SUMIFS('Hours Log'!$D:$D,'Hours Log'!$A:$A,"&gt;="&amp;$J261,'Hours Log'!$A:$A,"&lt;"&amp;$J261+7))</f>
        <v/>
      </c>
      <c r="D261" t="str">
        <f>IF($J261="","",SUMIFS('Hours Log'!$D:$D,'Hours Log'!$A:$A,"&gt;="&amp;$J261,'Hours Log'!$A:$A,"&lt;"&amp;$J261+7))</f>
        <v/>
      </c>
      <c r="E261" t="str">
        <f t="shared" si="6"/>
        <v/>
      </c>
      <c r="F261" t="str">
        <f t="shared" si="7"/>
        <v/>
      </c>
      <c r="G261" t="str">
        <f>IF($J261="","",SUMIFS('Hours Log'!$E:$E,'Hours Log'!$A:$A,"&gt;="&amp;$J261,'Hours Log'!$A:$A,"&lt;"&amp;$J261+7))</f>
        <v/>
      </c>
      <c r="J261" t="str">
        <f>IF(COUNT('Hours Log'!$A$4:$A$5000)=0,"",IF(MIN('Hours Log'!$A$4:$A$5000)+7*(ROW()-10)&gt;MAX('Hours Log'!$A$4:$A$5000),"",MIN('Hours Log'!$A$4:$A$5000)+7*(ROW()-10)))</f>
        <v/>
      </c>
    </row>
    <row r="262" spans="1:10" x14ac:dyDescent="0.25">
      <c r="A262" t="str">
        <f>IF($J262="","",YEAR($J262-WEEKDAY($J262,2)+4)&amp;"-W"&amp;TEXT(_xludf.ISOWEEKNUM($J262),"00"))</f>
        <v/>
      </c>
      <c r="B262"/>
      <c r="C262" t="str">
        <f>IF($J262="","",SUMIFS('Hours Log'!$C:$C,'Hours Log'!$A:$A,"&gt;="&amp;$J262,'Hours Log'!$A:$A,"&lt;"&amp;$J262+7)+SUMIFS('Hours Log'!$D:$D,'Hours Log'!$A:$A,"&gt;="&amp;$J262,'Hours Log'!$A:$A,"&lt;"&amp;$J262+7))</f>
        <v/>
      </c>
      <c r="D262" t="str">
        <f>IF($J262="","",SUMIFS('Hours Log'!$D:$D,'Hours Log'!$A:$A,"&gt;="&amp;$J262,'Hours Log'!$A:$A,"&lt;"&amp;$J262+7))</f>
        <v/>
      </c>
      <c r="E262" t="str">
        <f t="shared" si="6"/>
        <v/>
      </c>
      <c r="F262" t="str">
        <f t="shared" si="7"/>
        <v/>
      </c>
      <c r="G262" t="str">
        <f>IF($J262="","",SUMIFS('Hours Log'!$E:$E,'Hours Log'!$A:$A,"&gt;="&amp;$J262,'Hours Log'!$A:$A,"&lt;"&amp;$J262+7))</f>
        <v/>
      </c>
      <c r="J262" t="str">
        <f>IF(COUNT('Hours Log'!$A$4:$A$5000)=0,"",IF(MIN('Hours Log'!$A$4:$A$5000)+7*(ROW()-10)&gt;MAX('Hours Log'!$A$4:$A$5000),"",MIN('Hours Log'!$A$4:$A$5000)+7*(ROW()-10)))</f>
        <v/>
      </c>
    </row>
    <row r="263" spans="1:10" x14ac:dyDescent="0.25">
      <c r="A263" t="str">
        <f>IF($J263="","",YEAR($J263-WEEKDAY($J263,2)+4)&amp;"-W"&amp;TEXT(_xludf.ISOWEEKNUM($J263),"00"))</f>
        <v/>
      </c>
      <c r="B263"/>
      <c r="C263" t="str">
        <f>IF($J263="","",SUMIFS('Hours Log'!$C:$C,'Hours Log'!$A:$A,"&gt;="&amp;$J263,'Hours Log'!$A:$A,"&lt;"&amp;$J263+7)+SUMIFS('Hours Log'!$D:$D,'Hours Log'!$A:$A,"&gt;="&amp;$J263,'Hours Log'!$A:$A,"&lt;"&amp;$J263+7))</f>
        <v/>
      </c>
      <c r="D263" t="str">
        <f>IF($J263="","",SUMIFS('Hours Log'!$D:$D,'Hours Log'!$A:$A,"&gt;="&amp;$J263,'Hours Log'!$A:$A,"&lt;"&amp;$J263+7))</f>
        <v/>
      </c>
      <c r="E263" t="str">
        <f t="shared" si="6"/>
        <v/>
      </c>
      <c r="F263" t="str">
        <f t="shared" si="7"/>
        <v/>
      </c>
      <c r="G263" t="str">
        <f>IF($J263="","",SUMIFS('Hours Log'!$E:$E,'Hours Log'!$A:$A,"&gt;="&amp;$J263,'Hours Log'!$A:$A,"&lt;"&amp;$J263+7))</f>
        <v/>
      </c>
      <c r="J263" t="str">
        <f>IF(COUNT('Hours Log'!$A$4:$A$5000)=0,"",IF(MIN('Hours Log'!$A$4:$A$5000)+7*(ROW()-10)&gt;MAX('Hours Log'!$A$4:$A$5000),"",MIN('Hours Log'!$A$4:$A$5000)+7*(ROW()-10)))</f>
        <v/>
      </c>
    </row>
    <row r="264" spans="1:10" x14ac:dyDescent="0.25">
      <c r="A264" t="str">
        <f>IF($J264="","",YEAR($J264-WEEKDAY($J264,2)+4)&amp;"-W"&amp;TEXT(_xludf.ISOWEEKNUM($J264),"00"))</f>
        <v/>
      </c>
      <c r="B264"/>
      <c r="C264" t="str">
        <f>IF($J264="","",SUMIFS('Hours Log'!$C:$C,'Hours Log'!$A:$A,"&gt;="&amp;$J264,'Hours Log'!$A:$A,"&lt;"&amp;$J264+7)+SUMIFS('Hours Log'!$D:$D,'Hours Log'!$A:$A,"&gt;="&amp;$J264,'Hours Log'!$A:$A,"&lt;"&amp;$J264+7))</f>
        <v/>
      </c>
      <c r="D264" t="str">
        <f>IF($J264="","",SUMIFS('Hours Log'!$D:$D,'Hours Log'!$A:$A,"&gt;="&amp;$J264,'Hours Log'!$A:$A,"&lt;"&amp;$J264+7))</f>
        <v/>
      </c>
      <c r="E264" t="str">
        <f t="shared" si="6"/>
        <v/>
      </c>
      <c r="F264" t="str">
        <f t="shared" si="7"/>
        <v/>
      </c>
      <c r="G264" t="str">
        <f>IF($J264="","",SUMIFS('Hours Log'!$E:$E,'Hours Log'!$A:$A,"&gt;="&amp;$J264,'Hours Log'!$A:$A,"&lt;"&amp;$J264+7))</f>
        <v/>
      </c>
      <c r="J264" t="str">
        <f>IF(COUNT('Hours Log'!$A$4:$A$5000)=0,"",IF(MIN('Hours Log'!$A$4:$A$5000)+7*(ROW()-10)&gt;MAX('Hours Log'!$A$4:$A$5000),"",MIN('Hours Log'!$A$4:$A$5000)+7*(ROW()-10)))</f>
        <v/>
      </c>
    </row>
    <row r="265" spans="1:10" x14ac:dyDescent="0.25">
      <c r="A265" t="str">
        <f>IF($J265="","",YEAR($J265-WEEKDAY($J265,2)+4)&amp;"-W"&amp;TEXT(_xludf.ISOWEEKNUM($J265),"00"))</f>
        <v/>
      </c>
      <c r="B265"/>
      <c r="C265" t="str">
        <f>IF($J265="","",SUMIFS('Hours Log'!$C:$C,'Hours Log'!$A:$A,"&gt;="&amp;$J265,'Hours Log'!$A:$A,"&lt;"&amp;$J265+7)+SUMIFS('Hours Log'!$D:$D,'Hours Log'!$A:$A,"&gt;="&amp;$J265,'Hours Log'!$A:$A,"&lt;"&amp;$J265+7))</f>
        <v/>
      </c>
      <c r="D265" t="str">
        <f>IF($J265="","",SUMIFS('Hours Log'!$D:$D,'Hours Log'!$A:$A,"&gt;="&amp;$J265,'Hours Log'!$A:$A,"&lt;"&amp;$J265+7))</f>
        <v/>
      </c>
      <c r="E265" t="str">
        <f t="shared" si="6"/>
        <v/>
      </c>
      <c r="F265" t="str">
        <f t="shared" si="7"/>
        <v/>
      </c>
      <c r="G265" t="str">
        <f>IF($J265="","",SUMIFS('Hours Log'!$E:$E,'Hours Log'!$A:$A,"&gt;="&amp;$J265,'Hours Log'!$A:$A,"&lt;"&amp;$J265+7))</f>
        <v/>
      </c>
      <c r="J265" t="str">
        <f>IF(COUNT('Hours Log'!$A$4:$A$5000)=0,"",IF(MIN('Hours Log'!$A$4:$A$5000)+7*(ROW()-10)&gt;MAX('Hours Log'!$A$4:$A$5000),"",MIN('Hours Log'!$A$4:$A$5000)+7*(ROW()-10)))</f>
        <v/>
      </c>
    </row>
    <row r="266" spans="1:10" x14ac:dyDescent="0.25">
      <c r="A266" t="str">
        <f>IF($J266="","",YEAR($J266-WEEKDAY($J266,2)+4)&amp;"-W"&amp;TEXT(_xludf.ISOWEEKNUM($J266),"00"))</f>
        <v/>
      </c>
      <c r="B266"/>
      <c r="C266" t="str">
        <f>IF($J266="","",SUMIFS('Hours Log'!$C:$C,'Hours Log'!$A:$A,"&gt;="&amp;$J266,'Hours Log'!$A:$A,"&lt;"&amp;$J266+7)+SUMIFS('Hours Log'!$D:$D,'Hours Log'!$A:$A,"&gt;="&amp;$J266,'Hours Log'!$A:$A,"&lt;"&amp;$J266+7))</f>
        <v/>
      </c>
      <c r="D266" t="str">
        <f>IF($J266="","",SUMIFS('Hours Log'!$D:$D,'Hours Log'!$A:$A,"&gt;="&amp;$J266,'Hours Log'!$A:$A,"&lt;"&amp;$J266+7))</f>
        <v/>
      </c>
      <c r="E266" t="str">
        <f t="shared" ref="E266:E329" si="8">IF($J266="","",IFERROR(C266/(B266*40),0))</f>
        <v/>
      </c>
      <c r="F266" t="str">
        <f t="shared" ref="F266:F329" si="9">IF($J266="","",0)</f>
        <v/>
      </c>
      <c r="G266" t="str">
        <f>IF($J266="","",SUMIFS('Hours Log'!$E:$E,'Hours Log'!$A:$A,"&gt;="&amp;$J266,'Hours Log'!$A:$A,"&lt;"&amp;$J266+7))</f>
        <v/>
      </c>
      <c r="J266" t="str">
        <f>IF(COUNT('Hours Log'!$A$4:$A$5000)=0,"",IF(MIN('Hours Log'!$A$4:$A$5000)+7*(ROW()-10)&gt;MAX('Hours Log'!$A$4:$A$5000),"",MIN('Hours Log'!$A$4:$A$5000)+7*(ROW()-10)))</f>
        <v/>
      </c>
    </row>
    <row r="267" spans="1:10" x14ac:dyDescent="0.25">
      <c r="A267" t="str">
        <f>IF($J267="","",YEAR($J267-WEEKDAY($J267,2)+4)&amp;"-W"&amp;TEXT(_xludf.ISOWEEKNUM($J267),"00"))</f>
        <v/>
      </c>
      <c r="B267"/>
      <c r="C267" t="str">
        <f>IF($J267="","",SUMIFS('Hours Log'!$C:$C,'Hours Log'!$A:$A,"&gt;="&amp;$J267,'Hours Log'!$A:$A,"&lt;"&amp;$J267+7)+SUMIFS('Hours Log'!$D:$D,'Hours Log'!$A:$A,"&gt;="&amp;$J267,'Hours Log'!$A:$A,"&lt;"&amp;$J267+7))</f>
        <v/>
      </c>
      <c r="D267" t="str">
        <f>IF($J267="","",SUMIFS('Hours Log'!$D:$D,'Hours Log'!$A:$A,"&gt;="&amp;$J267,'Hours Log'!$A:$A,"&lt;"&amp;$J267+7))</f>
        <v/>
      </c>
      <c r="E267" t="str">
        <f t="shared" si="8"/>
        <v/>
      </c>
      <c r="F267" t="str">
        <f t="shared" si="9"/>
        <v/>
      </c>
      <c r="G267" t="str">
        <f>IF($J267="","",SUMIFS('Hours Log'!$E:$E,'Hours Log'!$A:$A,"&gt;="&amp;$J267,'Hours Log'!$A:$A,"&lt;"&amp;$J267+7))</f>
        <v/>
      </c>
      <c r="J267" t="str">
        <f>IF(COUNT('Hours Log'!$A$4:$A$5000)=0,"",IF(MIN('Hours Log'!$A$4:$A$5000)+7*(ROW()-10)&gt;MAX('Hours Log'!$A$4:$A$5000),"",MIN('Hours Log'!$A$4:$A$5000)+7*(ROW()-10)))</f>
        <v/>
      </c>
    </row>
    <row r="268" spans="1:10" x14ac:dyDescent="0.25">
      <c r="A268" t="str">
        <f>IF($J268="","",YEAR($J268-WEEKDAY($J268,2)+4)&amp;"-W"&amp;TEXT(_xludf.ISOWEEKNUM($J268),"00"))</f>
        <v/>
      </c>
      <c r="B268"/>
      <c r="C268" t="str">
        <f>IF($J268="","",SUMIFS('Hours Log'!$C:$C,'Hours Log'!$A:$A,"&gt;="&amp;$J268,'Hours Log'!$A:$A,"&lt;"&amp;$J268+7)+SUMIFS('Hours Log'!$D:$D,'Hours Log'!$A:$A,"&gt;="&amp;$J268,'Hours Log'!$A:$A,"&lt;"&amp;$J268+7))</f>
        <v/>
      </c>
      <c r="D268" t="str">
        <f>IF($J268="","",SUMIFS('Hours Log'!$D:$D,'Hours Log'!$A:$A,"&gt;="&amp;$J268,'Hours Log'!$A:$A,"&lt;"&amp;$J268+7))</f>
        <v/>
      </c>
      <c r="E268" t="str">
        <f t="shared" si="8"/>
        <v/>
      </c>
      <c r="F268" t="str">
        <f t="shared" si="9"/>
        <v/>
      </c>
      <c r="G268" t="str">
        <f>IF($J268="","",SUMIFS('Hours Log'!$E:$E,'Hours Log'!$A:$A,"&gt;="&amp;$J268,'Hours Log'!$A:$A,"&lt;"&amp;$J268+7))</f>
        <v/>
      </c>
      <c r="J268" t="str">
        <f>IF(COUNT('Hours Log'!$A$4:$A$5000)=0,"",IF(MIN('Hours Log'!$A$4:$A$5000)+7*(ROW()-10)&gt;MAX('Hours Log'!$A$4:$A$5000),"",MIN('Hours Log'!$A$4:$A$5000)+7*(ROW()-10)))</f>
        <v/>
      </c>
    </row>
    <row r="269" spans="1:10" x14ac:dyDescent="0.25">
      <c r="A269" t="str">
        <f>IF($J269="","",YEAR($J269-WEEKDAY($J269,2)+4)&amp;"-W"&amp;TEXT(_xludf.ISOWEEKNUM($J269),"00"))</f>
        <v/>
      </c>
      <c r="B269"/>
      <c r="C269" t="str">
        <f>IF($J269="","",SUMIFS('Hours Log'!$C:$C,'Hours Log'!$A:$A,"&gt;="&amp;$J269,'Hours Log'!$A:$A,"&lt;"&amp;$J269+7)+SUMIFS('Hours Log'!$D:$D,'Hours Log'!$A:$A,"&gt;="&amp;$J269,'Hours Log'!$A:$A,"&lt;"&amp;$J269+7))</f>
        <v/>
      </c>
      <c r="D269" t="str">
        <f>IF($J269="","",SUMIFS('Hours Log'!$D:$D,'Hours Log'!$A:$A,"&gt;="&amp;$J269,'Hours Log'!$A:$A,"&lt;"&amp;$J269+7))</f>
        <v/>
      </c>
      <c r="E269" t="str">
        <f t="shared" si="8"/>
        <v/>
      </c>
      <c r="F269" t="str">
        <f t="shared" si="9"/>
        <v/>
      </c>
      <c r="G269" t="str">
        <f>IF($J269="","",SUMIFS('Hours Log'!$E:$E,'Hours Log'!$A:$A,"&gt;="&amp;$J269,'Hours Log'!$A:$A,"&lt;"&amp;$J269+7))</f>
        <v/>
      </c>
      <c r="J269" t="str">
        <f>IF(COUNT('Hours Log'!$A$4:$A$5000)=0,"",IF(MIN('Hours Log'!$A$4:$A$5000)+7*(ROW()-10)&gt;MAX('Hours Log'!$A$4:$A$5000),"",MIN('Hours Log'!$A$4:$A$5000)+7*(ROW()-10)))</f>
        <v/>
      </c>
    </row>
    <row r="270" spans="1:10" x14ac:dyDescent="0.25">
      <c r="A270" t="str">
        <f>IF($J270="","",YEAR($J270-WEEKDAY($J270,2)+4)&amp;"-W"&amp;TEXT(_xludf.ISOWEEKNUM($J270),"00"))</f>
        <v/>
      </c>
      <c r="B270"/>
      <c r="C270" t="str">
        <f>IF($J270="","",SUMIFS('Hours Log'!$C:$C,'Hours Log'!$A:$A,"&gt;="&amp;$J270,'Hours Log'!$A:$A,"&lt;"&amp;$J270+7)+SUMIFS('Hours Log'!$D:$D,'Hours Log'!$A:$A,"&gt;="&amp;$J270,'Hours Log'!$A:$A,"&lt;"&amp;$J270+7))</f>
        <v/>
      </c>
      <c r="D270" t="str">
        <f>IF($J270="","",SUMIFS('Hours Log'!$D:$D,'Hours Log'!$A:$A,"&gt;="&amp;$J270,'Hours Log'!$A:$A,"&lt;"&amp;$J270+7))</f>
        <v/>
      </c>
      <c r="E270" t="str">
        <f t="shared" si="8"/>
        <v/>
      </c>
      <c r="F270" t="str">
        <f t="shared" si="9"/>
        <v/>
      </c>
      <c r="G270" t="str">
        <f>IF($J270="","",SUMIFS('Hours Log'!$E:$E,'Hours Log'!$A:$A,"&gt;="&amp;$J270,'Hours Log'!$A:$A,"&lt;"&amp;$J270+7))</f>
        <v/>
      </c>
      <c r="J270" t="str">
        <f>IF(COUNT('Hours Log'!$A$4:$A$5000)=0,"",IF(MIN('Hours Log'!$A$4:$A$5000)+7*(ROW()-10)&gt;MAX('Hours Log'!$A$4:$A$5000),"",MIN('Hours Log'!$A$4:$A$5000)+7*(ROW()-10)))</f>
        <v/>
      </c>
    </row>
    <row r="271" spans="1:10" x14ac:dyDescent="0.25">
      <c r="A271" t="str">
        <f>IF($J271="","",YEAR($J271-WEEKDAY($J271,2)+4)&amp;"-W"&amp;TEXT(_xludf.ISOWEEKNUM($J271),"00"))</f>
        <v/>
      </c>
      <c r="B271"/>
      <c r="C271" t="str">
        <f>IF($J271="","",SUMIFS('Hours Log'!$C:$C,'Hours Log'!$A:$A,"&gt;="&amp;$J271,'Hours Log'!$A:$A,"&lt;"&amp;$J271+7)+SUMIFS('Hours Log'!$D:$D,'Hours Log'!$A:$A,"&gt;="&amp;$J271,'Hours Log'!$A:$A,"&lt;"&amp;$J271+7))</f>
        <v/>
      </c>
      <c r="D271" t="str">
        <f>IF($J271="","",SUMIFS('Hours Log'!$D:$D,'Hours Log'!$A:$A,"&gt;="&amp;$J271,'Hours Log'!$A:$A,"&lt;"&amp;$J271+7))</f>
        <v/>
      </c>
      <c r="E271" t="str">
        <f t="shared" si="8"/>
        <v/>
      </c>
      <c r="F271" t="str">
        <f t="shared" si="9"/>
        <v/>
      </c>
      <c r="G271" t="str">
        <f>IF($J271="","",SUMIFS('Hours Log'!$E:$E,'Hours Log'!$A:$A,"&gt;="&amp;$J271,'Hours Log'!$A:$A,"&lt;"&amp;$J271+7))</f>
        <v/>
      </c>
      <c r="J271" t="str">
        <f>IF(COUNT('Hours Log'!$A$4:$A$5000)=0,"",IF(MIN('Hours Log'!$A$4:$A$5000)+7*(ROW()-10)&gt;MAX('Hours Log'!$A$4:$A$5000),"",MIN('Hours Log'!$A$4:$A$5000)+7*(ROW()-10)))</f>
        <v/>
      </c>
    </row>
    <row r="272" spans="1:10" x14ac:dyDescent="0.25">
      <c r="A272" t="str">
        <f>IF($J272="","",YEAR($J272-WEEKDAY($J272,2)+4)&amp;"-W"&amp;TEXT(_xludf.ISOWEEKNUM($J272),"00"))</f>
        <v/>
      </c>
      <c r="B272"/>
      <c r="C272" t="str">
        <f>IF($J272="","",SUMIFS('Hours Log'!$C:$C,'Hours Log'!$A:$A,"&gt;="&amp;$J272,'Hours Log'!$A:$A,"&lt;"&amp;$J272+7)+SUMIFS('Hours Log'!$D:$D,'Hours Log'!$A:$A,"&gt;="&amp;$J272,'Hours Log'!$A:$A,"&lt;"&amp;$J272+7))</f>
        <v/>
      </c>
      <c r="D272" t="str">
        <f>IF($J272="","",SUMIFS('Hours Log'!$D:$D,'Hours Log'!$A:$A,"&gt;="&amp;$J272,'Hours Log'!$A:$A,"&lt;"&amp;$J272+7))</f>
        <v/>
      </c>
      <c r="E272" t="str">
        <f t="shared" si="8"/>
        <v/>
      </c>
      <c r="F272" t="str">
        <f t="shared" si="9"/>
        <v/>
      </c>
      <c r="G272" t="str">
        <f>IF($J272="","",SUMIFS('Hours Log'!$E:$E,'Hours Log'!$A:$A,"&gt;="&amp;$J272,'Hours Log'!$A:$A,"&lt;"&amp;$J272+7))</f>
        <v/>
      </c>
      <c r="J272" t="str">
        <f>IF(COUNT('Hours Log'!$A$4:$A$5000)=0,"",IF(MIN('Hours Log'!$A$4:$A$5000)+7*(ROW()-10)&gt;MAX('Hours Log'!$A$4:$A$5000),"",MIN('Hours Log'!$A$4:$A$5000)+7*(ROW()-10)))</f>
        <v/>
      </c>
    </row>
    <row r="273" spans="1:10" x14ac:dyDescent="0.25">
      <c r="A273" t="str">
        <f>IF($J273="","",YEAR($J273-WEEKDAY($J273,2)+4)&amp;"-W"&amp;TEXT(_xludf.ISOWEEKNUM($J273),"00"))</f>
        <v/>
      </c>
      <c r="B273"/>
      <c r="C273" t="str">
        <f>IF($J273="","",SUMIFS('Hours Log'!$C:$C,'Hours Log'!$A:$A,"&gt;="&amp;$J273,'Hours Log'!$A:$A,"&lt;"&amp;$J273+7)+SUMIFS('Hours Log'!$D:$D,'Hours Log'!$A:$A,"&gt;="&amp;$J273,'Hours Log'!$A:$A,"&lt;"&amp;$J273+7))</f>
        <v/>
      </c>
      <c r="D273" t="str">
        <f>IF($J273="","",SUMIFS('Hours Log'!$D:$D,'Hours Log'!$A:$A,"&gt;="&amp;$J273,'Hours Log'!$A:$A,"&lt;"&amp;$J273+7))</f>
        <v/>
      </c>
      <c r="E273" t="str">
        <f t="shared" si="8"/>
        <v/>
      </c>
      <c r="F273" t="str">
        <f t="shared" si="9"/>
        <v/>
      </c>
      <c r="G273" t="str">
        <f>IF($J273="","",SUMIFS('Hours Log'!$E:$E,'Hours Log'!$A:$A,"&gt;="&amp;$J273,'Hours Log'!$A:$A,"&lt;"&amp;$J273+7))</f>
        <v/>
      </c>
      <c r="J273" t="str">
        <f>IF(COUNT('Hours Log'!$A$4:$A$5000)=0,"",IF(MIN('Hours Log'!$A$4:$A$5000)+7*(ROW()-10)&gt;MAX('Hours Log'!$A$4:$A$5000),"",MIN('Hours Log'!$A$4:$A$5000)+7*(ROW()-10)))</f>
        <v/>
      </c>
    </row>
    <row r="274" spans="1:10" x14ac:dyDescent="0.25">
      <c r="A274" t="str">
        <f>IF($J274="","",YEAR($J274-WEEKDAY($J274,2)+4)&amp;"-W"&amp;TEXT(_xludf.ISOWEEKNUM($J274),"00"))</f>
        <v/>
      </c>
      <c r="B274"/>
      <c r="C274" t="str">
        <f>IF($J274="","",SUMIFS('Hours Log'!$C:$C,'Hours Log'!$A:$A,"&gt;="&amp;$J274,'Hours Log'!$A:$A,"&lt;"&amp;$J274+7)+SUMIFS('Hours Log'!$D:$D,'Hours Log'!$A:$A,"&gt;="&amp;$J274,'Hours Log'!$A:$A,"&lt;"&amp;$J274+7))</f>
        <v/>
      </c>
      <c r="D274" t="str">
        <f>IF($J274="","",SUMIFS('Hours Log'!$D:$D,'Hours Log'!$A:$A,"&gt;="&amp;$J274,'Hours Log'!$A:$A,"&lt;"&amp;$J274+7))</f>
        <v/>
      </c>
      <c r="E274" t="str">
        <f t="shared" si="8"/>
        <v/>
      </c>
      <c r="F274" t="str">
        <f t="shared" si="9"/>
        <v/>
      </c>
      <c r="G274" t="str">
        <f>IF($J274="","",SUMIFS('Hours Log'!$E:$E,'Hours Log'!$A:$A,"&gt;="&amp;$J274,'Hours Log'!$A:$A,"&lt;"&amp;$J274+7))</f>
        <v/>
      </c>
      <c r="J274" t="str">
        <f>IF(COUNT('Hours Log'!$A$4:$A$5000)=0,"",IF(MIN('Hours Log'!$A$4:$A$5000)+7*(ROW()-10)&gt;MAX('Hours Log'!$A$4:$A$5000),"",MIN('Hours Log'!$A$4:$A$5000)+7*(ROW()-10)))</f>
        <v/>
      </c>
    </row>
    <row r="275" spans="1:10" x14ac:dyDescent="0.25">
      <c r="A275" t="str">
        <f>IF($J275="","",YEAR($J275-WEEKDAY($J275,2)+4)&amp;"-W"&amp;TEXT(_xludf.ISOWEEKNUM($J275),"00"))</f>
        <v/>
      </c>
      <c r="B275"/>
      <c r="C275" t="str">
        <f>IF($J275="","",SUMIFS('Hours Log'!$C:$C,'Hours Log'!$A:$A,"&gt;="&amp;$J275,'Hours Log'!$A:$A,"&lt;"&amp;$J275+7)+SUMIFS('Hours Log'!$D:$D,'Hours Log'!$A:$A,"&gt;="&amp;$J275,'Hours Log'!$A:$A,"&lt;"&amp;$J275+7))</f>
        <v/>
      </c>
      <c r="D275" t="str">
        <f>IF($J275="","",SUMIFS('Hours Log'!$D:$D,'Hours Log'!$A:$A,"&gt;="&amp;$J275,'Hours Log'!$A:$A,"&lt;"&amp;$J275+7))</f>
        <v/>
      </c>
      <c r="E275" t="str">
        <f t="shared" si="8"/>
        <v/>
      </c>
      <c r="F275" t="str">
        <f t="shared" si="9"/>
        <v/>
      </c>
      <c r="G275" t="str">
        <f>IF($J275="","",SUMIFS('Hours Log'!$E:$E,'Hours Log'!$A:$A,"&gt;="&amp;$J275,'Hours Log'!$A:$A,"&lt;"&amp;$J275+7))</f>
        <v/>
      </c>
      <c r="J275" t="str">
        <f>IF(COUNT('Hours Log'!$A$4:$A$5000)=0,"",IF(MIN('Hours Log'!$A$4:$A$5000)+7*(ROW()-10)&gt;MAX('Hours Log'!$A$4:$A$5000),"",MIN('Hours Log'!$A$4:$A$5000)+7*(ROW()-10)))</f>
        <v/>
      </c>
    </row>
    <row r="276" spans="1:10" x14ac:dyDescent="0.25">
      <c r="A276" t="str">
        <f>IF($J276="","",YEAR($J276-WEEKDAY($J276,2)+4)&amp;"-W"&amp;TEXT(_xludf.ISOWEEKNUM($J276),"00"))</f>
        <v/>
      </c>
      <c r="B276"/>
      <c r="C276" t="str">
        <f>IF($J276="","",SUMIFS('Hours Log'!$C:$C,'Hours Log'!$A:$A,"&gt;="&amp;$J276,'Hours Log'!$A:$A,"&lt;"&amp;$J276+7)+SUMIFS('Hours Log'!$D:$D,'Hours Log'!$A:$A,"&gt;="&amp;$J276,'Hours Log'!$A:$A,"&lt;"&amp;$J276+7))</f>
        <v/>
      </c>
      <c r="D276" t="str">
        <f>IF($J276="","",SUMIFS('Hours Log'!$D:$D,'Hours Log'!$A:$A,"&gt;="&amp;$J276,'Hours Log'!$A:$A,"&lt;"&amp;$J276+7))</f>
        <v/>
      </c>
      <c r="E276" t="str">
        <f t="shared" si="8"/>
        <v/>
      </c>
      <c r="F276" t="str">
        <f t="shared" si="9"/>
        <v/>
      </c>
      <c r="G276" t="str">
        <f>IF($J276="","",SUMIFS('Hours Log'!$E:$E,'Hours Log'!$A:$A,"&gt;="&amp;$J276,'Hours Log'!$A:$A,"&lt;"&amp;$J276+7))</f>
        <v/>
      </c>
      <c r="J276" t="str">
        <f>IF(COUNT('Hours Log'!$A$4:$A$5000)=0,"",IF(MIN('Hours Log'!$A$4:$A$5000)+7*(ROW()-10)&gt;MAX('Hours Log'!$A$4:$A$5000),"",MIN('Hours Log'!$A$4:$A$5000)+7*(ROW()-10)))</f>
        <v/>
      </c>
    </row>
    <row r="277" spans="1:10" x14ac:dyDescent="0.25">
      <c r="A277" t="str">
        <f>IF($J277="","",YEAR($J277-WEEKDAY($J277,2)+4)&amp;"-W"&amp;TEXT(_xludf.ISOWEEKNUM($J277),"00"))</f>
        <v/>
      </c>
      <c r="B277"/>
      <c r="C277" t="str">
        <f>IF($J277="","",SUMIFS('Hours Log'!$C:$C,'Hours Log'!$A:$A,"&gt;="&amp;$J277,'Hours Log'!$A:$A,"&lt;"&amp;$J277+7)+SUMIFS('Hours Log'!$D:$D,'Hours Log'!$A:$A,"&gt;="&amp;$J277,'Hours Log'!$A:$A,"&lt;"&amp;$J277+7))</f>
        <v/>
      </c>
      <c r="D277" t="str">
        <f>IF($J277="","",SUMIFS('Hours Log'!$D:$D,'Hours Log'!$A:$A,"&gt;="&amp;$J277,'Hours Log'!$A:$A,"&lt;"&amp;$J277+7))</f>
        <v/>
      </c>
      <c r="E277" t="str">
        <f t="shared" si="8"/>
        <v/>
      </c>
      <c r="F277" t="str">
        <f t="shared" si="9"/>
        <v/>
      </c>
      <c r="G277" t="str">
        <f>IF($J277="","",SUMIFS('Hours Log'!$E:$E,'Hours Log'!$A:$A,"&gt;="&amp;$J277,'Hours Log'!$A:$A,"&lt;"&amp;$J277+7))</f>
        <v/>
      </c>
      <c r="J277" t="str">
        <f>IF(COUNT('Hours Log'!$A$4:$A$5000)=0,"",IF(MIN('Hours Log'!$A$4:$A$5000)+7*(ROW()-10)&gt;MAX('Hours Log'!$A$4:$A$5000),"",MIN('Hours Log'!$A$4:$A$5000)+7*(ROW()-10)))</f>
        <v/>
      </c>
    </row>
    <row r="278" spans="1:10" x14ac:dyDescent="0.25">
      <c r="A278" t="str">
        <f>IF($J278="","",YEAR($J278-WEEKDAY($J278,2)+4)&amp;"-W"&amp;TEXT(_xludf.ISOWEEKNUM($J278),"00"))</f>
        <v/>
      </c>
      <c r="B278"/>
      <c r="C278" t="str">
        <f>IF($J278="","",SUMIFS('Hours Log'!$C:$C,'Hours Log'!$A:$A,"&gt;="&amp;$J278,'Hours Log'!$A:$A,"&lt;"&amp;$J278+7)+SUMIFS('Hours Log'!$D:$D,'Hours Log'!$A:$A,"&gt;="&amp;$J278,'Hours Log'!$A:$A,"&lt;"&amp;$J278+7))</f>
        <v/>
      </c>
      <c r="D278" t="str">
        <f>IF($J278="","",SUMIFS('Hours Log'!$D:$D,'Hours Log'!$A:$A,"&gt;="&amp;$J278,'Hours Log'!$A:$A,"&lt;"&amp;$J278+7))</f>
        <v/>
      </c>
      <c r="E278" t="str">
        <f t="shared" si="8"/>
        <v/>
      </c>
      <c r="F278" t="str">
        <f t="shared" si="9"/>
        <v/>
      </c>
      <c r="G278" t="str">
        <f>IF($J278="","",SUMIFS('Hours Log'!$E:$E,'Hours Log'!$A:$A,"&gt;="&amp;$J278,'Hours Log'!$A:$A,"&lt;"&amp;$J278+7))</f>
        <v/>
      </c>
      <c r="J278" t="str">
        <f>IF(COUNT('Hours Log'!$A$4:$A$5000)=0,"",IF(MIN('Hours Log'!$A$4:$A$5000)+7*(ROW()-10)&gt;MAX('Hours Log'!$A$4:$A$5000),"",MIN('Hours Log'!$A$4:$A$5000)+7*(ROW()-10)))</f>
        <v/>
      </c>
    </row>
    <row r="279" spans="1:10" x14ac:dyDescent="0.25">
      <c r="A279" t="str">
        <f>IF($J279="","",YEAR($J279-WEEKDAY($J279,2)+4)&amp;"-W"&amp;TEXT(_xludf.ISOWEEKNUM($J279),"00"))</f>
        <v/>
      </c>
      <c r="B279"/>
      <c r="C279" t="str">
        <f>IF($J279="","",SUMIFS('Hours Log'!$C:$C,'Hours Log'!$A:$A,"&gt;="&amp;$J279,'Hours Log'!$A:$A,"&lt;"&amp;$J279+7)+SUMIFS('Hours Log'!$D:$D,'Hours Log'!$A:$A,"&gt;="&amp;$J279,'Hours Log'!$A:$A,"&lt;"&amp;$J279+7))</f>
        <v/>
      </c>
      <c r="D279" t="str">
        <f>IF($J279="","",SUMIFS('Hours Log'!$D:$D,'Hours Log'!$A:$A,"&gt;="&amp;$J279,'Hours Log'!$A:$A,"&lt;"&amp;$J279+7))</f>
        <v/>
      </c>
      <c r="E279" t="str">
        <f t="shared" si="8"/>
        <v/>
      </c>
      <c r="F279" t="str">
        <f t="shared" si="9"/>
        <v/>
      </c>
      <c r="G279" t="str">
        <f>IF($J279="","",SUMIFS('Hours Log'!$E:$E,'Hours Log'!$A:$A,"&gt;="&amp;$J279,'Hours Log'!$A:$A,"&lt;"&amp;$J279+7))</f>
        <v/>
      </c>
      <c r="J279" t="str">
        <f>IF(COUNT('Hours Log'!$A$4:$A$5000)=0,"",IF(MIN('Hours Log'!$A$4:$A$5000)+7*(ROW()-10)&gt;MAX('Hours Log'!$A$4:$A$5000),"",MIN('Hours Log'!$A$4:$A$5000)+7*(ROW()-10)))</f>
        <v/>
      </c>
    </row>
    <row r="280" spans="1:10" x14ac:dyDescent="0.25">
      <c r="A280" t="str">
        <f>IF($J280="","",YEAR($J280-WEEKDAY($J280,2)+4)&amp;"-W"&amp;TEXT(_xludf.ISOWEEKNUM($J280),"00"))</f>
        <v/>
      </c>
      <c r="B280"/>
      <c r="C280" t="str">
        <f>IF($J280="","",SUMIFS('Hours Log'!$C:$C,'Hours Log'!$A:$A,"&gt;="&amp;$J280,'Hours Log'!$A:$A,"&lt;"&amp;$J280+7)+SUMIFS('Hours Log'!$D:$D,'Hours Log'!$A:$A,"&gt;="&amp;$J280,'Hours Log'!$A:$A,"&lt;"&amp;$J280+7))</f>
        <v/>
      </c>
      <c r="D280" t="str">
        <f>IF($J280="","",SUMIFS('Hours Log'!$D:$D,'Hours Log'!$A:$A,"&gt;="&amp;$J280,'Hours Log'!$A:$A,"&lt;"&amp;$J280+7))</f>
        <v/>
      </c>
      <c r="E280" t="str">
        <f t="shared" si="8"/>
        <v/>
      </c>
      <c r="F280" t="str">
        <f t="shared" si="9"/>
        <v/>
      </c>
      <c r="G280" t="str">
        <f>IF($J280="","",SUMIFS('Hours Log'!$E:$E,'Hours Log'!$A:$A,"&gt;="&amp;$J280,'Hours Log'!$A:$A,"&lt;"&amp;$J280+7))</f>
        <v/>
      </c>
      <c r="J280" t="str">
        <f>IF(COUNT('Hours Log'!$A$4:$A$5000)=0,"",IF(MIN('Hours Log'!$A$4:$A$5000)+7*(ROW()-10)&gt;MAX('Hours Log'!$A$4:$A$5000),"",MIN('Hours Log'!$A$4:$A$5000)+7*(ROW()-10)))</f>
        <v/>
      </c>
    </row>
    <row r="281" spans="1:10" x14ac:dyDescent="0.25">
      <c r="A281" t="str">
        <f>IF($J281="","",YEAR($J281-WEEKDAY($J281,2)+4)&amp;"-W"&amp;TEXT(_xludf.ISOWEEKNUM($J281),"00"))</f>
        <v/>
      </c>
      <c r="B281"/>
      <c r="C281" t="str">
        <f>IF($J281="","",SUMIFS('Hours Log'!$C:$C,'Hours Log'!$A:$A,"&gt;="&amp;$J281,'Hours Log'!$A:$A,"&lt;"&amp;$J281+7)+SUMIFS('Hours Log'!$D:$D,'Hours Log'!$A:$A,"&gt;="&amp;$J281,'Hours Log'!$A:$A,"&lt;"&amp;$J281+7))</f>
        <v/>
      </c>
      <c r="D281" t="str">
        <f>IF($J281="","",SUMIFS('Hours Log'!$D:$D,'Hours Log'!$A:$A,"&gt;="&amp;$J281,'Hours Log'!$A:$A,"&lt;"&amp;$J281+7))</f>
        <v/>
      </c>
      <c r="E281" t="str">
        <f t="shared" si="8"/>
        <v/>
      </c>
      <c r="F281" t="str">
        <f t="shared" si="9"/>
        <v/>
      </c>
      <c r="G281" t="str">
        <f>IF($J281="","",SUMIFS('Hours Log'!$E:$E,'Hours Log'!$A:$A,"&gt;="&amp;$J281,'Hours Log'!$A:$A,"&lt;"&amp;$J281+7))</f>
        <v/>
      </c>
      <c r="J281" t="str">
        <f>IF(COUNT('Hours Log'!$A$4:$A$5000)=0,"",IF(MIN('Hours Log'!$A$4:$A$5000)+7*(ROW()-10)&gt;MAX('Hours Log'!$A$4:$A$5000),"",MIN('Hours Log'!$A$4:$A$5000)+7*(ROW()-10)))</f>
        <v/>
      </c>
    </row>
    <row r="282" spans="1:10" x14ac:dyDescent="0.25">
      <c r="A282" t="str">
        <f>IF($J282="","",YEAR($J282-WEEKDAY($J282,2)+4)&amp;"-W"&amp;TEXT(_xludf.ISOWEEKNUM($J282),"00"))</f>
        <v/>
      </c>
      <c r="B282"/>
      <c r="C282" t="str">
        <f>IF($J282="","",SUMIFS('Hours Log'!$C:$C,'Hours Log'!$A:$A,"&gt;="&amp;$J282,'Hours Log'!$A:$A,"&lt;"&amp;$J282+7)+SUMIFS('Hours Log'!$D:$D,'Hours Log'!$A:$A,"&gt;="&amp;$J282,'Hours Log'!$A:$A,"&lt;"&amp;$J282+7))</f>
        <v/>
      </c>
      <c r="D282" t="str">
        <f>IF($J282="","",SUMIFS('Hours Log'!$D:$D,'Hours Log'!$A:$A,"&gt;="&amp;$J282,'Hours Log'!$A:$A,"&lt;"&amp;$J282+7))</f>
        <v/>
      </c>
      <c r="E282" t="str">
        <f t="shared" si="8"/>
        <v/>
      </c>
      <c r="F282" t="str">
        <f t="shared" si="9"/>
        <v/>
      </c>
      <c r="G282" t="str">
        <f>IF($J282="","",SUMIFS('Hours Log'!$E:$E,'Hours Log'!$A:$A,"&gt;="&amp;$J282,'Hours Log'!$A:$A,"&lt;"&amp;$J282+7))</f>
        <v/>
      </c>
      <c r="J282" t="str">
        <f>IF(COUNT('Hours Log'!$A$4:$A$5000)=0,"",IF(MIN('Hours Log'!$A$4:$A$5000)+7*(ROW()-10)&gt;MAX('Hours Log'!$A$4:$A$5000),"",MIN('Hours Log'!$A$4:$A$5000)+7*(ROW()-10)))</f>
        <v/>
      </c>
    </row>
    <row r="283" spans="1:10" x14ac:dyDescent="0.25">
      <c r="A283" t="str">
        <f>IF($J283="","",YEAR($J283-WEEKDAY($J283,2)+4)&amp;"-W"&amp;TEXT(_xludf.ISOWEEKNUM($J283),"00"))</f>
        <v/>
      </c>
      <c r="B283"/>
      <c r="C283" t="str">
        <f>IF($J283="","",SUMIFS('Hours Log'!$C:$C,'Hours Log'!$A:$A,"&gt;="&amp;$J283,'Hours Log'!$A:$A,"&lt;"&amp;$J283+7)+SUMIFS('Hours Log'!$D:$D,'Hours Log'!$A:$A,"&gt;="&amp;$J283,'Hours Log'!$A:$A,"&lt;"&amp;$J283+7))</f>
        <v/>
      </c>
      <c r="D283" t="str">
        <f>IF($J283="","",SUMIFS('Hours Log'!$D:$D,'Hours Log'!$A:$A,"&gt;="&amp;$J283,'Hours Log'!$A:$A,"&lt;"&amp;$J283+7))</f>
        <v/>
      </c>
      <c r="E283" t="str">
        <f t="shared" si="8"/>
        <v/>
      </c>
      <c r="F283" t="str">
        <f t="shared" si="9"/>
        <v/>
      </c>
      <c r="G283" t="str">
        <f>IF($J283="","",SUMIFS('Hours Log'!$E:$E,'Hours Log'!$A:$A,"&gt;="&amp;$J283,'Hours Log'!$A:$A,"&lt;"&amp;$J283+7))</f>
        <v/>
      </c>
      <c r="J283" t="str">
        <f>IF(COUNT('Hours Log'!$A$4:$A$5000)=0,"",IF(MIN('Hours Log'!$A$4:$A$5000)+7*(ROW()-10)&gt;MAX('Hours Log'!$A$4:$A$5000),"",MIN('Hours Log'!$A$4:$A$5000)+7*(ROW()-10)))</f>
        <v/>
      </c>
    </row>
    <row r="284" spans="1:10" x14ac:dyDescent="0.25">
      <c r="A284" t="str">
        <f>IF($J284="","",YEAR($J284-WEEKDAY($J284,2)+4)&amp;"-W"&amp;TEXT(_xludf.ISOWEEKNUM($J284),"00"))</f>
        <v/>
      </c>
      <c r="B284"/>
      <c r="C284" t="str">
        <f>IF($J284="","",SUMIFS('Hours Log'!$C:$C,'Hours Log'!$A:$A,"&gt;="&amp;$J284,'Hours Log'!$A:$A,"&lt;"&amp;$J284+7)+SUMIFS('Hours Log'!$D:$D,'Hours Log'!$A:$A,"&gt;="&amp;$J284,'Hours Log'!$A:$A,"&lt;"&amp;$J284+7))</f>
        <v/>
      </c>
      <c r="D284" t="str">
        <f>IF($J284="","",SUMIFS('Hours Log'!$D:$D,'Hours Log'!$A:$A,"&gt;="&amp;$J284,'Hours Log'!$A:$A,"&lt;"&amp;$J284+7))</f>
        <v/>
      </c>
      <c r="E284" t="str">
        <f t="shared" si="8"/>
        <v/>
      </c>
      <c r="F284" t="str">
        <f t="shared" si="9"/>
        <v/>
      </c>
      <c r="G284" t="str">
        <f>IF($J284="","",SUMIFS('Hours Log'!$E:$E,'Hours Log'!$A:$A,"&gt;="&amp;$J284,'Hours Log'!$A:$A,"&lt;"&amp;$J284+7))</f>
        <v/>
      </c>
      <c r="J284" t="str">
        <f>IF(COUNT('Hours Log'!$A$4:$A$5000)=0,"",IF(MIN('Hours Log'!$A$4:$A$5000)+7*(ROW()-10)&gt;MAX('Hours Log'!$A$4:$A$5000),"",MIN('Hours Log'!$A$4:$A$5000)+7*(ROW()-10)))</f>
        <v/>
      </c>
    </row>
    <row r="285" spans="1:10" x14ac:dyDescent="0.25">
      <c r="A285" t="str">
        <f>IF($J285="","",YEAR($J285-WEEKDAY($J285,2)+4)&amp;"-W"&amp;TEXT(_xludf.ISOWEEKNUM($J285),"00"))</f>
        <v/>
      </c>
      <c r="B285"/>
      <c r="C285" t="str">
        <f>IF($J285="","",SUMIFS('Hours Log'!$C:$C,'Hours Log'!$A:$A,"&gt;="&amp;$J285,'Hours Log'!$A:$A,"&lt;"&amp;$J285+7)+SUMIFS('Hours Log'!$D:$D,'Hours Log'!$A:$A,"&gt;="&amp;$J285,'Hours Log'!$A:$A,"&lt;"&amp;$J285+7))</f>
        <v/>
      </c>
      <c r="D285" t="str">
        <f>IF($J285="","",SUMIFS('Hours Log'!$D:$D,'Hours Log'!$A:$A,"&gt;="&amp;$J285,'Hours Log'!$A:$A,"&lt;"&amp;$J285+7))</f>
        <v/>
      </c>
      <c r="E285" t="str">
        <f t="shared" si="8"/>
        <v/>
      </c>
      <c r="F285" t="str">
        <f t="shared" si="9"/>
        <v/>
      </c>
      <c r="G285" t="str">
        <f>IF($J285="","",SUMIFS('Hours Log'!$E:$E,'Hours Log'!$A:$A,"&gt;="&amp;$J285,'Hours Log'!$A:$A,"&lt;"&amp;$J285+7))</f>
        <v/>
      </c>
      <c r="J285" t="str">
        <f>IF(COUNT('Hours Log'!$A$4:$A$5000)=0,"",IF(MIN('Hours Log'!$A$4:$A$5000)+7*(ROW()-10)&gt;MAX('Hours Log'!$A$4:$A$5000),"",MIN('Hours Log'!$A$4:$A$5000)+7*(ROW()-10)))</f>
        <v/>
      </c>
    </row>
    <row r="286" spans="1:10" x14ac:dyDescent="0.25">
      <c r="A286" t="str">
        <f>IF($J286="","",YEAR($J286-WEEKDAY($J286,2)+4)&amp;"-W"&amp;TEXT(_xludf.ISOWEEKNUM($J286),"00"))</f>
        <v/>
      </c>
      <c r="B286"/>
      <c r="C286" t="str">
        <f>IF($J286="","",SUMIFS('Hours Log'!$C:$C,'Hours Log'!$A:$A,"&gt;="&amp;$J286,'Hours Log'!$A:$A,"&lt;"&amp;$J286+7)+SUMIFS('Hours Log'!$D:$D,'Hours Log'!$A:$A,"&gt;="&amp;$J286,'Hours Log'!$A:$A,"&lt;"&amp;$J286+7))</f>
        <v/>
      </c>
      <c r="D286" t="str">
        <f>IF($J286="","",SUMIFS('Hours Log'!$D:$D,'Hours Log'!$A:$A,"&gt;="&amp;$J286,'Hours Log'!$A:$A,"&lt;"&amp;$J286+7))</f>
        <v/>
      </c>
      <c r="E286" t="str">
        <f t="shared" si="8"/>
        <v/>
      </c>
      <c r="F286" t="str">
        <f t="shared" si="9"/>
        <v/>
      </c>
      <c r="G286" t="str">
        <f>IF($J286="","",SUMIFS('Hours Log'!$E:$E,'Hours Log'!$A:$A,"&gt;="&amp;$J286,'Hours Log'!$A:$A,"&lt;"&amp;$J286+7))</f>
        <v/>
      </c>
      <c r="J286" t="str">
        <f>IF(COUNT('Hours Log'!$A$4:$A$5000)=0,"",IF(MIN('Hours Log'!$A$4:$A$5000)+7*(ROW()-10)&gt;MAX('Hours Log'!$A$4:$A$5000),"",MIN('Hours Log'!$A$4:$A$5000)+7*(ROW()-10)))</f>
        <v/>
      </c>
    </row>
    <row r="287" spans="1:10" x14ac:dyDescent="0.25">
      <c r="A287" t="str">
        <f>IF($J287="","",YEAR($J287-WEEKDAY($J287,2)+4)&amp;"-W"&amp;TEXT(_xludf.ISOWEEKNUM($J287),"00"))</f>
        <v/>
      </c>
      <c r="B287"/>
      <c r="C287" t="str">
        <f>IF($J287="","",SUMIFS('Hours Log'!$C:$C,'Hours Log'!$A:$A,"&gt;="&amp;$J287,'Hours Log'!$A:$A,"&lt;"&amp;$J287+7)+SUMIFS('Hours Log'!$D:$D,'Hours Log'!$A:$A,"&gt;="&amp;$J287,'Hours Log'!$A:$A,"&lt;"&amp;$J287+7))</f>
        <v/>
      </c>
      <c r="D287" t="str">
        <f>IF($J287="","",SUMIFS('Hours Log'!$D:$D,'Hours Log'!$A:$A,"&gt;="&amp;$J287,'Hours Log'!$A:$A,"&lt;"&amp;$J287+7))</f>
        <v/>
      </c>
      <c r="E287" t="str">
        <f t="shared" si="8"/>
        <v/>
      </c>
      <c r="F287" t="str">
        <f t="shared" si="9"/>
        <v/>
      </c>
      <c r="G287" t="str">
        <f>IF($J287="","",SUMIFS('Hours Log'!$E:$E,'Hours Log'!$A:$A,"&gt;="&amp;$J287,'Hours Log'!$A:$A,"&lt;"&amp;$J287+7))</f>
        <v/>
      </c>
      <c r="J287" t="str">
        <f>IF(COUNT('Hours Log'!$A$4:$A$5000)=0,"",IF(MIN('Hours Log'!$A$4:$A$5000)+7*(ROW()-10)&gt;MAX('Hours Log'!$A$4:$A$5000),"",MIN('Hours Log'!$A$4:$A$5000)+7*(ROW()-10)))</f>
        <v/>
      </c>
    </row>
    <row r="288" spans="1:10" x14ac:dyDescent="0.25">
      <c r="A288" t="str">
        <f>IF($J288="","",YEAR($J288-WEEKDAY($J288,2)+4)&amp;"-W"&amp;TEXT(_xludf.ISOWEEKNUM($J288),"00"))</f>
        <v/>
      </c>
      <c r="B288"/>
      <c r="C288" t="str">
        <f>IF($J288="","",SUMIFS('Hours Log'!$C:$C,'Hours Log'!$A:$A,"&gt;="&amp;$J288,'Hours Log'!$A:$A,"&lt;"&amp;$J288+7)+SUMIFS('Hours Log'!$D:$D,'Hours Log'!$A:$A,"&gt;="&amp;$J288,'Hours Log'!$A:$A,"&lt;"&amp;$J288+7))</f>
        <v/>
      </c>
      <c r="D288" t="str">
        <f>IF($J288="","",SUMIFS('Hours Log'!$D:$D,'Hours Log'!$A:$A,"&gt;="&amp;$J288,'Hours Log'!$A:$A,"&lt;"&amp;$J288+7))</f>
        <v/>
      </c>
      <c r="E288" t="str">
        <f t="shared" si="8"/>
        <v/>
      </c>
      <c r="F288" t="str">
        <f t="shared" si="9"/>
        <v/>
      </c>
      <c r="G288" t="str">
        <f>IF($J288="","",SUMIFS('Hours Log'!$E:$E,'Hours Log'!$A:$A,"&gt;="&amp;$J288,'Hours Log'!$A:$A,"&lt;"&amp;$J288+7))</f>
        <v/>
      </c>
      <c r="J288" t="str">
        <f>IF(COUNT('Hours Log'!$A$4:$A$5000)=0,"",IF(MIN('Hours Log'!$A$4:$A$5000)+7*(ROW()-10)&gt;MAX('Hours Log'!$A$4:$A$5000),"",MIN('Hours Log'!$A$4:$A$5000)+7*(ROW()-10)))</f>
        <v/>
      </c>
    </row>
    <row r="289" spans="1:10" x14ac:dyDescent="0.25">
      <c r="A289" t="str">
        <f>IF($J289="","",YEAR($J289-WEEKDAY($J289,2)+4)&amp;"-W"&amp;TEXT(_xludf.ISOWEEKNUM($J289),"00"))</f>
        <v/>
      </c>
      <c r="B289"/>
      <c r="C289" t="str">
        <f>IF($J289="","",SUMIFS('Hours Log'!$C:$C,'Hours Log'!$A:$A,"&gt;="&amp;$J289,'Hours Log'!$A:$A,"&lt;"&amp;$J289+7)+SUMIFS('Hours Log'!$D:$D,'Hours Log'!$A:$A,"&gt;="&amp;$J289,'Hours Log'!$A:$A,"&lt;"&amp;$J289+7))</f>
        <v/>
      </c>
      <c r="D289" t="str">
        <f>IF($J289="","",SUMIFS('Hours Log'!$D:$D,'Hours Log'!$A:$A,"&gt;="&amp;$J289,'Hours Log'!$A:$A,"&lt;"&amp;$J289+7))</f>
        <v/>
      </c>
      <c r="E289" t="str">
        <f t="shared" si="8"/>
        <v/>
      </c>
      <c r="F289" t="str">
        <f t="shared" si="9"/>
        <v/>
      </c>
      <c r="G289" t="str">
        <f>IF($J289="","",SUMIFS('Hours Log'!$E:$E,'Hours Log'!$A:$A,"&gt;="&amp;$J289,'Hours Log'!$A:$A,"&lt;"&amp;$J289+7))</f>
        <v/>
      </c>
      <c r="J289" t="str">
        <f>IF(COUNT('Hours Log'!$A$4:$A$5000)=0,"",IF(MIN('Hours Log'!$A$4:$A$5000)+7*(ROW()-10)&gt;MAX('Hours Log'!$A$4:$A$5000),"",MIN('Hours Log'!$A$4:$A$5000)+7*(ROW()-10)))</f>
        <v/>
      </c>
    </row>
    <row r="290" spans="1:10" x14ac:dyDescent="0.25">
      <c r="A290" t="str">
        <f>IF($J290="","",YEAR($J290-WEEKDAY($J290,2)+4)&amp;"-W"&amp;TEXT(_xludf.ISOWEEKNUM($J290),"00"))</f>
        <v/>
      </c>
      <c r="B290"/>
      <c r="C290" t="str">
        <f>IF($J290="","",SUMIFS('Hours Log'!$C:$C,'Hours Log'!$A:$A,"&gt;="&amp;$J290,'Hours Log'!$A:$A,"&lt;"&amp;$J290+7)+SUMIFS('Hours Log'!$D:$D,'Hours Log'!$A:$A,"&gt;="&amp;$J290,'Hours Log'!$A:$A,"&lt;"&amp;$J290+7))</f>
        <v/>
      </c>
      <c r="D290" t="str">
        <f>IF($J290="","",SUMIFS('Hours Log'!$D:$D,'Hours Log'!$A:$A,"&gt;="&amp;$J290,'Hours Log'!$A:$A,"&lt;"&amp;$J290+7))</f>
        <v/>
      </c>
      <c r="E290" t="str">
        <f t="shared" si="8"/>
        <v/>
      </c>
      <c r="F290" t="str">
        <f t="shared" si="9"/>
        <v/>
      </c>
      <c r="G290" t="str">
        <f>IF($J290="","",SUMIFS('Hours Log'!$E:$E,'Hours Log'!$A:$A,"&gt;="&amp;$J290,'Hours Log'!$A:$A,"&lt;"&amp;$J290+7))</f>
        <v/>
      </c>
      <c r="J290" t="str">
        <f>IF(COUNT('Hours Log'!$A$4:$A$5000)=0,"",IF(MIN('Hours Log'!$A$4:$A$5000)+7*(ROW()-10)&gt;MAX('Hours Log'!$A$4:$A$5000),"",MIN('Hours Log'!$A$4:$A$5000)+7*(ROW()-10)))</f>
        <v/>
      </c>
    </row>
    <row r="291" spans="1:10" x14ac:dyDescent="0.25">
      <c r="A291" t="str">
        <f>IF($J291="","",YEAR($J291-WEEKDAY($J291,2)+4)&amp;"-W"&amp;TEXT(_xludf.ISOWEEKNUM($J291),"00"))</f>
        <v/>
      </c>
      <c r="B291"/>
      <c r="C291" t="str">
        <f>IF($J291="","",SUMIFS('Hours Log'!$C:$C,'Hours Log'!$A:$A,"&gt;="&amp;$J291,'Hours Log'!$A:$A,"&lt;"&amp;$J291+7)+SUMIFS('Hours Log'!$D:$D,'Hours Log'!$A:$A,"&gt;="&amp;$J291,'Hours Log'!$A:$A,"&lt;"&amp;$J291+7))</f>
        <v/>
      </c>
      <c r="D291" t="str">
        <f>IF($J291="","",SUMIFS('Hours Log'!$D:$D,'Hours Log'!$A:$A,"&gt;="&amp;$J291,'Hours Log'!$A:$A,"&lt;"&amp;$J291+7))</f>
        <v/>
      </c>
      <c r="E291" t="str">
        <f t="shared" si="8"/>
        <v/>
      </c>
      <c r="F291" t="str">
        <f t="shared" si="9"/>
        <v/>
      </c>
      <c r="G291" t="str">
        <f>IF($J291="","",SUMIFS('Hours Log'!$E:$E,'Hours Log'!$A:$A,"&gt;="&amp;$J291,'Hours Log'!$A:$A,"&lt;"&amp;$J291+7))</f>
        <v/>
      </c>
      <c r="J291" t="str">
        <f>IF(COUNT('Hours Log'!$A$4:$A$5000)=0,"",IF(MIN('Hours Log'!$A$4:$A$5000)+7*(ROW()-10)&gt;MAX('Hours Log'!$A$4:$A$5000),"",MIN('Hours Log'!$A$4:$A$5000)+7*(ROW()-10)))</f>
        <v/>
      </c>
    </row>
    <row r="292" spans="1:10" x14ac:dyDescent="0.25">
      <c r="A292" t="str">
        <f>IF($J292="","",YEAR($J292-WEEKDAY($J292,2)+4)&amp;"-W"&amp;TEXT(_xludf.ISOWEEKNUM($J292),"00"))</f>
        <v/>
      </c>
      <c r="B292"/>
      <c r="C292" t="str">
        <f>IF($J292="","",SUMIFS('Hours Log'!$C:$C,'Hours Log'!$A:$A,"&gt;="&amp;$J292,'Hours Log'!$A:$A,"&lt;"&amp;$J292+7)+SUMIFS('Hours Log'!$D:$D,'Hours Log'!$A:$A,"&gt;="&amp;$J292,'Hours Log'!$A:$A,"&lt;"&amp;$J292+7))</f>
        <v/>
      </c>
      <c r="D292" t="str">
        <f>IF($J292="","",SUMIFS('Hours Log'!$D:$D,'Hours Log'!$A:$A,"&gt;="&amp;$J292,'Hours Log'!$A:$A,"&lt;"&amp;$J292+7))</f>
        <v/>
      </c>
      <c r="E292" t="str">
        <f t="shared" si="8"/>
        <v/>
      </c>
      <c r="F292" t="str">
        <f t="shared" si="9"/>
        <v/>
      </c>
      <c r="G292" t="str">
        <f>IF($J292="","",SUMIFS('Hours Log'!$E:$E,'Hours Log'!$A:$A,"&gt;="&amp;$J292,'Hours Log'!$A:$A,"&lt;"&amp;$J292+7))</f>
        <v/>
      </c>
      <c r="J292" t="str">
        <f>IF(COUNT('Hours Log'!$A$4:$A$5000)=0,"",IF(MIN('Hours Log'!$A$4:$A$5000)+7*(ROW()-10)&gt;MAX('Hours Log'!$A$4:$A$5000),"",MIN('Hours Log'!$A$4:$A$5000)+7*(ROW()-10)))</f>
        <v/>
      </c>
    </row>
    <row r="293" spans="1:10" x14ac:dyDescent="0.25">
      <c r="A293" t="str">
        <f>IF($J293="","",YEAR($J293-WEEKDAY($J293,2)+4)&amp;"-W"&amp;TEXT(_xludf.ISOWEEKNUM($J293),"00"))</f>
        <v/>
      </c>
      <c r="B293"/>
      <c r="C293" t="str">
        <f>IF($J293="","",SUMIFS('Hours Log'!$C:$C,'Hours Log'!$A:$A,"&gt;="&amp;$J293,'Hours Log'!$A:$A,"&lt;"&amp;$J293+7)+SUMIFS('Hours Log'!$D:$D,'Hours Log'!$A:$A,"&gt;="&amp;$J293,'Hours Log'!$A:$A,"&lt;"&amp;$J293+7))</f>
        <v/>
      </c>
      <c r="D293" t="str">
        <f>IF($J293="","",SUMIFS('Hours Log'!$D:$D,'Hours Log'!$A:$A,"&gt;="&amp;$J293,'Hours Log'!$A:$A,"&lt;"&amp;$J293+7))</f>
        <v/>
      </c>
      <c r="E293" t="str">
        <f t="shared" si="8"/>
        <v/>
      </c>
      <c r="F293" t="str">
        <f t="shared" si="9"/>
        <v/>
      </c>
      <c r="G293" t="str">
        <f>IF($J293="","",SUMIFS('Hours Log'!$E:$E,'Hours Log'!$A:$A,"&gt;="&amp;$J293,'Hours Log'!$A:$A,"&lt;"&amp;$J293+7))</f>
        <v/>
      </c>
      <c r="J293" t="str">
        <f>IF(COUNT('Hours Log'!$A$4:$A$5000)=0,"",IF(MIN('Hours Log'!$A$4:$A$5000)+7*(ROW()-10)&gt;MAX('Hours Log'!$A$4:$A$5000),"",MIN('Hours Log'!$A$4:$A$5000)+7*(ROW()-10)))</f>
        <v/>
      </c>
    </row>
    <row r="294" spans="1:10" x14ac:dyDescent="0.25">
      <c r="A294" t="str">
        <f>IF($J294="","",YEAR($J294-WEEKDAY($J294,2)+4)&amp;"-W"&amp;TEXT(_xludf.ISOWEEKNUM($J294),"00"))</f>
        <v/>
      </c>
      <c r="B294"/>
      <c r="C294" t="str">
        <f>IF($J294="","",SUMIFS('Hours Log'!$C:$C,'Hours Log'!$A:$A,"&gt;="&amp;$J294,'Hours Log'!$A:$A,"&lt;"&amp;$J294+7)+SUMIFS('Hours Log'!$D:$D,'Hours Log'!$A:$A,"&gt;="&amp;$J294,'Hours Log'!$A:$A,"&lt;"&amp;$J294+7))</f>
        <v/>
      </c>
      <c r="D294" t="str">
        <f>IF($J294="","",SUMIFS('Hours Log'!$D:$D,'Hours Log'!$A:$A,"&gt;="&amp;$J294,'Hours Log'!$A:$A,"&lt;"&amp;$J294+7))</f>
        <v/>
      </c>
      <c r="E294" t="str">
        <f t="shared" si="8"/>
        <v/>
      </c>
      <c r="F294" t="str">
        <f t="shared" si="9"/>
        <v/>
      </c>
      <c r="G294" t="str">
        <f>IF($J294="","",SUMIFS('Hours Log'!$E:$E,'Hours Log'!$A:$A,"&gt;="&amp;$J294,'Hours Log'!$A:$A,"&lt;"&amp;$J294+7))</f>
        <v/>
      </c>
      <c r="J294" t="str">
        <f>IF(COUNT('Hours Log'!$A$4:$A$5000)=0,"",IF(MIN('Hours Log'!$A$4:$A$5000)+7*(ROW()-10)&gt;MAX('Hours Log'!$A$4:$A$5000),"",MIN('Hours Log'!$A$4:$A$5000)+7*(ROW()-10)))</f>
        <v/>
      </c>
    </row>
    <row r="295" spans="1:10" x14ac:dyDescent="0.25">
      <c r="A295" t="str">
        <f>IF($J295="","",YEAR($J295-WEEKDAY($J295,2)+4)&amp;"-W"&amp;TEXT(_xludf.ISOWEEKNUM($J295),"00"))</f>
        <v/>
      </c>
      <c r="B295"/>
      <c r="C295" t="str">
        <f>IF($J295="","",SUMIFS('Hours Log'!$C:$C,'Hours Log'!$A:$A,"&gt;="&amp;$J295,'Hours Log'!$A:$A,"&lt;"&amp;$J295+7)+SUMIFS('Hours Log'!$D:$D,'Hours Log'!$A:$A,"&gt;="&amp;$J295,'Hours Log'!$A:$A,"&lt;"&amp;$J295+7))</f>
        <v/>
      </c>
      <c r="D295" t="str">
        <f>IF($J295="","",SUMIFS('Hours Log'!$D:$D,'Hours Log'!$A:$A,"&gt;="&amp;$J295,'Hours Log'!$A:$A,"&lt;"&amp;$J295+7))</f>
        <v/>
      </c>
      <c r="E295" t="str">
        <f t="shared" si="8"/>
        <v/>
      </c>
      <c r="F295" t="str">
        <f t="shared" si="9"/>
        <v/>
      </c>
      <c r="G295" t="str">
        <f>IF($J295="","",SUMIFS('Hours Log'!$E:$E,'Hours Log'!$A:$A,"&gt;="&amp;$J295,'Hours Log'!$A:$A,"&lt;"&amp;$J295+7))</f>
        <v/>
      </c>
      <c r="J295" t="str">
        <f>IF(COUNT('Hours Log'!$A$4:$A$5000)=0,"",IF(MIN('Hours Log'!$A$4:$A$5000)+7*(ROW()-10)&gt;MAX('Hours Log'!$A$4:$A$5000),"",MIN('Hours Log'!$A$4:$A$5000)+7*(ROW()-10)))</f>
        <v/>
      </c>
    </row>
    <row r="296" spans="1:10" x14ac:dyDescent="0.25">
      <c r="A296" t="str">
        <f>IF($J296="","",YEAR($J296-WEEKDAY($J296,2)+4)&amp;"-W"&amp;TEXT(_xludf.ISOWEEKNUM($J296),"00"))</f>
        <v/>
      </c>
      <c r="B296"/>
      <c r="C296" t="str">
        <f>IF($J296="","",SUMIFS('Hours Log'!$C:$C,'Hours Log'!$A:$A,"&gt;="&amp;$J296,'Hours Log'!$A:$A,"&lt;"&amp;$J296+7)+SUMIFS('Hours Log'!$D:$D,'Hours Log'!$A:$A,"&gt;="&amp;$J296,'Hours Log'!$A:$A,"&lt;"&amp;$J296+7))</f>
        <v/>
      </c>
      <c r="D296" t="str">
        <f>IF($J296="","",SUMIFS('Hours Log'!$D:$D,'Hours Log'!$A:$A,"&gt;="&amp;$J296,'Hours Log'!$A:$A,"&lt;"&amp;$J296+7))</f>
        <v/>
      </c>
      <c r="E296" t="str">
        <f t="shared" si="8"/>
        <v/>
      </c>
      <c r="F296" t="str">
        <f t="shared" si="9"/>
        <v/>
      </c>
      <c r="G296" t="str">
        <f>IF($J296="","",SUMIFS('Hours Log'!$E:$E,'Hours Log'!$A:$A,"&gt;="&amp;$J296,'Hours Log'!$A:$A,"&lt;"&amp;$J296+7))</f>
        <v/>
      </c>
      <c r="J296" t="str">
        <f>IF(COUNT('Hours Log'!$A$4:$A$5000)=0,"",IF(MIN('Hours Log'!$A$4:$A$5000)+7*(ROW()-10)&gt;MAX('Hours Log'!$A$4:$A$5000),"",MIN('Hours Log'!$A$4:$A$5000)+7*(ROW()-10)))</f>
        <v/>
      </c>
    </row>
    <row r="297" spans="1:10" x14ac:dyDescent="0.25">
      <c r="A297" t="str">
        <f>IF($J297="","",YEAR($J297-WEEKDAY($J297,2)+4)&amp;"-W"&amp;TEXT(_xludf.ISOWEEKNUM($J297),"00"))</f>
        <v/>
      </c>
      <c r="B297"/>
      <c r="C297" t="str">
        <f>IF($J297="","",SUMIFS('Hours Log'!$C:$C,'Hours Log'!$A:$A,"&gt;="&amp;$J297,'Hours Log'!$A:$A,"&lt;"&amp;$J297+7)+SUMIFS('Hours Log'!$D:$D,'Hours Log'!$A:$A,"&gt;="&amp;$J297,'Hours Log'!$A:$A,"&lt;"&amp;$J297+7))</f>
        <v/>
      </c>
      <c r="D297" t="str">
        <f>IF($J297="","",SUMIFS('Hours Log'!$D:$D,'Hours Log'!$A:$A,"&gt;="&amp;$J297,'Hours Log'!$A:$A,"&lt;"&amp;$J297+7))</f>
        <v/>
      </c>
      <c r="E297" t="str">
        <f t="shared" si="8"/>
        <v/>
      </c>
      <c r="F297" t="str">
        <f t="shared" si="9"/>
        <v/>
      </c>
      <c r="G297" t="str">
        <f>IF($J297="","",SUMIFS('Hours Log'!$E:$E,'Hours Log'!$A:$A,"&gt;="&amp;$J297,'Hours Log'!$A:$A,"&lt;"&amp;$J297+7))</f>
        <v/>
      </c>
      <c r="J297" t="str">
        <f>IF(COUNT('Hours Log'!$A$4:$A$5000)=0,"",IF(MIN('Hours Log'!$A$4:$A$5000)+7*(ROW()-10)&gt;MAX('Hours Log'!$A$4:$A$5000),"",MIN('Hours Log'!$A$4:$A$5000)+7*(ROW()-10)))</f>
        <v/>
      </c>
    </row>
    <row r="298" spans="1:10" x14ac:dyDescent="0.25">
      <c r="A298" t="str">
        <f>IF($J298="","",YEAR($J298-WEEKDAY($J298,2)+4)&amp;"-W"&amp;TEXT(_xludf.ISOWEEKNUM($J298),"00"))</f>
        <v/>
      </c>
      <c r="B298"/>
      <c r="C298" t="str">
        <f>IF($J298="","",SUMIFS('Hours Log'!$C:$C,'Hours Log'!$A:$A,"&gt;="&amp;$J298,'Hours Log'!$A:$A,"&lt;"&amp;$J298+7)+SUMIFS('Hours Log'!$D:$D,'Hours Log'!$A:$A,"&gt;="&amp;$J298,'Hours Log'!$A:$A,"&lt;"&amp;$J298+7))</f>
        <v/>
      </c>
      <c r="D298" t="str">
        <f>IF($J298="","",SUMIFS('Hours Log'!$D:$D,'Hours Log'!$A:$A,"&gt;="&amp;$J298,'Hours Log'!$A:$A,"&lt;"&amp;$J298+7))</f>
        <v/>
      </c>
      <c r="E298" t="str">
        <f t="shared" si="8"/>
        <v/>
      </c>
      <c r="F298" t="str">
        <f t="shared" si="9"/>
        <v/>
      </c>
      <c r="G298" t="str">
        <f>IF($J298="","",SUMIFS('Hours Log'!$E:$E,'Hours Log'!$A:$A,"&gt;="&amp;$J298,'Hours Log'!$A:$A,"&lt;"&amp;$J298+7))</f>
        <v/>
      </c>
      <c r="J298" t="str">
        <f>IF(COUNT('Hours Log'!$A$4:$A$5000)=0,"",IF(MIN('Hours Log'!$A$4:$A$5000)+7*(ROW()-10)&gt;MAX('Hours Log'!$A$4:$A$5000),"",MIN('Hours Log'!$A$4:$A$5000)+7*(ROW()-10)))</f>
        <v/>
      </c>
    </row>
    <row r="299" spans="1:10" x14ac:dyDescent="0.25">
      <c r="A299" t="str">
        <f>IF($J299="","",YEAR($J299-WEEKDAY($J299,2)+4)&amp;"-W"&amp;TEXT(_xludf.ISOWEEKNUM($J299),"00"))</f>
        <v/>
      </c>
      <c r="B299"/>
      <c r="C299" t="str">
        <f>IF($J299="","",SUMIFS('Hours Log'!$C:$C,'Hours Log'!$A:$A,"&gt;="&amp;$J299,'Hours Log'!$A:$A,"&lt;"&amp;$J299+7)+SUMIFS('Hours Log'!$D:$D,'Hours Log'!$A:$A,"&gt;="&amp;$J299,'Hours Log'!$A:$A,"&lt;"&amp;$J299+7))</f>
        <v/>
      </c>
      <c r="D299" t="str">
        <f>IF($J299="","",SUMIFS('Hours Log'!$D:$D,'Hours Log'!$A:$A,"&gt;="&amp;$J299,'Hours Log'!$A:$A,"&lt;"&amp;$J299+7))</f>
        <v/>
      </c>
      <c r="E299" t="str">
        <f t="shared" si="8"/>
        <v/>
      </c>
      <c r="F299" t="str">
        <f t="shared" si="9"/>
        <v/>
      </c>
      <c r="G299" t="str">
        <f>IF($J299="","",SUMIFS('Hours Log'!$E:$E,'Hours Log'!$A:$A,"&gt;="&amp;$J299,'Hours Log'!$A:$A,"&lt;"&amp;$J299+7))</f>
        <v/>
      </c>
      <c r="J299" t="str">
        <f>IF(COUNT('Hours Log'!$A$4:$A$5000)=0,"",IF(MIN('Hours Log'!$A$4:$A$5000)+7*(ROW()-10)&gt;MAX('Hours Log'!$A$4:$A$5000),"",MIN('Hours Log'!$A$4:$A$5000)+7*(ROW()-10)))</f>
        <v/>
      </c>
    </row>
    <row r="300" spans="1:10" x14ac:dyDescent="0.25">
      <c r="A300" t="str">
        <f>IF($J300="","",YEAR($J300-WEEKDAY($J300,2)+4)&amp;"-W"&amp;TEXT(_xludf.ISOWEEKNUM($J300),"00"))</f>
        <v/>
      </c>
      <c r="B300"/>
      <c r="C300" t="str">
        <f>IF($J300="","",SUMIFS('Hours Log'!$C:$C,'Hours Log'!$A:$A,"&gt;="&amp;$J300,'Hours Log'!$A:$A,"&lt;"&amp;$J300+7)+SUMIFS('Hours Log'!$D:$D,'Hours Log'!$A:$A,"&gt;="&amp;$J300,'Hours Log'!$A:$A,"&lt;"&amp;$J300+7))</f>
        <v/>
      </c>
      <c r="D300" t="str">
        <f>IF($J300="","",SUMIFS('Hours Log'!$D:$D,'Hours Log'!$A:$A,"&gt;="&amp;$J300,'Hours Log'!$A:$A,"&lt;"&amp;$J300+7))</f>
        <v/>
      </c>
      <c r="E300" t="str">
        <f t="shared" si="8"/>
        <v/>
      </c>
      <c r="F300" t="str">
        <f t="shared" si="9"/>
        <v/>
      </c>
      <c r="G300" t="str">
        <f>IF($J300="","",SUMIFS('Hours Log'!$E:$E,'Hours Log'!$A:$A,"&gt;="&amp;$J300,'Hours Log'!$A:$A,"&lt;"&amp;$J300+7))</f>
        <v/>
      </c>
      <c r="J300" t="str">
        <f>IF(COUNT('Hours Log'!$A$4:$A$5000)=0,"",IF(MIN('Hours Log'!$A$4:$A$5000)+7*(ROW()-10)&gt;MAX('Hours Log'!$A$4:$A$5000),"",MIN('Hours Log'!$A$4:$A$5000)+7*(ROW()-10)))</f>
        <v/>
      </c>
    </row>
    <row r="301" spans="1:10" x14ac:dyDescent="0.25">
      <c r="A301" t="str">
        <f>IF($J301="","",YEAR($J301-WEEKDAY($J301,2)+4)&amp;"-W"&amp;TEXT(_xludf.ISOWEEKNUM($J301),"00"))</f>
        <v/>
      </c>
      <c r="B301"/>
      <c r="C301" t="str">
        <f>IF($J301="","",SUMIFS('Hours Log'!$C:$C,'Hours Log'!$A:$A,"&gt;="&amp;$J301,'Hours Log'!$A:$A,"&lt;"&amp;$J301+7)+SUMIFS('Hours Log'!$D:$D,'Hours Log'!$A:$A,"&gt;="&amp;$J301,'Hours Log'!$A:$A,"&lt;"&amp;$J301+7))</f>
        <v/>
      </c>
      <c r="D301" t="str">
        <f>IF($J301="","",SUMIFS('Hours Log'!$D:$D,'Hours Log'!$A:$A,"&gt;="&amp;$J301,'Hours Log'!$A:$A,"&lt;"&amp;$J301+7))</f>
        <v/>
      </c>
      <c r="E301" t="str">
        <f t="shared" si="8"/>
        <v/>
      </c>
      <c r="F301" t="str">
        <f t="shared" si="9"/>
        <v/>
      </c>
      <c r="G301" t="str">
        <f>IF($J301="","",SUMIFS('Hours Log'!$E:$E,'Hours Log'!$A:$A,"&gt;="&amp;$J301,'Hours Log'!$A:$A,"&lt;"&amp;$J301+7))</f>
        <v/>
      </c>
      <c r="J301" t="str">
        <f>IF(COUNT('Hours Log'!$A$4:$A$5000)=0,"",IF(MIN('Hours Log'!$A$4:$A$5000)+7*(ROW()-10)&gt;MAX('Hours Log'!$A$4:$A$5000),"",MIN('Hours Log'!$A$4:$A$5000)+7*(ROW()-10)))</f>
        <v/>
      </c>
    </row>
    <row r="302" spans="1:10" x14ac:dyDescent="0.25">
      <c r="A302" t="str">
        <f>IF($J302="","",YEAR($J302-WEEKDAY($J302,2)+4)&amp;"-W"&amp;TEXT(_xludf.ISOWEEKNUM($J302),"00"))</f>
        <v/>
      </c>
      <c r="B302"/>
      <c r="C302" t="str">
        <f>IF($J302="","",SUMIFS('Hours Log'!$C:$C,'Hours Log'!$A:$A,"&gt;="&amp;$J302,'Hours Log'!$A:$A,"&lt;"&amp;$J302+7)+SUMIFS('Hours Log'!$D:$D,'Hours Log'!$A:$A,"&gt;="&amp;$J302,'Hours Log'!$A:$A,"&lt;"&amp;$J302+7))</f>
        <v/>
      </c>
      <c r="D302" t="str">
        <f>IF($J302="","",SUMIFS('Hours Log'!$D:$D,'Hours Log'!$A:$A,"&gt;="&amp;$J302,'Hours Log'!$A:$A,"&lt;"&amp;$J302+7))</f>
        <v/>
      </c>
      <c r="E302" t="str">
        <f t="shared" si="8"/>
        <v/>
      </c>
      <c r="F302" t="str">
        <f t="shared" si="9"/>
        <v/>
      </c>
      <c r="G302" t="str">
        <f>IF($J302="","",SUMIFS('Hours Log'!$E:$E,'Hours Log'!$A:$A,"&gt;="&amp;$J302,'Hours Log'!$A:$A,"&lt;"&amp;$J302+7))</f>
        <v/>
      </c>
      <c r="J302" t="str">
        <f>IF(COUNT('Hours Log'!$A$4:$A$5000)=0,"",IF(MIN('Hours Log'!$A$4:$A$5000)+7*(ROW()-10)&gt;MAX('Hours Log'!$A$4:$A$5000),"",MIN('Hours Log'!$A$4:$A$5000)+7*(ROW()-10)))</f>
        <v/>
      </c>
    </row>
    <row r="303" spans="1:10" x14ac:dyDescent="0.25">
      <c r="A303" t="str">
        <f>IF($J303="","",YEAR($J303-WEEKDAY($J303,2)+4)&amp;"-W"&amp;TEXT(_xludf.ISOWEEKNUM($J303),"00"))</f>
        <v/>
      </c>
      <c r="B303"/>
      <c r="C303" t="str">
        <f>IF($J303="","",SUMIFS('Hours Log'!$C:$C,'Hours Log'!$A:$A,"&gt;="&amp;$J303,'Hours Log'!$A:$A,"&lt;"&amp;$J303+7)+SUMIFS('Hours Log'!$D:$D,'Hours Log'!$A:$A,"&gt;="&amp;$J303,'Hours Log'!$A:$A,"&lt;"&amp;$J303+7))</f>
        <v/>
      </c>
      <c r="D303" t="str">
        <f>IF($J303="","",SUMIFS('Hours Log'!$D:$D,'Hours Log'!$A:$A,"&gt;="&amp;$J303,'Hours Log'!$A:$A,"&lt;"&amp;$J303+7))</f>
        <v/>
      </c>
      <c r="E303" t="str">
        <f t="shared" si="8"/>
        <v/>
      </c>
      <c r="F303" t="str">
        <f t="shared" si="9"/>
        <v/>
      </c>
      <c r="G303" t="str">
        <f>IF($J303="","",SUMIFS('Hours Log'!$E:$E,'Hours Log'!$A:$A,"&gt;="&amp;$J303,'Hours Log'!$A:$A,"&lt;"&amp;$J303+7))</f>
        <v/>
      </c>
      <c r="J303" t="str">
        <f>IF(COUNT('Hours Log'!$A$4:$A$5000)=0,"",IF(MIN('Hours Log'!$A$4:$A$5000)+7*(ROW()-10)&gt;MAX('Hours Log'!$A$4:$A$5000),"",MIN('Hours Log'!$A$4:$A$5000)+7*(ROW()-10)))</f>
        <v/>
      </c>
    </row>
    <row r="304" spans="1:10" x14ac:dyDescent="0.25">
      <c r="A304" t="str">
        <f>IF($J304="","",YEAR($J304-WEEKDAY($J304,2)+4)&amp;"-W"&amp;TEXT(_xludf.ISOWEEKNUM($J304),"00"))</f>
        <v/>
      </c>
      <c r="B304"/>
      <c r="C304" t="str">
        <f>IF($J304="","",SUMIFS('Hours Log'!$C:$C,'Hours Log'!$A:$A,"&gt;="&amp;$J304,'Hours Log'!$A:$A,"&lt;"&amp;$J304+7)+SUMIFS('Hours Log'!$D:$D,'Hours Log'!$A:$A,"&gt;="&amp;$J304,'Hours Log'!$A:$A,"&lt;"&amp;$J304+7))</f>
        <v/>
      </c>
      <c r="D304" t="str">
        <f>IF($J304="","",SUMIFS('Hours Log'!$D:$D,'Hours Log'!$A:$A,"&gt;="&amp;$J304,'Hours Log'!$A:$A,"&lt;"&amp;$J304+7))</f>
        <v/>
      </c>
      <c r="E304" t="str">
        <f t="shared" si="8"/>
        <v/>
      </c>
      <c r="F304" t="str">
        <f t="shared" si="9"/>
        <v/>
      </c>
      <c r="G304" t="str">
        <f>IF($J304="","",SUMIFS('Hours Log'!$E:$E,'Hours Log'!$A:$A,"&gt;="&amp;$J304,'Hours Log'!$A:$A,"&lt;"&amp;$J304+7))</f>
        <v/>
      </c>
      <c r="J304" t="str">
        <f>IF(COUNT('Hours Log'!$A$4:$A$5000)=0,"",IF(MIN('Hours Log'!$A$4:$A$5000)+7*(ROW()-10)&gt;MAX('Hours Log'!$A$4:$A$5000),"",MIN('Hours Log'!$A$4:$A$5000)+7*(ROW()-10)))</f>
        <v/>
      </c>
    </row>
    <row r="305" spans="1:10" x14ac:dyDescent="0.25">
      <c r="A305" t="str">
        <f>IF($J305="","",YEAR($J305-WEEKDAY($J305,2)+4)&amp;"-W"&amp;TEXT(_xludf.ISOWEEKNUM($J305),"00"))</f>
        <v/>
      </c>
      <c r="B305"/>
      <c r="C305" t="str">
        <f>IF($J305="","",SUMIFS('Hours Log'!$C:$C,'Hours Log'!$A:$A,"&gt;="&amp;$J305,'Hours Log'!$A:$A,"&lt;"&amp;$J305+7)+SUMIFS('Hours Log'!$D:$D,'Hours Log'!$A:$A,"&gt;="&amp;$J305,'Hours Log'!$A:$A,"&lt;"&amp;$J305+7))</f>
        <v/>
      </c>
      <c r="D305" t="str">
        <f>IF($J305="","",SUMIFS('Hours Log'!$D:$D,'Hours Log'!$A:$A,"&gt;="&amp;$J305,'Hours Log'!$A:$A,"&lt;"&amp;$J305+7))</f>
        <v/>
      </c>
      <c r="E305" t="str">
        <f t="shared" si="8"/>
        <v/>
      </c>
      <c r="F305" t="str">
        <f t="shared" si="9"/>
        <v/>
      </c>
      <c r="G305" t="str">
        <f>IF($J305="","",SUMIFS('Hours Log'!$E:$E,'Hours Log'!$A:$A,"&gt;="&amp;$J305,'Hours Log'!$A:$A,"&lt;"&amp;$J305+7))</f>
        <v/>
      </c>
      <c r="J305" t="str">
        <f>IF(COUNT('Hours Log'!$A$4:$A$5000)=0,"",IF(MIN('Hours Log'!$A$4:$A$5000)+7*(ROW()-10)&gt;MAX('Hours Log'!$A$4:$A$5000),"",MIN('Hours Log'!$A$4:$A$5000)+7*(ROW()-10)))</f>
        <v/>
      </c>
    </row>
    <row r="306" spans="1:10" x14ac:dyDescent="0.25">
      <c r="A306" t="str">
        <f>IF($J306="","",YEAR($J306-WEEKDAY($J306,2)+4)&amp;"-W"&amp;TEXT(_xludf.ISOWEEKNUM($J306),"00"))</f>
        <v/>
      </c>
      <c r="B306"/>
      <c r="C306" t="str">
        <f>IF($J306="","",SUMIFS('Hours Log'!$C:$C,'Hours Log'!$A:$A,"&gt;="&amp;$J306,'Hours Log'!$A:$A,"&lt;"&amp;$J306+7)+SUMIFS('Hours Log'!$D:$D,'Hours Log'!$A:$A,"&gt;="&amp;$J306,'Hours Log'!$A:$A,"&lt;"&amp;$J306+7))</f>
        <v/>
      </c>
      <c r="D306" t="str">
        <f>IF($J306="","",SUMIFS('Hours Log'!$D:$D,'Hours Log'!$A:$A,"&gt;="&amp;$J306,'Hours Log'!$A:$A,"&lt;"&amp;$J306+7))</f>
        <v/>
      </c>
      <c r="E306" t="str">
        <f t="shared" si="8"/>
        <v/>
      </c>
      <c r="F306" t="str">
        <f t="shared" si="9"/>
        <v/>
      </c>
      <c r="G306" t="str">
        <f>IF($J306="","",SUMIFS('Hours Log'!$E:$E,'Hours Log'!$A:$A,"&gt;="&amp;$J306,'Hours Log'!$A:$A,"&lt;"&amp;$J306+7))</f>
        <v/>
      </c>
      <c r="J306" t="str">
        <f>IF(COUNT('Hours Log'!$A$4:$A$5000)=0,"",IF(MIN('Hours Log'!$A$4:$A$5000)+7*(ROW()-10)&gt;MAX('Hours Log'!$A$4:$A$5000),"",MIN('Hours Log'!$A$4:$A$5000)+7*(ROW()-10)))</f>
        <v/>
      </c>
    </row>
    <row r="307" spans="1:10" x14ac:dyDescent="0.25">
      <c r="A307" t="str">
        <f>IF($J307="","",YEAR($J307-WEEKDAY($J307,2)+4)&amp;"-W"&amp;TEXT(_xludf.ISOWEEKNUM($J307),"00"))</f>
        <v/>
      </c>
      <c r="B307"/>
      <c r="C307" t="str">
        <f>IF($J307="","",SUMIFS('Hours Log'!$C:$C,'Hours Log'!$A:$A,"&gt;="&amp;$J307,'Hours Log'!$A:$A,"&lt;"&amp;$J307+7)+SUMIFS('Hours Log'!$D:$D,'Hours Log'!$A:$A,"&gt;="&amp;$J307,'Hours Log'!$A:$A,"&lt;"&amp;$J307+7))</f>
        <v/>
      </c>
      <c r="D307" t="str">
        <f>IF($J307="","",SUMIFS('Hours Log'!$D:$D,'Hours Log'!$A:$A,"&gt;="&amp;$J307,'Hours Log'!$A:$A,"&lt;"&amp;$J307+7))</f>
        <v/>
      </c>
      <c r="E307" t="str">
        <f t="shared" si="8"/>
        <v/>
      </c>
      <c r="F307" t="str">
        <f t="shared" si="9"/>
        <v/>
      </c>
      <c r="G307" t="str">
        <f>IF($J307="","",SUMIFS('Hours Log'!$E:$E,'Hours Log'!$A:$A,"&gt;="&amp;$J307,'Hours Log'!$A:$A,"&lt;"&amp;$J307+7))</f>
        <v/>
      </c>
      <c r="J307" t="str">
        <f>IF(COUNT('Hours Log'!$A$4:$A$5000)=0,"",IF(MIN('Hours Log'!$A$4:$A$5000)+7*(ROW()-10)&gt;MAX('Hours Log'!$A$4:$A$5000),"",MIN('Hours Log'!$A$4:$A$5000)+7*(ROW()-10)))</f>
        <v/>
      </c>
    </row>
    <row r="308" spans="1:10" x14ac:dyDescent="0.25">
      <c r="A308" t="str">
        <f>IF($J308="","",YEAR($J308-WEEKDAY($J308,2)+4)&amp;"-W"&amp;TEXT(_xludf.ISOWEEKNUM($J308),"00"))</f>
        <v/>
      </c>
      <c r="B308"/>
      <c r="C308" t="str">
        <f>IF($J308="","",SUMIFS('Hours Log'!$C:$C,'Hours Log'!$A:$A,"&gt;="&amp;$J308,'Hours Log'!$A:$A,"&lt;"&amp;$J308+7)+SUMIFS('Hours Log'!$D:$D,'Hours Log'!$A:$A,"&gt;="&amp;$J308,'Hours Log'!$A:$A,"&lt;"&amp;$J308+7))</f>
        <v/>
      </c>
      <c r="D308" t="str">
        <f>IF($J308="","",SUMIFS('Hours Log'!$D:$D,'Hours Log'!$A:$A,"&gt;="&amp;$J308,'Hours Log'!$A:$A,"&lt;"&amp;$J308+7))</f>
        <v/>
      </c>
      <c r="E308" t="str">
        <f t="shared" si="8"/>
        <v/>
      </c>
      <c r="F308" t="str">
        <f t="shared" si="9"/>
        <v/>
      </c>
      <c r="G308" t="str">
        <f>IF($J308="","",SUMIFS('Hours Log'!$E:$E,'Hours Log'!$A:$A,"&gt;="&amp;$J308,'Hours Log'!$A:$A,"&lt;"&amp;$J308+7))</f>
        <v/>
      </c>
      <c r="J308" t="str">
        <f>IF(COUNT('Hours Log'!$A$4:$A$5000)=0,"",IF(MIN('Hours Log'!$A$4:$A$5000)+7*(ROW()-10)&gt;MAX('Hours Log'!$A$4:$A$5000),"",MIN('Hours Log'!$A$4:$A$5000)+7*(ROW()-10)))</f>
        <v/>
      </c>
    </row>
    <row r="309" spans="1:10" x14ac:dyDescent="0.25">
      <c r="A309" t="str">
        <f>IF($J309="","",YEAR($J309-WEEKDAY($J309,2)+4)&amp;"-W"&amp;TEXT(_xludf.ISOWEEKNUM($J309),"00"))</f>
        <v/>
      </c>
      <c r="B309"/>
      <c r="C309" t="str">
        <f>IF($J309="","",SUMIFS('Hours Log'!$C:$C,'Hours Log'!$A:$A,"&gt;="&amp;$J309,'Hours Log'!$A:$A,"&lt;"&amp;$J309+7)+SUMIFS('Hours Log'!$D:$D,'Hours Log'!$A:$A,"&gt;="&amp;$J309,'Hours Log'!$A:$A,"&lt;"&amp;$J309+7))</f>
        <v/>
      </c>
      <c r="D309" t="str">
        <f>IF($J309="","",SUMIFS('Hours Log'!$D:$D,'Hours Log'!$A:$A,"&gt;="&amp;$J309,'Hours Log'!$A:$A,"&lt;"&amp;$J309+7))</f>
        <v/>
      </c>
      <c r="E309" t="str">
        <f t="shared" si="8"/>
        <v/>
      </c>
      <c r="F309" t="str">
        <f t="shared" si="9"/>
        <v/>
      </c>
      <c r="G309" t="str">
        <f>IF($J309="","",SUMIFS('Hours Log'!$E:$E,'Hours Log'!$A:$A,"&gt;="&amp;$J309,'Hours Log'!$A:$A,"&lt;"&amp;$J309+7))</f>
        <v/>
      </c>
      <c r="J309" t="str">
        <f>IF(COUNT('Hours Log'!$A$4:$A$5000)=0,"",IF(MIN('Hours Log'!$A$4:$A$5000)+7*(ROW()-10)&gt;MAX('Hours Log'!$A$4:$A$5000),"",MIN('Hours Log'!$A$4:$A$5000)+7*(ROW()-10)))</f>
        <v/>
      </c>
    </row>
    <row r="310" spans="1:10" x14ac:dyDescent="0.25">
      <c r="A310" t="str">
        <f>IF($J310="","",YEAR($J310-WEEKDAY($J310,2)+4)&amp;"-W"&amp;TEXT(_xludf.ISOWEEKNUM($J310),"00"))</f>
        <v/>
      </c>
      <c r="B310"/>
      <c r="C310" t="str">
        <f>IF($J310="","",SUMIFS('Hours Log'!$C:$C,'Hours Log'!$A:$A,"&gt;="&amp;$J310,'Hours Log'!$A:$A,"&lt;"&amp;$J310+7)+SUMIFS('Hours Log'!$D:$D,'Hours Log'!$A:$A,"&gt;="&amp;$J310,'Hours Log'!$A:$A,"&lt;"&amp;$J310+7))</f>
        <v/>
      </c>
      <c r="D310" t="str">
        <f>IF($J310="","",SUMIFS('Hours Log'!$D:$D,'Hours Log'!$A:$A,"&gt;="&amp;$J310,'Hours Log'!$A:$A,"&lt;"&amp;$J310+7))</f>
        <v/>
      </c>
      <c r="E310" t="str">
        <f t="shared" si="8"/>
        <v/>
      </c>
      <c r="F310" t="str">
        <f t="shared" si="9"/>
        <v/>
      </c>
      <c r="G310" t="str">
        <f>IF($J310="","",SUMIFS('Hours Log'!$E:$E,'Hours Log'!$A:$A,"&gt;="&amp;$J310,'Hours Log'!$A:$A,"&lt;"&amp;$J310+7))</f>
        <v/>
      </c>
      <c r="J310" t="str">
        <f>IF(COUNT('Hours Log'!$A$4:$A$5000)=0,"",IF(MIN('Hours Log'!$A$4:$A$5000)+7*(ROW()-10)&gt;MAX('Hours Log'!$A$4:$A$5000),"",MIN('Hours Log'!$A$4:$A$5000)+7*(ROW()-10)))</f>
        <v/>
      </c>
    </row>
    <row r="311" spans="1:10" x14ac:dyDescent="0.25">
      <c r="A311" t="str">
        <f>IF($J311="","",YEAR($J311-WEEKDAY($J311,2)+4)&amp;"-W"&amp;TEXT(_xludf.ISOWEEKNUM($J311),"00"))</f>
        <v/>
      </c>
      <c r="B311"/>
      <c r="C311" t="str">
        <f>IF($J311="","",SUMIFS('Hours Log'!$C:$C,'Hours Log'!$A:$A,"&gt;="&amp;$J311,'Hours Log'!$A:$A,"&lt;"&amp;$J311+7)+SUMIFS('Hours Log'!$D:$D,'Hours Log'!$A:$A,"&gt;="&amp;$J311,'Hours Log'!$A:$A,"&lt;"&amp;$J311+7))</f>
        <v/>
      </c>
      <c r="D311" t="str">
        <f>IF($J311="","",SUMIFS('Hours Log'!$D:$D,'Hours Log'!$A:$A,"&gt;="&amp;$J311,'Hours Log'!$A:$A,"&lt;"&amp;$J311+7))</f>
        <v/>
      </c>
      <c r="E311" t="str">
        <f t="shared" si="8"/>
        <v/>
      </c>
      <c r="F311" t="str">
        <f t="shared" si="9"/>
        <v/>
      </c>
      <c r="G311" t="str">
        <f>IF($J311="","",SUMIFS('Hours Log'!$E:$E,'Hours Log'!$A:$A,"&gt;="&amp;$J311,'Hours Log'!$A:$A,"&lt;"&amp;$J311+7))</f>
        <v/>
      </c>
      <c r="J311" t="str">
        <f>IF(COUNT('Hours Log'!$A$4:$A$5000)=0,"",IF(MIN('Hours Log'!$A$4:$A$5000)+7*(ROW()-10)&gt;MAX('Hours Log'!$A$4:$A$5000),"",MIN('Hours Log'!$A$4:$A$5000)+7*(ROW()-10)))</f>
        <v/>
      </c>
    </row>
    <row r="312" spans="1:10" x14ac:dyDescent="0.25">
      <c r="A312" t="str">
        <f>IF($J312="","",YEAR($J312-WEEKDAY($J312,2)+4)&amp;"-W"&amp;TEXT(_xludf.ISOWEEKNUM($J312),"00"))</f>
        <v/>
      </c>
      <c r="B312"/>
      <c r="C312" t="str">
        <f>IF($J312="","",SUMIFS('Hours Log'!$C:$C,'Hours Log'!$A:$A,"&gt;="&amp;$J312,'Hours Log'!$A:$A,"&lt;"&amp;$J312+7)+SUMIFS('Hours Log'!$D:$D,'Hours Log'!$A:$A,"&gt;="&amp;$J312,'Hours Log'!$A:$A,"&lt;"&amp;$J312+7))</f>
        <v/>
      </c>
      <c r="D312" t="str">
        <f>IF($J312="","",SUMIFS('Hours Log'!$D:$D,'Hours Log'!$A:$A,"&gt;="&amp;$J312,'Hours Log'!$A:$A,"&lt;"&amp;$J312+7))</f>
        <v/>
      </c>
      <c r="E312" t="str">
        <f t="shared" si="8"/>
        <v/>
      </c>
      <c r="F312" t="str">
        <f t="shared" si="9"/>
        <v/>
      </c>
      <c r="G312" t="str">
        <f>IF($J312="","",SUMIFS('Hours Log'!$E:$E,'Hours Log'!$A:$A,"&gt;="&amp;$J312,'Hours Log'!$A:$A,"&lt;"&amp;$J312+7))</f>
        <v/>
      </c>
      <c r="J312" t="str">
        <f>IF(COUNT('Hours Log'!$A$4:$A$5000)=0,"",IF(MIN('Hours Log'!$A$4:$A$5000)+7*(ROW()-10)&gt;MAX('Hours Log'!$A$4:$A$5000),"",MIN('Hours Log'!$A$4:$A$5000)+7*(ROW()-10)))</f>
        <v/>
      </c>
    </row>
    <row r="313" spans="1:10" x14ac:dyDescent="0.25">
      <c r="A313" t="str">
        <f>IF($J313="","",YEAR($J313-WEEKDAY($J313,2)+4)&amp;"-W"&amp;TEXT(_xludf.ISOWEEKNUM($J313),"00"))</f>
        <v/>
      </c>
      <c r="B313"/>
      <c r="C313" t="str">
        <f>IF($J313="","",SUMIFS('Hours Log'!$C:$C,'Hours Log'!$A:$A,"&gt;="&amp;$J313,'Hours Log'!$A:$A,"&lt;"&amp;$J313+7)+SUMIFS('Hours Log'!$D:$D,'Hours Log'!$A:$A,"&gt;="&amp;$J313,'Hours Log'!$A:$A,"&lt;"&amp;$J313+7))</f>
        <v/>
      </c>
      <c r="D313" t="str">
        <f>IF($J313="","",SUMIFS('Hours Log'!$D:$D,'Hours Log'!$A:$A,"&gt;="&amp;$J313,'Hours Log'!$A:$A,"&lt;"&amp;$J313+7))</f>
        <v/>
      </c>
      <c r="E313" t="str">
        <f t="shared" si="8"/>
        <v/>
      </c>
      <c r="F313" t="str">
        <f t="shared" si="9"/>
        <v/>
      </c>
      <c r="G313" t="str">
        <f>IF($J313="","",SUMIFS('Hours Log'!$E:$E,'Hours Log'!$A:$A,"&gt;="&amp;$J313,'Hours Log'!$A:$A,"&lt;"&amp;$J313+7))</f>
        <v/>
      </c>
      <c r="J313" t="str">
        <f>IF(COUNT('Hours Log'!$A$4:$A$5000)=0,"",IF(MIN('Hours Log'!$A$4:$A$5000)+7*(ROW()-10)&gt;MAX('Hours Log'!$A$4:$A$5000),"",MIN('Hours Log'!$A$4:$A$5000)+7*(ROW()-10)))</f>
        <v/>
      </c>
    </row>
    <row r="314" spans="1:10" x14ac:dyDescent="0.25">
      <c r="A314" t="str">
        <f>IF($J314="","",YEAR($J314-WEEKDAY($J314,2)+4)&amp;"-W"&amp;TEXT(_xludf.ISOWEEKNUM($J314),"00"))</f>
        <v/>
      </c>
      <c r="B314"/>
      <c r="C314" t="str">
        <f>IF($J314="","",SUMIFS('Hours Log'!$C:$C,'Hours Log'!$A:$A,"&gt;="&amp;$J314,'Hours Log'!$A:$A,"&lt;"&amp;$J314+7)+SUMIFS('Hours Log'!$D:$D,'Hours Log'!$A:$A,"&gt;="&amp;$J314,'Hours Log'!$A:$A,"&lt;"&amp;$J314+7))</f>
        <v/>
      </c>
      <c r="D314" t="str">
        <f>IF($J314="","",SUMIFS('Hours Log'!$D:$D,'Hours Log'!$A:$A,"&gt;="&amp;$J314,'Hours Log'!$A:$A,"&lt;"&amp;$J314+7))</f>
        <v/>
      </c>
      <c r="E314" t="str">
        <f t="shared" si="8"/>
        <v/>
      </c>
      <c r="F314" t="str">
        <f t="shared" si="9"/>
        <v/>
      </c>
      <c r="G314" t="str">
        <f>IF($J314="","",SUMIFS('Hours Log'!$E:$E,'Hours Log'!$A:$A,"&gt;="&amp;$J314,'Hours Log'!$A:$A,"&lt;"&amp;$J314+7))</f>
        <v/>
      </c>
      <c r="J314" t="str">
        <f>IF(COUNT('Hours Log'!$A$4:$A$5000)=0,"",IF(MIN('Hours Log'!$A$4:$A$5000)+7*(ROW()-10)&gt;MAX('Hours Log'!$A$4:$A$5000),"",MIN('Hours Log'!$A$4:$A$5000)+7*(ROW()-10)))</f>
        <v/>
      </c>
    </row>
    <row r="315" spans="1:10" x14ac:dyDescent="0.25">
      <c r="A315" t="str">
        <f>IF($J315="","",YEAR($J315-WEEKDAY($J315,2)+4)&amp;"-W"&amp;TEXT(_xludf.ISOWEEKNUM($J315),"00"))</f>
        <v/>
      </c>
      <c r="B315"/>
      <c r="C315" t="str">
        <f>IF($J315="","",SUMIFS('Hours Log'!$C:$C,'Hours Log'!$A:$A,"&gt;="&amp;$J315,'Hours Log'!$A:$A,"&lt;"&amp;$J315+7)+SUMIFS('Hours Log'!$D:$D,'Hours Log'!$A:$A,"&gt;="&amp;$J315,'Hours Log'!$A:$A,"&lt;"&amp;$J315+7))</f>
        <v/>
      </c>
      <c r="D315" t="str">
        <f>IF($J315="","",SUMIFS('Hours Log'!$D:$D,'Hours Log'!$A:$A,"&gt;="&amp;$J315,'Hours Log'!$A:$A,"&lt;"&amp;$J315+7))</f>
        <v/>
      </c>
      <c r="E315" t="str">
        <f t="shared" si="8"/>
        <v/>
      </c>
      <c r="F315" t="str">
        <f t="shared" si="9"/>
        <v/>
      </c>
      <c r="G315" t="str">
        <f>IF($J315="","",SUMIFS('Hours Log'!$E:$E,'Hours Log'!$A:$A,"&gt;="&amp;$J315,'Hours Log'!$A:$A,"&lt;"&amp;$J315+7))</f>
        <v/>
      </c>
      <c r="J315" t="str">
        <f>IF(COUNT('Hours Log'!$A$4:$A$5000)=0,"",IF(MIN('Hours Log'!$A$4:$A$5000)+7*(ROW()-10)&gt;MAX('Hours Log'!$A$4:$A$5000),"",MIN('Hours Log'!$A$4:$A$5000)+7*(ROW()-10)))</f>
        <v/>
      </c>
    </row>
    <row r="316" spans="1:10" x14ac:dyDescent="0.25">
      <c r="A316" t="str">
        <f>IF($J316="","",YEAR($J316-WEEKDAY($J316,2)+4)&amp;"-W"&amp;TEXT(_xludf.ISOWEEKNUM($J316),"00"))</f>
        <v/>
      </c>
      <c r="B316"/>
      <c r="C316" t="str">
        <f>IF($J316="","",SUMIFS('Hours Log'!$C:$C,'Hours Log'!$A:$A,"&gt;="&amp;$J316,'Hours Log'!$A:$A,"&lt;"&amp;$J316+7)+SUMIFS('Hours Log'!$D:$D,'Hours Log'!$A:$A,"&gt;="&amp;$J316,'Hours Log'!$A:$A,"&lt;"&amp;$J316+7))</f>
        <v/>
      </c>
      <c r="D316" t="str">
        <f>IF($J316="","",SUMIFS('Hours Log'!$D:$D,'Hours Log'!$A:$A,"&gt;="&amp;$J316,'Hours Log'!$A:$A,"&lt;"&amp;$J316+7))</f>
        <v/>
      </c>
      <c r="E316" t="str">
        <f t="shared" si="8"/>
        <v/>
      </c>
      <c r="F316" t="str">
        <f t="shared" si="9"/>
        <v/>
      </c>
      <c r="G316" t="str">
        <f>IF($J316="","",SUMIFS('Hours Log'!$E:$E,'Hours Log'!$A:$A,"&gt;="&amp;$J316,'Hours Log'!$A:$A,"&lt;"&amp;$J316+7))</f>
        <v/>
      </c>
      <c r="J316" t="str">
        <f>IF(COUNT('Hours Log'!$A$4:$A$5000)=0,"",IF(MIN('Hours Log'!$A$4:$A$5000)+7*(ROW()-10)&gt;MAX('Hours Log'!$A$4:$A$5000),"",MIN('Hours Log'!$A$4:$A$5000)+7*(ROW()-10)))</f>
        <v/>
      </c>
    </row>
    <row r="317" spans="1:10" x14ac:dyDescent="0.25">
      <c r="A317" t="str">
        <f>IF($J317="","",YEAR($J317-WEEKDAY($J317,2)+4)&amp;"-W"&amp;TEXT(_xludf.ISOWEEKNUM($J317),"00"))</f>
        <v/>
      </c>
      <c r="B317"/>
      <c r="C317" t="str">
        <f>IF($J317="","",SUMIFS('Hours Log'!$C:$C,'Hours Log'!$A:$A,"&gt;="&amp;$J317,'Hours Log'!$A:$A,"&lt;"&amp;$J317+7)+SUMIFS('Hours Log'!$D:$D,'Hours Log'!$A:$A,"&gt;="&amp;$J317,'Hours Log'!$A:$A,"&lt;"&amp;$J317+7))</f>
        <v/>
      </c>
      <c r="D317" t="str">
        <f>IF($J317="","",SUMIFS('Hours Log'!$D:$D,'Hours Log'!$A:$A,"&gt;="&amp;$J317,'Hours Log'!$A:$A,"&lt;"&amp;$J317+7))</f>
        <v/>
      </c>
      <c r="E317" t="str">
        <f t="shared" si="8"/>
        <v/>
      </c>
      <c r="F317" t="str">
        <f t="shared" si="9"/>
        <v/>
      </c>
      <c r="G317" t="str">
        <f>IF($J317="","",SUMIFS('Hours Log'!$E:$E,'Hours Log'!$A:$A,"&gt;="&amp;$J317,'Hours Log'!$A:$A,"&lt;"&amp;$J317+7))</f>
        <v/>
      </c>
      <c r="J317" t="str">
        <f>IF(COUNT('Hours Log'!$A$4:$A$5000)=0,"",IF(MIN('Hours Log'!$A$4:$A$5000)+7*(ROW()-10)&gt;MAX('Hours Log'!$A$4:$A$5000),"",MIN('Hours Log'!$A$4:$A$5000)+7*(ROW()-10)))</f>
        <v/>
      </c>
    </row>
    <row r="318" spans="1:10" x14ac:dyDescent="0.25">
      <c r="A318" t="str">
        <f>IF($J318="","",YEAR($J318-WEEKDAY($J318,2)+4)&amp;"-W"&amp;TEXT(_xludf.ISOWEEKNUM($J318),"00"))</f>
        <v/>
      </c>
      <c r="B318"/>
      <c r="C318" t="str">
        <f>IF($J318="","",SUMIFS('Hours Log'!$C:$C,'Hours Log'!$A:$A,"&gt;="&amp;$J318,'Hours Log'!$A:$A,"&lt;"&amp;$J318+7)+SUMIFS('Hours Log'!$D:$D,'Hours Log'!$A:$A,"&gt;="&amp;$J318,'Hours Log'!$A:$A,"&lt;"&amp;$J318+7))</f>
        <v/>
      </c>
      <c r="D318" t="str">
        <f>IF($J318="","",SUMIFS('Hours Log'!$D:$D,'Hours Log'!$A:$A,"&gt;="&amp;$J318,'Hours Log'!$A:$A,"&lt;"&amp;$J318+7))</f>
        <v/>
      </c>
      <c r="E318" t="str">
        <f t="shared" si="8"/>
        <v/>
      </c>
      <c r="F318" t="str">
        <f t="shared" si="9"/>
        <v/>
      </c>
      <c r="G318" t="str">
        <f>IF($J318="","",SUMIFS('Hours Log'!$E:$E,'Hours Log'!$A:$A,"&gt;="&amp;$J318,'Hours Log'!$A:$A,"&lt;"&amp;$J318+7))</f>
        <v/>
      </c>
      <c r="J318" t="str">
        <f>IF(COUNT('Hours Log'!$A$4:$A$5000)=0,"",IF(MIN('Hours Log'!$A$4:$A$5000)+7*(ROW()-10)&gt;MAX('Hours Log'!$A$4:$A$5000),"",MIN('Hours Log'!$A$4:$A$5000)+7*(ROW()-10)))</f>
        <v/>
      </c>
    </row>
    <row r="319" spans="1:10" x14ac:dyDescent="0.25">
      <c r="A319" t="str">
        <f>IF($J319="","",YEAR($J319-WEEKDAY($J319,2)+4)&amp;"-W"&amp;TEXT(_xludf.ISOWEEKNUM($J319),"00"))</f>
        <v/>
      </c>
      <c r="B319"/>
      <c r="C319" t="str">
        <f>IF($J319="","",SUMIFS('Hours Log'!$C:$C,'Hours Log'!$A:$A,"&gt;="&amp;$J319,'Hours Log'!$A:$A,"&lt;"&amp;$J319+7)+SUMIFS('Hours Log'!$D:$D,'Hours Log'!$A:$A,"&gt;="&amp;$J319,'Hours Log'!$A:$A,"&lt;"&amp;$J319+7))</f>
        <v/>
      </c>
      <c r="D319" t="str">
        <f>IF($J319="","",SUMIFS('Hours Log'!$D:$D,'Hours Log'!$A:$A,"&gt;="&amp;$J319,'Hours Log'!$A:$A,"&lt;"&amp;$J319+7))</f>
        <v/>
      </c>
      <c r="E319" t="str">
        <f t="shared" si="8"/>
        <v/>
      </c>
      <c r="F319" t="str">
        <f t="shared" si="9"/>
        <v/>
      </c>
      <c r="G319" t="str">
        <f>IF($J319="","",SUMIFS('Hours Log'!$E:$E,'Hours Log'!$A:$A,"&gt;="&amp;$J319,'Hours Log'!$A:$A,"&lt;"&amp;$J319+7))</f>
        <v/>
      </c>
      <c r="J319" t="str">
        <f>IF(COUNT('Hours Log'!$A$4:$A$5000)=0,"",IF(MIN('Hours Log'!$A$4:$A$5000)+7*(ROW()-10)&gt;MAX('Hours Log'!$A$4:$A$5000),"",MIN('Hours Log'!$A$4:$A$5000)+7*(ROW()-10)))</f>
        <v/>
      </c>
    </row>
    <row r="320" spans="1:10" x14ac:dyDescent="0.25">
      <c r="A320" t="str">
        <f>IF($J320="","",YEAR($J320-WEEKDAY($J320,2)+4)&amp;"-W"&amp;TEXT(_xludf.ISOWEEKNUM($J320),"00"))</f>
        <v/>
      </c>
      <c r="B320"/>
      <c r="C320" t="str">
        <f>IF($J320="","",SUMIFS('Hours Log'!$C:$C,'Hours Log'!$A:$A,"&gt;="&amp;$J320,'Hours Log'!$A:$A,"&lt;"&amp;$J320+7)+SUMIFS('Hours Log'!$D:$D,'Hours Log'!$A:$A,"&gt;="&amp;$J320,'Hours Log'!$A:$A,"&lt;"&amp;$J320+7))</f>
        <v/>
      </c>
      <c r="D320" t="str">
        <f>IF($J320="","",SUMIFS('Hours Log'!$D:$D,'Hours Log'!$A:$A,"&gt;="&amp;$J320,'Hours Log'!$A:$A,"&lt;"&amp;$J320+7))</f>
        <v/>
      </c>
      <c r="E320" t="str">
        <f t="shared" si="8"/>
        <v/>
      </c>
      <c r="F320" t="str">
        <f t="shared" si="9"/>
        <v/>
      </c>
      <c r="G320" t="str">
        <f>IF($J320="","",SUMIFS('Hours Log'!$E:$E,'Hours Log'!$A:$A,"&gt;="&amp;$J320,'Hours Log'!$A:$A,"&lt;"&amp;$J320+7))</f>
        <v/>
      </c>
      <c r="J320" t="str">
        <f>IF(COUNT('Hours Log'!$A$4:$A$5000)=0,"",IF(MIN('Hours Log'!$A$4:$A$5000)+7*(ROW()-10)&gt;MAX('Hours Log'!$A$4:$A$5000),"",MIN('Hours Log'!$A$4:$A$5000)+7*(ROW()-10)))</f>
        <v/>
      </c>
    </row>
    <row r="321" spans="1:10" x14ac:dyDescent="0.25">
      <c r="A321" t="str">
        <f>IF($J321="","",YEAR($J321-WEEKDAY($J321,2)+4)&amp;"-W"&amp;TEXT(_xludf.ISOWEEKNUM($J321),"00"))</f>
        <v/>
      </c>
      <c r="B321"/>
      <c r="C321" t="str">
        <f>IF($J321="","",SUMIFS('Hours Log'!$C:$C,'Hours Log'!$A:$A,"&gt;="&amp;$J321,'Hours Log'!$A:$A,"&lt;"&amp;$J321+7)+SUMIFS('Hours Log'!$D:$D,'Hours Log'!$A:$A,"&gt;="&amp;$J321,'Hours Log'!$A:$A,"&lt;"&amp;$J321+7))</f>
        <v/>
      </c>
      <c r="D321" t="str">
        <f>IF($J321="","",SUMIFS('Hours Log'!$D:$D,'Hours Log'!$A:$A,"&gt;="&amp;$J321,'Hours Log'!$A:$A,"&lt;"&amp;$J321+7))</f>
        <v/>
      </c>
      <c r="E321" t="str">
        <f t="shared" si="8"/>
        <v/>
      </c>
      <c r="F321" t="str">
        <f t="shared" si="9"/>
        <v/>
      </c>
      <c r="G321" t="str">
        <f>IF($J321="","",SUMIFS('Hours Log'!$E:$E,'Hours Log'!$A:$A,"&gt;="&amp;$J321,'Hours Log'!$A:$A,"&lt;"&amp;$J321+7))</f>
        <v/>
      </c>
      <c r="J321" t="str">
        <f>IF(COUNT('Hours Log'!$A$4:$A$5000)=0,"",IF(MIN('Hours Log'!$A$4:$A$5000)+7*(ROW()-10)&gt;MAX('Hours Log'!$A$4:$A$5000),"",MIN('Hours Log'!$A$4:$A$5000)+7*(ROW()-10)))</f>
        <v/>
      </c>
    </row>
    <row r="322" spans="1:10" x14ac:dyDescent="0.25">
      <c r="A322" t="str">
        <f>IF($J322="","",YEAR($J322-WEEKDAY($J322,2)+4)&amp;"-W"&amp;TEXT(_xludf.ISOWEEKNUM($J322),"00"))</f>
        <v/>
      </c>
      <c r="B322"/>
      <c r="C322" t="str">
        <f>IF($J322="","",SUMIFS('Hours Log'!$C:$C,'Hours Log'!$A:$A,"&gt;="&amp;$J322,'Hours Log'!$A:$A,"&lt;"&amp;$J322+7)+SUMIFS('Hours Log'!$D:$D,'Hours Log'!$A:$A,"&gt;="&amp;$J322,'Hours Log'!$A:$A,"&lt;"&amp;$J322+7))</f>
        <v/>
      </c>
      <c r="D322" t="str">
        <f>IF($J322="","",SUMIFS('Hours Log'!$D:$D,'Hours Log'!$A:$A,"&gt;="&amp;$J322,'Hours Log'!$A:$A,"&lt;"&amp;$J322+7))</f>
        <v/>
      </c>
      <c r="E322" t="str">
        <f t="shared" si="8"/>
        <v/>
      </c>
      <c r="F322" t="str">
        <f t="shared" si="9"/>
        <v/>
      </c>
      <c r="G322" t="str">
        <f>IF($J322="","",SUMIFS('Hours Log'!$E:$E,'Hours Log'!$A:$A,"&gt;="&amp;$J322,'Hours Log'!$A:$A,"&lt;"&amp;$J322+7))</f>
        <v/>
      </c>
      <c r="J322" t="str">
        <f>IF(COUNT('Hours Log'!$A$4:$A$5000)=0,"",IF(MIN('Hours Log'!$A$4:$A$5000)+7*(ROW()-10)&gt;MAX('Hours Log'!$A$4:$A$5000),"",MIN('Hours Log'!$A$4:$A$5000)+7*(ROW()-10)))</f>
        <v/>
      </c>
    </row>
    <row r="323" spans="1:10" x14ac:dyDescent="0.25">
      <c r="A323" t="str">
        <f>IF($J323="","",YEAR($J323-WEEKDAY($J323,2)+4)&amp;"-W"&amp;TEXT(_xludf.ISOWEEKNUM($J323),"00"))</f>
        <v/>
      </c>
      <c r="B323"/>
      <c r="C323" t="str">
        <f>IF($J323="","",SUMIFS('Hours Log'!$C:$C,'Hours Log'!$A:$A,"&gt;="&amp;$J323,'Hours Log'!$A:$A,"&lt;"&amp;$J323+7)+SUMIFS('Hours Log'!$D:$D,'Hours Log'!$A:$A,"&gt;="&amp;$J323,'Hours Log'!$A:$A,"&lt;"&amp;$J323+7))</f>
        <v/>
      </c>
      <c r="D323" t="str">
        <f>IF($J323="","",SUMIFS('Hours Log'!$D:$D,'Hours Log'!$A:$A,"&gt;="&amp;$J323,'Hours Log'!$A:$A,"&lt;"&amp;$J323+7))</f>
        <v/>
      </c>
      <c r="E323" t="str">
        <f t="shared" si="8"/>
        <v/>
      </c>
      <c r="F323" t="str">
        <f t="shared" si="9"/>
        <v/>
      </c>
      <c r="G323" t="str">
        <f>IF($J323="","",SUMIFS('Hours Log'!$E:$E,'Hours Log'!$A:$A,"&gt;="&amp;$J323,'Hours Log'!$A:$A,"&lt;"&amp;$J323+7))</f>
        <v/>
      </c>
      <c r="J323" t="str">
        <f>IF(COUNT('Hours Log'!$A$4:$A$5000)=0,"",IF(MIN('Hours Log'!$A$4:$A$5000)+7*(ROW()-10)&gt;MAX('Hours Log'!$A$4:$A$5000),"",MIN('Hours Log'!$A$4:$A$5000)+7*(ROW()-10)))</f>
        <v/>
      </c>
    </row>
    <row r="324" spans="1:10" x14ac:dyDescent="0.25">
      <c r="A324" t="str">
        <f>IF($J324="","",YEAR($J324-WEEKDAY($J324,2)+4)&amp;"-W"&amp;TEXT(_xludf.ISOWEEKNUM($J324),"00"))</f>
        <v/>
      </c>
      <c r="B324"/>
      <c r="C324" t="str">
        <f>IF($J324="","",SUMIFS('Hours Log'!$C:$C,'Hours Log'!$A:$A,"&gt;="&amp;$J324,'Hours Log'!$A:$A,"&lt;"&amp;$J324+7)+SUMIFS('Hours Log'!$D:$D,'Hours Log'!$A:$A,"&gt;="&amp;$J324,'Hours Log'!$A:$A,"&lt;"&amp;$J324+7))</f>
        <v/>
      </c>
      <c r="D324" t="str">
        <f>IF($J324="","",SUMIFS('Hours Log'!$D:$D,'Hours Log'!$A:$A,"&gt;="&amp;$J324,'Hours Log'!$A:$A,"&lt;"&amp;$J324+7))</f>
        <v/>
      </c>
      <c r="E324" t="str">
        <f t="shared" si="8"/>
        <v/>
      </c>
      <c r="F324" t="str">
        <f t="shared" si="9"/>
        <v/>
      </c>
      <c r="G324" t="str">
        <f>IF($J324="","",SUMIFS('Hours Log'!$E:$E,'Hours Log'!$A:$A,"&gt;="&amp;$J324,'Hours Log'!$A:$A,"&lt;"&amp;$J324+7))</f>
        <v/>
      </c>
      <c r="J324" t="str">
        <f>IF(COUNT('Hours Log'!$A$4:$A$5000)=0,"",IF(MIN('Hours Log'!$A$4:$A$5000)+7*(ROW()-10)&gt;MAX('Hours Log'!$A$4:$A$5000),"",MIN('Hours Log'!$A$4:$A$5000)+7*(ROW()-10)))</f>
        <v/>
      </c>
    </row>
    <row r="325" spans="1:10" x14ac:dyDescent="0.25">
      <c r="A325" t="str">
        <f>IF($J325="","",YEAR($J325-WEEKDAY($J325,2)+4)&amp;"-W"&amp;TEXT(_xludf.ISOWEEKNUM($J325),"00"))</f>
        <v/>
      </c>
      <c r="B325"/>
      <c r="C325" t="str">
        <f>IF($J325="","",SUMIFS('Hours Log'!$C:$C,'Hours Log'!$A:$A,"&gt;="&amp;$J325,'Hours Log'!$A:$A,"&lt;"&amp;$J325+7)+SUMIFS('Hours Log'!$D:$D,'Hours Log'!$A:$A,"&gt;="&amp;$J325,'Hours Log'!$A:$A,"&lt;"&amp;$J325+7))</f>
        <v/>
      </c>
      <c r="D325" t="str">
        <f>IF($J325="","",SUMIFS('Hours Log'!$D:$D,'Hours Log'!$A:$A,"&gt;="&amp;$J325,'Hours Log'!$A:$A,"&lt;"&amp;$J325+7))</f>
        <v/>
      </c>
      <c r="E325" t="str">
        <f t="shared" si="8"/>
        <v/>
      </c>
      <c r="F325" t="str">
        <f t="shared" si="9"/>
        <v/>
      </c>
      <c r="G325" t="str">
        <f>IF($J325="","",SUMIFS('Hours Log'!$E:$E,'Hours Log'!$A:$A,"&gt;="&amp;$J325,'Hours Log'!$A:$A,"&lt;"&amp;$J325+7))</f>
        <v/>
      </c>
      <c r="J325" t="str">
        <f>IF(COUNT('Hours Log'!$A$4:$A$5000)=0,"",IF(MIN('Hours Log'!$A$4:$A$5000)+7*(ROW()-10)&gt;MAX('Hours Log'!$A$4:$A$5000),"",MIN('Hours Log'!$A$4:$A$5000)+7*(ROW()-10)))</f>
        <v/>
      </c>
    </row>
    <row r="326" spans="1:10" x14ac:dyDescent="0.25">
      <c r="A326" t="str">
        <f>IF($J326="","",YEAR($J326-WEEKDAY($J326,2)+4)&amp;"-W"&amp;TEXT(_xludf.ISOWEEKNUM($J326),"00"))</f>
        <v/>
      </c>
      <c r="B326"/>
      <c r="C326" t="str">
        <f>IF($J326="","",SUMIFS('Hours Log'!$C:$C,'Hours Log'!$A:$A,"&gt;="&amp;$J326,'Hours Log'!$A:$A,"&lt;"&amp;$J326+7)+SUMIFS('Hours Log'!$D:$D,'Hours Log'!$A:$A,"&gt;="&amp;$J326,'Hours Log'!$A:$A,"&lt;"&amp;$J326+7))</f>
        <v/>
      </c>
      <c r="D326" t="str">
        <f>IF($J326="","",SUMIFS('Hours Log'!$D:$D,'Hours Log'!$A:$A,"&gt;="&amp;$J326,'Hours Log'!$A:$A,"&lt;"&amp;$J326+7))</f>
        <v/>
      </c>
      <c r="E326" t="str">
        <f t="shared" si="8"/>
        <v/>
      </c>
      <c r="F326" t="str">
        <f t="shared" si="9"/>
        <v/>
      </c>
      <c r="G326" t="str">
        <f>IF($J326="","",SUMIFS('Hours Log'!$E:$E,'Hours Log'!$A:$A,"&gt;="&amp;$J326,'Hours Log'!$A:$A,"&lt;"&amp;$J326+7))</f>
        <v/>
      </c>
      <c r="J326" t="str">
        <f>IF(COUNT('Hours Log'!$A$4:$A$5000)=0,"",IF(MIN('Hours Log'!$A$4:$A$5000)+7*(ROW()-10)&gt;MAX('Hours Log'!$A$4:$A$5000),"",MIN('Hours Log'!$A$4:$A$5000)+7*(ROW()-10)))</f>
        <v/>
      </c>
    </row>
    <row r="327" spans="1:10" x14ac:dyDescent="0.25">
      <c r="A327" t="str">
        <f>IF($J327="","",YEAR($J327-WEEKDAY($J327,2)+4)&amp;"-W"&amp;TEXT(_xludf.ISOWEEKNUM($J327),"00"))</f>
        <v/>
      </c>
      <c r="B327"/>
      <c r="C327" t="str">
        <f>IF($J327="","",SUMIFS('Hours Log'!$C:$C,'Hours Log'!$A:$A,"&gt;="&amp;$J327,'Hours Log'!$A:$A,"&lt;"&amp;$J327+7)+SUMIFS('Hours Log'!$D:$D,'Hours Log'!$A:$A,"&gt;="&amp;$J327,'Hours Log'!$A:$A,"&lt;"&amp;$J327+7))</f>
        <v/>
      </c>
      <c r="D327" t="str">
        <f>IF($J327="","",SUMIFS('Hours Log'!$D:$D,'Hours Log'!$A:$A,"&gt;="&amp;$J327,'Hours Log'!$A:$A,"&lt;"&amp;$J327+7))</f>
        <v/>
      </c>
      <c r="E327" t="str">
        <f t="shared" si="8"/>
        <v/>
      </c>
      <c r="F327" t="str">
        <f t="shared" si="9"/>
        <v/>
      </c>
      <c r="G327" t="str">
        <f>IF($J327="","",SUMIFS('Hours Log'!$E:$E,'Hours Log'!$A:$A,"&gt;="&amp;$J327,'Hours Log'!$A:$A,"&lt;"&amp;$J327+7))</f>
        <v/>
      </c>
      <c r="J327" t="str">
        <f>IF(COUNT('Hours Log'!$A$4:$A$5000)=0,"",IF(MIN('Hours Log'!$A$4:$A$5000)+7*(ROW()-10)&gt;MAX('Hours Log'!$A$4:$A$5000),"",MIN('Hours Log'!$A$4:$A$5000)+7*(ROW()-10)))</f>
        <v/>
      </c>
    </row>
    <row r="328" spans="1:10" x14ac:dyDescent="0.25">
      <c r="A328" t="str">
        <f>IF($J328="","",YEAR($J328-WEEKDAY($J328,2)+4)&amp;"-W"&amp;TEXT(_xludf.ISOWEEKNUM($J328),"00"))</f>
        <v/>
      </c>
      <c r="B328"/>
      <c r="C328" t="str">
        <f>IF($J328="","",SUMIFS('Hours Log'!$C:$C,'Hours Log'!$A:$A,"&gt;="&amp;$J328,'Hours Log'!$A:$A,"&lt;"&amp;$J328+7)+SUMIFS('Hours Log'!$D:$D,'Hours Log'!$A:$A,"&gt;="&amp;$J328,'Hours Log'!$A:$A,"&lt;"&amp;$J328+7))</f>
        <v/>
      </c>
      <c r="D328" t="str">
        <f>IF($J328="","",SUMIFS('Hours Log'!$D:$D,'Hours Log'!$A:$A,"&gt;="&amp;$J328,'Hours Log'!$A:$A,"&lt;"&amp;$J328+7))</f>
        <v/>
      </c>
      <c r="E328" t="str">
        <f t="shared" si="8"/>
        <v/>
      </c>
      <c r="F328" t="str">
        <f t="shared" si="9"/>
        <v/>
      </c>
      <c r="G328" t="str">
        <f>IF($J328="","",SUMIFS('Hours Log'!$E:$E,'Hours Log'!$A:$A,"&gt;="&amp;$J328,'Hours Log'!$A:$A,"&lt;"&amp;$J328+7))</f>
        <v/>
      </c>
      <c r="J328" t="str">
        <f>IF(COUNT('Hours Log'!$A$4:$A$5000)=0,"",IF(MIN('Hours Log'!$A$4:$A$5000)+7*(ROW()-10)&gt;MAX('Hours Log'!$A$4:$A$5000),"",MIN('Hours Log'!$A$4:$A$5000)+7*(ROW()-10)))</f>
        <v/>
      </c>
    </row>
    <row r="329" spans="1:10" x14ac:dyDescent="0.25">
      <c r="A329" t="str">
        <f>IF($J329="","",YEAR($J329-WEEKDAY($J329,2)+4)&amp;"-W"&amp;TEXT(_xludf.ISOWEEKNUM($J329),"00"))</f>
        <v/>
      </c>
      <c r="B329"/>
      <c r="C329" t="str">
        <f>IF($J329="","",SUMIFS('Hours Log'!$C:$C,'Hours Log'!$A:$A,"&gt;="&amp;$J329,'Hours Log'!$A:$A,"&lt;"&amp;$J329+7)+SUMIFS('Hours Log'!$D:$D,'Hours Log'!$A:$A,"&gt;="&amp;$J329,'Hours Log'!$A:$A,"&lt;"&amp;$J329+7))</f>
        <v/>
      </c>
      <c r="D329" t="str">
        <f>IF($J329="","",SUMIFS('Hours Log'!$D:$D,'Hours Log'!$A:$A,"&gt;="&amp;$J329,'Hours Log'!$A:$A,"&lt;"&amp;$J329+7))</f>
        <v/>
      </c>
      <c r="E329" t="str">
        <f t="shared" si="8"/>
        <v/>
      </c>
      <c r="F329" t="str">
        <f t="shared" si="9"/>
        <v/>
      </c>
      <c r="G329" t="str">
        <f>IF($J329="","",SUMIFS('Hours Log'!$E:$E,'Hours Log'!$A:$A,"&gt;="&amp;$J329,'Hours Log'!$A:$A,"&lt;"&amp;$J329+7))</f>
        <v/>
      </c>
      <c r="J329" t="str">
        <f>IF(COUNT('Hours Log'!$A$4:$A$5000)=0,"",IF(MIN('Hours Log'!$A$4:$A$5000)+7*(ROW()-10)&gt;MAX('Hours Log'!$A$4:$A$5000),"",MIN('Hours Log'!$A$4:$A$5000)+7*(ROW()-10)))</f>
        <v/>
      </c>
    </row>
    <row r="330" spans="1:10" x14ac:dyDescent="0.25">
      <c r="A330" t="str">
        <f>IF($J330="","",YEAR($J330-WEEKDAY($J330,2)+4)&amp;"-W"&amp;TEXT(_xludf.ISOWEEKNUM($J330),"00"))</f>
        <v/>
      </c>
      <c r="B330"/>
      <c r="C330" t="str">
        <f>IF($J330="","",SUMIFS('Hours Log'!$C:$C,'Hours Log'!$A:$A,"&gt;="&amp;$J330,'Hours Log'!$A:$A,"&lt;"&amp;$J330+7)+SUMIFS('Hours Log'!$D:$D,'Hours Log'!$A:$A,"&gt;="&amp;$J330,'Hours Log'!$A:$A,"&lt;"&amp;$J330+7))</f>
        <v/>
      </c>
      <c r="D330" t="str">
        <f>IF($J330="","",SUMIFS('Hours Log'!$D:$D,'Hours Log'!$A:$A,"&gt;="&amp;$J330,'Hours Log'!$A:$A,"&lt;"&amp;$J330+7))</f>
        <v/>
      </c>
      <c r="E330" t="str">
        <f t="shared" ref="E330:E393" si="10">IF($J330="","",IFERROR(C330/(B330*40),0))</f>
        <v/>
      </c>
      <c r="F330" t="str">
        <f t="shared" ref="F330:F393" si="11">IF($J330="","",0)</f>
        <v/>
      </c>
      <c r="G330" t="str">
        <f>IF($J330="","",SUMIFS('Hours Log'!$E:$E,'Hours Log'!$A:$A,"&gt;="&amp;$J330,'Hours Log'!$A:$A,"&lt;"&amp;$J330+7))</f>
        <v/>
      </c>
      <c r="J330" t="str">
        <f>IF(COUNT('Hours Log'!$A$4:$A$5000)=0,"",IF(MIN('Hours Log'!$A$4:$A$5000)+7*(ROW()-10)&gt;MAX('Hours Log'!$A$4:$A$5000),"",MIN('Hours Log'!$A$4:$A$5000)+7*(ROW()-10)))</f>
        <v/>
      </c>
    </row>
    <row r="331" spans="1:10" x14ac:dyDescent="0.25">
      <c r="A331" t="str">
        <f>IF($J331="","",YEAR($J331-WEEKDAY($J331,2)+4)&amp;"-W"&amp;TEXT(_xludf.ISOWEEKNUM($J331),"00"))</f>
        <v/>
      </c>
      <c r="B331"/>
      <c r="C331" t="str">
        <f>IF($J331="","",SUMIFS('Hours Log'!$C:$C,'Hours Log'!$A:$A,"&gt;="&amp;$J331,'Hours Log'!$A:$A,"&lt;"&amp;$J331+7)+SUMIFS('Hours Log'!$D:$D,'Hours Log'!$A:$A,"&gt;="&amp;$J331,'Hours Log'!$A:$A,"&lt;"&amp;$J331+7))</f>
        <v/>
      </c>
      <c r="D331" t="str">
        <f>IF($J331="","",SUMIFS('Hours Log'!$D:$D,'Hours Log'!$A:$A,"&gt;="&amp;$J331,'Hours Log'!$A:$A,"&lt;"&amp;$J331+7))</f>
        <v/>
      </c>
      <c r="E331" t="str">
        <f t="shared" si="10"/>
        <v/>
      </c>
      <c r="F331" t="str">
        <f t="shared" si="11"/>
        <v/>
      </c>
      <c r="G331" t="str">
        <f>IF($J331="","",SUMIFS('Hours Log'!$E:$E,'Hours Log'!$A:$A,"&gt;="&amp;$J331,'Hours Log'!$A:$A,"&lt;"&amp;$J331+7))</f>
        <v/>
      </c>
      <c r="J331" t="str">
        <f>IF(COUNT('Hours Log'!$A$4:$A$5000)=0,"",IF(MIN('Hours Log'!$A$4:$A$5000)+7*(ROW()-10)&gt;MAX('Hours Log'!$A$4:$A$5000),"",MIN('Hours Log'!$A$4:$A$5000)+7*(ROW()-10)))</f>
        <v/>
      </c>
    </row>
    <row r="332" spans="1:10" x14ac:dyDescent="0.25">
      <c r="A332" t="str">
        <f>IF($J332="","",YEAR($J332-WEEKDAY($J332,2)+4)&amp;"-W"&amp;TEXT(_xludf.ISOWEEKNUM($J332),"00"))</f>
        <v/>
      </c>
      <c r="B332"/>
      <c r="C332" t="str">
        <f>IF($J332="","",SUMIFS('Hours Log'!$C:$C,'Hours Log'!$A:$A,"&gt;="&amp;$J332,'Hours Log'!$A:$A,"&lt;"&amp;$J332+7)+SUMIFS('Hours Log'!$D:$D,'Hours Log'!$A:$A,"&gt;="&amp;$J332,'Hours Log'!$A:$A,"&lt;"&amp;$J332+7))</f>
        <v/>
      </c>
      <c r="D332" t="str">
        <f>IF($J332="","",SUMIFS('Hours Log'!$D:$D,'Hours Log'!$A:$A,"&gt;="&amp;$J332,'Hours Log'!$A:$A,"&lt;"&amp;$J332+7))</f>
        <v/>
      </c>
      <c r="E332" t="str">
        <f t="shared" si="10"/>
        <v/>
      </c>
      <c r="F332" t="str">
        <f t="shared" si="11"/>
        <v/>
      </c>
      <c r="G332" t="str">
        <f>IF($J332="","",SUMIFS('Hours Log'!$E:$E,'Hours Log'!$A:$A,"&gt;="&amp;$J332,'Hours Log'!$A:$A,"&lt;"&amp;$J332+7))</f>
        <v/>
      </c>
      <c r="J332" t="str">
        <f>IF(COUNT('Hours Log'!$A$4:$A$5000)=0,"",IF(MIN('Hours Log'!$A$4:$A$5000)+7*(ROW()-10)&gt;MAX('Hours Log'!$A$4:$A$5000),"",MIN('Hours Log'!$A$4:$A$5000)+7*(ROW()-10)))</f>
        <v/>
      </c>
    </row>
    <row r="333" spans="1:10" x14ac:dyDescent="0.25">
      <c r="A333" t="str">
        <f>IF($J333="","",YEAR($J333-WEEKDAY($J333,2)+4)&amp;"-W"&amp;TEXT(_xludf.ISOWEEKNUM($J333),"00"))</f>
        <v/>
      </c>
      <c r="B333"/>
      <c r="C333" t="str">
        <f>IF($J333="","",SUMIFS('Hours Log'!$C:$C,'Hours Log'!$A:$A,"&gt;="&amp;$J333,'Hours Log'!$A:$A,"&lt;"&amp;$J333+7)+SUMIFS('Hours Log'!$D:$D,'Hours Log'!$A:$A,"&gt;="&amp;$J333,'Hours Log'!$A:$A,"&lt;"&amp;$J333+7))</f>
        <v/>
      </c>
      <c r="D333" t="str">
        <f>IF($J333="","",SUMIFS('Hours Log'!$D:$D,'Hours Log'!$A:$A,"&gt;="&amp;$J333,'Hours Log'!$A:$A,"&lt;"&amp;$J333+7))</f>
        <v/>
      </c>
      <c r="E333" t="str">
        <f t="shared" si="10"/>
        <v/>
      </c>
      <c r="F333" t="str">
        <f t="shared" si="11"/>
        <v/>
      </c>
      <c r="G333" t="str">
        <f>IF($J333="","",SUMIFS('Hours Log'!$E:$E,'Hours Log'!$A:$A,"&gt;="&amp;$J333,'Hours Log'!$A:$A,"&lt;"&amp;$J333+7))</f>
        <v/>
      </c>
      <c r="J333" t="str">
        <f>IF(COUNT('Hours Log'!$A$4:$A$5000)=0,"",IF(MIN('Hours Log'!$A$4:$A$5000)+7*(ROW()-10)&gt;MAX('Hours Log'!$A$4:$A$5000),"",MIN('Hours Log'!$A$4:$A$5000)+7*(ROW()-10)))</f>
        <v/>
      </c>
    </row>
    <row r="334" spans="1:10" x14ac:dyDescent="0.25">
      <c r="A334" t="str">
        <f>IF($J334="","",YEAR($J334-WEEKDAY($J334,2)+4)&amp;"-W"&amp;TEXT(_xludf.ISOWEEKNUM($J334),"00"))</f>
        <v/>
      </c>
      <c r="B334"/>
      <c r="C334" t="str">
        <f>IF($J334="","",SUMIFS('Hours Log'!$C:$C,'Hours Log'!$A:$A,"&gt;="&amp;$J334,'Hours Log'!$A:$A,"&lt;"&amp;$J334+7)+SUMIFS('Hours Log'!$D:$D,'Hours Log'!$A:$A,"&gt;="&amp;$J334,'Hours Log'!$A:$A,"&lt;"&amp;$J334+7))</f>
        <v/>
      </c>
      <c r="D334" t="str">
        <f>IF($J334="","",SUMIFS('Hours Log'!$D:$D,'Hours Log'!$A:$A,"&gt;="&amp;$J334,'Hours Log'!$A:$A,"&lt;"&amp;$J334+7))</f>
        <v/>
      </c>
      <c r="E334" t="str">
        <f t="shared" si="10"/>
        <v/>
      </c>
      <c r="F334" t="str">
        <f t="shared" si="11"/>
        <v/>
      </c>
      <c r="G334" t="str">
        <f>IF($J334="","",SUMIFS('Hours Log'!$E:$E,'Hours Log'!$A:$A,"&gt;="&amp;$J334,'Hours Log'!$A:$A,"&lt;"&amp;$J334+7))</f>
        <v/>
      </c>
      <c r="J334" t="str">
        <f>IF(COUNT('Hours Log'!$A$4:$A$5000)=0,"",IF(MIN('Hours Log'!$A$4:$A$5000)+7*(ROW()-10)&gt;MAX('Hours Log'!$A$4:$A$5000),"",MIN('Hours Log'!$A$4:$A$5000)+7*(ROW()-10)))</f>
        <v/>
      </c>
    </row>
    <row r="335" spans="1:10" x14ac:dyDescent="0.25">
      <c r="A335" t="str">
        <f>IF($J335="","",YEAR($J335-WEEKDAY($J335,2)+4)&amp;"-W"&amp;TEXT(_xludf.ISOWEEKNUM($J335),"00"))</f>
        <v/>
      </c>
      <c r="B335"/>
      <c r="C335" t="str">
        <f>IF($J335="","",SUMIFS('Hours Log'!$C:$C,'Hours Log'!$A:$A,"&gt;="&amp;$J335,'Hours Log'!$A:$A,"&lt;"&amp;$J335+7)+SUMIFS('Hours Log'!$D:$D,'Hours Log'!$A:$A,"&gt;="&amp;$J335,'Hours Log'!$A:$A,"&lt;"&amp;$J335+7))</f>
        <v/>
      </c>
      <c r="D335" t="str">
        <f>IF($J335="","",SUMIFS('Hours Log'!$D:$D,'Hours Log'!$A:$A,"&gt;="&amp;$J335,'Hours Log'!$A:$A,"&lt;"&amp;$J335+7))</f>
        <v/>
      </c>
      <c r="E335" t="str">
        <f t="shared" si="10"/>
        <v/>
      </c>
      <c r="F335" t="str">
        <f t="shared" si="11"/>
        <v/>
      </c>
      <c r="G335" t="str">
        <f>IF($J335="","",SUMIFS('Hours Log'!$E:$E,'Hours Log'!$A:$A,"&gt;="&amp;$J335,'Hours Log'!$A:$A,"&lt;"&amp;$J335+7))</f>
        <v/>
      </c>
      <c r="J335" t="str">
        <f>IF(COUNT('Hours Log'!$A$4:$A$5000)=0,"",IF(MIN('Hours Log'!$A$4:$A$5000)+7*(ROW()-10)&gt;MAX('Hours Log'!$A$4:$A$5000),"",MIN('Hours Log'!$A$4:$A$5000)+7*(ROW()-10)))</f>
        <v/>
      </c>
    </row>
    <row r="336" spans="1:10" x14ac:dyDescent="0.25">
      <c r="A336" t="str">
        <f>IF($J336="","",YEAR($J336-WEEKDAY($J336,2)+4)&amp;"-W"&amp;TEXT(_xludf.ISOWEEKNUM($J336),"00"))</f>
        <v/>
      </c>
      <c r="B336"/>
      <c r="C336" t="str">
        <f>IF($J336="","",SUMIFS('Hours Log'!$C:$C,'Hours Log'!$A:$A,"&gt;="&amp;$J336,'Hours Log'!$A:$A,"&lt;"&amp;$J336+7)+SUMIFS('Hours Log'!$D:$D,'Hours Log'!$A:$A,"&gt;="&amp;$J336,'Hours Log'!$A:$A,"&lt;"&amp;$J336+7))</f>
        <v/>
      </c>
      <c r="D336" t="str">
        <f>IF($J336="","",SUMIFS('Hours Log'!$D:$D,'Hours Log'!$A:$A,"&gt;="&amp;$J336,'Hours Log'!$A:$A,"&lt;"&amp;$J336+7))</f>
        <v/>
      </c>
      <c r="E336" t="str">
        <f t="shared" si="10"/>
        <v/>
      </c>
      <c r="F336" t="str">
        <f t="shared" si="11"/>
        <v/>
      </c>
      <c r="G336" t="str">
        <f>IF($J336="","",SUMIFS('Hours Log'!$E:$E,'Hours Log'!$A:$A,"&gt;="&amp;$J336,'Hours Log'!$A:$A,"&lt;"&amp;$J336+7))</f>
        <v/>
      </c>
      <c r="J336" t="str">
        <f>IF(COUNT('Hours Log'!$A$4:$A$5000)=0,"",IF(MIN('Hours Log'!$A$4:$A$5000)+7*(ROW()-10)&gt;MAX('Hours Log'!$A$4:$A$5000),"",MIN('Hours Log'!$A$4:$A$5000)+7*(ROW()-10)))</f>
        <v/>
      </c>
    </row>
    <row r="337" spans="1:10" x14ac:dyDescent="0.25">
      <c r="A337" t="str">
        <f>IF($J337="","",YEAR($J337-WEEKDAY($J337,2)+4)&amp;"-W"&amp;TEXT(_xludf.ISOWEEKNUM($J337),"00"))</f>
        <v/>
      </c>
      <c r="B337"/>
      <c r="C337" t="str">
        <f>IF($J337="","",SUMIFS('Hours Log'!$C:$C,'Hours Log'!$A:$A,"&gt;="&amp;$J337,'Hours Log'!$A:$A,"&lt;"&amp;$J337+7)+SUMIFS('Hours Log'!$D:$D,'Hours Log'!$A:$A,"&gt;="&amp;$J337,'Hours Log'!$A:$A,"&lt;"&amp;$J337+7))</f>
        <v/>
      </c>
      <c r="D337" t="str">
        <f>IF($J337="","",SUMIFS('Hours Log'!$D:$D,'Hours Log'!$A:$A,"&gt;="&amp;$J337,'Hours Log'!$A:$A,"&lt;"&amp;$J337+7))</f>
        <v/>
      </c>
      <c r="E337" t="str">
        <f t="shared" si="10"/>
        <v/>
      </c>
      <c r="F337" t="str">
        <f t="shared" si="11"/>
        <v/>
      </c>
      <c r="G337" t="str">
        <f>IF($J337="","",SUMIFS('Hours Log'!$E:$E,'Hours Log'!$A:$A,"&gt;="&amp;$J337,'Hours Log'!$A:$A,"&lt;"&amp;$J337+7))</f>
        <v/>
      </c>
      <c r="J337" t="str">
        <f>IF(COUNT('Hours Log'!$A$4:$A$5000)=0,"",IF(MIN('Hours Log'!$A$4:$A$5000)+7*(ROW()-10)&gt;MAX('Hours Log'!$A$4:$A$5000),"",MIN('Hours Log'!$A$4:$A$5000)+7*(ROW()-10)))</f>
        <v/>
      </c>
    </row>
    <row r="338" spans="1:10" x14ac:dyDescent="0.25">
      <c r="A338" t="str">
        <f>IF($J338="","",YEAR($J338-WEEKDAY($J338,2)+4)&amp;"-W"&amp;TEXT(_xludf.ISOWEEKNUM($J338),"00"))</f>
        <v/>
      </c>
      <c r="B338"/>
      <c r="C338" t="str">
        <f>IF($J338="","",SUMIFS('Hours Log'!$C:$C,'Hours Log'!$A:$A,"&gt;="&amp;$J338,'Hours Log'!$A:$A,"&lt;"&amp;$J338+7)+SUMIFS('Hours Log'!$D:$D,'Hours Log'!$A:$A,"&gt;="&amp;$J338,'Hours Log'!$A:$A,"&lt;"&amp;$J338+7))</f>
        <v/>
      </c>
      <c r="D338" t="str">
        <f>IF($J338="","",SUMIFS('Hours Log'!$D:$D,'Hours Log'!$A:$A,"&gt;="&amp;$J338,'Hours Log'!$A:$A,"&lt;"&amp;$J338+7))</f>
        <v/>
      </c>
      <c r="E338" t="str">
        <f t="shared" si="10"/>
        <v/>
      </c>
      <c r="F338" t="str">
        <f t="shared" si="11"/>
        <v/>
      </c>
      <c r="G338" t="str">
        <f>IF($J338="","",SUMIFS('Hours Log'!$E:$E,'Hours Log'!$A:$A,"&gt;="&amp;$J338,'Hours Log'!$A:$A,"&lt;"&amp;$J338+7))</f>
        <v/>
      </c>
      <c r="J338" t="str">
        <f>IF(COUNT('Hours Log'!$A$4:$A$5000)=0,"",IF(MIN('Hours Log'!$A$4:$A$5000)+7*(ROW()-10)&gt;MAX('Hours Log'!$A$4:$A$5000),"",MIN('Hours Log'!$A$4:$A$5000)+7*(ROW()-10)))</f>
        <v/>
      </c>
    </row>
    <row r="339" spans="1:10" x14ac:dyDescent="0.25">
      <c r="A339" t="str">
        <f>IF($J339="","",YEAR($J339-WEEKDAY($J339,2)+4)&amp;"-W"&amp;TEXT(_xludf.ISOWEEKNUM($J339),"00"))</f>
        <v/>
      </c>
      <c r="B339"/>
      <c r="C339" t="str">
        <f>IF($J339="","",SUMIFS('Hours Log'!$C:$C,'Hours Log'!$A:$A,"&gt;="&amp;$J339,'Hours Log'!$A:$A,"&lt;"&amp;$J339+7)+SUMIFS('Hours Log'!$D:$D,'Hours Log'!$A:$A,"&gt;="&amp;$J339,'Hours Log'!$A:$A,"&lt;"&amp;$J339+7))</f>
        <v/>
      </c>
      <c r="D339" t="str">
        <f>IF($J339="","",SUMIFS('Hours Log'!$D:$D,'Hours Log'!$A:$A,"&gt;="&amp;$J339,'Hours Log'!$A:$A,"&lt;"&amp;$J339+7))</f>
        <v/>
      </c>
      <c r="E339" t="str">
        <f t="shared" si="10"/>
        <v/>
      </c>
      <c r="F339" t="str">
        <f t="shared" si="11"/>
        <v/>
      </c>
      <c r="G339" t="str">
        <f>IF($J339="","",SUMIFS('Hours Log'!$E:$E,'Hours Log'!$A:$A,"&gt;="&amp;$J339,'Hours Log'!$A:$A,"&lt;"&amp;$J339+7))</f>
        <v/>
      </c>
      <c r="J339" t="str">
        <f>IF(COUNT('Hours Log'!$A$4:$A$5000)=0,"",IF(MIN('Hours Log'!$A$4:$A$5000)+7*(ROW()-10)&gt;MAX('Hours Log'!$A$4:$A$5000),"",MIN('Hours Log'!$A$4:$A$5000)+7*(ROW()-10)))</f>
        <v/>
      </c>
    </row>
    <row r="340" spans="1:10" x14ac:dyDescent="0.25">
      <c r="A340" t="str">
        <f>IF($J340="","",YEAR($J340-WEEKDAY($J340,2)+4)&amp;"-W"&amp;TEXT(_xludf.ISOWEEKNUM($J340),"00"))</f>
        <v/>
      </c>
      <c r="B340"/>
      <c r="C340" t="str">
        <f>IF($J340="","",SUMIFS('Hours Log'!$C:$C,'Hours Log'!$A:$A,"&gt;="&amp;$J340,'Hours Log'!$A:$A,"&lt;"&amp;$J340+7)+SUMIFS('Hours Log'!$D:$D,'Hours Log'!$A:$A,"&gt;="&amp;$J340,'Hours Log'!$A:$A,"&lt;"&amp;$J340+7))</f>
        <v/>
      </c>
      <c r="D340" t="str">
        <f>IF($J340="","",SUMIFS('Hours Log'!$D:$D,'Hours Log'!$A:$A,"&gt;="&amp;$J340,'Hours Log'!$A:$A,"&lt;"&amp;$J340+7))</f>
        <v/>
      </c>
      <c r="E340" t="str">
        <f t="shared" si="10"/>
        <v/>
      </c>
      <c r="F340" t="str">
        <f t="shared" si="11"/>
        <v/>
      </c>
      <c r="G340" t="str">
        <f>IF($J340="","",SUMIFS('Hours Log'!$E:$E,'Hours Log'!$A:$A,"&gt;="&amp;$J340,'Hours Log'!$A:$A,"&lt;"&amp;$J340+7))</f>
        <v/>
      </c>
      <c r="J340" t="str">
        <f>IF(COUNT('Hours Log'!$A$4:$A$5000)=0,"",IF(MIN('Hours Log'!$A$4:$A$5000)+7*(ROW()-10)&gt;MAX('Hours Log'!$A$4:$A$5000),"",MIN('Hours Log'!$A$4:$A$5000)+7*(ROW()-10)))</f>
        <v/>
      </c>
    </row>
    <row r="341" spans="1:10" x14ac:dyDescent="0.25">
      <c r="A341" t="str">
        <f>IF($J341="","",YEAR($J341-WEEKDAY($J341,2)+4)&amp;"-W"&amp;TEXT(_xludf.ISOWEEKNUM($J341),"00"))</f>
        <v/>
      </c>
      <c r="B341"/>
      <c r="C341" t="str">
        <f>IF($J341="","",SUMIFS('Hours Log'!$C:$C,'Hours Log'!$A:$A,"&gt;="&amp;$J341,'Hours Log'!$A:$A,"&lt;"&amp;$J341+7)+SUMIFS('Hours Log'!$D:$D,'Hours Log'!$A:$A,"&gt;="&amp;$J341,'Hours Log'!$A:$A,"&lt;"&amp;$J341+7))</f>
        <v/>
      </c>
      <c r="D341" t="str">
        <f>IF($J341="","",SUMIFS('Hours Log'!$D:$D,'Hours Log'!$A:$A,"&gt;="&amp;$J341,'Hours Log'!$A:$A,"&lt;"&amp;$J341+7))</f>
        <v/>
      </c>
      <c r="E341" t="str">
        <f t="shared" si="10"/>
        <v/>
      </c>
      <c r="F341" t="str">
        <f t="shared" si="11"/>
        <v/>
      </c>
      <c r="G341" t="str">
        <f>IF($J341="","",SUMIFS('Hours Log'!$E:$E,'Hours Log'!$A:$A,"&gt;="&amp;$J341,'Hours Log'!$A:$A,"&lt;"&amp;$J341+7))</f>
        <v/>
      </c>
      <c r="J341" t="str">
        <f>IF(COUNT('Hours Log'!$A$4:$A$5000)=0,"",IF(MIN('Hours Log'!$A$4:$A$5000)+7*(ROW()-10)&gt;MAX('Hours Log'!$A$4:$A$5000),"",MIN('Hours Log'!$A$4:$A$5000)+7*(ROW()-10)))</f>
        <v/>
      </c>
    </row>
    <row r="342" spans="1:10" x14ac:dyDescent="0.25">
      <c r="A342" t="str">
        <f>IF($J342="","",YEAR($J342-WEEKDAY($J342,2)+4)&amp;"-W"&amp;TEXT(_xludf.ISOWEEKNUM($J342),"00"))</f>
        <v/>
      </c>
      <c r="B342"/>
      <c r="C342" t="str">
        <f>IF($J342="","",SUMIFS('Hours Log'!$C:$C,'Hours Log'!$A:$A,"&gt;="&amp;$J342,'Hours Log'!$A:$A,"&lt;"&amp;$J342+7)+SUMIFS('Hours Log'!$D:$D,'Hours Log'!$A:$A,"&gt;="&amp;$J342,'Hours Log'!$A:$A,"&lt;"&amp;$J342+7))</f>
        <v/>
      </c>
      <c r="D342" t="str">
        <f>IF($J342="","",SUMIFS('Hours Log'!$D:$D,'Hours Log'!$A:$A,"&gt;="&amp;$J342,'Hours Log'!$A:$A,"&lt;"&amp;$J342+7))</f>
        <v/>
      </c>
      <c r="E342" t="str">
        <f t="shared" si="10"/>
        <v/>
      </c>
      <c r="F342" t="str">
        <f t="shared" si="11"/>
        <v/>
      </c>
      <c r="G342" t="str">
        <f>IF($J342="","",SUMIFS('Hours Log'!$E:$E,'Hours Log'!$A:$A,"&gt;="&amp;$J342,'Hours Log'!$A:$A,"&lt;"&amp;$J342+7))</f>
        <v/>
      </c>
      <c r="J342" t="str">
        <f>IF(COUNT('Hours Log'!$A$4:$A$5000)=0,"",IF(MIN('Hours Log'!$A$4:$A$5000)+7*(ROW()-10)&gt;MAX('Hours Log'!$A$4:$A$5000),"",MIN('Hours Log'!$A$4:$A$5000)+7*(ROW()-10)))</f>
        <v/>
      </c>
    </row>
    <row r="343" spans="1:10" x14ac:dyDescent="0.25">
      <c r="A343" t="str">
        <f>IF($J343="","",YEAR($J343-WEEKDAY($J343,2)+4)&amp;"-W"&amp;TEXT(_xludf.ISOWEEKNUM($J343),"00"))</f>
        <v/>
      </c>
      <c r="B343"/>
      <c r="C343" t="str">
        <f>IF($J343="","",SUMIFS('Hours Log'!$C:$C,'Hours Log'!$A:$A,"&gt;="&amp;$J343,'Hours Log'!$A:$A,"&lt;"&amp;$J343+7)+SUMIFS('Hours Log'!$D:$D,'Hours Log'!$A:$A,"&gt;="&amp;$J343,'Hours Log'!$A:$A,"&lt;"&amp;$J343+7))</f>
        <v/>
      </c>
      <c r="D343" t="str">
        <f>IF($J343="","",SUMIFS('Hours Log'!$D:$D,'Hours Log'!$A:$A,"&gt;="&amp;$J343,'Hours Log'!$A:$A,"&lt;"&amp;$J343+7))</f>
        <v/>
      </c>
      <c r="E343" t="str">
        <f t="shared" si="10"/>
        <v/>
      </c>
      <c r="F343" t="str">
        <f t="shared" si="11"/>
        <v/>
      </c>
      <c r="G343" t="str">
        <f>IF($J343="","",SUMIFS('Hours Log'!$E:$E,'Hours Log'!$A:$A,"&gt;="&amp;$J343,'Hours Log'!$A:$A,"&lt;"&amp;$J343+7))</f>
        <v/>
      </c>
      <c r="J343" t="str">
        <f>IF(COUNT('Hours Log'!$A$4:$A$5000)=0,"",IF(MIN('Hours Log'!$A$4:$A$5000)+7*(ROW()-10)&gt;MAX('Hours Log'!$A$4:$A$5000),"",MIN('Hours Log'!$A$4:$A$5000)+7*(ROW()-10)))</f>
        <v/>
      </c>
    </row>
    <row r="344" spans="1:10" x14ac:dyDescent="0.25">
      <c r="A344" t="str">
        <f>IF($J344="","",YEAR($J344-WEEKDAY($J344,2)+4)&amp;"-W"&amp;TEXT(_xludf.ISOWEEKNUM($J344),"00"))</f>
        <v/>
      </c>
      <c r="B344"/>
      <c r="C344" t="str">
        <f>IF($J344="","",SUMIFS('Hours Log'!$C:$C,'Hours Log'!$A:$A,"&gt;="&amp;$J344,'Hours Log'!$A:$A,"&lt;"&amp;$J344+7)+SUMIFS('Hours Log'!$D:$D,'Hours Log'!$A:$A,"&gt;="&amp;$J344,'Hours Log'!$A:$A,"&lt;"&amp;$J344+7))</f>
        <v/>
      </c>
      <c r="D344" t="str">
        <f>IF($J344="","",SUMIFS('Hours Log'!$D:$D,'Hours Log'!$A:$A,"&gt;="&amp;$J344,'Hours Log'!$A:$A,"&lt;"&amp;$J344+7))</f>
        <v/>
      </c>
      <c r="E344" t="str">
        <f t="shared" si="10"/>
        <v/>
      </c>
      <c r="F344" t="str">
        <f t="shared" si="11"/>
        <v/>
      </c>
      <c r="G344" t="str">
        <f>IF($J344="","",SUMIFS('Hours Log'!$E:$E,'Hours Log'!$A:$A,"&gt;="&amp;$J344,'Hours Log'!$A:$A,"&lt;"&amp;$J344+7))</f>
        <v/>
      </c>
      <c r="J344" t="str">
        <f>IF(COUNT('Hours Log'!$A$4:$A$5000)=0,"",IF(MIN('Hours Log'!$A$4:$A$5000)+7*(ROW()-10)&gt;MAX('Hours Log'!$A$4:$A$5000),"",MIN('Hours Log'!$A$4:$A$5000)+7*(ROW()-10)))</f>
        <v/>
      </c>
    </row>
    <row r="345" spans="1:10" x14ac:dyDescent="0.25">
      <c r="A345" t="str">
        <f>IF($J345="","",YEAR($J345-WEEKDAY($J345,2)+4)&amp;"-W"&amp;TEXT(_xludf.ISOWEEKNUM($J345),"00"))</f>
        <v/>
      </c>
      <c r="B345"/>
      <c r="C345" t="str">
        <f>IF($J345="","",SUMIFS('Hours Log'!$C:$C,'Hours Log'!$A:$A,"&gt;="&amp;$J345,'Hours Log'!$A:$A,"&lt;"&amp;$J345+7)+SUMIFS('Hours Log'!$D:$D,'Hours Log'!$A:$A,"&gt;="&amp;$J345,'Hours Log'!$A:$A,"&lt;"&amp;$J345+7))</f>
        <v/>
      </c>
      <c r="D345" t="str">
        <f>IF($J345="","",SUMIFS('Hours Log'!$D:$D,'Hours Log'!$A:$A,"&gt;="&amp;$J345,'Hours Log'!$A:$A,"&lt;"&amp;$J345+7))</f>
        <v/>
      </c>
      <c r="E345" t="str">
        <f t="shared" si="10"/>
        <v/>
      </c>
      <c r="F345" t="str">
        <f t="shared" si="11"/>
        <v/>
      </c>
      <c r="G345" t="str">
        <f>IF($J345="","",SUMIFS('Hours Log'!$E:$E,'Hours Log'!$A:$A,"&gt;="&amp;$J345,'Hours Log'!$A:$A,"&lt;"&amp;$J345+7))</f>
        <v/>
      </c>
      <c r="J345" t="str">
        <f>IF(COUNT('Hours Log'!$A$4:$A$5000)=0,"",IF(MIN('Hours Log'!$A$4:$A$5000)+7*(ROW()-10)&gt;MAX('Hours Log'!$A$4:$A$5000),"",MIN('Hours Log'!$A$4:$A$5000)+7*(ROW()-10)))</f>
        <v/>
      </c>
    </row>
    <row r="346" spans="1:10" x14ac:dyDescent="0.25">
      <c r="A346" t="str">
        <f>IF($J346="","",YEAR($J346-WEEKDAY($J346,2)+4)&amp;"-W"&amp;TEXT(_xludf.ISOWEEKNUM($J346),"00"))</f>
        <v/>
      </c>
      <c r="B346"/>
      <c r="C346" t="str">
        <f>IF($J346="","",SUMIFS('Hours Log'!$C:$C,'Hours Log'!$A:$A,"&gt;="&amp;$J346,'Hours Log'!$A:$A,"&lt;"&amp;$J346+7)+SUMIFS('Hours Log'!$D:$D,'Hours Log'!$A:$A,"&gt;="&amp;$J346,'Hours Log'!$A:$A,"&lt;"&amp;$J346+7))</f>
        <v/>
      </c>
      <c r="D346" t="str">
        <f>IF($J346="","",SUMIFS('Hours Log'!$D:$D,'Hours Log'!$A:$A,"&gt;="&amp;$J346,'Hours Log'!$A:$A,"&lt;"&amp;$J346+7))</f>
        <v/>
      </c>
      <c r="E346" t="str">
        <f t="shared" si="10"/>
        <v/>
      </c>
      <c r="F346" t="str">
        <f t="shared" si="11"/>
        <v/>
      </c>
      <c r="G346" t="str">
        <f>IF($J346="","",SUMIFS('Hours Log'!$E:$E,'Hours Log'!$A:$A,"&gt;="&amp;$J346,'Hours Log'!$A:$A,"&lt;"&amp;$J346+7))</f>
        <v/>
      </c>
      <c r="J346" t="str">
        <f>IF(COUNT('Hours Log'!$A$4:$A$5000)=0,"",IF(MIN('Hours Log'!$A$4:$A$5000)+7*(ROW()-10)&gt;MAX('Hours Log'!$A$4:$A$5000),"",MIN('Hours Log'!$A$4:$A$5000)+7*(ROW()-10)))</f>
        <v/>
      </c>
    </row>
    <row r="347" spans="1:10" x14ac:dyDescent="0.25">
      <c r="A347" t="str">
        <f>IF($J347="","",YEAR($J347-WEEKDAY($J347,2)+4)&amp;"-W"&amp;TEXT(_xludf.ISOWEEKNUM($J347),"00"))</f>
        <v/>
      </c>
      <c r="B347"/>
      <c r="C347" t="str">
        <f>IF($J347="","",SUMIFS('Hours Log'!$C:$C,'Hours Log'!$A:$A,"&gt;="&amp;$J347,'Hours Log'!$A:$A,"&lt;"&amp;$J347+7)+SUMIFS('Hours Log'!$D:$D,'Hours Log'!$A:$A,"&gt;="&amp;$J347,'Hours Log'!$A:$A,"&lt;"&amp;$J347+7))</f>
        <v/>
      </c>
      <c r="D347" t="str">
        <f>IF($J347="","",SUMIFS('Hours Log'!$D:$D,'Hours Log'!$A:$A,"&gt;="&amp;$J347,'Hours Log'!$A:$A,"&lt;"&amp;$J347+7))</f>
        <v/>
      </c>
      <c r="E347" t="str">
        <f t="shared" si="10"/>
        <v/>
      </c>
      <c r="F347" t="str">
        <f t="shared" si="11"/>
        <v/>
      </c>
      <c r="G347" t="str">
        <f>IF($J347="","",SUMIFS('Hours Log'!$E:$E,'Hours Log'!$A:$A,"&gt;="&amp;$J347,'Hours Log'!$A:$A,"&lt;"&amp;$J347+7))</f>
        <v/>
      </c>
      <c r="J347" t="str">
        <f>IF(COUNT('Hours Log'!$A$4:$A$5000)=0,"",IF(MIN('Hours Log'!$A$4:$A$5000)+7*(ROW()-10)&gt;MAX('Hours Log'!$A$4:$A$5000),"",MIN('Hours Log'!$A$4:$A$5000)+7*(ROW()-10)))</f>
        <v/>
      </c>
    </row>
    <row r="348" spans="1:10" x14ac:dyDescent="0.25">
      <c r="A348" t="str">
        <f>IF($J348="","",YEAR($J348-WEEKDAY($J348,2)+4)&amp;"-W"&amp;TEXT(_xludf.ISOWEEKNUM($J348),"00"))</f>
        <v/>
      </c>
      <c r="B348"/>
      <c r="C348" t="str">
        <f>IF($J348="","",SUMIFS('Hours Log'!$C:$C,'Hours Log'!$A:$A,"&gt;="&amp;$J348,'Hours Log'!$A:$A,"&lt;"&amp;$J348+7)+SUMIFS('Hours Log'!$D:$D,'Hours Log'!$A:$A,"&gt;="&amp;$J348,'Hours Log'!$A:$A,"&lt;"&amp;$J348+7))</f>
        <v/>
      </c>
      <c r="D348" t="str">
        <f>IF($J348="","",SUMIFS('Hours Log'!$D:$D,'Hours Log'!$A:$A,"&gt;="&amp;$J348,'Hours Log'!$A:$A,"&lt;"&amp;$J348+7))</f>
        <v/>
      </c>
      <c r="E348" t="str">
        <f t="shared" si="10"/>
        <v/>
      </c>
      <c r="F348" t="str">
        <f t="shared" si="11"/>
        <v/>
      </c>
      <c r="G348" t="str">
        <f>IF($J348="","",SUMIFS('Hours Log'!$E:$E,'Hours Log'!$A:$A,"&gt;="&amp;$J348,'Hours Log'!$A:$A,"&lt;"&amp;$J348+7))</f>
        <v/>
      </c>
      <c r="J348" t="str">
        <f>IF(COUNT('Hours Log'!$A$4:$A$5000)=0,"",IF(MIN('Hours Log'!$A$4:$A$5000)+7*(ROW()-10)&gt;MAX('Hours Log'!$A$4:$A$5000),"",MIN('Hours Log'!$A$4:$A$5000)+7*(ROW()-10)))</f>
        <v/>
      </c>
    </row>
    <row r="349" spans="1:10" x14ac:dyDescent="0.25">
      <c r="A349" t="str">
        <f>IF($J349="","",YEAR($J349-WEEKDAY($J349,2)+4)&amp;"-W"&amp;TEXT(_xludf.ISOWEEKNUM($J349),"00"))</f>
        <v/>
      </c>
      <c r="B349"/>
      <c r="C349" t="str">
        <f>IF($J349="","",SUMIFS('Hours Log'!$C:$C,'Hours Log'!$A:$A,"&gt;="&amp;$J349,'Hours Log'!$A:$A,"&lt;"&amp;$J349+7)+SUMIFS('Hours Log'!$D:$D,'Hours Log'!$A:$A,"&gt;="&amp;$J349,'Hours Log'!$A:$A,"&lt;"&amp;$J349+7))</f>
        <v/>
      </c>
      <c r="D349" t="str">
        <f>IF($J349="","",SUMIFS('Hours Log'!$D:$D,'Hours Log'!$A:$A,"&gt;="&amp;$J349,'Hours Log'!$A:$A,"&lt;"&amp;$J349+7))</f>
        <v/>
      </c>
      <c r="E349" t="str">
        <f t="shared" si="10"/>
        <v/>
      </c>
      <c r="F349" t="str">
        <f t="shared" si="11"/>
        <v/>
      </c>
      <c r="G349" t="str">
        <f>IF($J349="","",SUMIFS('Hours Log'!$E:$E,'Hours Log'!$A:$A,"&gt;="&amp;$J349,'Hours Log'!$A:$A,"&lt;"&amp;$J349+7))</f>
        <v/>
      </c>
      <c r="J349" t="str">
        <f>IF(COUNT('Hours Log'!$A$4:$A$5000)=0,"",IF(MIN('Hours Log'!$A$4:$A$5000)+7*(ROW()-10)&gt;MAX('Hours Log'!$A$4:$A$5000),"",MIN('Hours Log'!$A$4:$A$5000)+7*(ROW()-10)))</f>
        <v/>
      </c>
    </row>
    <row r="350" spans="1:10" x14ac:dyDescent="0.25">
      <c r="A350" t="str">
        <f>IF($J350="","",YEAR($J350-WEEKDAY($J350,2)+4)&amp;"-W"&amp;TEXT(_xludf.ISOWEEKNUM($J350),"00"))</f>
        <v/>
      </c>
      <c r="B350"/>
      <c r="C350" t="str">
        <f>IF($J350="","",SUMIFS('Hours Log'!$C:$C,'Hours Log'!$A:$A,"&gt;="&amp;$J350,'Hours Log'!$A:$A,"&lt;"&amp;$J350+7)+SUMIFS('Hours Log'!$D:$D,'Hours Log'!$A:$A,"&gt;="&amp;$J350,'Hours Log'!$A:$A,"&lt;"&amp;$J350+7))</f>
        <v/>
      </c>
      <c r="D350" t="str">
        <f>IF($J350="","",SUMIFS('Hours Log'!$D:$D,'Hours Log'!$A:$A,"&gt;="&amp;$J350,'Hours Log'!$A:$A,"&lt;"&amp;$J350+7))</f>
        <v/>
      </c>
      <c r="E350" t="str">
        <f t="shared" si="10"/>
        <v/>
      </c>
      <c r="F350" t="str">
        <f t="shared" si="11"/>
        <v/>
      </c>
      <c r="G350" t="str">
        <f>IF($J350="","",SUMIFS('Hours Log'!$E:$E,'Hours Log'!$A:$A,"&gt;="&amp;$J350,'Hours Log'!$A:$A,"&lt;"&amp;$J350+7))</f>
        <v/>
      </c>
      <c r="J350" t="str">
        <f>IF(COUNT('Hours Log'!$A$4:$A$5000)=0,"",IF(MIN('Hours Log'!$A$4:$A$5000)+7*(ROW()-10)&gt;MAX('Hours Log'!$A$4:$A$5000),"",MIN('Hours Log'!$A$4:$A$5000)+7*(ROW()-10)))</f>
        <v/>
      </c>
    </row>
    <row r="351" spans="1:10" x14ac:dyDescent="0.25">
      <c r="A351" t="str">
        <f>IF($J351="","",YEAR($J351-WEEKDAY($J351,2)+4)&amp;"-W"&amp;TEXT(_xludf.ISOWEEKNUM($J351),"00"))</f>
        <v/>
      </c>
      <c r="B351"/>
      <c r="C351" t="str">
        <f>IF($J351="","",SUMIFS('Hours Log'!$C:$C,'Hours Log'!$A:$A,"&gt;="&amp;$J351,'Hours Log'!$A:$A,"&lt;"&amp;$J351+7)+SUMIFS('Hours Log'!$D:$D,'Hours Log'!$A:$A,"&gt;="&amp;$J351,'Hours Log'!$A:$A,"&lt;"&amp;$J351+7))</f>
        <v/>
      </c>
      <c r="D351" t="str">
        <f>IF($J351="","",SUMIFS('Hours Log'!$D:$D,'Hours Log'!$A:$A,"&gt;="&amp;$J351,'Hours Log'!$A:$A,"&lt;"&amp;$J351+7))</f>
        <v/>
      </c>
      <c r="E351" t="str">
        <f t="shared" si="10"/>
        <v/>
      </c>
      <c r="F351" t="str">
        <f t="shared" si="11"/>
        <v/>
      </c>
      <c r="G351" t="str">
        <f>IF($J351="","",SUMIFS('Hours Log'!$E:$E,'Hours Log'!$A:$A,"&gt;="&amp;$J351,'Hours Log'!$A:$A,"&lt;"&amp;$J351+7))</f>
        <v/>
      </c>
      <c r="J351" t="str">
        <f>IF(COUNT('Hours Log'!$A$4:$A$5000)=0,"",IF(MIN('Hours Log'!$A$4:$A$5000)+7*(ROW()-10)&gt;MAX('Hours Log'!$A$4:$A$5000),"",MIN('Hours Log'!$A$4:$A$5000)+7*(ROW()-10)))</f>
        <v/>
      </c>
    </row>
    <row r="352" spans="1:10" x14ac:dyDescent="0.25">
      <c r="A352" t="str">
        <f>IF($J352="","",YEAR($J352-WEEKDAY($J352,2)+4)&amp;"-W"&amp;TEXT(_xludf.ISOWEEKNUM($J352),"00"))</f>
        <v/>
      </c>
      <c r="B352"/>
      <c r="C352" t="str">
        <f>IF($J352="","",SUMIFS('Hours Log'!$C:$C,'Hours Log'!$A:$A,"&gt;="&amp;$J352,'Hours Log'!$A:$A,"&lt;"&amp;$J352+7)+SUMIFS('Hours Log'!$D:$D,'Hours Log'!$A:$A,"&gt;="&amp;$J352,'Hours Log'!$A:$A,"&lt;"&amp;$J352+7))</f>
        <v/>
      </c>
      <c r="D352" t="str">
        <f>IF($J352="","",SUMIFS('Hours Log'!$D:$D,'Hours Log'!$A:$A,"&gt;="&amp;$J352,'Hours Log'!$A:$A,"&lt;"&amp;$J352+7))</f>
        <v/>
      </c>
      <c r="E352" t="str">
        <f t="shared" si="10"/>
        <v/>
      </c>
      <c r="F352" t="str">
        <f t="shared" si="11"/>
        <v/>
      </c>
      <c r="G352" t="str">
        <f>IF($J352="","",SUMIFS('Hours Log'!$E:$E,'Hours Log'!$A:$A,"&gt;="&amp;$J352,'Hours Log'!$A:$A,"&lt;"&amp;$J352+7))</f>
        <v/>
      </c>
      <c r="J352" t="str">
        <f>IF(COUNT('Hours Log'!$A$4:$A$5000)=0,"",IF(MIN('Hours Log'!$A$4:$A$5000)+7*(ROW()-10)&gt;MAX('Hours Log'!$A$4:$A$5000),"",MIN('Hours Log'!$A$4:$A$5000)+7*(ROW()-10)))</f>
        <v/>
      </c>
    </row>
    <row r="353" spans="1:10" x14ac:dyDescent="0.25">
      <c r="A353" t="str">
        <f>IF($J353="","",YEAR($J353-WEEKDAY($J353,2)+4)&amp;"-W"&amp;TEXT(_xludf.ISOWEEKNUM($J353),"00"))</f>
        <v/>
      </c>
      <c r="B353"/>
      <c r="C353" t="str">
        <f>IF($J353="","",SUMIFS('Hours Log'!$C:$C,'Hours Log'!$A:$A,"&gt;="&amp;$J353,'Hours Log'!$A:$A,"&lt;"&amp;$J353+7)+SUMIFS('Hours Log'!$D:$D,'Hours Log'!$A:$A,"&gt;="&amp;$J353,'Hours Log'!$A:$A,"&lt;"&amp;$J353+7))</f>
        <v/>
      </c>
      <c r="D353" t="str">
        <f>IF($J353="","",SUMIFS('Hours Log'!$D:$D,'Hours Log'!$A:$A,"&gt;="&amp;$J353,'Hours Log'!$A:$A,"&lt;"&amp;$J353+7))</f>
        <v/>
      </c>
      <c r="E353" t="str">
        <f t="shared" si="10"/>
        <v/>
      </c>
      <c r="F353" t="str">
        <f t="shared" si="11"/>
        <v/>
      </c>
      <c r="G353" t="str">
        <f>IF($J353="","",SUMIFS('Hours Log'!$E:$E,'Hours Log'!$A:$A,"&gt;="&amp;$J353,'Hours Log'!$A:$A,"&lt;"&amp;$J353+7))</f>
        <v/>
      </c>
      <c r="J353" t="str">
        <f>IF(COUNT('Hours Log'!$A$4:$A$5000)=0,"",IF(MIN('Hours Log'!$A$4:$A$5000)+7*(ROW()-10)&gt;MAX('Hours Log'!$A$4:$A$5000),"",MIN('Hours Log'!$A$4:$A$5000)+7*(ROW()-10)))</f>
        <v/>
      </c>
    </row>
    <row r="354" spans="1:10" x14ac:dyDescent="0.25">
      <c r="A354" t="str">
        <f>IF($J354="","",YEAR($J354-WEEKDAY($J354,2)+4)&amp;"-W"&amp;TEXT(_xludf.ISOWEEKNUM($J354),"00"))</f>
        <v/>
      </c>
      <c r="B354"/>
      <c r="C354" t="str">
        <f>IF($J354="","",SUMIFS('Hours Log'!$C:$C,'Hours Log'!$A:$A,"&gt;="&amp;$J354,'Hours Log'!$A:$A,"&lt;"&amp;$J354+7)+SUMIFS('Hours Log'!$D:$D,'Hours Log'!$A:$A,"&gt;="&amp;$J354,'Hours Log'!$A:$A,"&lt;"&amp;$J354+7))</f>
        <v/>
      </c>
      <c r="D354" t="str">
        <f>IF($J354="","",SUMIFS('Hours Log'!$D:$D,'Hours Log'!$A:$A,"&gt;="&amp;$J354,'Hours Log'!$A:$A,"&lt;"&amp;$J354+7))</f>
        <v/>
      </c>
      <c r="E354" t="str">
        <f t="shared" si="10"/>
        <v/>
      </c>
      <c r="F354" t="str">
        <f t="shared" si="11"/>
        <v/>
      </c>
      <c r="G354" t="str">
        <f>IF($J354="","",SUMIFS('Hours Log'!$E:$E,'Hours Log'!$A:$A,"&gt;="&amp;$J354,'Hours Log'!$A:$A,"&lt;"&amp;$J354+7))</f>
        <v/>
      </c>
      <c r="J354" t="str">
        <f>IF(COUNT('Hours Log'!$A$4:$A$5000)=0,"",IF(MIN('Hours Log'!$A$4:$A$5000)+7*(ROW()-10)&gt;MAX('Hours Log'!$A$4:$A$5000),"",MIN('Hours Log'!$A$4:$A$5000)+7*(ROW()-10)))</f>
        <v/>
      </c>
    </row>
    <row r="355" spans="1:10" x14ac:dyDescent="0.25">
      <c r="A355" t="str">
        <f>IF($J355="","",YEAR($J355-WEEKDAY($J355,2)+4)&amp;"-W"&amp;TEXT(_xludf.ISOWEEKNUM($J355),"00"))</f>
        <v/>
      </c>
      <c r="B355"/>
      <c r="C355" t="str">
        <f>IF($J355="","",SUMIFS('Hours Log'!$C:$C,'Hours Log'!$A:$A,"&gt;="&amp;$J355,'Hours Log'!$A:$A,"&lt;"&amp;$J355+7)+SUMIFS('Hours Log'!$D:$D,'Hours Log'!$A:$A,"&gt;="&amp;$J355,'Hours Log'!$A:$A,"&lt;"&amp;$J355+7))</f>
        <v/>
      </c>
      <c r="D355" t="str">
        <f>IF($J355="","",SUMIFS('Hours Log'!$D:$D,'Hours Log'!$A:$A,"&gt;="&amp;$J355,'Hours Log'!$A:$A,"&lt;"&amp;$J355+7))</f>
        <v/>
      </c>
      <c r="E355" t="str">
        <f t="shared" si="10"/>
        <v/>
      </c>
      <c r="F355" t="str">
        <f t="shared" si="11"/>
        <v/>
      </c>
      <c r="G355" t="str">
        <f>IF($J355="","",SUMIFS('Hours Log'!$E:$E,'Hours Log'!$A:$A,"&gt;="&amp;$J355,'Hours Log'!$A:$A,"&lt;"&amp;$J355+7))</f>
        <v/>
      </c>
      <c r="J355" t="str">
        <f>IF(COUNT('Hours Log'!$A$4:$A$5000)=0,"",IF(MIN('Hours Log'!$A$4:$A$5000)+7*(ROW()-10)&gt;MAX('Hours Log'!$A$4:$A$5000),"",MIN('Hours Log'!$A$4:$A$5000)+7*(ROW()-10)))</f>
        <v/>
      </c>
    </row>
    <row r="356" spans="1:10" x14ac:dyDescent="0.25">
      <c r="A356" t="str">
        <f>IF($J356="","",YEAR($J356-WEEKDAY($J356,2)+4)&amp;"-W"&amp;TEXT(_xludf.ISOWEEKNUM($J356),"00"))</f>
        <v/>
      </c>
      <c r="B356"/>
      <c r="C356" t="str">
        <f>IF($J356="","",SUMIFS('Hours Log'!$C:$C,'Hours Log'!$A:$A,"&gt;="&amp;$J356,'Hours Log'!$A:$A,"&lt;"&amp;$J356+7)+SUMIFS('Hours Log'!$D:$D,'Hours Log'!$A:$A,"&gt;="&amp;$J356,'Hours Log'!$A:$A,"&lt;"&amp;$J356+7))</f>
        <v/>
      </c>
      <c r="D356" t="str">
        <f>IF($J356="","",SUMIFS('Hours Log'!$D:$D,'Hours Log'!$A:$A,"&gt;="&amp;$J356,'Hours Log'!$A:$A,"&lt;"&amp;$J356+7))</f>
        <v/>
      </c>
      <c r="E356" t="str">
        <f t="shared" si="10"/>
        <v/>
      </c>
      <c r="F356" t="str">
        <f t="shared" si="11"/>
        <v/>
      </c>
      <c r="G356" t="str">
        <f>IF($J356="","",SUMIFS('Hours Log'!$E:$E,'Hours Log'!$A:$A,"&gt;="&amp;$J356,'Hours Log'!$A:$A,"&lt;"&amp;$J356+7))</f>
        <v/>
      </c>
      <c r="J356" t="str">
        <f>IF(COUNT('Hours Log'!$A$4:$A$5000)=0,"",IF(MIN('Hours Log'!$A$4:$A$5000)+7*(ROW()-10)&gt;MAX('Hours Log'!$A$4:$A$5000),"",MIN('Hours Log'!$A$4:$A$5000)+7*(ROW()-10)))</f>
        <v/>
      </c>
    </row>
    <row r="357" spans="1:10" x14ac:dyDescent="0.25">
      <c r="A357" t="str">
        <f>IF($J357="","",YEAR($J357-WEEKDAY($J357,2)+4)&amp;"-W"&amp;TEXT(_xludf.ISOWEEKNUM($J357),"00"))</f>
        <v/>
      </c>
      <c r="B357"/>
      <c r="C357" t="str">
        <f>IF($J357="","",SUMIFS('Hours Log'!$C:$C,'Hours Log'!$A:$A,"&gt;="&amp;$J357,'Hours Log'!$A:$A,"&lt;"&amp;$J357+7)+SUMIFS('Hours Log'!$D:$D,'Hours Log'!$A:$A,"&gt;="&amp;$J357,'Hours Log'!$A:$A,"&lt;"&amp;$J357+7))</f>
        <v/>
      </c>
      <c r="D357" t="str">
        <f>IF($J357="","",SUMIFS('Hours Log'!$D:$D,'Hours Log'!$A:$A,"&gt;="&amp;$J357,'Hours Log'!$A:$A,"&lt;"&amp;$J357+7))</f>
        <v/>
      </c>
      <c r="E357" t="str">
        <f t="shared" si="10"/>
        <v/>
      </c>
      <c r="F357" t="str">
        <f t="shared" si="11"/>
        <v/>
      </c>
      <c r="G357" t="str">
        <f>IF($J357="","",SUMIFS('Hours Log'!$E:$E,'Hours Log'!$A:$A,"&gt;="&amp;$J357,'Hours Log'!$A:$A,"&lt;"&amp;$J357+7))</f>
        <v/>
      </c>
      <c r="J357" t="str">
        <f>IF(COUNT('Hours Log'!$A$4:$A$5000)=0,"",IF(MIN('Hours Log'!$A$4:$A$5000)+7*(ROW()-10)&gt;MAX('Hours Log'!$A$4:$A$5000),"",MIN('Hours Log'!$A$4:$A$5000)+7*(ROW()-10)))</f>
        <v/>
      </c>
    </row>
    <row r="358" spans="1:10" x14ac:dyDescent="0.25">
      <c r="A358" t="str">
        <f>IF($J358="","",YEAR($J358-WEEKDAY($J358,2)+4)&amp;"-W"&amp;TEXT(_xludf.ISOWEEKNUM($J358),"00"))</f>
        <v/>
      </c>
      <c r="B358"/>
      <c r="C358" t="str">
        <f>IF($J358="","",SUMIFS('Hours Log'!$C:$C,'Hours Log'!$A:$A,"&gt;="&amp;$J358,'Hours Log'!$A:$A,"&lt;"&amp;$J358+7)+SUMIFS('Hours Log'!$D:$D,'Hours Log'!$A:$A,"&gt;="&amp;$J358,'Hours Log'!$A:$A,"&lt;"&amp;$J358+7))</f>
        <v/>
      </c>
      <c r="D358" t="str">
        <f>IF($J358="","",SUMIFS('Hours Log'!$D:$D,'Hours Log'!$A:$A,"&gt;="&amp;$J358,'Hours Log'!$A:$A,"&lt;"&amp;$J358+7))</f>
        <v/>
      </c>
      <c r="E358" t="str">
        <f t="shared" si="10"/>
        <v/>
      </c>
      <c r="F358" t="str">
        <f t="shared" si="11"/>
        <v/>
      </c>
      <c r="G358" t="str">
        <f>IF($J358="","",SUMIFS('Hours Log'!$E:$E,'Hours Log'!$A:$A,"&gt;="&amp;$J358,'Hours Log'!$A:$A,"&lt;"&amp;$J358+7))</f>
        <v/>
      </c>
      <c r="J358" t="str">
        <f>IF(COUNT('Hours Log'!$A$4:$A$5000)=0,"",IF(MIN('Hours Log'!$A$4:$A$5000)+7*(ROW()-10)&gt;MAX('Hours Log'!$A$4:$A$5000),"",MIN('Hours Log'!$A$4:$A$5000)+7*(ROW()-10)))</f>
        <v/>
      </c>
    </row>
    <row r="359" spans="1:10" x14ac:dyDescent="0.25">
      <c r="A359" t="str">
        <f>IF($J359="","",YEAR($J359-WEEKDAY($J359,2)+4)&amp;"-W"&amp;TEXT(_xludf.ISOWEEKNUM($J359),"00"))</f>
        <v/>
      </c>
      <c r="B359"/>
      <c r="C359" t="str">
        <f>IF($J359="","",SUMIFS('Hours Log'!$C:$C,'Hours Log'!$A:$A,"&gt;="&amp;$J359,'Hours Log'!$A:$A,"&lt;"&amp;$J359+7)+SUMIFS('Hours Log'!$D:$D,'Hours Log'!$A:$A,"&gt;="&amp;$J359,'Hours Log'!$A:$A,"&lt;"&amp;$J359+7))</f>
        <v/>
      </c>
      <c r="D359" t="str">
        <f>IF($J359="","",SUMIFS('Hours Log'!$D:$D,'Hours Log'!$A:$A,"&gt;="&amp;$J359,'Hours Log'!$A:$A,"&lt;"&amp;$J359+7))</f>
        <v/>
      </c>
      <c r="E359" t="str">
        <f t="shared" si="10"/>
        <v/>
      </c>
      <c r="F359" t="str">
        <f t="shared" si="11"/>
        <v/>
      </c>
      <c r="G359" t="str">
        <f>IF($J359="","",SUMIFS('Hours Log'!$E:$E,'Hours Log'!$A:$A,"&gt;="&amp;$J359,'Hours Log'!$A:$A,"&lt;"&amp;$J359+7))</f>
        <v/>
      </c>
      <c r="J359" t="str">
        <f>IF(COUNT('Hours Log'!$A$4:$A$5000)=0,"",IF(MIN('Hours Log'!$A$4:$A$5000)+7*(ROW()-10)&gt;MAX('Hours Log'!$A$4:$A$5000),"",MIN('Hours Log'!$A$4:$A$5000)+7*(ROW()-10)))</f>
        <v/>
      </c>
    </row>
    <row r="360" spans="1:10" x14ac:dyDescent="0.25">
      <c r="A360" t="str">
        <f>IF($J360="","",YEAR($J360-WEEKDAY($J360,2)+4)&amp;"-W"&amp;TEXT(_xludf.ISOWEEKNUM($J360),"00"))</f>
        <v/>
      </c>
      <c r="B360"/>
      <c r="C360" t="str">
        <f>IF($J360="","",SUMIFS('Hours Log'!$C:$C,'Hours Log'!$A:$A,"&gt;="&amp;$J360,'Hours Log'!$A:$A,"&lt;"&amp;$J360+7)+SUMIFS('Hours Log'!$D:$D,'Hours Log'!$A:$A,"&gt;="&amp;$J360,'Hours Log'!$A:$A,"&lt;"&amp;$J360+7))</f>
        <v/>
      </c>
      <c r="D360" t="str">
        <f>IF($J360="","",SUMIFS('Hours Log'!$D:$D,'Hours Log'!$A:$A,"&gt;="&amp;$J360,'Hours Log'!$A:$A,"&lt;"&amp;$J360+7))</f>
        <v/>
      </c>
      <c r="E360" t="str">
        <f t="shared" si="10"/>
        <v/>
      </c>
      <c r="F360" t="str">
        <f t="shared" si="11"/>
        <v/>
      </c>
      <c r="G360" t="str">
        <f>IF($J360="","",SUMIFS('Hours Log'!$E:$E,'Hours Log'!$A:$A,"&gt;="&amp;$J360,'Hours Log'!$A:$A,"&lt;"&amp;$J360+7))</f>
        <v/>
      </c>
      <c r="J360" t="str">
        <f>IF(COUNT('Hours Log'!$A$4:$A$5000)=0,"",IF(MIN('Hours Log'!$A$4:$A$5000)+7*(ROW()-10)&gt;MAX('Hours Log'!$A$4:$A$5000),"",MIN('Hours Log'!$A$4:$A$5000)+7*(ROW()-10)))</f>
        <v/>
      </c>
    </row>
    <row r="361" spans="1:10" x14ac:dyDescent="0.25">
      <c r="A361" t="str">
        <f>IF($J361="","",YEAR($J361-WEEKDAY($J361,2)+4)&amp;"-W"&amp;TEXT(_xludf.ISOWEEKNUM($J361),"00"))</f>
        <v/>
      </c>
      <c r="B361"/>
      <c r="C361" t="str">
        <f>IF($J361="","",SUMIFS('Hours Log'!$C:$C,'Hours Log'!$A:$A,"&gt;="&amp;$J361,'Hours Log'!$A:$A,"&lt;"&amp;$J361+7)+SUMIFS('Hours Log'!$D:$D,'Hours Log'!$A:$A,"&gt;="&amp;$J361,'Hours Log'!$A:$A,"&lt;"&amp;$J361+7))</f>
        <v/>
      </c>
      <c r="D361" t="str">
        <f>IF($J361="","",SUMIFS('Hours Log'!$D:$D,'Hours Log'!$A:$A,"&gt;="&amp;$J361,'Hours Log'!$A:$A,"&lt;"&amp;$J361+7))</f>
        <v/>
      </c>
      <c r="E361" t="str">
        <f t="shared" si="10"/>
        <v/>
      </c>
      <c r="F361" t="str">
        <f t="shared" si="11"/>
        <v/>
      </c>
      <c r="G361" t="str">
        <f>IF($J361="","",SUMIFS('Hours Log'!$E:$E,'Hours Log'!$A:$A,"&gt;="&amp;$J361,'Hours Log'!$A:$A,"&lt;"&amp;$J361+7))</f>
        <v/>
      </c>
      <c r="J361" t="str">
        <f>IF(COUNT('Hours Log'!$A$4:$A$5000)=0,"",IF(MIN('Hours Log'!$A$4:$A$5000)+7*(ROW()-10)&gt;MAX('Hours Log'!$A$4:$A$5000),"",MIN('Hours Log'!$A$4:$A$5000)+7*(ROW()-10)))</f>
        <v/>
      </c>
    </row>
    <row r="362" spans="1:10" x14ac:dyDescent="0.25">
      <c r="A362" t="str">
        <f>IF($J362="","",YEAR($J362-WEEKDAY($J362,2)+4)&amp;"-W"&amp;TEXT(_xludf.ISOWEEKNUM($J362),"00"))</f>
        <v/>
      </c>
      <c r="B362"/>
      <c r="C362" t="str">
        <f>IF($J362="","",SUMIFS('Hours Log'!$C:$C,'Hours Log'!$A:$A,"&gt;="&amp;$J362,'Hours Log'!$A:$A,"&lt;"&amp;$J362+7)+SUMIFS('Hours Log'!$D:$D,'Hours Log'!$A:$A,"&gt;="&amp;$J362,'Hours Log'!$A:$A,"&lt;"&amp;$J362+7))</f>
        <v/>
      </c>
      <c r="D362" t="str">
        <f>IF($J362="","",SUMIFS('Hours Log'!$D:$D,'Hours Log'!$A:$A,"&gt;="&amp;$J362,'Hours Log'!$A:$A,"&lt;"&amp;$J362+7))</f>
        <v/>
      </c>
      <c r="E362" t="str">
        <f t="shared" si="10"/>
        <v/>
      </c>
      <c r="F362" t="str">
        <f t="shared" si="11"/>
        <v/>
      </c>
      <c r="G362" t="str">
        <f>IF($J362="","",SUMIFS('Hours Log'!$E:$E,'Hours Log'!$A:$A,"&gt;="&amp;$J362,'Hours Log'!$A:$A,"&lt;"&amp;$J362+7))</f>
        <v/>
      </c>
      <c r="J362" t="str">
        <f>IF(COUNT('Hours Log'!$A$4:$A$5000)=0,"",IF(MIN('Hours Log'!$A$4:$A$5000)+7*(ROW()-10)&gt;MAX('Hours Log'!$A$4:$A$5000),"",MIN('Hours Log'!$A$4:$A$5000)+7*(ROW()-10)))</f>
        <v/>
      </c>
    </row>
    <row r="363" spans="1:10" x14ac:dyDescent="0.25">
      <c r="A363" t="str">
        <f>IF($J363="","",YEAR($J363-WEEKDAY($J363,2)+4)&amp;"-W"&amp;TEXT(_xludf.ISOWEEKNUM($J363),"00"))</f>
        <v/>
      </c>
      <c r="B363"/>
      <c r="C363" t="str">
        <f>IF($J363="","",SUMIFS('Hours Log'!$C:$C,'Hours Log'!$A:$A,"&gt;="&amp;$J363,'Hours Log'!$A:$A,"&lt;"&amp;$J363+7)+SUMIFS('Hours Log'!$D:$D,'Hours Log'!$A:$A,"&gt;="&amp;$J363,'Hours Log'!$A:$A,"&lt;"&amp;$J363+7))</f>
        <v/>
      </c>
      <c r="D363" t="str">
        <f>IF($J363="","",SUMIFS('Hours Log'!$D:$D,'Hours Log'!$A:$A,"&gt;="&amp;$J363,'Hours Log'!$A:$A,"&lt;"&amp;$J363+7))</f>
        <v/>
      </c>
      <c r="E363" t="str">
        <f t="shared" si="10"/>
        <v/>
      </c>
      <c r="F363" t="str">
        <f t="shared" si="11"/>
        <v/>
      </c>
      <c r="G363" t="str">
        <f>IF($J363="","",SUMIFS('Hours Log'!$E:$E,'Hours Log'!$A:$A,"&gt;="&amp;$J363,'Hours Log'!$A:$A,"&lt;"&amp;$J363+7))</f>
        <v/>
      </c>
      <c r="J363" t="str">
        <f>IF(COUNT('Hours Log'!$A$4:$A$5000)=0,"",IF(MIN('Hours Log'!$A$4:$A$5000)+7*(ROW()-10)&gt;MAX('Hours Log'!$A$4:$A$5000),"",MIN('Hours Log'!$A$4:$A$5000)+7*(ROW()-10)))</f>
        <v/>
      </c>
    </row>
    <row r="364" spans="1:10" x14ac:dyDescent="0.25">
      <c r="A364" t="str">
        <f>IF($J364="","",YEAR($J364-WEEKDAY($J364,2)+4)&amp;"-W"&amp;TEXT(_xludf.ISOWEEKNUM($J364),"00"))</f>
        <v/>
      </c>
      <c r="B364"/>
      <c r="C364" t="str">
        <f>IF($J364="","",SUMIFS('Hours Log'!$C:$C,'Hours Log'!$A:$A,"&gt;="&amp;$J364,'Hours Log'!$A:$A,"&lt;"&amp;$J364+7)+SUMIFS('Hours Log'!$D:$D,'Hours Log'!$A:$A,"&gt;="&amp;$J364,'Hours Log'!$A:$A,"&lt;"&amp;$J364+7))</f>
        <v/>
      </c>
      <c r="D364" t="str">
        <f>IF($J364="","",SUMIFS('Hours Log'!$D:$D,'Hours Log'!$A:$A,"&gt;="&amp;$J364,'Hours Log'!$A:$A,"&lt;"&amp;$J364+7))</f>
        <v/>
      </c>
      <c r="E364" t="str">
        <f t="shared" si="10"/>
        <v/>
      </c>
      <c r="F364" t="str">
        <f t="shared" si="11"/>
        <v/>
      </c>
      <c r="G364" t="str">
        <f>IF($J364="","",SUMIFS('Hours Log'!$E:$E,'Hours Log'!$A:$A,"&gt;="&amp;$J364,'Hours Log'!$A:$A,"&lt;"&amp;$J364+7))</f>
        <v/>
      </c>
      <c r="J364" t="str">
        <f>IF(COUNT('Hours Log'!$A$4:$A$5000)=0,"",IF(MIN('Hours Log'!$A$4:$A$5000)+7*(ROW()-10)&gt;MAX('Hours Log'!$A$4:$A$5000),"",MIN('Hours Log'!$A$4:$A$5000)+7*(ROW()-10)))</f>
        <v/>
      </c>
    </row>
    <row r="365" spans="1:10" x14ac:dyDescent="0.25">
      <c r="A365" t="str">
        <f>IF($J365="","",YEAR($J365-WEEKDAY($J365,2)+4)&amp;"-W"&amp;TEXT(_xludf.ISOWEEKNUM($J365),"00"))</f>
        <v/>
      </c>
      <c r="B365"/>
      <c r="C365" t="str">
        <f>IF($J365="","",SUMIFS('Hours Log'!$C:$C,'Hours Log'!$A:$A,"&gt;="&amp;$J365,'Hours Log'!$A:$A,"&lt;"&amp;$J365+7)+SUMIFS('Hours Log'!$D:$D,'Hours Log'!$A:$A,"&gt;="&amp;$J365,'Hours Log'!$A:$A,"&lt;"&amp;$J365+7))</f>
        <v/>
      </c>
      <c r="D365" t="str">
        <f>IF($J365="","",SUMIFS('Hours Log'!$D:$D,'Hours Log'!$A:$A,"&gt;="&amp;$J365,'Hours Log'!$A:$A,"&lt;"&amp;$J365+7))</f>
        <v/>
      </c>
      <c r="E365" t="str">
        <f t="shared" si="10"/>
        <v/>
      </c>
      <c r="F365" t="str">
        <f t="shared" si="11"/>
        <v/>
      </c>
      <c r="G365" t="str">
        <f>IF($J365="","",SUMIFS('Hours Log'!$E:$E,'Hours Log'!$A:$A,"&gt;="&amp;$J365,'Hours Log'!$A:$A,"&lt;"&amp;$J365+7))</f>
        <v/>
      </c>
      <c r="J365" t="str">
        <f>IF(COUNT('Hours Log'!$A$4:$A$5000)=0,"",IF(MIN('Hours Log'!$A$4:$A$5000)+7*(ROW()-10)&gt;MAX('Hours Log'!$A$4:$A$5000),"",MIN('Hours Log'!$A$4:$A$5000)+7*(ROW()-10)))</f>
        <v/>
      </c>
    </row>
    <row r="366" spans="1:10" x14ac:dyDescent="0.25">
      <c r="A366" t="str">
        <f>IF($J366="","",YEAR($J366-WEEKDAY($J366,2)+4)&amp;"-W"&amp;TEXT(_xludf.ISOWEEKNUM($J366),"00"))</f>
        <v/>
      </c>
      <c r="B366"/>
      <c r="C366" t="str">
        <f>IF($J366="","",SUMIFS('Hours Log'!$C:$C,'Hours Log'!$A:$A,"&gt;="&amp;$J366,'Hours Log'!$A:$A,"&lt;"&amp;$J366+7)+SUMIFS('Hours Log'!$D:$D,'Hours Log'!$A:$A,"&gt;="&amp;$J366,'Hours Log'!$A:$A,"&lt;"&amp;$J366+7))</f>
        <v/>
      </c>
      <c r="D366" t="str">
        <f>IF($J366="","",SUMIFS('Hours Log'!$D:$D,'Hours Log'!$A:$A,"&gt;="&amp;$J366,'Hours Log'!$A:$A,"&lt;"&amp;$J366+7))</f>
        <v/>
      </c>
      <c r="E366" t="str">
        <f t="shared" si="10"/>
        <v/>
      </c>
      <c r="F366" t="str">
        <f t="shared" si="11"/>
        <v/>
      </c>
      <c r="G366" t="str">
        <f>IF($J366="","",SUMIFS('Hours Log'!$E:$E,'Hours Log'!$A:$A,"&gt;="&amp;$J366,'Hours Log'!$A:$A,"&lt;"&amp;$J366+7))</f>
        <v/>
      </c>
      <c r="J366" t="str">
        <f>IF(COUNT('Hours Log'!$A$4:$A$5000)=0,"",IF(MIN('Hours Log'!$A$4:$A$5000)+7*(ROW()-10)&gt;MAX('Hours Log'!$A$4:$A$5000),"",MIN('Hours Log'!$A$4:$A$5000)+7*(ROW()-10)))</f>
        <v/>
      </c>
    </row>
    <row r="367" spans="1:10" x14ac:dyDescent="0.25">
      <c r="A367" t="str">
        <f>IF($J367="","",YEAR($J367-WEEKDAY($J367,2)+4)&amp;"-W"&amp;TEXT(_xludf.ISOWEEKNUM($J367),"00"))</f>
        <v/>
      </c>
      <c r="B367"/>
      <c r="C367" t="str">
        <f>IF($J367="","",SUMIFS('Hours Log'!$C:$C,'Hours Log'!$A:$A,"&gt;="&amp;$J367,'Hours Log'!$A:$A,"&lt;"&amp;$J367+7)+SUMIFS('Hours Log'!$D:$D,'Hours Log'!$A:$A,"&gt;="&amp;$J367,'Hours Log'!$A:$A,"&lt;"&amp;$J367+7))</f>
        <v/>
      </c>
      <c r="D367" t="str">
        <f>IF($J367="","",SUMIFS('Hours Log'!$D:$D,'Hours Log'!$A:$A,"&gt;="&amp;$J367,'Hours Log'!$A:$A,"&lt;"&amp;$J367+7))</f>
        <v/>
      </c>
      <c r="E367" t="str">
        <f t="shared" si="10"/>
        <v/>
      </c>
      <c r="F367" t="str">
        <f t="shared" si="11"/>
        <v/>
      </c>
      <c r="G367" t="str">
        <f>IF($J367="","",SUMIFS('Hours Log'!$E:$E,'Hours Log'!$A:$A,"&gt;="&amp;$J367,'Hours Log'!$A:$A,"&lt;"&amp;$J367+7))</f>
        <v/>
      </c>
      <c r="J367" t="str">
        <f>IF(COUNT('Hours Log'!$A$4:$A$5000)=0,"",IF(MIN('Hours Log'!$A$4:$A$5000)+7*(ROW()-10)&gt;MAX('Hours Log'!$A$4:$A$5000),"",MIN('Hours Log'!$A$4:$A$5000)+7*(ROW()-10)))</f>
        <v/>
      </c>
    </row>
    <row r="368" spans="1:10" x14ac:dyDescent="0.25">
      <c r="A368" t="str">
        <f>IF($J368="","",YEAR($J368-WEEKDAY($J368,2)+4)&amp;"-W"&amp;TEXT(_xludf.ISOWEEKNUM($J368),"00"))</f>
        <v/>
      </c>
      <c r="B368"/>
      <c r="C368" t="str">
        <f>IF($J368="","",SUMIFS('Hours Log'!$C:$C,'Hours Log'!$A:$A,"&gt;="&amp;$J368,'Hours Log'!$A:$A,"&lt;"&amp;$J368+7)+SUMIFS('Hours Log'!$D:$D,'Hours Log'!$A:$A,"&gt;="&amp;$J368,'Hours Log'!$A:$A,"&lt;"&amp;$J368+7))</f>
        <v/>
      </c>
      <c r="D368" t="str">
        <f>IF($J368="","",SUMIFS('Hours Log'!$D:$D,'Hours Log'!$A:$A,"&gt;="&amp;$J368,'Hours Log'!$A:$A,"&lt;"&amp;$J368+7))</f>
        <v/>
      </c>
      <c r="E368" t="str">
        <f t="shared" si="10"/>
        <v/>
      </c>
      <c r="F368" t="str">
        <f t="shared" si="11"/>
        <v/>
      </c>
      <c r="G368" t="str">
        <f>IF($J368="","",SUMIFS('Hours Log'!$E:$E,'Hours Log'!$A:$A,"&gt;="&amp;$J368,'Hours Log'!$A:$A,"&lt;"&amp;$J368+7))</f>
        <v/>
      </c>
      <c r="J368" t="str">
        <f>IF(COUNT('Hours Log'!$A$4:$A$5000)=0,"",IF(MIN('Hours Log'!$A$4:$A$5000)+7*(ROW()-10)&gt;MAX('Hours Log'!$A$4:$A$5000),"",MIN('Hours Log'!$A$4:$A$5000)+7*(ROW()-10)))</f>
        <v/>
      </c>
    </row>
    <row r="369" spans="1:10" x14ac:dyDescent="0.25">
      <c r="A369" t="str">
        <f>IF($J369="","",YEAR($J369-WEEKDAY($J369,2)+4)&amp;"-W"&amp;TEXT(_xludf.ISOWEEKNUM($J369),"00"))</f>
        <v/>
      </c>
      <c r="B369"/>
      <c r="C369" t="str">
        <f>IF($J369="","",SUMIFS('Hours Log'!$C:$C,'Hours Log'!$A:$A,"&gt;="&amp;$J369,'Hours Log'!$A:$A,"&lt;"&amp;$J369+7)+SUMIFS('Hours Log'!$D:$D,'Hours Log'!$A:$A,"&gt;="&amp;$J369,'Hours Log'!$A:$A,"&lt;"&amp;$J369+7))</f>
        <v/>
      </c>
      <c r="D369" t="str">
        <f>IF($J369="","",SUMIFS('Hours Log'!$D:$D,'Hours Log'!$A:$A,"&gt;="&amp;$J369,'Hours Log'!$A:$A,"&lt;"&amp;$J369+7))</f>
        <v/>
      </c>
      <c r="E369" t="str">
        <f t="shared" si="10"/>
        <v/>
      </c>
      <c r="F369" t="str">
        <f t="shared" si="11"/>
        <v/>
      </c>
      <c r="G369" t="str">
        <f>IF($J369="","",SUMIFS('Hours Log'!$E:$E,'Hours Log'!$A:$A,"&gt;="&amp;$J369,'Hours Log'!$A:$A,"&lt;"&amp;$J369+7))</f>
        <v/>
      </c>
      <c r="J369" t="str">
        <f>IF(COUNT('Hours Log'!$A$4:$A$5000)=0,"",IF(MIN('Hours Log'!$A$4:$A$5000)+7*(ROW()-10)&gt;MAX('Hours Log'!$A$4:$A$5000),"",MIN('Hours Log'!$A$4:$A$5000)+7*(ROW()-10)))</f>
        <v/>
      </c>
    </row>
    <row r="370" spans="1:10" x14ac:dyDescent="0.25">
      <c r="A370" t="str">
        <f>IF($J370="","",YEAR($J370-WEEKDAY($J370,2)+4)&amp;"-W"&amp;TEXT(_xludf.ISOWEEKNUM($J370),"00"))</f>
        <v/>
      </c>
      <c r="B370"/>
      <c r="C370" t="str">
        <f>IF($J370="","",SUMIFS('Hours Log'!$C:$C,'Hours Log'!$A:$A,"&gt;="&amp;$J370,'Hours Log'!$A:$A,"&lt;"&amp;$J370+7)+SUMIFS('Hours Log'!$D:$D,'Hours Log'!$A:$A,"&gt;="&amp;$J370,'Hours Log'!$A:$A,"&lt;"&amp;$J370+7))</f>
        <v/>
      </c>
      <c r="D370" t="str">
        <f>IF($J370="","",SUMIFS('Hours Log'!$D:$D,'Hours Log'!$A:$A,"&gt;="&amp;$J370,'Hours Log'!$A:$A,"&lt;"&amp;$J370+7))</f>
        <v/>
      </c>
      <c r="E370" t="str">
        <f t="shared" si="10"/>
        <v/>
      </c>
      <c r="F370" t="str">
        <f t="shared" si="11"/>
        <v/>
      </c>
      <c r="G370" t="str">
        <f>IF($J370="","",SUMIFS('Hours Log'!$E:$E,'Hours Log'!$A:$A,"&gt;="&amp;$J370,'Hours Log'!$A:$A,"&lt;"&amp;$J370+7))</f>
        <v/>
      </c>
      <c r="J370" t="str">
        <f>IF(COUNT('Hours Log'!$A$4:$A$5000)=0,"",IF(MIN('Hours Log'!$A$4:$A$5000)+7*(ROW()-10)&gt;MAX('Hours Log'!$A$4:$A$5000),"",MIN('Hours Log'!$A$4:$A$5000)+7*(ROW()-10)))</f>
        <v/>
      </c>
    </row>
    <row r="371" spans="1:10" x14ac:dyDescent="0.25">
      <c r="A371" t="str">
        <f>IF($J371="","",YEAR($J371-WEEKDAY($J371,2)+4)&amp;"-W"&amp;TEXT(_xludf.ISOWEEKNUM($J371),"00"))</f>
        <v/>
      </c>
      <c r="B371"/>
      <c r="C371" t="str">
        <f>IF($J371="","",SUMIFS('Hours Log'!$C:$C,'Hours Log'!$A:$A,"&gt;="&amp;$J371,'Hours Log'!$A:$A,"&lt;"&amp;$J371+7)+SUMIFS('Hours Log'!$D:$D,'Hours Log'!$A:$A,"&gt;="&amp;$J371,'Hours Log'!$A:$A,"&lt;"&amp;$J371+7))</f>
        <v/>
      </c>
      <c r="D371" t="str">
        <f>IF($J371="","",SUMIFS('Hours Log'!$D:$D,'Hours Log'!$A:$A,"&gt;="&amp;$J371,'Hours Log'!$A:$A,"&lt;"&amp;$J371+7))</f>
        <v/>
      </c>
      <c r="E371" t="str">
        <f t="shared" si="10"/>
        <v/>
      </c>
      <c r="F371" t="str">
        <f t="shared" si="11"/>
        <v/>
      </c>
      <c r="G371" t="str">
        <f>IF($J371="","",SUMIFS('Hours Log'!$E:$E,'Hours Log'!$A:$A,"&gt;="&amp;$J371,'Hours Log'!$A:$A,"&lt;"&amp;$J371+7))</f>
        <v/>
      </c>
      <c r="J371" t="str">
        <f>IF(COUNT('Hours Log'!$A$4:$A$5000)=0,"",IF(MIN('Hours Log'!$A$4:$A$5000)+7*(ROW()-10)&gt;MAX('Hours Log'!$A$4:$A$5000),"",MIN('Hours Log'!$A$4:$A$5000)+7*(ROW()-10)))</f>
        <v/>
      </c>
    </row>
    <row r="372" spans="1:10" x14ac:dyDescent="0.25">
      <c r="A372" t="str">
        <f>IF($J372="","",YEAR($J372-WEEKDAY($J372,2)+4)&amp;"-W"&amp;TEXT(_xludf.ISOWEEKNUM($J372),"00"))</f>
        <v/>
      </c>
      <c r="B372"/>
      <c r="C372" t="str">
        <f>IF($J372="","",SUMIFS('Hours Log'!$C:$C,'Hours Log'!$A:$A,"&gt;="&amp;$J372,'Hours Log'!$A:$A,"&lt;"&amp;$J372+7)+SUMIFS('Hours Log'!$D:$D,'Hours Log'!$A:$A,"&gt;="&amp;$J372,'Hours Log'!$A:$A,"&lt;"&amp;$J372+7))</f>
        <v/>
      </c>
      <c r="D372" t="str">
        <f>IF($J372="","",SUMIFS('Hours Log'!$D:$D,'Hours Log'!$A:$A,"&gt;="&amp;$J372,'Hours Log'!$A:$A,"&lt;"&amp;$J372+7))</f>
        <v/>
      </c>
      <c r="E372" t="str">
        <f t="shared" si="10"/>
        <v/>
      </c>
      <c r="F372" t="str">
        <f t="shared" si="11"/>
        <v/>
      </c>
      <c r="G372" t="str">
        <f>IF($J372="","",SUMIFS('Hours Log'!$E:$E,'Hours Log'!$A:$A,"&gt;="&amp;$J372,'Hours Log'!$A:$A,"&lt;"&amp;$J372+7))</f>
        <v/>
      </c>
      <c r="J372" t="str">
        <f>IF(COUNT('Hours Log'!$A$4:$A$5000)=0,"",IF(MIN('Hours Log'!$A$4:$A$5000)+7*(ROW()-10)&gt;MAX('Hours Log'!$A$4:$A$5000),"",MIN('Hours Log'!$A$4:$A$5000)+7*(ROW()-10)))</f>
        <v/>
      </c>
    </row>
    <row r="373" spans="1:10" x14ac:dyDescent="0.25">
      <c r="A373" t="str">
        <f>IF($J373="","",YEAR($J373-WEEKDAY($J373,2)+4)&amp;"-W"&amp;TEXT(_xludf.ISOWEEKNUM($J373),"00"))</f>
        <v/>
      </c>
      <c r="B373"/>
      <c r="C373" t="str">
        <f>IF($J373="","",SUMIFS('Hours Log'!$C:$C,'Hours Log'!$A:$A,"&gt;="&amp;$J373,'Hours Log'!$A:$A,"&lt;"&amp;$J373+7)+SUMIFS('Hours Log'!$D:$D,'Hours Log'!$A:$A,"&gt;="&amp;$J373,'Hours Log'!$A:$A,"&lt;"&amp;$J373+7))</f>
        <v/>
      </c>
      <c r="D373" t="str">
        <f>IF($J373="","",SUMIFS('Hours Log'!$D:$D,'Hours Log'!$A:$A,"&gt;="&amp;$J373,'Hours Log'!$A:$A,"&lt;"&amp;$J373+7))</f>
        <v/>
      </c>
      <c r="E373" t="str">
        <f t="shared" si="10"/>
        <v/>
      </c>
      <c r="F373" t="str">
        <f t="shared" si="11"/>
        <v/>
      </c>
      <c r="G373" t="str">
        <f>IF($J373="","",SUMIFS('Hours Log'!$E:$E,'Hours Log'!$A:$A,"&gt;="&amp;$J373,'Hours Log'!$A:$A,"&lt;"&amp;$J373+7))</f>
        <v/>
      </c>
      <c r="J373" t="str">
        <f>IF(COUNT('Hours Log'!$A$4:$A$5000)=0,"",IF(MIN('Hours Log'!$A$4:$A$5000)+7*(ROW()-10)&gt;MAX('Hours Log'!$A$4:$A$5000),"",MIN('Hours Log'!$A$4:$A$5000)+7*(ROW()-10)))</f>
        <v/>
      </c>
    </row>
    <row r="374" spans="1:10" x14ac:dyDescent="0.25">
      <c r="A374" t="str">
        <f>IF($J374="","",YEAR($J374-WEEKDAY($J374,2)+4)&amp;"-W"&amp;TEXT(_xludf.ISOWEEKNUM($J374),"00"))</f>
        <v/>
      </c>
      <c r="B374"/>
      <c r="C374" t="str">
        <f>IF($J374="","",SUMIFS('Hours Log'!$C:$C,'Hours Log'!$A:$A,"&gt;="&amp;$J374,'Hours Log'!$A:$A,"&lt;"&amp;$J374+7)+SUMIFS('Hours Log'!$D:$D,'Hours Log'!$A:$A,"&gt;="&amp;$J374,'Hours Log'!$A:$A,"&lt;"&amp;$J374+7))</f>
        <v/>
      </c>
      <c r="D374" t="str">
        <f>IF($J374="","",SUMIFS('Hours Log'!$D:$D,'Hours Log'!$A:$A,"&gt;="&amp;$J374,'Hours Log'!$A:$A,"&lt;"&amp;$J374+7))</f>
        <v/>
      </c>
      <c r="E374" t="str">
        <f t="shared" si="10"/>
        <v/>
      </c>
      <c r="F374" t="str">
        <f t="shared" si="11"/>
        <v/>
      </c>
      <c r="G374" t="str">
        <f>IF($J374="","",SUMIFS('Hours Log'!$E:$E,'Hours Log'!$A:$A,"&gt;="&amp;$J374,'Hours Log'!$A:$A,"&lt;"&amp;$J374+7))</f>
        <v/>
      </c>
      <c r="J374" t="str">
        <f>IF(COUNT('Hours Log'!$A$4:$A$5000)=0,"",IF(MIN('Hours Log'!$A$4:$A$5000)+7*(ROW()-10)&gt;MAX('Hours Log'!$A$4:$A$5000),"",MIN('Hours Log'!$A$4:$A$5000)+7*(ROW()-10)))</f>
        <v/>
      </c>
    </row>
    <row r="375" spans="1:10" x14ac:dyDescent="0.25">
      <c r="A375" t="str">
        <f>IF($J375="","",YEAR($J375-WEEKDAY($J375,2)+4)&amp;"-W"&amp;TEXT(_xludf.ISOWEEKNUM($J375),"00"))</f>
        <v/>
      </c>
      <c r="B375"/>
      <c r="C375" t="str">
        <f>IF($J375="","",SUMIFS('Hours Log'!$C:$C,'Hours Log'!$A:$A,"&gt;="&amp;$J375,'Hours Log'!$A:$A,"&lt;"&amp;$J375+7)+SUMIFS('Hours Log'!$D:$D,'Hours Log'!$A:$A,"&gt;="&amp;$J375,'Hours Log'!$A:$A,"&lt;"&amp;$J375+7))</f>
        <v/>
      </c>
      <c r="D375" t="str">
        <f>IF($J375="","",SUMIFS('Hours Log'!$D:$D,'Hours Log'!$A:$A,"&gt;="&amp;$J375,'Hours Log'!$A:$A,"&lt;"&amp;$J375+7))</f>
        <v/>
      </c>
      <c r="E375" t="str">
        <f t="shared" si="10"/>
        <v/>
      </c>
      <c r="F375" t="str">
        <f t="shared" si="11"/>
        <v/>
      </c>
      <c r="G375" t="str">
        <f>IF($J375="","",SUMIFS('Hours Log'!$E:$E,'Hours Log'!$A:$A,"&gt;="&amp;$J375,'Hours Log'!$A:$A,"&lt;"&amp;$J375+7))</f>
        <v/>
      </c>
      <c r="J375" t="str">
        <f>IF(COUNT('Hours Log'!$A$4:$A$5000)=0,"",IF(MIN('Hours Log'!$A$4:$A$5000)+7*(ROW()-10)&gt;MAX('Hours Log'!$A$4:$A$5000),"",MIN('Hours Log'!$A$4:$A$5000)+7*(ROW()-10)))</f>
        <v/>
      </c>
    </row>
    <row r="376" spans="1:10" x14ac:dyDescent="0.25">
      <c r="A376" t="str">
        <f>IF($J376="","",YEAR($J376-WEEKDAY($J376,2)+4)&amp;"-W"&amp;TEXT(_xludf.ISOWEEKNUM($J376),"00"))</f>
        <v/>
      </c>
      <c r="B376"/>
      <c r="C376" t="str">
        <f>IF($J376="","",SUMIFS('Hours Log'!$C:$C,'Hours Log'!$A:$A,"&gt;="&amp;$J376,'Hours Log'!$A:$A,"&lt;"&amp;$J376+7)+SUMIFS('Hours Log'!$D:$D,'Hours Log'!$A:$A,"&gt;="&amp;$J376,'Hours Log'!$A:$A,"&lt;"&amp;$J376+7))</f>
        <v/>
      </c>
      <c r="D376" t="str">
        <f>IF($J376="","",SUMIFS('Hours Log'!$D:$D,'Hours Log'!$A:$A,"&gt;="&amp;$J376,'Hours Log'!$A:$A,"&lt;"&amp;$J376+7))</f>
        <v/>
      </c>
      <c r="E376" t="str">
        <f t="shared" si="10"/>
        <v/>
      </c>
      <c r="F376" t="str">
        <f t="shared" si="11"/>
        <v/>
      </c>
      <c r="G376" t="str">
        <f>IF($J376="","",SUMIFS('Hours Log'!$E:$E,'Hours Log'!$A:$A,"&gt;="&amp;$J376,'Hours Log'!$A:$A,"&lt;"&amp;$J376+7))</f>
        <v/>
      </c>
      <c r="J376" t="str">
        <f>IF(COUNT('Hours Log'!$A$4:$A$5000)=0,"",IF(MIN('Hours Log'!$A$4:$A$5000)+7*(ROW()-10)&gt;MAX('Hours Log'!$A$4:$A$5000),"",MIN('Hours Log'!$A$4:$A$5000)+7*(ROW()-10)))</f>
        <v/>
      </c>
    </row>
    <row r="377" spans="1:10" x14ac:dyDescent="0.25">
      <c r="A377" t="str">
        <f>IF($J377="","",YEAR($J377-WEEKDAY($J377,2)+4)&amp;"-W"&amp;TEXT(_xludf.ISOWEEKNUM($J377),"00"))</f>
        <v/>
      </c>
      <c r="B377"/>
      <c r="C377" t="str">
        <f>IF($J377="","",SUMIFS('Hours Log'!$C:$C,'Hours Log'!$A:$A,"&gt;="&amp;$J377,'Hours Log'!$A:$A,"&lt;"&amp;$J377+7)+SUMIFS('Hours Log'!$D:$D,'Hours Log'!$A:$A,"&gt;="&amp;$J377,'Hours Log'!$A:$A,"&lt;"&amp;$J377+7))</f>
        <v/>
      </c>
      <c r="D377" t="str">
        <f>IF($J377="","",SUMIFS('Hours Log'!$D:$D,'Hours Log'!$A:$A,"&gt;="&amp;$J377,'Hours Log'!$A:$A,"&lt;"&amp;$J377+7))</f>
        <v/>
      </c>
      <c r="E377" t="str">
        <f t="shared" si="10"/>
        <v/>
      </c>
      <c r="F377" t="str">
        <f t="shared" si="11"/>
        <v/>
      </c>
      <c r="G377" t="str">
        <f>IF($J377="","",SUMIFS('Hours Log'!$E:$E,'Hours Log'!$A:$A,"&gt;="&amp;$J377,'Hours Log'!$A:$A,"&lt;"&amp;$J377+7))</f>
        <v/>
      </c>
      <c r="J377" t="str">
        <f>IF(COUNT('Hours Log'!$A$4:$A$5000)=0,"",IF(MIN('Hours Log'!$A$4:$A$5000)+7*(ROW()-10)&gt;MAX('Hours Log'!$A$4:$A$5000),"",MIN('Hours Log'!$A$4:$A$5000)+7*(ROW()-10)))</f>
        <v/>
      </c>
    </row>
    <row r="378" spans="1:10" x14ac:dyDescent="0.25">
      <c r="A378" t="str">
        <f>IF($J378="","",YEAR($J378-WEEKDAY($J378,2)+4)&amp;"-W"&amp;TEXT(_xludf.ISOWEEKNUM($J378),"00"))</f>
        <v/>
      </c>
      <c r="B378"/>
      <c r="C378" t="str">
        <f>IF($J378="","",SUMIFS('Hours Log'!$C:$C,'Hours Log'!$A:$A,"&gt;="&amp;$J378,'Hours Log'!$A:$A,"&lt;"&amp;$J378+7)+SUMIFS('Hours Log'!$D:$D,'Hours Log'!$A:$A,"&gt;="&amp;$J378,'Hours Log'!$A:$A,"&lt;"&amp;$J378+7))</f>
        <v/>
      </c>
      <c r="D378" t="str">
        <f>IF($J378="","",SUMIFS('Hours Log'!$D:$D,'Hours Log'!$A:$A,"&gt;="&amp;$J378,'Hours Log'!$A:$A,"&lt;"&amp;$J378+7))</f>
        <v/>
      </c>
      <c r="E378" t="str">
        <f t="shared" si="10"/>
        <v/>
      </c>
      <c r="F378" t="str">
        <f t="shared" si="11"/>
        <v/>
      </c>
      <c r="G378" t="str">
        <f>IF($J378="","",SUMIFS('Hours Log'!$E:$E,'Hours Log'!$A:$A,"&gt;="&amp;$J378,'Hours Log'!$A:$A,"&lt;"&amp;$J378+7))</f>
        <v/>
      </c>
      <c r="J378" t="str">
        <f>IF(COUNT('Hours Log'!$A$4:$A$5000)=0,"",IF(MIN('Hours Log'!$A$4:$A$5000)+7*(ROW()-10)&gt;MAX('Hours Log'!$A$4:$A$5000),"",MIN('Hours Log'!$A$4:$A$5000)+7*(ROW()-10)))</f>
        <v/>
      </c>
    </row>
    <row r="379" spans="1:10" x14ac:dyDescent="0.25">
      <c r="A379" t="str">
        <f>IF($J379="","",YEAR($J379-WEEKDAY($J379,2)+4)&amp;"-W"&amp;TEXT(_xludf.ISOWEEKNUM($J379),"00"))</f>
        <v/>
      </c>
      <c r="B379"/>
      <c r="C379" t="str">
        <f>IF($J379="","",SUMIFS('Hours Log'!$C:$C,'Hours Log'!$A:$A,"&gt;="&amp;$J379,'Hours Log'!$A:$A,"&lt;"&amp;$J379+7)+SUMIFS('Hours Log'!$D:$D,'Hours Log'!$A:$A,"&gt;="&amp;$J379,'Hours Log'!$A:$A,"&lt;"&amp;$J379+7))</f>
        <v/>
      </c>
      <c r="D379" t="str">
        <f>IF($J379="","",SUMIFS('Hours Log'!$D:$D,'Hours Log'!$A:$A,"&gt;="&amp;$J379,'Hours Log'!$A:$A,"&lt;"&amp;$J379+7))</f>
        <v/>
      </c>
      <c r="E379" t="str">
        <f t="shared" si="10"/>
        <v/>
      </c>
      <c r="F379" t="str">
        <f t="shared" si="11"/>
        <v/>
      </c>
      <c r="G379" t="str">
        <f>IF($J379="","",SUMIFS('Hours Log'!$E:$E,'Hours Log'!$A:$A,"&gt;="&amp;$J379,'Hours Log'!$A:$A,"&lt;"&amp;$J379+7))</f>
        <v/>
      </c>
      <c r="J379" t="str">
        <f>IF(COUNT('Hours Log'!$A$4:$A$5000)=0,"",IF(MIN('Hours Log'!$A$4:$A$5000)+7*(ROW()-10)&gt;MAX('Hours Log'!$A$4:$A$5000),"",MIN('Hours Log'!$A$4:$A$5000)+7*(ROW()-10)))</f>
        <v/>
      </c>
    </row>
    <row r="380" spans="1:10" x14ac:dyDescent="0.25">
      <c r="A380" t="str">
        <f>IF($J380="","",YEAR($J380-WEEKDAY($J380,2)+4)&amp;"-W"&amp;TEXT(_xludf.ISOWEEKNUM($J380),"00"))</f>
        <v/>
      </c>
      <c r="B380"/>
      <c r="C380" t="str">
        <f>IF($J380="","",SUMIFS('Hours Log'!$C:$C,'Hours Log'!$A:$A,"&gt;="&amp;$J380,'Hours Log'!$A:$A,"&lt;"&amp;$J380+7)+SUMIFS('Hours Log'!$D:$D,'Hours Log'!$A:$A,"&gt;="&amp;$J380,'Hours Log'!$A:$A,"&lt;"&amp;$J380+7))</f>
        <v/>
      </c>
      <c r="D380" t="str">
        <f>IF($J380="","",SUMIFS('Hours Log'!$D:$D,'Hours Log'!$A:$A,"&gt;="&amp;$J380,'Hours Log'!$A:$A,"&lt;"&amp;$J380+7))</f>
        <v/>
      </c>
      <c r="E380" t="str">
        <f t="shared" si="10"/>
        <v/>
      </c>
      <c r="F380" t="str">
        <f t="shared" si="11"/>
        <v/>
      </c>
      <c r="G380" t="str">
        <f>IF($J380="","",SUMIFS('Hours Log'!$E:$E,'Hours Log'!$A:$A,"&gt;="&amp;$J380,'Hours Log'!$A:$A,"&lt;"&amp;$J380+7))</f>
        <v/>
      </c>
      <c r="J380" t="str">
        <f>IF(COUNT('Hours Log'!$A$4:$A$5000)=0,"",IF(MIN('Hours Log'!$A$4:$A$5000)+7*(ROW()-10)&gt;MAX('Hours Log'!$A$4:$A$5000),"",MIN('Hours Log'!$A$4:$A$5000)+7*(ROW()-10)))</f>
        <v/>
      </c>
    </row>
    <row r="381" spans="1:10" x14ac:dyDescent="0.25">
      <c r="A381" t="str">
        <f>IF($J381="","",YEAR($J381-WEEKDAY($J381,2)+4)&amp;"-W"&amp;TEXT(_xludf.ISOWEEKNUM($J381),"00"))</f>
        <v/>
      </c>
      <c r="B381"/>
      <c r="C381" t="str">
        <f>IF($J381="","",SUMIFS('Hours Log'!$C:$C,'Hours Log'!$A:$A,"&gt;="&amp;$J381,'Hours Log'!$A:$A,"&lt;"&amp;$J381+7)+SUMIFS('Hours Log'!$D:$D,'Hours Log'!$A:$A,"&gt;="&amp;$J381,'Hours Log'!$A:$A,"&lt;"&amp;$J381+7))</f>
        <v/>
      </c>
      <c r="D381" t="str">
        <f>IF($J381="","",SUMIFS('Hours Log'!$D:$D,'Hours Log'!$A:$A,"&gt;="&amp;$J381,'Hours Log'!$A:$A,"&lt;"&amp;$J381+7))</f>
        <v/>
      </c>
      <c r="E381" t="str">
        <f t="shared" si="10"/>
        <v/>
      </c>
      <c r="F381" t="str">
        <f t="shared" si="11"/>
        <v/>
      </c>
      <c r="G381" t="str">
        <f>IF($J381="","",SUMIFS('Hours Log'!$E:$E,'Hours Log'!$A:$A,"&gt;="&amp;$J381,'Hours Log'!$A:$A,"&lt;"&amp;$J381+7))</f>
        <v/>
      </c>
      <c r="J381" t="str">
        <f>IF(COUNT('Hours Log'!$A$4:$A$5000)=0,"",IF(MIN('Hours Log'!$A$4:$A$5000)+7*(ROW()-10)&gt;MAX('Hours Log'!$A$4:$A$5000),"",MIN('Hours Log'!$A$4:$A$5000)+7*(ROW()-10)))</f>
        <v/>
      </c>
    </row>
    <row r="382" spans="1:10" x14ac:dyDescent="0.25">
      <c r="A382" t="str">
        <f>IF($J382="","",YEAR($J382-WEEKDAY($J382,2)+4)&amp;"-W"&amp;TEXT(_xludf.ISOWEEKNUM($J382),"00"))</f>
        <v/>
      </c>
      <c r="B382"/>
      <c r="C382" t="str">
        <f>IF($J382="","",SUMIFS('Hours Log'!$C:$C,'Hours Log'!$A:$A,"&gt;="&amp;$J382,'Hours Log'!$A:$A,"&lt;"&amp;$J382+7)+SUMIFS('Hours Log'!$D:$D,'Hours Log'!$A:$A,"&gt;="&amp;$J382,'Hours Log'!$A:$A,"&lt;"&amp;$J382+7))</f>
        <v/>
      </c>
      <c r="D382" t="str">
        <f>IF($J382="","",SUMIFS('Hours Log'!$D:$D,'Hours Log'!$A:$A,"&gt;="&amp;$J382,'Hours Log'!$A:$A,"&lt;"&amp;$J382+7))</f>
        <v/>
      </c>
      <c r="E382" t="str">
        <f t="shared" si="10"/>
        <v/>
      </c>
      <c r="F382" t="str">
        <f t="shared" si="11"/>
        <v/>
      </c>
      <c r="G382" t="str">
        <f>IF($J382="","",SUMIFS('Hours Log'!$E:$E,'Hours Log'!$A:$A,"&gt;="&amp;$J382,'Hours Log'!$A:$A,"&lt;"&amp;$J382+7))</f>
        <v/>
      </c>
      <c r="J382" t="str">
        <f>IF(COUNT('Hours Log'!$A$4:$A$5000)=0,"",IF(MIN('Hours Log'!$A$4:$A$5000)+7*(ROW()-10)&gt;MAX('Hours Log'!$A$4:$A$5000),"",MIN('Hours Log'!$A$4:$A$5000)+7*(ROW()-10)))</f>
        <v/>
      </c>
    </row>
    <row r="383" spans="1:10" x14ac:dyDescent="0.25">
      <c r="A383" t="str">
        <f>IF($J383="","",YEAR($J383-WEEKDAY($J383,2)+4)&amp;"-W"&amp;TEXT(_xludf.ISOWEEKNUM($J383),"00"))</f>
        <v/>
      </c>
      <c r="B383"/>
      <c r="C383" t="str">
        <f>IF($J383="","",SUMIFS('Hours Log'!$C:$C,'Hours Log'!$A:$A,"&gt;="&amp;$J383,'Hours Log'!$A:$A,"&lt;"&amp;$J383+7)+SUMIFS('Hours Log'!$D:$D,'Hours Log'!$A:$A,"&gt;="&amp;$J383,'Hours Log'!$A:$A,"&lt;"&amp;$J383+7))</f>
        <v/>
      </c>
      <c r="D383" t="str">
        <f>IF($J383="","",SUMIFS('Hours Log'!$D:$D,'Hours Log'!$A:$A,"&gt;="&amp;$J383,'Hours Log'!$A:$A,"&lt;"&amp;$J383+7))</f>
        <v/>
      </c>
      <c r="E383" t="str">
        <f t="shared" si="10"/>
        <v/>
      </c>
      <c r="F383" t="str">
        <f t="shared" si="11"/>
        <v/>
      </c>
      <c r="G383" t="str">
        <f>IF($J383="","",SUMIFS('Hours Log'!$E:$E,'Hours Log'!$A:$A,"&gt;="&amp;$J383,'Hours Log'!$A:$A,"&lt;"&amp;$J383+7))</f>
        <v/>
      </c>
      <c r="J383" t="str">
        <f>IF(COUNT('Hours Log'!$A$4:$A$5000)=0,"",IF(MIN('Hours Log'!$A$4:$A$5000)+7*(ROW()-10)&gt;MAX('Hours Log'!$A$4:$A$5000),"",MIN('Hours Log'!$A$4:$A$5000)+7*(ROW()-10)))</f>
        <v/>
      </c>
    </row>
    <row r="384" spans="1:10" x14ac:dyDescent="0.25">
      <c r="A384" t="str">
        <f>IF($J384="","",YEAR($J384-WEEKDAY($J384,2)+4)&amp;"-W"&amp;TEXT(_xludf.ISOWEEKNUM($J384),"00"))</f>
        <v/>
      </c>
      <c r="B384"/>
      <c r="C384" t="str">
        <f>IF($J384="","",SUMIFS('Hours Log'!$C:$C,'Hours Log'!$A:$A,"&gt;="&amp;$J384,'Hours Log'!$A:$A,"&lt;"&amp;$J384+7)+SUMIFS('Hours Log'!$D:$D,'Hours Log'!$A:$A,"&gt;="&amp;$J384,'Hours Log'!$A:$A,"&lt;"&amp;$J384+7))</f>
        <v/>
      </c>
      <c r="D384" t="str">
        <f>IF($J384="","",SUMIFS('Hours Log'!$D:$D,'Hours Log'!$A:$A,"&gt;="&amp;$J384,'Hours Log'!$A:$A,"&lt;"&amp;$J384+7))</f>
        <v/>
      </c>
      <c r="E384" t="str">
        <f t="shared" si="10"/>
        <v/>
      </c>
      <c r="F384" t="str">
        <f t="shared" si="11"/>
        <v/>
      </c>
      <c r="G384" t="str">
        <f>IF($J384="","",SUMIFS('Hours Log'!$E:$E,'Hours Log'!$A:$A,"&gt;="&amp;$J384,'Hours Log'!$A:$A,"&lt;"&amp;$J384+7))</f>
        <v/>
      </c>
      <c r="J384" t="str">
        <f>IF(COUNT('Hours Log'!$A$4:$A$5000)=0,"",IF(MIN('Hours Log'!$A$4:$A$5000)+7*(ROW()-10)&gt;MAX('Hours Log'!$A$4:$A$5000),"",MIN('Hours Log'!$A$4:$A$5000)+7*(ROW()-10)))</f>
        <v/>
      </c>
    </row>
    <row r="385" spans="1:10" x14ac:dyDescent="0.25">
      <c r="A385" t="str">
        <f>IF($J385="","",YEAR($J385-WEEKDAY($J385,2)+4)&amp;"-W"&amp;TEXT(_xludf.ISOWEEKNUM($J385),"00"))</f>
        <v/>
      </c>
      <c r="B385"/>
      <c r="C385" t="str">
        <f>IF($J385="","",SUMIFS('Hours Log'!$C:$C,'Hours Log'!$A:$A,"&gt;="&amp;$J385,'Hours Log'!$A:$A,"&lt;"&amp;$J385+7)+SUMIFS('Hours Log'!$D:$D,'Hours Log'!$A:$A,"&gt;="&amp;$J385,'Hours Log'!$A:$A,"&lt;"&amp;$J385+7))</f>
        <v/>
      </c>
      <c r="D385" t="str">
        <f>IF($J385="","",SUMIFS('Hours Log'!$D:$D,'Hours Log'!$A:$A,"&gt;="&amp;$J385,'Hours Log'!$A:$A,"&lt;"&amp;$J385+7))</f>
        <v/>
      </c>
      <c r="E385" t="str">
        <f t="shared" si="10"/>
        <v/>
      </c>
      <c r="F385" t="str">
        <f t="shared" si="11"/>
        <v/>
      </c>
      <c r="G385" t="str">
        <f>IF($J385="","",SUMIFS('Hours Log'!$E:$E,'Hours Log'!$A:$A,"&gt;="&amp;$J385,'Hours Log'!$A:$A,"&lt;"&amp;$J385+7))</f>
        <v/>
      </c>
      <c r="J385" t="str">
        <f>IF(COUNT('Hours Log'!$A$4:$A$5000)=0,"",IF(MIN('Hours Log'!$A$4:$A$5000)+7*(ROW()-10)&gt;MAX('Hours Log'!$A$4:$A$5000),"",MIN('Hours Log'!$A$4:$A$5000)+7*(ROW()-10)))</f>
        <v/>
      </c>
    </row>
    <row r="386" spans="1:10" x14ac:dyDescent="0.25">
      <c r="A386" t="str">
        <f>IF($J386="","",YEAR($J386-WEEKDAY($J386,2)+4)&amp;"-W"&amp;TEXT(_xludf.ISOWEEKNUM($J386),"00"))</f>
        <v/>
      </c>
      <c r="B386"/>
      <c r="C386" t="str">
        <f>IF($J386="","",SUMIFS('Hours Log'!$C:$C,'Hours Log'!$A:$A,"&gt;="&amp;$J386,'Hours Log'!$A:$A,"&lt;"&amp;$J386+7)+SUMIFS('Hours Log'!$D:$D,'Hours Log'!$A:$A,"&gt;="&amp;$J386,'Hours Log'!$A:$A,"&lt;"&amp;$J386+7))</f>
        <v/>
      </c>
      <c r="D386" t="str">
        <f>IF($J386="","",SUMIFS('Hours Log'!$D:$D,'Hours Log'!$A:$A,"&gt;="&amp;$J386,'Hours Log'!$A:$A,"&lt;"&amp;$J386+7))</f>
        <v/>
      </c>
      <c r="E386" t="str">
        <f t="shared" si="10"/>
        <v/>
      </c>
      <c r="F386" t="str">
        <f t="shared" si="11"/>
        <v/>
      </c>
      <c r="G386" t="str">
        <f>IF($J386="","",SUMIFS('Hours Log'!$E:$E,'Hours Log'!$A:$A,"&gt;="&amp;$J386,'Hours Log'!$A:$A,"&lt;"&amp;$J386+7))</f>
        <v/>
      </c>
      <c r="J386" t="str">
        <f>IF(COUNT('Hours Log'!$A$4:$A$5000)=0,"",IF(MIN('Hours Log'!$A$4:$A$5000)+7*(ROW()-10)&gt;MAX('Hours Log'!$A$4:$A$5000),"",MIN('Hours Log'!$A$4:$A$5000)+7*(ROW()-10)))</f>
        <v/>
      </c>
    </row>
    <row r="387" spans="1:10" x14ac:dyDescent="0.25">
      <c r="A387" t="str">
        <f>IF($J387="","",YEAR($J387-WEEKDAY($J387,2)+4)&amp;"-W"&amp;TEXT(_xludf.ISOWEEKNUM($J387),"00"))</f>
        <v/>
      </c>
      <c r="B387"/>
      <c r="C387" t="str">
        <f>IF($J387="","",SUMIFS('Hours Log'!$C:$C,'Hours Log'!$A:$A,"&gt;="&amp;$J387,'Hours Log'!$A:$A,"&lt;"&amp;$J387+7)+SUMIFS('Hours Log'!$D:$D,'Hours Log'!$A:$A,"&gt;="&amp;$J387,'Hours Log'!$A:$A,"&lt;"&amp;$J387+7))</f>
        <v/>
      </c>
      <c r="D387" t="str">
        <f>IF($J387="","",SUMIFS('Hours Log'!$D:$D,'Hours Log'!$A:$A,"&gt;="&amp;$J387,'Hours Log'!$A:$A,"&lt;"&amp;$J387+7))</f>
        <v/>
      </c>
      <c r="E387" t="str">
        <f t="shared" si="10"/>
        <v/>
      </c>
      <c r="F387" t="str">
        <f t="shared" si="11"/>
        <v/>
      </c>
      <c r="G387" t="str">
        <f>IF($J387="","",SUMIFS('Hours Log'!$E:$E,'Hours Log'!$A:$A,"&gt;="&amp;$J387,'Hours Log'!$A:$A,"&lt;"&amp;$J387+7))</f>
        <v/>
      </c>
      <c r="J387" t="str">
        <f>IF(COUNT('Hours Log'!$A$4:$A$5000)=0,"",IF(MIN('Hours Log'!$A$4:$A$5000)+7*(ROW()-10)&gt;MAX('Hours Log'!$A$4:$A$5000),"",MIN('Hours Log'!$A$4:$A$5000)+7*(ROW()-10)))</f>
        <v/>
      </c>
    </row>
    <row r="388" spans="1:10" x14ac:dyDescent="0.25">
      <c r="A388" t="str">
        <f>IF($J388="","",YEAR($J388-WEEKDAY($J388,2)+4)&amp;"-W"&amp;TEXT(_xludf.ISOWEEKNUM($J388),"00"))</f>
        <v/>
      </c>
      <c r="B388"/>
      <c r="C388" t="str">
        <f>IF($J388="","",SUMIFS('Hours Log'!$C:$C,'Hours Log'!$A:$A,"&gt;="&amp;$J388,'Hours Log'!$A:$A,"&lt;"&amp;$J388+7)+SUMIFS('Hours Log'!$D:$D,'Hours Log'!$A:$A,"&gt;="&amp;$J388,'Hours Log'!$A:$A,"&lt;"&amp;$J388+7))</f>
        <v/>
      </c>
      <c r="D388" t="str">
        <f>IF($J388="","",SUMIFS('Hours Log'!$D:$D,'Hours Log'!$A:$A,"&gt;="&amp;$J388,'Hours Log'!$A:$A,"&lt;"&amp;$J388+7))</f>
        <v/>
      </c>
      <c r="E388" t="str">
        <f t="shared" si="10"/>
        <v/>
      </c>
      <c r="F388" t="str">
        <f t="shared" si="11"/>
        <v/>
      </c>
      <c r="G388" t="str">
        <f>IF($J388="","",SUMIFS('Hours Log'!$E:$E,'Hours Log'!$A:$A,"&gt;="&amp;$J388,'Hours Log'!$A:$A,"&lt;"&amp;$J388+7))</f>
        <v/>
      </c>
      <c r="J388" t="str">
        <f>IF(COUNT('Hours Log'!$A$4:$A$5000)=0,"",IF(MIN('Hours Log'!$A$4:$A$5000)+7*(ROW()-10)&gt;MAX('Hours Log'!$A$4:$A$5000),"",MIN('Hours Log'!$A$4:$A$5000)+7*(ROW()-10)))</f>
        <v/>
      </c>
    </row>
    <row r="389" spans="1:10" x14ac:dyDescent="0.25">
      <c r="A389" t="str">
        <f>IF($J389="","",YEAR($J389-WEEKDAY($J389,2)+4)&amp;"-W"&amp;TEXT(_xludf.ISOWEEKNUM($J389),"00"))</f>
        <v/>
      </c>
      <c r="B389"/>
      <c r="C389" t="str">
        <f>IF($J389="","",SUMIFS('Hours Log'!$C:$C,'Hours Log'!$A:$A,"&gt;="&amp;$J389,'Hours Log'!$A:$A,"&lt;"&amp;$J389+7)+SUMIFS('Hours Log'!$D:$D,'Hours Log'!$A:$A,"&gt;="&amp;$J389,'Hours Log'!$A:$A,"&lt;"&amp;$J389+7))</f>
        <v/>
      </c>
      <c r="D389" t="str">
        <f>IF($J389="","",SUMIFS('Hours Log'!$D:$D,'Hours Log'!$A:$A,"&gt;="&amp;$J389,'Hours Log'!$A:$A,"&lt;"&amp;$J389+7))</f>
        <v/>
      </c>
      <c r="E389" t="str">
        <f t="shared" si="10"/>
        <v/>
      </c>
      <c r="F389" t="str">
        <f t="shared" si="11"/>
        <v/>
      </c>
      <c r="G389" t="str">
        <f>IF($J389="","",SUMIFS('Hours Log'!$E:$E,'Hours Log'!$A:$A,"&gt;="&amp;$J389,'Hours Log'!$A:$A,"&lt;"&amp;$J389+7))</f>
        <v/>
      </c>
      <c r="J389" t="str">
        <f>IF(COUNT('Hours Log'!$A$4:$A$5000)=0,"",IF(MIN('Hours Log'!$A$4:$A$5000)+7*(ROW()-10)&gt;MAX('Hours Log'!$A$4:$A$5000),"",MIN('Hours Log'!$A$4:$A$5000)+7*(ROW()-10)))</f>
        <v/>
      </c>
    </row>
    <row r="390" spans="1:10" x14ac:dyDescent="0.25">
      <c r="A390" t="str">
        <f>IF($J390="","",YEAR($J390-WEEKDAY($J390,2)+4)&amp;"-W"&amp;TEXT(_xludf.ISOWEEKNUM($J390),"00"))</f>
        <v/>
      </c>
      <c r="B390"/>
      <c r="C390" t="str">
        <f>IF($J390="","",SUMIFS('Hours Log'!$C:$C,'Hours Log'!$A:$A,"&gt;="&amp;$J390,'Hours Log'!$A:$A,"&lt;"&amp;$J390+7)+SUMIFS('Hours Log'!$D:$D,'Hours Log'!$A:$A,"&gt;="&amp;$J390,'Hours Log'!$A:$A,"&lt;"&amp;$J390+7))</f>
        <v/>
      </c>
      <c r="D390" t="str">
        <f>IF($J390="","",SUMIFS('Hours Log'!$D:$D,'Hours Log'!$A:$A,"&gt;="&amp;$J390,'Hours Log'!$A:$A,"&lt;"&amp;$J390+7))</f>
        <v/>
      </c>
      <c r="E390" t="str">
        <f t="shared" si="10"/>
        <v/>
      </c>
      <c r="F390" t="str">
        <f t="shared" si="11"/>
        <v/>
      </c>
      <c r="G390" t="str">
        <f>IF($J390="","",SUMIFS('Hours Log'!$E:$E,'Hours Log'!$A:$A,"&gt;="&amp;$J390,'Hours Log'!$A:$A,"&lt;"&amp;$J390+7))</f>
        <v/>
      </c>
      <c r="J390" t="str">
        <f>IF(COUNT('Hours Log'!$A$4:$A$5000)=0,"",IF(MIN('Hours Log'!$A$4:$A$5000)+7*(ROW()-10)&gt;MAX('Hours Log'!$A$4:$A$5000),"",MIN('Hours Log'!$A$4:$A$5000)+7*(ROW()-10)))</f>
        <v/>
      </c>
    </row>
    <row r="391" spans="1:10" x14ac:dyDescent="0.25">
      <c r="A391" t="str">
        <f>IF($J391="","",YEAR($J391-WEEKDAY($J391,2)+4)&amp;"-W"&amp;TEXT(_xludf.ISOWEEKNUM($J391),"00"))</f>
        <v/>
      </c>
      <c r="B391"/>
      <c r="C391" t="str">
        <f>IF($J391="","",SUMIFS('Hours Log'!$C:$C,'Hours Log'!$A:$A,"&gt;="&amp;$J391,'Hours Log'!$A:$A,"&lt;"&amp;$J391+7)+SUMIFS('Hours Log'!$D:$D,'Hours Log'!$A:$A,"&gt;="&amp;$J391,'Hours Log'!$A:$A,"&lt;"&amp;$J391+7))</f>
        <v/>
      </c>
      <c r="D391" t="str">
        <f>IF($J391="","",SUMIFS('Hours Log'!$D:$D,'Hours Log'!$A:$A,"&gt;="&amp;$J391,'Hours Log'!$A:$A,"&lt;"&amp;$J391+7))</f>
        <v/>
      </c>
      <c r="E391" t="str">
        <f t="shared" si="10"/>
        <v/>
      </c>
      <c r="F391" t="str">
        <f t="shared" si="11"/>
        <v/>
      </c>
      <c r="G391" t="str">
        <f>IF($J391="","",SUMIFS('Hours Log'!$E:$E,'Hours Log'!$A:$A,"&gt;="&amp;$J391,'Hours Log'!$A:$A,"&lt;"&amp;$J391+7))</f>
        <v/>
      </c>
      <c r="J391" t="str">
        <f>IF(COUNT('Hours Log'!$A$4:$A$5000)=0,"",IF(MIN('Hours Log'!$A$4:$A$5000)+7*(ROW()-10)&gt;MAX('Hours Log'!$A$4:$A$5000),"",MIN('Hours Log'!$A$4:$A$5000)+7*(ROW()-10)))</f>
        <v/>
      </c>
    </row>
    <row r="392" spans="1:10" x14ac:dyDescent="0.25">
      <c r="A392" t="str">
        <f>IF($J392="","",YEAR($J392-WEEKDAY($J392,2)+4)&amp;"-W"&amp;TEXT(_xludf.ISOWEEKNUM($J392),"00"))</f>
        <v/>
      </c>
      <c r="B392"/>
      <c r="C392" t="str">
        <f>IF($J392="","",SUMIFS('Hours Log'!$C:$C,'Hours Log'!$A:$A,"&gt;="&amp;$J392,'Hours Log'!$A:$A,"&lt;"&amp;$J392+7)+SUMIFS('Hours Log'!$D:$D,'Hours Log'!$A:$A,"&gt;="&amp;$J392,'Hours Log'!$A:$A,"&lt;"&amp;$J392+7))</f>
        <v/>
      </c>
      <c r="D392" t="str">
        <f>IF($J392="","",SUMIFS('Hours Log'!$D:$D,'Hours Log'!$A:$A,"&gt;="&amp;$J392,'Hours Log'!$A:$A,"&lt;"&amp;$J392+7))</f>
        <v/>
      </c>
      <c r="E392" t="str">
        <f t="shared" si="10"/>
        <v/>
      </c>
      <c r="F392" t="str">
        <f t="shared" si="11"/>
        <v/>
      </c>
      <c r="G392" t="str">
        <f>IF($J392="","",SUMIFS('Hours Log'!$E:$E,'Hours Log'!$A:$A,"&gt;="&amp;$J392,'Hours Log'!$A:$A,"&lt;"&amp;$J392+7))</f>
        <v/>
      </c>
      <c r="J392" t="str">
        <f>IF(COUNT('Hours Log'!$A$4:$A$5000)=0,"",IF(MIN('Hours Log'!$A$4:$A$5000)+7*(ROW()-10)&gt;MAX('Hours Log'!$A$4:$A$5000),"",MIN('Hours Log'!$A$4:$A$5000)+7*(ROW()-10)))</f>
        <v/>
      </c>
    </row>
    <row r="393" spans="1:10" x14ac:dyDescent="0.25">
      <c r="A393" t="str">
        <f>IF($J393="","",YEAR($J393-WEEKDAY($J393,2)+4)&amp;"-W"&amp;TEXT(_xludf.ISOWEEKNUM($J393),"00"))</f>
        <v/>
      </c>
      <c r="B393"/>
      <c r="C393" t="str">
        <f>IF($J393="","",SUMIFS('Hours Log'!$C:$C,'Hours Log'!$A:$A,"&gt;="&amp;$J393,'Hours Log'!$A:$A,"&lt;"&amp;$J393+7)+SUMIFS('Hours Log'!$D:$D,'Hours Log'!$A:$A,"&gt;="&amp;$J393,'Hours Log'!$A:$A,"&lt;"&amp;$J393+7))</f>
        <v/>
      </c>
      <c r="D393" t="str">
        <f>IF($J393="","",SUMIFS('Hours Log'!$D:$D,'Hours Log'!$A:$A,"&gt;="&amp;$J393,'Hours Log'!$A:$A,"&lt;"&amp;$J393+7))</f>
        <v/>
      </c>
      <c r="E393" t="str">
        <f t="shared" si="10"/>
        <v/>
      </c>
      <c r="F393" t="str">
        <f t="shared" si="11"/>
        <v/>
      </c>
      <c r="G393" t="str">
        <f>IF($J393="","",SUMIFS('Hours Log'!$E:$E,'Hours Log'!$A:$A,"&gt;="&amp;$J393,'Hours Log'!$A:$A,"&lt;"&amp;$J393+7))</f>
        <v/>
      </c>
      <c r="J393" t="str">
        <f>IF(COUNT('Hours Log'!$A$4:$A$5000)=0,"",IF(MIN('Hours Log'!$A$4:$A$5000)+7*(ROW()-10)&gt;MAX('Hours Log'!$A$4:$A$5000),"",MIN('Hours Log'!$A$4:$A$5000)+7*(ROW()-10)))</f>
        <v/>
      </c>
    </row>
    <row r="394" spans="1:10" x14ac:dyDescent="0.25">
      <c r="A394" t="str">
        <f>IF($J394="","",YEAR($J394-WEEKDAY($J394,2)+4)&amp;"-W"&amp;TEXT(_xludf.ISOWEEKNUM($J394),"00"))</f>
        <v/>
      </c>
      <c r="B394"/>
      <c r="C394" t="str">
        <f>IF($J394="","",SUMIFS('Hours Log'!$C:$C,'Hours Log'!$A:$A,"&gt;="&amp;$J394,'Hours Log'!$A:$A,"&lt;"&amp;$J394+7)+SUMIFS('Hours Log'!$D:$D,'Hours Log'!$A:$A,"&gt;="&amp;$J394,'Hours Log'!$A:$A,"&lt;"&amp;$J394+7))</f>
        <v/>
      </c>
      <c r="D394" t="str">
        <f>IF($J394="","",SUMIFS('Hours Log'!$D:$D,'Hours Log'!$A:$A,"&gt;="&amp;$J394,'Hours Log'!$A:$A,"&lt;"&amp;$J394+7))</f>
        <v/>
      </c>
      <c r="E394" t="str">
        <f t="shared" ref="E394:E457" si="12">IF($J394="","",IFERROR(C394/(B394*40),0))</f>
        <v/>
      </c>
      <c r="F394" t="str">
        <f t="shared" ref="F394:F457" si="13">IF($J394="","",0)</f>
        <v/>
      </c>
      <c r="G394" t="str">
        <f>IF($J394="","",SUMIFS('Hours Log'!$E:$E,'Hours Log'!$A:$A,"&gt;="&amp;$J394,'Hours Log'!$A:$A,"&lt;"&amp;$J394+7))</f>
        <v/>
      </c>
      <c r="J394" t="str">
        <f>IF(COUNT('Hours Log'!$A$4:$A$5000)=0,"",IF(MIN('Hours Log'!$A$4:$A$5000)+7*(ROW()-10)&gt;MAX('Hours Log'!$A$4:$A$5000),"",MIN('Hours Log'!$A$4:$A$5000)+7*(ROW()-10)))</f>
        <v/>
      </c>
    </row>
    <row r="395" spans="1:10" x14ac:dyDescent="0.25">
      <c r="A395" t="str">
        <f>IF($J395="","",YEAR($J395-WEEKDAY($J395,2)+4)&amp;"-W"&amp;TEXT(_xludf.ISOWEEKNUM($J395),"00"))</f>
        <v/>
      </c>
      <c r="B395"/>
      <c r="C395" t="str">
        <f>IF($J395="","",SUMIFS('Hours Log'!$C:$C,'Hours Log'!$A:$A,"&gt;="&amp;$J395,'Hours Log'!$A:$A,"&lt;"&amp;$J395+7)+SUMIFS('Hours Log'!$D:$D,'Hours Log'!$A:$A,"&gt;="&amp;$J395,'Hours Log'!$A:$A,"&lt;"&amp;$J395+7))</f>
        <v/>
      </c>
      <c r="D395" t="str">
        <f>IF($J395="","",SUMIFS('Hours Log'!$D:$D,'Hours Log'!$A:$A,"&gt;="&amp;$J395,'Hours Log'!$A:$A,"&lt;"&amp;$J395+7))</f>
        <v/>
      </c>
      <c r="E395" t="str">
        <f t="shared" si="12"/>
        <v/>
      </c>
      <c r="F395" t="str">
        <f t="shared" si="13"/>
        <v/>
      </c>
      <c r="G395" t="str">
        <f>IF($J395="","",SUMIFS('Hours Log'!$E:$E,'Hours Log'!$A:$A,"&gt;="&amp;$J395,'Hours Log'!$A:$A,"&lt;"&amp;$J395+7))</f>
        <v/>
      </c>
      <c r="J395" t="str">
        <f>IF(COUNT('Hours Log'!$A$4:$A$5000)=0,"",IF(MIN('Hours Log'!$A$4:$A$5000)+7*(ROW()-10)&gt;MAX('Hours Log'!$A$4:$A$5000),"",MIN('Hours Log'!$A$4:$A$5000)+7*(ROW()-10)))</f>
        <v/>
      </c>
    </row>
    <row r="396" spans="1:10" x14ac:dyDescent="0.25">
      <c r="A396" t="str">
        <f>IF($J396="","",YEAR($J396-WEEKDAY($J396,2)+4)&amp;"-W"&amp;TEXT(_xludf.ISOWEEKNUM($J396),"00"))</f>
        <v/>
      </c>
      <c r="B396"/>
      <c r="C396" t="str">
        <f>IF($J396="","",SUMIFS('Hours Log'!$C:$C,'Hours Log'!$A:$A,"&gt;="&amp;$J396,'Hours Log'!$A:$A,"&lt;"&amp;$J396+7)+SUMIFS('Hours Log'!$D:$D,'Hours Log'!$A:$A,"&gt;="&amp;$J396,'Hours Log'!$A:$A,"&lt;"&amp;$J396+7))</f>
        <v/>
      </c>
      <c r="D396" t="str">
        <f>IF($J396="","",SUMIFS('Hours Log'!$D:$D,'Hours Log'!$A:$A,"&gt;="&amp;$J396,'Hours Log'!$A:$A,"&lt;"&amp;$J396+7))</f>
        <v/>
      </c>
      <c r="E396" t="str">
        <f t="shared" si="12"/>
        <v/>
      </c>
      <c r="F396" t="str">
        <f t="shared" si="13"/>
        <v/>
      </c>
      <c r="G396" t="str">
        <f>IF($J396="","",SUMIFS('Hours Log'!$E:$E,'Hours Log'!$A:$A,"&gt;="&amp;$J396,'Hours Log'!$A:$A,"&lt;"&amp;$J396+7))</f>
        <v/>
      </c>
      <c r="J396" t="str">
        <f>IF(COUNT('Hours Log'!$A$4:$A$5000)=0,"",IF(MIN('Hours Log'!$A$4:$A$5000)+7*(ROW()-10)&gt;MAX('Hours Log'!$A$4:$A$5000),"",MIN('Hours Log'!$A$4:$A$5000)+7*(ROW()-10)))</f>
        <v/>
      </c>
    </row>
    <row r="397" spans="1:10" x14ac:dyDescent="0.25">
      <c r="A397" t="str">
        <f>IF($J397="","",YEAR($J397-WEEKDAY($J397,2)+4)&amp;"-W"&amp;TEXT(_xludf.ISOWEEKNUM($J397),"00"))</f>
        <v/>
      </c>
      <c r="B397"/>
      <c r="C397" t="str">
        <f>IF($J397="","",SUMIFS('Hours Log'!$C:$C,'Hours Log'!$A:$A,"&gt;="&amp;$J397,'Hours Log'!$A:$A,"&lt;"&amp;$J397+7)+SUMIFS('Hours Log'!$D:$D,'Hours Log'!$A:$A,"&gt;="&amp;$J397,'Hours Log'!$A:$A,"&lt;"&amp;$J397+7))</f>
        <v/>
      </c>
      <c r="D397" t="str">
        <f>IF($J397="","",SUMIFS('Hours Log'!$D:$D,'Hours Log'!$A:$A,"&gt;="&amp;$J397,'Hours Log'!$A:$A,"&lt;"&amp;$J397+7))</f>
        <v/>
      </c>
      <c r="E397" t="str">
        <f t="shared" si="12"/>
        <v/>
      </c>
      <c r="F397" t="str">
        <f t="shared" si="13"/>
        <v/>
      </c>
      <c r="G397" t="str">
        <f>IF($J397="","",SUMIFS('Hours Log'!$E:$E,'Hours Log'!$A:$A,"&gt;="&amp;$J397,'Hours Log'!$A:$A,"&lt;"&amp;$J397+7))</f>
        <v/>
      </c>
      <c r="J397" t="str">
        <f>IF(COUNT('Hours Log'!$A$4:$A$5000)=0,"",IF(MIN('Hours Log'!$A$4:$A$5000)+7*(ROW()-10)&gt;MAX('Hours Log'!$A$4:$A$5000),"",MIN('Hours Log'!$A$4:$A$5000)+7*(ROW()-10)))</f>
        <v/>
      </c>
    </row>
    <row r="398" spans="1:10" x14ac:dyDescent="0.25">
      <c r="A398" t="str">
        <f>IF($J398="","",YEAR($J398-WEEKDAY($J398,2)+4)&amp;"-W"&amp;TEXT(_xludf.ISOWEEKNUM($J398),"00"))</f>
        <v/>
      </c>
      <c r="B398"/>
      <c r="C398" t="str">
        <f>IF($J398="","",SUMIFS('Hours Log'!$C:$C,'Hours Log'!$A:$A,"&gt;="&amp;$J398,'Hours Log'!$A:$A,"&lt;"&amp;$J398+7)+SUMIFS('Hours Log'!$D:$D,'Hours Log'!$A:$A,"&gt;="&amp;$J398,'Hours Log'!$A:$A,"&lt;"&amp;$J398+7))</f>
        <v/>
      </c>
      <c r="D398" t="str">
        <f>IF($J398="","",SUMIFS('Hours Log'!$D:$D,'Hours Log'!$A:$A,"&gt;="&amp;$J398,'Hours Log'!$A:$A,"&lt;"&amp;$J398+7))</f>
        <v/>
      </c>
      <c r="E398" t="str">
        <f t="shared" si="12"/>
        <v/>
      </c>
      <c r="F398" t="str">
        <f t="shared" si="13"/>
        <v/>
      </c>
      <c r="G398" t="str">
        <f>IF($J398="","",SUMIFS('Hours Log'!$E:$E,'Hours Log'!$A:$A,"&gt;="&amp;$J398,'Hours Log'!$A:$A,"&lt;"&amp;$J398+7))</f>
        <v/>
      </c>
      <c r="J398" t="str">
        <f>IF(COUNT('Hours Log'!$A$4:$A$5000)=0,"",IF(MIN('Hours Log'!$A$4:$A$5000)+7*(ROW()-10)&gt;MAX('Hours Log'!$A$4:$A$5000),"",MIN('Hours Log'!$A$4:$A$5000)+7*(ROW()-10)))</f>
        <v/>
      </c>
    </row>
    <row r="399" spans="1:10" x14ac:dyDescent="0.25">
      <c r="A399" t="str">
        <f>IF($J399="","",YEAR($J399-WEEKDAY($J399,2)+4)&amp;"-W"&amp;TEXT(_xludf.ISOWEEKNUM($J399),"00"))</f>
        <v/>
      </c>
      <c r="B399"/>
      <c r="C399" t="str">
        <f>IF($J399="","",SUMIFS('Hours Log'!$C:$C,'Hours Log'!$A:$A,"&gt;="&amp;$J399,'Hours Log'!$A:$A,"&lt;"&amp;$J399+7)+SUMIFS('Hours Log'!$D:$D,'Hours Log'!$A:$A,"&gt;="&amp;$J399,'Hours Log'!$A:$A,"&lt;"&amp;$J399+7))</f>
        <v/>
      </c>
      <c r="D399" t="str">
        <f>IF($J399="","",SUMIFS('Hours Log'!$D:$D,'Hours Log'!$A:$A,"&gt;="&amp;$J399,'Hours Log'!$A:$A,"&lt;"&amp;$J399+7))</f>
        <v/>
      </c>
      <c r="E399" t="str">
        <f t="shared" si="12"/>
        <v/>
      </c>
      <c r="F399" t="str">
        <f t="shared" si="13"/>
        <v/>
      </c>
      <c r="G399" t="str">
        <f>IF($J399="","",SUMIFS('Hours Log'!$E:$E,'Hours Log'!$A:$A,"&gt;="&amp;$J399,'Hours Log'!$A:$A,"&lt;"&amp;$J399+7))</f>
        <v/>
      </c>
      <c r="J399" t="str">
        <f>IF(COUNT('Hours Log'!$A$4:$A$5000)=0,"",IF(MIN('Hours Log'!$A$4:$A$5000)+7*(ROW()-10)&gt;MAX('Hours Log'!$A$4:$A$5000),"",MIN('Hours Log'!$A$4:$A$5000)+7*(ROW()-10)))</f>
        <v/>
      </c>
    </row>
    <row r="400" spans="1:10" x14ac:dyDescent="0.25">
      <c r="A400" t="str">
        <f>IF($J400="","",YEAR($J400-WEEKDAY($J400,2)+4)&amp;"-W"&amp;TEXT(_xludf.ISOWEEKNUM($J400),"00"))</f>
        <v/>
      </c>
      <c r="B400"/>
      <c r="C400" t="str">
        <f>IF($J400="","",SUMIFS('Hours Log'!$C:$C,'Hours Log'!$A:$A,"&gt;="&amp;$J400,'Hours Log'!$A:$A,"&lt;"&amp;$J400+7)+SUMIFS('Hours Log'!$D:$D,'Hours Log'!$A:$A,"&gt;="&amp;$J400,'Hours Log'!$A:$A,"&lt;"&amp;$J400+7))</f>
        <v/>
      </c>
      <c r="D400" t="str">
        <f>IF($J400="","",SUMIFS('Hours Log'!$D:$D,'Hours Log'!$A:$A,"&gt;="&amp;$J400,'Hours Log'!$A:$A,"&lt;"&amp;$J400+7))</f>
        <v/>
      </c>
      <c r="E400" t="str">
        <f t="shared" si="12"/>
        <v/>
      </c>
      <c r="F400" t="str">
        <f t="shared" si="13"/>
        <v/>
      </c>
      <c r="G400" t="str">
        <f>IF($J400="","",SUMIFS('Hours Log'!$E:$E,'Hours Log'!$A:$A,"&gt;="&amp;$J400,'Hours Log'!$A:$A,"&lt;"&amp;$J400+7))</f>
        <v/>
      </c>
      <c r="J400" t="str">
        <f>IF(COUNT('Hours Log'!$A$4:$A$5000)=0,"",IF(MIN('Hours Log'!$A$4:$A$5000)+7*(ROW()-10)&gt;MAX('Hours Log'!$A$4:$A$5000),"",MIN('Hours Log'!$A$4:$A$5000)+7*(ROW()-10)))</f>
        <v/>
      </c>
    </row>
    <row r="401" spans="1:10" x14ac:dyDescent="0.25">
      <c r="A401" t="str">
        <f>IF($J401="","",YEAR($J401-WEEKDAY($J401,2)+4)&amp;"-W"&amp;TEXT(_xludf.ISOWEEKNUM($J401),"00"))</f>
        <v/>
      </c>
      <c r="B401"/>
      <c r="C401" t="str">
        <f>IF($J401="","",SUMIFS('Hours Log'!$C:$C,'Hours Log'!$A:$A,"&gt;="&amp;$J401,'Hours Log'!$A:$A,"&lt;"&amp;$J401+7)+SUMIFS('Hours Log'!$D:$D,'Hours Log'!$A:$A,"&gt;="&amp;$J401,'Hours Log'!$A:$A,"&lt;"&amp;$J401+7))</f>
        <v/>
      </c>
      <c r="D401" t="str">
        <f>IF($J401="","",SUMIFS('Hours Log'!$D:$D,'Hours Log'!$A:$A,"&gt;="&amp;$J401,'Hours Log'!$A:$A,"&lt;"&amp;$J401+7))</f>
        <v/>
      </c>
      <c r="E401" t="str">
        <f t="shared" si="12"/>
        <v/>
      </c>
      <c r="F401" t="str">
        <f t="shared" si="13"/>
        <v/>
      </c>
      <c r="G401" t="str">
        <f>IF($J401="","",SUMIFS('Hours Log'!$E:$E,'Hours Log'!$A:$A,"&gt;="&amp;$J401,'Hours Log'!$A:$A,"&lt;"&amp;$J401+7))</f>
        <v/>
      </c>
      <c r="J401" t="str">
        <f>IF(COUNT('Hours Log'!$A$4:$A$5000)=0,"",IF(MIN('Hours Log'!$A$4:$A$5000)+7*(ROW()-10)&gt;MAX('Hours Log'!$A$4:$A$5000),"",MIN('Hours Log'!$A$4:$A$5000)+7*(ROW()-10)))</f>
        <v/>
      </c>
    </row>
    <row r="402" spans="1:10" x14ac:dyDescent="0.25">
      <c r="A402" t="str">
        <f>IF($J402="","",YEAR($J402-WEEKDAY($J402,2)+4)&amp;"-W"&amp;TEXT(_xludf.ISOWEEKNUM($J402),"00"))</f>
        <v/>
      </c>
      <c r="B402"/>
      <c r="C402" t="str">
        <f>IF($J402="","",SUMIFS('Hours Log'!$C:$C,'Hours Log'!$A:$A,"&gt;="&amp;$J402,'Hours Log'!$A:$A,"&lt;"&amp;$J402+7)+SUMIFS('Hours Log'!$D:$D,'Hours Log'!$A:$A,"&gt;="&amp;$J402,'Hours Log'!$A:$A,"&lt;"&amp;$J402+7))</f>
        <v/>
      </c>
      <c r="D402" t="str">
        <f>IF($J402="","",SUMIFS('Hours Log'!$D:$D,'Hours Log'!$A:$A,"&gt;="&amp;$J402,'Hours Log'!$A:$A,"&lt;"&amp;$J402+7))</f>
        <v/>
      </c>
      <c r="E402" t="str">
        <f t="shared" si="12"/>
        <v/>
      </c>
      <c r="F402" t="str">
        <f t="shared" si="13"/>
        <v/>
      </c>
      <c r="G402" t="str">
        <f>IF($J402="","",SUMIFS('Hours Log'!$E:$E,'Hours Log'!$A:$A,"&gt;="&amp;$J402,'Hours Log'!$A:$A,"&lt;"&amp;$J402+7))</f>
        <v/>
      </c>
      <c r="J402" t="str">
        <f>IF(COUNT('Hours Log'!$A$4:$A$5000)=0,"",IF(MIN('Hours Log'!$A$4:$A$5000)+7*(ROW()-10)&gt;MAX('Hours Log'!$A$4:$A$5000),"",MIN('Hours Log'!$A$4:$A$5000)+7*(ROW()-10)))</f>
        <v/>
      </c>
    </row>
    <row r="403" spans="1:10" x14ac:dyDescent="0.25">
      <c r="A403" t="str">
        <f>IF($J403="","",YEAR($J403-WEEKDAY($J403,2)+4)&amp;"-W"&amp;TEXT(_xludf.ISOWEEKNUM($J403),"00"))</f>
        <v/>
      </c>
      <c r="B403"/>
      <c r="C403" t="str">
        <f>IF($J403="","",SUMIFS('Hours Log'!$C:$C,'Hours Log'!$A:$A,"&gt;="&amp;$J403,'Hours Log'!$A:$A,"&lt;"&amp;$J403+7)+SUMIFS('Hours Log'!$D:$D,'Hours Log'!$A:$A,"&gt;="&amp;$J403,'Hours Log'!$A:$A,"&lt;"&amp;$J403+7))</f>
        <v/>
      </c>
      <c r="D403" t="str">
        <f>IF($J403="","",SUMIFS('Hours Log'!$D:$D,'Hours Log'!$A:$A,"&gt;="&amp;$J403,'Hours Log'!$A:$A,"&lt;"&amp;$J403+7))</f>
        <v/>
      </c>
      <c r="E403" t="str">
        <f t="shared" si="12"/>
        <v/>
      </c>
      <c r="F403" t="str">
        <f t="shared" si="13"/>
        <v/>
      </c>
      <c r="G403" t="str">
        <f>IF($J403="","",SUMIFS('Hours Log'!$E:$E,'Hours Log'!$A:$A,"&gt;="&amp;$J403,'Hours Log'!$A:$A,"&lt;"&amp;$J403+7))</f>
        <v/>
      </c>
      <c r="J403" t="str">
        <f>IF(COUNT('Hours Log'!$A$4:$A$5000)=0,"",IF(MIN('Hours Log'!$A$4:$A$5000)+7*(ROW()-10)&gt;MAX('Hours Log'!$A$4:$A$5000),"",MIN('Hours Log'!$A$4:$A$5000)+7*(ROW()-10)))</f>
        <v/>
      </c>
    </row>
    <row r="404" spans="1:10" x14ac:dyDescent="0.25">
      <c r="A404" t="str">
        <f>IF($J404="","",YEAR($J404-WEEKDAY($J404,2)+4)&amp;"-W"&amp;TEXT(_xludf.ISOWEEKNUM($J404),"00"))</f>
        <v/>
      </c>
      <c r="B404"/>
      <c r="C404" t="str">
        <f>IF($J404="","",SUMIFS('Hours Log'!$C:$C,'Hours Log'!$A:$A,"&gt;="&amp;$J404,'Hours Log'!$A:$A,"&lt;"&amp;$J404+7)+SUMIFS('Hours Log'!$D:$D,'Hours Log'!$A:$A,"&gt;="&amp;$J404,'Hours Log'!$A:$A,"&lt;"&amp;$J404+7))</f>
        <v/>
      </c>
      <c r="D404" t="str">
        <f>IF($J404="","",SUMIFS('Hours Log'!$D:$D,'Hours Log'!$A:$A,"&gt;="&amp;$J404,'Hours Log'!$A:$A,"&lt;"&amp;$J404+7))</f>
        <v/>
      </c>
      <c r="E404" t="str">
        <f t="shared" si="12"/>
        <v/>
      </c>
      <c r="F404" t="str">
        <f t="shared" si="13"/>
        <v/>
      </c>
      <c r="G404" t="str">
        <f>IF($J404="","",SUMIFS('Hours Log'!$E:$E,'Hours Log'!$A:$A,"&gt;="&amp;$J404,'Hours Log'!$A:$A,"&lt;"&amp;$J404+7))</f>
        <v/>
      </c>
      <c r="J404" t="str">
        <f>IF(COUNT('Hours Log'!$A$4:$A$5000)=0,"",IF(MIN('Hours Log'!$A$4:$A$5000)+7*(ROW()-10)&gt;MAX('Hours Log'!$A$4:$A$5000),"",MIN('Hours Log'!$A$4:$A$5000)+7*(ROW()-10)))</f>
        <v/>
      </c>
    </row>
    <row r="405" spans="1:10" x14ac:dyDescent="0.25">
      <c r="A405" t="str">
        <f>IF($J405="","",YEAR($J405-WEEKDAY($J405,2)+4)&amp;"-W"&amp;TEXT(_xludf.ISOWEEKNUM($J405),"00"))</f>
        <v/>
      </c>
      <c r="B405"/>
      <c r="C405" t="str">
        <f>IF($J405="","",SUMIFS('Hours Log'!$C:$C,'Hours Log'!$A:$A,"&gt;="&amp;$J405,'Hours Log'!$A:$A,"&lt;"&amp;$J405+7)+SUMIFS('Hours Log'!$D:$D,'Hours Log'!$A:$A,"&gt;="&amp;$J405,'Hours Log'!$A:$A,"&lt;"&amp;$J405+7))</f>
        <v/>
      </c>
      <c r="D405" t="str">
        <f>IF($J405="","",SUMIFS('Hours Log'!$D:$D,'Hours Log'!$A:$A,"&gt;="&amp;$J405,'Hours Log'!$A:$A,"&lt;"&amp;$J405+7))</f>
        <v/>
      </c>
      <c r="E405" t="str">
        <f t="shared" si="12"/>
        <v/>
      </c>
      <c r="F405" t="str">
        <f t="shared" si="13"/>
        <v/>
      </c>
      <c r="G405" t="str">
        <f>IF($J405="","",SUMIFS('Hours Log'!$E:$E,'Hours Log'!$A:$A,"&gt;="&amp;$J405,'Hours Log'!$A:$A,"&lt;"&amp;$J405+7))</f>
        <v/>
      </c>
      <c r="J405" t="str">
        <f>IF(COUNT('Hours Log'!$A$4:$A$5000)=0,"",IF(MIN('Hours Log'!$A$4:$A$5000)+7*(ROW()-10)&gt;MAX('Hours Log'!$A$4:$A$5000),"",MIN('Hours Log'!$A$4:$A$5000)+7*(ROW()-10)))</f>
        <v/>
      </c>
    </row>
    <row r="406" spans="1:10" x14ac:dyDescent="0.25">
      <c r="A406" t="str">
        <f>IF($J406="","",YEAR($J406-WEEKDAY($J406,2)+4)&amp;"-W"&amp;TEXT(_xludf.ISOWEEKNUM($J406),"00"))</f>
        <v/>
      </c>
      <c r="B406"/>
      <c r="C406" t="str">
        <f>IF($J406="","",SUMIFS('Hours Log'!$C:$C,'Hours Log'!$A:$A,"&gt;="&amp;$J406,'Hours Log'!$A:$A,"&lt;"&amp;$J406+7)+SUMIFS('Hours Log'!$D:$D,'Hours Log'!$A:$A,"&gt;="&amp;$J406,'Hours Log'!$A:$A,"&lt;"&amp;$J406+7))</f>
        <v/>
      </c>
      <c r="D406" t="str">
        <f>IF($J406="","",SUMIFS('Hours Log'!$D:$D,'Hours Log'!$A:$A,"&gt;="&amp;$J406,'Hours Log'!$A:$A,"&lt;"&amp;$J406+7))</f>
        <v/>
      </c>
      <c r="E406" t="str">
        <f t="shared" si="12"/>
        <v/>
      </c>
      <c r="F406" t="str">
        <f t="shared" si="13"/>
        <v/>
      </c>
      <c r="G406" t="str">
        <f>IF($J406="","",SUMIFS('Hours Log'!$E:$E,'Hours Log'!$A:$A,"&gt;="&amp;$J406,'Hours Log'!$A:$A,"&lt;"&amp;$J406+7))</f>
        <v/>
      </c>
      <c r="J406" t="str">
        <f>IF(COUNT('Hours Log'!$A$4:$A$5000)=0,"",IF(MIN('Hours Log'!$A$4:$A$5000)+7*(ROW()-10)&gt;MAX('Hours Log'!$A$4:$A$5000),"",MIN('Hours Log'!$A$4:$A$5000)+7*(ROW()-10)))</f>
        <v/>
      </c>
    </row>
    <row r="407" spans="1:10" x14ac:dyDescent="0.25">
      <c r="A407" t="str">
        <f>IF($J407="","",YEAR($J407-WEEKDAY($J407,2)+4)&amp;"-W"&amp;TEXT(_xludf.ISOWEEKNUM($J407),"00"))</f>
        <v/>
      </c>
      <c r="B407"/>
      <c r="C407" t="str">
        <f>IF($J407="","",SUMIFS('Hours Log'!$C:$C,'Hours Log'!$A:$A,"&gt;="&amp;$J407,'Hours Log'!$A:$A,"&lt;"&amp;$J407+7)+SUMIFS('Hours Log'!$D:$D,'Hours Log'!$A:$A,"&gt;="&amp;$J407,'Hours Log'!$A:$A,"&lt;"&amp;$J407+7))</f>
        <v/>
      </c>
      <c r="D407" t="str">
        <f>IF($J407="","",SUMIFS('Hours Log'!$D:$D,'Hours Log'!$A:$A,"&gt;="&amp;$J407,'Hours Log'!$A:$A,"&lt;"&amp;$J407+7))</f>
        <v/>
      </c>
      <c r="E407" t="str">
        <f t="shared" si="12"/>
        <v/>
      </c>
      <c r="F407" t="str">
        <f t="shared" si="13"/>
        <v/>
      </c>
      <c r="G407" t="str">
        <f>IF($J407="","",SUMIFS('Hours Log'!$E:$E,'Hours Log'!$A:$A,"&gt;="&amp;$J407,'Hours Log'!$A:$A,"&lt;"&amp;$J407+7))</f>
        <v/>
      </c>
      <c r="J407" t="str">
        <f>IF(COUNT('Hours Log'!$A$4:$A$5000)=0,"",IF(MIN('Hours Log'!$A$4:$A$5000)+7*(ROW()-10)&gt;MAX('Hours Log'!$A$4:$A$5000),"",MIN('Hours Log'!$A$4:$A$5000)+7*(ROW()-10)))</f>
        <v/>
      </c>
    </row>
    <row r="408" spans="1:10" x14ac:dyDescent="0.25">
      <c r="A408" t="str">
        <f>IF($J408="","",YEAR($J408-WEEKDAY($J408,2)+4)&amp;"-W"&amp;TEXT(_xludf.ISOWEEKNUM($J408),"00"))</f>
        <v/>
      </c>
      <c r="B408"/>
      <c r="C408" t="str">
        <f>IF($J408="","",SUMIFS('Hours Log'!$C:$C,'Hours Log'!$A:$A,"&gt;="&amp;$J408,'Hours Log'!$A:$A,"&lt;"&amp;$J408+7)+SUMIFS('Hours Log'!$D:$D,'Hours Log'!$A:$A,"&gt;="&amp;$J408,'Hours Log'!$A:$A,"&lt;"&amp;$J408+7))</f>
        <v/>
      </c>
      <c r="D408" t="str">
        <f>IF($J408="","",SUMIFS('Hours Log'!$D:$D,'Hours Log'!$A:$A,"&gt;="&amp;$J408,'Hours Log'!$A:$A,"&lt;"&amp;$J408+7))</f>
        <v/>
      </c>
      <c r="E408" t="str">
        <f t="shared" si="12"/>
        <v/>
      </c>
      <c r="F408" t="str">
        <f t="shared" si="13"/>
        <v/>
      </c>
      <c r="G408" t="str">
        <f>IF($J408="","",SUMIFS('Hours Log'!$E:$E,'Hours Log'!$A:$A,"&gt;="&amp;$J408,'Hours Log'!$A:$A,"&lt;"&amp;$J408+7))</f>
        <v/>
      </c>
      <c r="J408" t="str">
        <f>IF(COUNT('Hours Log'!$A$4:$A$5000)=0,"",IF(MIN('Hours Log'!$A$4:$A$5000)+7*(ROW()-10)&gt;MAX('Hours Log'!$A$4:$A$5000),"",MIN('Hours Log'!$A$4:$A$5000)+7*(ROW()-10)))</f>
        <v/>
      </c>
    </row>
    <row r="409" spans="1:10" x14ac:dyDescent="0.25">
      <c r="A409" t="str">
        <f>IF($J409="","",YEAR($J409-WEEKDAY($J409,2)+4)&amp;"-W"&amp;TEXT(_xludf.ISOWEEKNUM($J409),"00"))</f>
        <v/>
      </c>
      <c r="B409"/>
      <c r="C409" t="str">
        <f>IF($J409="","",SUMIFS('Hours Log'!$C:$C,'Hours Log'!$A:$A,"&gt;="&amp;$J409,'Hours Log'!$A:$A,"&lt;"&amp;$J409+7)+SUMIFS('Hours Log'!$D:$D,'Hours Log'!$A:$A,"&gt;="&amp;$J409,'Hours Log'!$A:$A,"&lt;"&amp;$J409+7))</f>
        <v/>
      </c>
      <c r="D409" t="str">
        <f>IF($J409="","",SUMIFS('Hours Log'!$D:$D,'Hours Log'!$A:$A,"&gt;="&amp;$J409,'Hours Log'!$A:$A,"&lt;"&amp;$J409+7))</f>
        <v/>
      </c>
      <c r="E409" t="str">
        <f t="shared" si="12"/>
        <v/>
      </c>
      <c r="F409" t="str">
        <f t="shared" si="13"/>
        <v/>
      </c>
      <c r="G409" t="str">
        <f>IF($J409="","",SUMIFS('Hours Log'!$E:$E,'Hours Log'!$A:$A,"&gt;="&amp;$J409,'Hours Log'!$A:$A,"&lt;"&amp;$J409+7))</f>
        <v/>
      </c>
      <c r="J409" t="str">
        <f>IF(COUNT('Hours Log'!$A$4:$A$5000)=0,"",IF(MIN('Hours Log'!$A$4:$A$5000)+7*(ROW()-10)&gt;MAX('Hours Log'!$A$4:$A$5000),"",MIN('Hours Log'!$A$4:$A$5000)+7*(ROW()-10)))</f>
        <v/>
      </c>
    </row>
    <row r="410" spans="1:10" x14ac:dyDescent="0.25">
      <c r="A410" t="str">
        <f>IF($J410="","",YEAR($J410-WEEKDAY($J410,2)+4)&amp;"-W"&amp;TEXT(_xludf.ISOWEEKNUM($J410),"00"))</f>
        <v/>
      </c>
      <c r="B410"/>
      <c r="C410" t="str">
        <f>IF($J410="","",SUMIFS('Hours Log'!$C:$C,'Hours Log'!$A:$A,"&gt;="&amp;$J410,'Hours Log'!$A:$A,"&lt;"&amp;$J410+7)+SUMIFS('Hours Log'!$D:$D,'Hours Log'!$A:$A,"&gt;="&amp;$J410,'Hours Log'!$A:$A,"&lt;"&amp;$J410+7))</f>
        <v/>
      </c>
      <c r="D410" t="str">
        <f>IF($J410="","",SUMIFS('Hours Log'!$D:$D,'Hours Log'!$A:$A,"&gt;="&amp;$J410,'Hours Log'!$A:$A,"&lt;"&amp;$J410+7))</f>
        <v/>
      </c>
      <c r="E410" t="str">
        <f t="shared" si="12"/>
        <v/>
      </c>
      <c r="F410" t="str">
        <f t="shared" si="13"/>
        <v/>
      </c>
      <c r="G410" t="str">
        <f>IF($J410="","",SUMIFS('Hours Log'!$E:$E,'Hours Log'!$A:$A,"&gt;="&amp;$J410,'Hours Log'!$A:$A,"&lt;"&amp;$J410+7))</f>
        <v/>
      </c>
      <c r="J410" t="str">
        <f>IF(COUNT('Hours Log'!$A$4:$A$5000)=0,"",IF(MIN('Hours Log'!$A$4:$A$5000)+7*(ROW()-10)&gt;MAX('Hours Log'!$A$4:$A$5000),"",MIN('Hours Log'!$A$4:$A$5000)+7*(ROW()-10)))</f>
        <v/>
      </c>
    </row>
    <row r="411" spans="1:10" x14ac:dyDescent="0.25">
      <c r="A411" t="str">
        <f>IF($J411="","",YEAR($J411-WEEKDAY($J411,2)+4)&amp;"-W"&amp;TEXT(_xludf.ISOWEEKNUM($J411),"00"))</f>
        <v/>
      </c>
      <c r="B411"/>
      <c r="C411" t="str">
        <f>IF($J411="","",SUMIFS('Hours Log'!$C:$C,'Hours Log'!$A:$A,"&gt;="&amp;$J411,'Hours Log'!$A:$A,"&lt;"&amp;$J411+7)+SUMIFS('Hours Log'!$D:$D,'Hours Log'!$A:$A,"&gt;="&amp;$J411,'Hours Log'!$A:$A,"&lt;"&amp;$J411+7))</f>
        <v/>
      </c>
      <c r="D411" t="str">
        <f>IF($J411="","",SUMIFS('Hours Log'!$D:$D,'Hours Log'!$A:$A,"&gt;="&amp;$J411,'Hours Log'!$A:$A,"&lt;"&amp;$J411+7))</f>
        <v/>
      </c>
      <c r="E411" t="str">
        <f t="shared" si="12"/>
        <v/>
      </c>
      <c r="F411" t="str">
        <f t="shared" si="13"/>
        <v/>
      </c>
      <c r="G411" t="str">
        <f>IF($J411="","",SUMIFS('Hours Log'!$E:$E,'Hours Log'!$A:$A,"&gt;="&amp;$J411,'Hours Log'!$A:$A,"&lt;"&amp;$J411+7))</f>
        <v/>
      </c>
      <c r="J411" t="str">
        <f>IF(COUNT('Hours Log'!$A$4:$A$5000)=0,"",IF(MIN('Hours Log'!$A$4:$A$5000)+7*(ROW()-10)&gt;MAX('Hours Log'!$A$4:$A$5000),"",MIN('Hours Log'!$A$4:$A$5000)+7*(ROW()-10)))</f>
        <v/>
      </c>
    </row>
    <row r="412" spans="1:10" x14ac:dyDescent="0.25">
      <c r="A412" t="str">
        <f>IF($J412="","",YEAR($J412-WEEKDAY($J412,2)+4)&amp;"-W"&amp;TEXT(_xludf.ISOWEEKNUM($J412),"00"))</f>
        <v/>
      </c>
      <c r="B412"/>
      <c r="C412" t="str">
        <f>IF($J412="","",SUMIFS('Hours Log'!$C:$C,'Hours Log'!$A:$A,"&gt;="&amp;$J412,'Hours Log'!$A:$A,"&lt;"&amp;$J412+7)+SUMIFS('Hours Log'!$D:$D,'Hours Log'!$A:$A,"&gt;="&amp;$J412,'Hours Log'!$A:$A,"&lt;"&amp;$J412+7))</f>
        <v/>
      </c>
      <c r="D412" t="str">
        <f>IF($J412="","",SUMIFS('Hours Log'!$D:$D,'Hours Log'!$A:$A,"&gt;="&amp;$J412,'Hours Log'!$A:$A,"&lt;"&amp;$J412+7))</f>
        <v/>
      </c>
      <c r="E412" t="str">
        <f t="shared" si="12"/>
        <v/>
      </c>
      <c r="F412" t="str">
        <f t="shared" si="13"/>
        <v/>
      </c>
      <c r="G412" t="str">
        <f>IF($J412="","",SUMIFS('Hours Log'!$E:$E,'Hours Log'!$A:$A,"&gt;="&amp;$J412,'Hours Log'!$A:$A,"&lt;"&amp;$J412+7))</f>
        <v/>
      </c>
      <c r="J412" t="str">
        <f>IF(COUNT('Hours Log'!$A$4:$A$5000)=0,"",IF(MIN('Hours Log'!$A$4:$A$5000)+7*(ROW()-10)&gt;MAX('Hours Log'!$A$4:$A$5000),"",MIN('Hours Log'!$A$4:$A$5000)+7*(ROW()-10)))</f>
        <v/>
      </c>
    </row>
    <row r="413" spans="1:10" x14ac:dyDescent="0.25">
      <c r="A413" t="str">
        <f>IF($J413="","",YEAR($J413-WEEKDAY($J413,2)+4)&amp;"-W"&amp;TEXT(_xludf.ISOWEEKNUM($J413),"00"))</f>
        <v/>
      </c>
      <c r="B413"/>
      <c r="C413" t="str">
        <f>IF($J413="","",SUMIFS('Hours Log'!$C:$C,'Hours Log'!$A:$A,"&gt;="&amp;$J413,'Hours Log'!$A:$A,"&lt;"&amp;$J413+7)+SUMIFS('Hours Log'!$D:$D,'Hours Log'!$A:$A,"&gt;="&amp;$J413,'Hours Log'!$A:$A,"&lt;"&amp;$J413+7))</f>
        <v/>
      </c>
      <c r="D413" t="str">
        <f>IF($J413="","",SUMIFS('Hours Log'!$D:$D,'Hours Log'!$A:$A,"&gt;="&amp;$J413,'Hours Log'!$A:$A,"&lt;"&amp;$J413+7))</f>
        <v/>
      </c>
      <c r="E413" t="str">
        <f t="shared" si="12"/>
        <v/>
      </c>
      <c r="F413" t="str">
        <f t="shared" si="13"/>
        <v/>
      </c>
      <c r="G413" t="str">
        <f>IF($J413="","",SUMIFS('Hours Log'!$E:$E,'Hours Log'!$A:$A,"&gt;="&amp;$J413,'Hours Log'!$A:$A,"&lt;"&amp;$J413+7))</f>
        <v/>
      </c>
      <c r="J413" t="str">
        <f>IF(COUNT('Hours Log'!$A$4:$A$5000)=0,"",IF(MIN('Hours Log'!$A$4:$A$5000)+7*(ROW()-10)&gt;MAX('Hours Log'!$A$4:$A$5000),"",MIN('Hours Log'!$A$4:$A$5000)+7*(ROW()-10)))</f>
        <v/>
      </c>
    </row>
    <row r="414" spans="1:10" x14ac:dyDescent="0.25">
      <c r="A414" t="str">
        <f>IF($J414="","",YEAR($J414-WEEKDAY($J414,2)+4)&amp;"-W"&amp;TEXT(_xludf.ISOWEEKNUM($J414),"00"))</f>
        <v/>
      </c>
      <c r="B414"/>
      <c r="C414" t="str">
        <f>IF($J414="","",SUMIFS('Hours Log'!$C:$C,'Hours Log'!$A:$A,"&gt;="&amp;$J414,'Hours Log'!$A:$A,"&lt;"&amp;$J414+7)+SUMIFS('Hours Log'!$D:$D,'Hours Log'!$A:$A,"&gt;="&amp;$J414,'Hours Log'!$A:$A,"&lt;"&amp;$J414+7))</f>
        <v/>
      </c>
      <c r="D414" t="str">
        <f>IF($J414="","",SUMIFS('Hours Log'!$D:$D,'Hours Log'!$A:$A,"&gt;="&amp;$J414,'Hours Log'!$A:$A,"&lt;"&amp;$J414+7))</f>
        <v/>
      </c>
      <c r="E414" t="str">
        <f t="shared" si="12"/>
        <v/>
      </c>
      <c r="F414" t="str">
        <f t="shared" si="13"/>
        <v/>
      </c>
      <c r="G414" t="str">
        <f>IF($J414="","",SUMIFS('Hours Log'!$E:$E,'Hours Log'!$A:$A,"&gt;="&amp;$J414,'Hours Log'!$A:$A,"&lt;"&amp;$J414+7))</f>
        <v/>
      </c>
      <c r="J414" t="str">
        <f>IF(COUNT('Hours Log'!$A$4:$A$5000)=0,"",IF(MIN('Hours Log'!$A$4:$A$5000)+7*(ROW()-10)&gt;MAX('Hours Log'!$A$4:$A$5000),"",MIN('Hours Log'!$A$4:$A$5000)+7*(ROW()-10)))</f>
        <v/>
      </c>
    </row>
    <row r="415" spans="1:10" x14ac:dyDescent="0.25">
      <c r="A415" t="str">
        <f>IF($J415="","",YEAR($J415-WEEKDAY($J415,2)+4)&amp;"-W"&amp;TEXT(_xludf.ISOWEEKNUM($J415),"00"))</f>
        <v/>
      </c>
      <c r="B415"/>
      <c r="C415" t="str">
        <f>IF($J415="","",SUMIFS('Hours Log'!$C:$C,'Hours Log'!$A:$A,"&gt;="&amp;$J415,'Hours Log'!$A:$A,"&lt;"&amp;$J415+7)+SUMIFS('Hours Log'!$D:$D,'Hours Log'!$A:$A,"&gt;="&amp;$J415,'Hours Log'!$A:$A,"&lt;"&amp;$J415+7))</f>
        <v/>
      </c>
      <c r="D415" t="str">
        <f>IF($J415="","",SUMIFS('Hours Log'!$D:$D,'Hours Log'!$A:$A,"&gt;="&amp;$J415,'Hours Log'!$A:$A,"&lt;"&amp;$J415+7))</f>
        <v/>
      </c>
      <c r="E415" t="str">
        <f t="shared" si="12"/>
        <v/>
      </c>
      <c r="F415" t="str">
        <f t="shared" si="13"/>
        <v/>
      </c>
      <c r="G415" t="str">
        <f>IF($J415="","",SUMIFS('Hours Log'!$E:$E,'Hours Log'!$A:$A,"&gt;="&amp;$J415,'Hours Log'!$A:$A,"&lt;"&amp;$J415+7))</f>
        <v/>
      </c>
      <c r="J415" t="str">
        <f>IF(COUNT('Hours Log'!$A$4:$A$5000)=0,"",IF(MIN('Hours Log'!$A$4:$A$5000)+7*(ROW()-10)&gt;MAX('Hours Log'!$A$4:$A$5000),"",MIN('Hours Log'!$A$4:$A$5000)+7*(ROW()-10)))</f>
        <v/>
      </c>
    </row>
    <row r="416" spans="1:10" x14ac:dyDescent="0.25">
      <c r="A416" t="str">
        <f>IF($J416="","",YEAR($J416-WEEKDAY($J416,2)+4)&amp;"-W"&amp;TEXT(_xludf.ISOWEEKNUM($J416),"00"))</f>
        <v/>
      </c>
      <c r="B416"/>
      <c r="C416" t="str">
        <f>IF($J416="","",SUMIFS('Hours Log'!$C:$C,'Hours Log'!$A:$A,"&gt;="&amp;$J416,'Hours Log'!$A:$A,"&lt;"&amp;$J416+7)+SUMIFS('Hours Log'!$D:$D,'Hours Log'!$A:$A,"&gt;="&amp;$J416,'Hours Log'!$A:$A,"&lt;"&amp;$J416+7))</f>
        <v/>
      </c>
      <c r="D416" t="str">
        <f>IF($J416="","",SUMIFS('Hours Log'!$D:$D,'Hours Log'!$A:$A,"&gt;="&amp;$J416,'Hours Log'!$A:$A,"&lt;"&amp;$J416+7))</f>
        <v/>
      </c>
      <c r="E416" t="str">
        <f t="shared" si="12"/>
        <v/>
      </c>
      <c r="F416" t="str">
        <f t="shared" si="13"/>
        <v/>
      </c>
      <c r="G416" t="str">
        <f>IF($J416="","",SUMIFS('Hours Log'!$E:$E,'Hours Log'!$A:$A,"&gt;="&amp;$J416,'Hours Log'!$A:$A,"&lt;"&amp;$J416+7))</f>
        <v/>
      </c>
      <c r="J416" t="str">
        <f>IF(COUNT('Hours Log'!$A$4:$A$5000)=0,"",IF(MIN('Hours Log'!$A$4:$A$5000)+7*(ROW()-10)&gt;MAX('Hours Log'!$A$4:$A$5000),"",MIN('Hours Log'!$A$4:$A$5000)+7*(ROW()-10)))</f>
        <v/>
      </c>
    </row>
    <row r="417" spans="1:10" x14ac:dyDescent="0.25">
      <c r="A417" t="str">
        <f>IF($J417="","",YEAR($J417-WEEKDAY($J417,2)+4)&amp;"-W"&amp;TEXT(_xludf.ISOWEEKNUM($J417),"00"))</f>
        <v/>
      </c>
      <c r="B417"/>
      <c r="C417" t="str">
        <f>IF($J417="","",SUMIFS('Hours Log'!$C:$C,'Hours Log'!$A:$A,"&gt;="&amp;$J417,'Hours Log'!$A:$A,"&lt;"&amp;$J417+7)+SUMIFS('Hours Log'!$D:$D,'Hours Log'!$A:$A,"&gt;="&amp;$J417,'Hours Log'!$A:$A,"&lt;"&amp;$J417+7))</f>
        <v/>
      </c>
      <c r="D417" t="str">
        <f>IF($J417="","",SUMIFS('Hours Log'!$D:$D,'Hours Log'!$A:$A,"&gt;="&amp;$J417,'Hours Log'!$A:$A,"&lt;"&amp;$J417+7))</f>
        <v/>
      </c>
      <c r="E417" t="str">
        <f t="shared" si="12"/>
        <v/>
      </c>
      <c r="F417" t="str">
        <f t="shared" si="13"/>
        <v/>
      </c>
      <c r="G417" t="str">
        <f>IF($J417="","",SUMIFS('Hours Log'!$E:$E,'Hours Log'!$A:$A,"&gt;="&amp;$J417,'Hours Log'!$A:$A,"&lt;"&amp;$J417+7))</f>
        <v/>
      </c>
      <c r="J417" t="str">
        <f>IF(COUNT('Hours Log'!$A$4:$A$5000)=0,"",IF(MIN('Hours Log'!$A$4:$A$5000)+7*(ROW()-10)&gt;MAX('Hours Log'!$A$4:$A$5000),"",MIN('Hours Log'!$A$4:$A$5000)+7*(ROW()-10)))</f>
        <v/>
      </c>
    </row>
    <row r="418" spans="1:10" x14ac:dyDescent="0.25">
      <c r="A418" t="str">
        <f>IF($J418="","",YEAR($J418-WEEKDAY($J418,2)+4)&amp;"-W"&amp;TEXT(_xludf.ISOWEEKNUM($J418),"00"))</f>
        <v/>
      </c>
      <c r="B418"/>
      <c r="C418" t="str">
        <f>IF($J418="","",SUMIFS('Hours Log'!$C:$C,'Hours Log'!$A:$A,"&gt;="&amp;$J418,'Hours Log'!$A:$A,"&lt;"&amp;$J418+7)+SUMIFS('Hours Log'!$D:$D,'Hours Log'!$A:$A,"&gt;="&amp;$J418,'Hours Log'!$A:$A,"&lt;"&amp;$J418+7))</f>
        <v/>
      </c>
      <c r="D418" t="str">
        <f>IF($J418="","",SUMIFS('Hours Log'!$D:$D,'Hours Log'!$A:$A,"&gt;="&amp;$J418,'Hours Log'!$A:$A,"&lt;"&amp;$J418+7))</f>
        <v/>
      </c>
      <c r="E418" t="str">
        <f t="shared" si="12"/>
        <v/>
      </c>
      <c r="F418" t="str">
        <f t="shared" si="13"/>
        <v/>
      </c>
      <c r="G418" t="str">
        <f>IF($J418="","",SUMIFS('Hours Log'!$E:$E,'Hours Log'!$A:$A,"&gt;="&amp;$J418,'Hours Log'!$A:$A,"&lt;"&amp;$J418+7))</f>
        <v/>
      </c>
      <c r="J418" t="str">
        <f>IF(COUNT('Hours Log'!$A$4:$A$5000)=0,"",IF(MIN('Hours Log'!$A$4:$A$5000)+7*(ROW()-10)&gt;MAX('Hours Log'!$A$4:$A$5000),"",MIN('Hours Log'!$A$4:$A$5000)+7*(ROW()-10)))</f>
        <v/>
      </c>
    </row>
    <row r="419" spans="1:10" x14ac:dyDescent="0.25">
      <c r="A419" t="str">
        <f>IF($J419="","",YEAR($J419-WEEKDAY($J419,2)+4)&amp;"-W"&amp;TEXT(_xludf.ISOWEEKNUM($J419),"00"))</f>
        <v/>
      </c>
      <c r="B419"/>
      <c r="C419" t="str">
        <f>IF($J419="","",SUMIFS('Hours Log'!$C:$C,'Hours Log'!$A:$A,"&gt;="&amp;$J419,'Hours Log'!$A:$A,"&lt;"&amp;$J419+7)+SUMIFS('Hours Log'!$D:$D,'Hours Log'!$A:$A,"&gt;="&amp;$J419,'Hours Log'!$A:$A,"&lt;"&amp;$J419+7))</f>
        <v/>
      </c>
      <c r="D419" t="str">
        <f>IF($J419="","",SUMIFS('Hours Log'!$D:$D,'Hours Log'!$A:$A,"&gt;="&amp;$J419,'Hours Log'!$A:$A,"&lt;"&amp;$J419+7))</f>
        <v/>
      </c>
      <c r="E419" t="str">
        <f t="shared" si="12"/>
        <v/>
      </c>
      <c r="F419" t="str">
        <f t="shared" si="13"/>
        <v/>
      </c>
      <c r="G419" t="str">
        <f>IF($J419="","",SUMIFS('Hours Log'!$E:$E,'Hours Log'!$A:$A,"&gt;="&amp;$J419,'Hours Log'!$A:$A,"&lt;"&amp;$J419+7))</f>
        <v/>
      </c>
      <c r="J419" t="str">
        <f>IF(COUNT('Hours Log'!$A$4:$A$5000)=0,"",IF(MIN('Hours Log'!$A$4:$A$5000)+7*(ROW()-10)&gt;MAX('Hours Log'!$A$4:$A$5000),"",MIN('Hours Log'!$A$4:$A$5000)+7*(ROW()-10)))</f>
        <v/>
      </c>
    </row>
    <row r="420" spans="1:10" x14ac:dyDescent="0.25">
      <c r="A420" t="str">
        <f>IF($J420="","",YEAR($J420-WEEKDAY($J420,2)+4)&amp;"-W"&amp;TEXT(_xludf.ISOWEEKNUM($J420),"00"))</f>
        <v/>
      </c>
      <c r="B420"/>
      <c r="C420" t="str">
        <f>IF($J420="","",SUMIFS('Hours Log'!$C:$C,'Hours Log'!$A:$A,"&gt;="&amp;$J420,'Hours Log'!$A:$A,"&lt;"&amp;$J420+7)+SUMIFS('Hours Log'!$D:$D,'Hours Log'!$A:$A,"&gt;="&amp;$J420,'Hours Log'!$A:$A,"&lt;"&amp;$J420+7))</f>
        <v/>
      </c>
      <c r="D420" t="str">
        <f>IF($J420="","",SUMIFS('Hours Log'!$D:$D,'Hours Log'!$A:$A,"&gt;="&amp;$J420,'Hours Log'!$A:$A,"&lt;"&amp;$J420+7))</f>
        <v/>
      </c>
      <c r="E420" t="str">
        <f t="shared" si="12"/>
        <v/>
      </c>
      <c r="F420" t="str">
        <f t="shared" si="13"/>
        <v/>
      </c>
      <c r="G420" t="str">
        <f>IF($J420="","",SUMIFS('Hours Log'!$E:$E,'Hours Log'!$A:$A,"&gt;="&amp;$J420,'Hours Log'!$A:$A,"&lt;"&amp;$J420+7))</f>
        <v/>
      </c>
      <c r="J420" t="str">
        <f>IF(COUNT('Hours Log'!$A$4:$A$5000)=0,"",IF(MIN('Hours Log'!$A$4:$A$5000)+7*(ROW()-10)&gt;MAX('Hours Log'!$A$4:$A$5000),"",MIN('Hours Log'!$A$4:$A$5000)+7*(ROW()-10)))</f>
        <v/>
      </c>
    </row>
    <row r="421" spans="1:10" x14ac:dyDescent="0.25">
      <c r="A421" t="str">
        <f>IF($J421="","",YEAR($J421-WEEKDAY($J421,2)+4)&amp;"-W"&amp;TEXT(_xludf.ISOWEEKNUM($J421),"00"))</f>
        <v/>
      </c>
      <c r="B421"/>
      <c r="C421" t="str">
        <f>IF($J421="","",SUMIFS('Hours Log'!$C:$C,'Hours Log'!$A:$A,"&gt;="&amp;$J421,'Hours Log'!$A:$A,"&lt;"&amp;$J421+7)+SUMIFS('Hours Log'!$D:$D,'Hours Log'!$A:$A,"&gt;="&amp;$J421,'Hours Log'!$A:$A,"&lt;"&amp;$J421+7))</f>
        <v/>
      </c>
      <c r="D421" t="str">
        <f>IF($J421="","",SUMIFS('Hours Log'!$D:$D,'Hours Log'!$A:$A,"&gt;="&amp;$J421,'Hours Log'!$A:$A,"&lt;"&amp;$J421+7))</f>
        <v/>
      </c>
      <c r="E421" t="str">
        <f t="shared" si="12"/>
        <v/>
      </c>
      <c r="F421" t="str">
        <f t="shared" si="13"/>
        <v/>
      </c>
      <c r="G421" t="str">
        <f>IF($J421="","",SUMIFS('Hours Log'!$E:$E,'Hours Log'!$A:$A,"&gt;="&amp;$J421,'Hours Log'!$A:$A,"&lt;"&amp;$J421+7))</f>
        <v/>
      </c>
      <c r="J421" t="str">
        <f>IF(COUNT('Hours Log'!$A$4:$A$5000)=0,"",IF(MIN('Hours Log'!$A$4:$A$5000)+7*(ROW()-10)&gt;MAX('Hours Log'!$A$4:$A$5000),"",MIN('Hours Log'!$A$4:$A$5000)+7*(ROW()-10)))</f>
        <v/>
      </c>
    </row>
    <row r="422" spans="1:10" x14ac:dyDescent="0.25">
      <c r="A422" t="str">
        <f>IF($J422="","",YEAR($J422-WEEKDAY($J422,2)+4)&amp;"-W"&amp;TEXT(_xludf.ISOWEEKNUM($J422),"00"))</f>
        <v/>
      </c>
      <c r="B422"/>
      <c r="C422" t="str">
        <f>IF($J422="","",SUMIFS('Hours Log'!$C:$C,'Hours Log'!$A:$A,"&gt;="&amp;$J422,'Hours Log'!$A:$A,"&lt;"&amp;$J422+7)+SUMIFS('Hours Log'!$D:$D,'Hours Log'!$A:$A,"&gt;="&amp;$J422,'Hours Log'!$A:$A,"&lt;"&amp;$J422+7))</f>
        <v/>
      </c>
      <c r="D422" t="str">
        <f>IF($J422="","",SUMIFS('Hours Log'!$D:$D,'Hours Log'!$A:$A,"&gt;="&amp;$J422,'Hours Log'!$A:$A,"&lt;"&amp;$J422+7))</f>
        <v/>
      </c>
      <c r="E422" t="str">
        <f t="shared" si="12"/>
        <v/>
      </c>
      <c r="F422" t="str">
        <f t="shared" si="13"/>
        <v/>
      </c>
      <c r="G422" t="str">
        <f>IF($J422="","",SUMIFS('Hours Log'!$E:$E,'Hours Log'!$A:$A,"&gt;="&amp;$J422,'Hours Log'!$A:$A,"&lt;"&amp;$J422+7))</f>
        <v/>
      </c>
      <c r="J422" t="str">
        <f>IF(COUNT('Hours Log'!$A$4:$A$5000)=0,"",IF(MIN('Hours Log'!$A$4:$A$5000)+7*(ROW()-10)&gt;MAX('Hours Log'!$A$4:$A$5000),"",MIN('Hours Log'!$A$4:$A$5000)+7*(ROW()-10)))</f>
        <v/>
      </c>
    </row>
    <row r="423" spans="1:10" x14ac:dyDescent="0.25">
      <c r="A423" t="str">
        <f>IF($J423="","",YEAR($J423-WEEKDAY($J423,2)+4)&amp;"-W"&amp;TEXT(_xludf.ISOWEEKNUM($J423),"00"))</f>
        <v/>
      </c>
      <c r="B423"/>
      <c r="C423" t="str">
        <f>IF($J423="","",SUMIFS('Hours Log'!$C:$C,'Hours Log'!$A:$A,"&gt;="&amp;$J423,'Hours Log'!$A:$A,"&lt;"&amp;$J423+7)+SUMIFS('Hours Log'!$D:$D,'Hours Log'!$A:$A,"&gt;="&amp;$J423,'Hours Log'!$A:$A,"&lt;"&amp;$J423+7))</f>
        <v/>
      </c>
      <c r="D423" t="str">
        <f>IF($J423="","",SUMIFS('Hours Log'!$D:$D,'Hours Log'!$A:$A,"&gt;="&amp;$J423,'Hours Log'!$A:$A,"&lt;"&amp;$J423+7))</f>
        <v/>
      </c>
      <c r="E423" t="str">
        <f t="shared" si="12"/>
        <v/>
      </c>
      <c r="F423" t="str">
        <f t="shared" si="13"/>
        <v/>
      </c>
      <c r="G423" t="str">
        <f>IF($J423="","",SUMIFS('Hours Log'!$E:$E,'Hours Log'!$A:$A,"&gt;="&amp;$J423,'Hours Log'!$A:$A,"&lt;"&amp;$J423+7))</f>
        <v/>
      </c>
      <c r="J423" t="str">
        <f>IF(COUNT('Hours Log'!$A$4:$A$5000)=0,"",IF(MIN('Hours Log'!$A$4:$A$5000)+7*(ROW()-10)&gt;MAX('Hours Log'!$A$4:$A$5000),"",MIN('Hours Log'!$A$4:$A$5000)+7*(ROW()-10)))</f>
        <v/>
      </c>
    </row>
    <row r="424" spans="1:10" x14ac:dyDescent="0.25">
      <c r="A424" t="str">
        <f>IF($J424="","",YEAR($J424-WEEKDAY($J424,2)+4)&amp;"-W"&amp;TEXT(_xludf.ISOWEEKNUM($J424),"00"))</f>
        <v/>
      </c>
      <c r="B424"/>
      <c r="C424" t="str">
        <f>IF($J424="","",SUMIFS('Hours Log'!$C:$C,'Hours Log'!$A:$A,"&gt;="&amp;$J424,'Hours Log'!$A:$A,"&lt;"&amp;$J424+7)+SUMIFS('Hours Log'!$D:$D,'Hours Log'!$A:$A,"&gt;="&amp;$J424,'Hours Log'!$A:$A,"&lt;"&amp;$J424+7))</f>
        <v/>
      </c>
      <c r="D424" t="str">
        <f>IF($J424="","",SUMIFS('Hours Log'!$D:$D,'Hours Log'!$A:$A,"&gt;="&amp;$J424,'Hours Log'!$A:$A,"&lt;"&amp;$J424+7))</f>
        <v/>
      </c>
      <c r="E424" t="str">
        <f t="shared" si="12"/>
        <v/>
      </c>
      <c r="F424" t="str">
        <f t="shared" si="13"/>
        <v/>
      </c>
      <c r="G424" t="str">
        <f>IF($J424="","",SUMIFS('Hours Log'!$E:$E,'Hours Log'!$A:$A,"&gt;="&amp;$J424,'Hours Log'!$A:$A,"&lt;"&amp;$J424+7))</f>
        <v/>
      </c>
      <c r="J424" t="str">
        <f>IF(COUNT('Hours Log'!$A$4:$A$5000)=0,"",IF(MIN('Hours Log'!$A$4:$A$5000)+7*(ROW()-10)&gt;MAX('Hours Log'!$A$4:$A$5000),"",MIN('Hours Log'!$A$4:$A$5000)+7*(ROW()-10)))</f>
        <v/>
      </c>
    </row>
    <row r="425" spans="1:10" x14ac:dyDescent="0.25">
      <c r="A425" t="str">
        <f>IF($J425="","",YEAR($J425-WEEKDAY($J425,2)+4)&amp;"-W"&amp;TEXT(_xludf.ISOWEEKNUM($J425),"00"))</f>
        <v/>
      </c>
      <c r="B425"/>
      <c r="C425" t="str">
        <f>IF($J425="","",SUMIFS('Hours Log'!$C:$C,'Hours Log'!$A:$A,"&gt;="&amp;$J425,'Hours Log'!$A:$A,"&lt;"&amp;$J425+7)+SUMIFS('Hours Log'!$D:$D,'Hours Log'!$A:$A,"&gt;="&amp;$J425,'Hours Log'!$A:$A,"&lt;"&amp;$J425+7))</f>
        <v/>
      </c>
      <c r="D425" t="str">
        <f>IF($J425="","",SUMIFS('Hours Log'!$D:$D,'Hours Log'!$A:$A,"&gt;="&amp;$J425,'Hours Log'!$A:$A,"&lt;"&amp;$J425+7))</f>
        <v/>
      </c>
      <c r="E425" t="str">
        <f t="shared" si="12"/>
        <v/>
      </c>
      <c r="F425" t="str">
        <f t="shared" si="13"/>
        <v/>
      </c>
      <c r="G425" t="str">
        <f>IF($J425="","",SUMIFS('Hours Log'!$E:$E,'Hours Log'!$A:$A,"&gt;="&amp;$J425,'Hours Log'!$A:$A,"&lt;"&amp;$J425+7))</f>
        <v/>
      </c>
      <c r="J425" t="str">
        <f>IF(COUNT('Hours Log'!$A$4:$A$5000)=0,"",IF(MIN('Hours Log'!$A$4:$A$5000)+7*(ROW()-10)&gt;MAX('Hours Log'!$A$4:$A$5000),"",MIN('Hours Log'!$A$4:$A$5000)+7*(ROW()-10)))</f>
        <v/>
      </c>
    </row>
    <row r="426" spans="1:10" x14ac:dyDescent="0.25">
      <c r="A426" t="str">
        <f>IF($J426="","",YEAR($J426-WEEKDAY($J426,2)+4)&amp;"-W"&amp;TEXT(_xludf.ISOWEEKNUM($J426),"00"))</f>
        <v/>
      </c>
      <c r="B426"/>
      <c r="C426" t="str">
        <f>IF($J426="","",SUMIFS('Hours Log'!$C:$C,'Hours Log'!$A:$A,"&gt;="&amp;$J426,'Hours Log'!$A:$A,"&lt;"&amp;$J426+7)+SUMIFS('Hours Log'!$D:$D,'Hours Log'!$A:$A,"&gt;="&amp;$J426,'Hours Log'!$A:$A,"&lt;"&amp;$J426+7))</f>
        <v/>
      </c>
      <c r="D426" t="str">
        <f>IF($J426="","",SUMIFS('Hours Log'!$D:$D,'Hours Log'!$A:$A,"&gt;="&amp;$J426,'Hours Log'!$A:$A,"&lt;"&amp;$J426+7))</f>
        <v/>
      </c>
      <c r="E426" t="str">
        <f t="shared" si="12"/>
        <v/>
      </c>
      <c r="F426" t="str">
        <f t="shared" si="13"/>
        <v/>
      </c>
      <c r="G426" t="str">
        <f>IF($J426="","",SUMIFS('Hours Log'!$E:$E,'Hours Log'!$A:$A,"&gt;="&amp;$J426,'Hours Log'!$A:$A,"&lt;"&amp;$J426+7))</f>
        <v/>
      </c>
      <c r="J426" t="str">
        <f>IF(COUNT('Hours Log'!$A$4:$A$5000)=0,"",IF(MIN('Hours Log'!$A$4:$A$5000)+7*(ROW()-10)&gt;MAX('Hours Log'!$A$4:$A$5000),"",MIN('Hours Log'!$A$4:$A$5000)+7*(ROW()-10)))</f>
        <v/>
      </c>
    </row>
    <row r="427" spans="1:10" x14ac:dyDescent="0.25">
      <c r="A427" t="str">
        <f>IF($J427="","",YEAR($J427-WEEKDAY($J427,2)+4)&amp;"-W"&amp;TEXT(_xludf.ISOWEEKNUM($J427),"00"))</f>
        <v/>
      </c>
      <c r="B427"/>
      <c r="C427" t="str">
        <f>IF($J427="","",SUMIFS('Hours Log'!$C:$C,'Hours Log'!$A:$A,"&gt;="&amp;$J427,'Hours Log'!$A:$A,"&lt;"&amp;$J427+7)+SUMIFS('Hours Log'!$D:$D,'Hours Log'!$A:$A,"&gt;="&amp;$J427,'Hours Log'!$A:$A,"&lt;"&amp;$J427+7))</f>
        <v/>
      </c>
      <c r="D427" t="str">
        <f>IF($J427="","",SUMIFS('Hours Log'!$D:$D,'Hours Log'!$A:$A,"&gt;="&amp;$J427,'Hours Log'!$A:$A,"&lt;"&amp;$J427+7))</f>
        <v/>
      </c>
      <c r="E427" t="str">
        <f t="shared" si="12"/>
        <v/>
      </c>
      <c r="F427" t="str">
        <f t="shared" si="13"/>
        <v/>
      </c>
      <c r="G427" t="str">
        <f>IF($J427="","",SUMIFS('Hours Log'!$E:$E,'Hours Log'!$A:$A,"&gt;="&amp;$J427,'Hours Log'!$A:$A,"&lt;"&amp;$J427+7))</f>
        <v/>
      </c>
      <c r="J427" t="str">
        <f>IF(COUNT('Hours Log'!$A$4:$A$5000)=0,"",IF(MIN('Hours Log'!$A$4:$A$5000)+7*(ROW()-10)&gt;MAX('Hours Log'!$A$4:$A$5000),"",MIN('Hours Log'!$A$4:$A$5000)+7*(ROW()-10)))</f>
        <v/>
      </c>
    </row>
    <row r="428" spans="1:10" x14ac:dyDescent="0.25">
      <c r="A428" t="str">
        <f>IF($J428="","",YEAR($J428-WEEKDAY($J428,2)+4)&amp;"-W"&amp;TEXT(_xludf.ISOWEEKNUM($J428),"00"))</f>
        <v/>
      </c>
      <c r="B428"/>
      <c r="C428" t="str">
        <f>IF($J428="","",SUMIFS('Hours Log'!$C:$C,'Hours Log'!$A:$A,"&gt;="&amp;$J428,'Hours Log'!$A:$A,"&lt;"&amp;$J428+7)+SUMIFS('Hours Log'!$D:$D,'Hours Log'!$A:$A,"&gt;="&amp;$J428,'Hours Log'!$A:$A,"&lt;"&amp;$J428+7))</f>
        <v/>
      </c>
      <c r="D428" t="str">
        <f>IF($J428="","",SUMIFS('Hours Log'!$D:$D,'Hours Log'!$A:$A,"&gt;="&amp;$J428,'Hours Log'!$A:$A,"&lt;"&amp;$J428+7))</f>
        <v/>
      </c>
      <c r="E428" t="str">
        <f t="shared" si="12"/>
        <v/>
      </c>
      <c r="F428" t="str">
        <f t="shared" si="13"/>
        <v/>
      </c>
      <c r="G428" t="str">
        <f>IF($J428="","",SUMIFS('Hours Log'!$E:$E,'Hours Log'!$A:$A,"&gt;="&amp;$J428,'Hours Log'!$A:$A,"&lt;"&amp;$J428+7))</f>
        <v/>
      </c>
      <c r="J428" t="str">
        <f>IF(COUNT('Hours Log'!$A$4:$A$5000)=0,"",IF(MIN('Hours Log'!$A$4:$A$5000)+7*(ROW()-10)&gt;MAX('Hours Log'!$A$4:$A$5000),"",MIN('Hours Log'!$A$4:$A$5000)+7*(ROW()-10)))</f>
        <v/>
      </c>
    </row>
    <row r="429" spans="1:10" x14ac:dyDescent="0.25">
      <c r="A429" t="str">
        <f>IF($J429="","",YEAR($J429-WEEKDAY($J429,2)+4)&amp;"-W"&amp;TEXT(_xludf.ISOWEEKNUM($J429),"00"))</f>
        <v/>
      </c>
      <c r="B429"/>
      <c r="C429" t="str">
        <f>IF($J429="","",SUMIFS('Hours Log'!$C:$C,'Hours Log'!$A:$A,"&gt;="&amp;$J429,'Hours Log'!$A:$A,"&lt;"&amp;$J429+7)+SUMIFS('Hours Log'!$D:$D,'Hours Log'!$A:$A,"&gt;="&amp;$J429,'Hours Log'!$A:$A,"&lt;"&amp;$J429+7))</f>
        <v/>
      </c>
      <c r="D429" t="str">
        <f>IF($J429="","",SUMIFS('Hours Log'!$D:$D,'Hours Log'!$A:$A,"&gt;="&amp;$J429,'Hours Log'!$A:$A,"&lt;"&amp;$J429+7))</f>
        <v/>
      </c>
      <c r="E429" t="str">
        <f t="shared" si="12"/>
        <v/>
      </c>
      <c r="F429" t="str">
        <f t="shared" si="13"/>
        <v/>
      </c>
      <c r="G429" t="str">
        <f>IF($J429="","",SUMIFS('Hours Log'!$E:$E,'Hours Log'!$A:$A,"&gt;="&amp;$J429,'Hours Log'!$A:$A,"&lt;"&amp;$J429+7))</f>
        <v/>
      </c>
      <c r="J429" t="str">
        <f>IF(COUNT('Hours Log'!$A$4:$A$5000)=0,"",IF(MIN('Hours Log'!$A$4:$A$5000)+7*(ROW()-10)&gt;MAX('Hours Log'!$A$4:$A$5000),"",MIN('Hours Log'!$A$4:$A$5000)+7*(ROW()-10)))</f>
        <v/>
      </c>
    </row>
    <row r="430" spans="1:10" x14ac:dyDescent="0.25">
      <c r="A430" t="str">
        <f>IF($J430="","",YEAR($J430-WEEKDAY($J430,2)+4)&amp;"-W"&amp;TEXT(_xludf.ISOWEEKNUM($J430),"00"))</f>
        <v/>
      </c>
      <c r="B430"/>
      <c r="C430" t="str">
        <f>IF($J430="","",SUMIFS('Hours Log'!$C:$C,'Hours Log'!$A:$A,"&gt;="&amp;$J430,'Hours Log'!$A:$A,"&lt;"&amp;$J430+7)+SUMIFS('Hours Log'!$D:$D,'Hours Log'!$A:$A,"&gt;="&amp;$J430,'Hours Log'!$A:$A,"&lt;"&amp;$J430+7))</f>
        <v/>
      </c>
      <c r="D430" t="str">
        <f>IF($J430="","",SUMIFS('Hours Log'!$D:$D,'Hours Log'!$A:$A,"&gt;="&amp;$J430,'Hours Log'!$A:$A,"&lt;"&amp;$J430+7))</f>
        <v/>
      </c>
      <c r="E430" t="str">
        <f t="shared" si="12"/>
        <v/>
      </c>
      <c r="F430" t="str">
        <f t="shared" si="13"/>
        <v/>
      </c>
      <c r="G430" t="str">
        <f>IF($J430="","",SUMIFS('Hours Log'!$E:$E,'Hours Log'!$A:$A,"&gt;="&amp;$J430,'Hours Log'!$A:$A,"&lt;"&amp;$J430+7))</f>
        <v/>
      </c>
      <c r="J430" t="str">
        <f>IF(COUNT('Hours Log'!$A$4:$A$5000)=0,"",IF(MIN('Hours Log'!$A$4:$A$5000)+7*(ROW()-10)&gt;MAX('Hours Log'!$A$4:$A$5000),"",MIN('Hours Log'!$A$4:$A$5000)+7*(ROW()-10)))</f>
        <v/>
      </c>
    </row>
    <row r="431" spans="1:10" x14ac:dyDescent="0.25">
      <c r="A431" t="str">
        <f>IF($J431="","",YEAR($J431-WEEKDAY($J431,2)+4)&amp;"-W"&amp;TEXT(_xludf.ISOWEEKNUM($J431),"00"))</f>
        <v/>
      </c>
      <c r="B431"/>
      <c r="C431" t="str">
        <f>IF($J431="","",SUMIFS('Hours Log'!$C:$C,'Hours Log'!$A:$A,"&gt;="&amp;$J431,'Hours Log'!$A:$A,"&lt;"&amp;$J431+7)+SUMIFS('Hours Log'!$D:$D,'Hours Log'!$A:$A,"&gt;="&amp;$J431,'Hours Log'!$A:$A,"&lt;"&amp;$J431+7))</f>
        <v/>
      </c>
      <c r="D431" t="str">
        <f>IF($J431="","",SUMIFS('Hours Log'!$D:$D,'Hours Log'!$A:$A,"&gt;="&amp;$J431,'Hours Log'!$A:$A,"&lt;"&amp;$J431+7))</f>
        <v/>
      </c>
      <c r="E431" t="str">
        <f t="shared" si="12"/>
        <v/>
      </c>
      <c r="F431" t="str">
        <f t="shared" si="13"/>
        <v/>
      </c>
      <c r="G431" t="str">
        <f>IF($J431="","",SUMIFS('Hours Log'!$E:$E,'Hours Log'!$A:$A,"&gt;="&amp;$J431,'Hours Log'!$A:$A,"&lt;"&amp;$J431+7))</f>
        <v/>
      </c>
      <c r="J431" t="str">
        <f>IF(COUNT('Hours Log'!$A$4:$A$5000)=0,"",IF(MIN('Hours Log'!$A$4:$A$5000)+7*(ROW()-10)&gt;MAX('Hours Log'!$A$4:$A$5000),"",MIN('Hours Log'!$A$4:$A$5000)+7*(ROW()-10)))</f>
        <v/>
      </c>
    </row>
    <row r="432" spans="1:10" x14ac:dyDescent="0.25">
      <c r="A432" t="str">
        <f>IF($J432="","",YEAR($J432-WEEKDAY($J432,2)+4)&amp;"-W"&amp;TEXT(_xludf.ISOWEEKNUM($J432),"00"))</f>
        <v/>
      </c>
      <c r="B432"/>
      <c r="C432" t="str">
        <f>IF($J432="","",SUMIFS('Hours Log'!$C:$C,'Hours Log'!$A:$A,"&gt;="&amp;$J432,'Hours Log'!$A:$A,"&lt;"&amp;$J432+7)+SUMIFS('Hours Log'!$D:$D,'Hours Log'!$A:$A,"&gt;="&amp;$J432,'Hours Log'!$A:$A,"&lt;"&amp;$J432+7))</f>
        <v/>
      </c>
      <c r="D432" t="str">
        <f>IF($J432="","",SUMIFS('Hours Log'!$D:$D,'Hours Log'!$A:$A,"&gt;="&amp;$J432,'Hours Log'!$A:$A,"&lt;"&amp;$J432+7))</f>
        <v/>
      </c>
      <c r="E432" t="str">
        <f t="shared" si="12"/>
        <v/>
      </c>
      <c r="F432" t="str">
        <f t="shared" si="13"/>
        <v/>
      </c>
      <c r="G432" t="str">
        <f>IF($J432="","",SUMIFS('Hours Log'!$E:$E,'Hours Log'!$A:$A,"&gt;="&amp;$J432,'Hours Log'!$A:$A,"&lt;"&amp;$J432+7))</f>
        <v/>
      </c>
      <c r="J432" t="str">
        <f>IF(COUNT('Hours Log'!$A$4:$A$5000)=0,"",IF(MIN('Hours Log'!$A$4:$A$5000)+7*(ROW()-10)&gt;MAX('Hours Log'!$A$4:$A$5000),"",MIN('Hours Log'!$A$4:$A$5000)+7*(ROW()-10)))</f>
        <v/>
      </c>
    </row>
    <row r="433" spans="1:10" x14ac:dyDescent="0.25">
      <c r="A433" t="str">
        <f>IF($J433="","",YEAR($J433-WEEKDAY($J433,2)+4)&amp;"-W"&amp;TEXT(_xludf.ISOWEEKNUM($J433),"00"))</f>
        <v/>
      </c>
      <c r="B433"/>
      <c r="C433" t="str">
        <f>IF($J433="","",SUMIFS('Hours Log'!$C:$C,'Hours Log'!$A:$A,"&gt;="&amp;$J433,'Hours Log'!$A:$A,"&lt;"&amp;$J433+7)+SUMIFS('Hours Log'!$D:$D,'Hours Log'!$A:$A,"&gt;="&amp;$J433,'Hours Log'!$A:$A,"&lt;"&amp;$J433+7))</f>
        <v/>
      </c>
      <c r="D433" t="str">
        <f>IF($J433="","",SUMIFS('Hours Log'!$D:$D,'Hours Log'!$A:$A,"&gt;="&amp;$J433,'Hours Log'!$A:$A,"&lt;"&amp;$J433+7))</f>
        <v/>
      </c>
      <c r="E433" t="str">
        <f t="shared" si="12"/>
        <v/>
      </c>
      <c r="F433" t="str">
        <f t="shared" si="13"/>
        <v/>
      </c>
      <c r="G433" t="str">
        <f>IF($J433="","",SUMIFS('Hours Log'!$E:$E,'Hours Log'!$A:$A,"&gt;="&amp;$J433,'Hours Log'!$A:$A,"&lt;"&amp;$J433+7))</f>
        <v/>
      </c>
      <c r="J433" t="str">
        <f>IF(COUNT('Hours Log'!$A$4:$A$5000)=0,"",IF(MIN('Hours Log'!$A$4:$A$5000)+7*(ROW()-10)&gt;MAX('Hours Log'!$A$4:$A$5000),"",MIN('Hours Log'!$A$4:$A$5000)+7*(ROW()-10)))</f>
        <v/>
      </c>
    </row>
    <row r="434" spans="1:10" x14ac:dyDescent="0.25">
      <c r="A434" t="str">
        <f>IF($J434="","",YEAR($J434-WEEKDAY($J434,2)+4)&amp;"-W"&amp;TEXT(_xludf.ISOWEEKNUM($J434),"00"))</f>
        <v/>
      </c>
      <c r="B434"/>
      <c r="C434" t="str">
        <f>IF($J434="","",SUMIFS('Hours Log'!$C:$C,'Hours Log'!$A:$A,"&gt;="&amp;$J434,'Hours Log'!$A:$A,"&lt;"&amp;$J434+7)+SUMIFS('Hours Log'!$D:$D,'Hours Log'!$A:$A,"&gt;="&amp;$J434,'Hours Log'!$A:$A,"&lt;"&amp;$J434+7))</f>
        <v/>
      </c>
      <c r="D434" t="str">
        <f>IF($J434="","",SUMIFS('Hours Log'!$D:$D,'Hours Log'!$A:$A,"&gt;="&amp;$J434,'Hours Log'!$A:$A,"&lt;"&amp;$J434+7))</f>
        <v/>
      </c>
      <c r="E434" t="str">
        <f t="shared" si="12"/>
        <v/>
      </c>
      <c r="F434" t="str">
        <f t="shared" si="13"/>
        <v/>
      </c>
      <c r="G434" t="str">
        <f>IF($J434="","",SUMIFS('Hours Log'!$E:$E,'Hours Log'!$A:$A,"&gt;="&amp;$J434,'Hours Log'!$A:$A,"&lt;"&amp;$J434+7))</f>
        <v/>
      </c>
      <c r="J434" t="str">
        <f>IF(COUNT('Hours Log'!$A$4:$A$5000)=0,"",IF(MIN('Hours Log'!$A$4:$A$5000)+7*(ROW()-10)&gt;MAX('Hours Log'!$A$4:$A$5000),"",MIN('Hours Log'!$A$4:$A$5000)+7*(ROW()-10)))</f>
        <v/>
      </c>
    </row>
    <row r="435" spans="1:10" x14ac:dyDescent="0.25">
      <c r="A435" t="str">
        <f>IF($J435="","",YEAR($J435-WEEKDAY($J435,2)+4)&amp;"-W"&amp;TEXT(_xludf.ISOWEEKNUM($J435),"00"))</f>
        <v/>
      </c>
      <c r="B435"/>
      <c r="C435" t="str">
        <f>IF($J435="","",SUMIFS('Hours Log'!$C:$C,'Hours Log'!$A:$A,"&gt;="&amp;$J435,'Hours Log'!$A:$A,"&lt;"&amp;$J435+7)+SUMIFS('Hours Log'!$D:$D,'Hours Log'!$A:$A,"&gt;="&amp;$J435,'Hours Log'!$A:$A,"&lt;"&amp;$J435+7))</f>
        <v/>
      </c>
      <c r="D435" t="str">
        <f>IF($J435="","",SUMIFS('Hours Log'!$D:$D,'Hours Log'!$A:$A,"&gt;="&amp;$J435,'Hours Log'!$A:$A,"&lt;"&amp;$J435+7))</f>
        <v/>
      </c>
      <c r="E435" t="str">
        <f t="shared" si="12"/>
        <v/>
      </c>
      <c r="F435" t="str">
        <f t="shared" si="13"/>
        <v/>
      </c>
      <c r="G435" t="str">
        <f>IF($J435="","",SUMIFS('Hours Log'!$E:$E,'Hours Log'!$A:$A,"&gt;="&amp;$J435,'Hours Log'!$A:$A,"&lt;"&amp;$J435+7))</f>
        <v/>
      </c>
      <c r="J435" t="str">
        <f>IF(COUNT('Hours Log'!$A$4:$A$5000)=0,"",IF(MIN('Hours Log'!$A$4:$A$5000)+7*(ROW()-10)&gt;MAX('Hours Log'!$A$4:$A$5000),"",MIN('Hours Log'!$A$4:$A$5000)+7*(ROW()-10)))</f>
        <v/>
      </c>
    </row>
    <row r="436" spans="1:10" x14ac:dyDescent="0.25">
      <c r="A436" t="str">
        <f>IF($J436="","",YEAR($J436-WEEKDAY($J436,2)+4)&amp;"-W"&amp;TEXT(_xludf.ISOWEEKNUM($J436),"00"))</f>
        <v/>
      </c>
      <c r="B436"/>
      <c r="C436" t="str">
        <f>IF($J436="","",SUMIFS('Hours Log'!$C:$C,'Hours Log'!$A:$A,"&gt;="&amp;$J436,'Hours Log'!$A:$A,"&lt;"&amp;$J436+7)+SUMIFS('Hours Log'!$D:$D,'Hours Log'!$A:$A,"&gt;="&amp;$J436,'Hours Log'!$A:$A,"&lt;"&amp;$J436+7))</f>
        <v/>
      </c>
      <c r="D436" t="str">
        <f>IF($J436="","",SUMIFS('Hours Log'!$D:$D,'Hours Log'!$A:$A,"&gt;="&amp;$J436,'Hours Log'!$A:$A,"&lt;"&amp;$J436+7))</f>
        <v/>
      </c>
      <c r="E436" t="str">
        <f t="shared" si="12"/>
        <v/>
      </c>
      <c r="F436" t="str">
        <f t="shared" si="13"/>
        <v/>
      </c>
      <c r="G436" t="str">
        <f>IF($J436="","",SUMIFS('Hours Log'!$E:$E,'Hours Log'!$A:$A,"&gt;="&amp;$J436,'Hours Log'!$A:$A,"&lt;"&amp;$J436+7))</f>
        <v/>
      </c>
      <c r="J436" t="str">
        <f>IF(COUNT('Hours Log'!$A$4:$A$5000)=0,"",IF(MIN('Hours Log'!$A$4:$A$5000)+7*(ROW()-10)&gt;MAX('Hours Log'!$A$4:$A$5000),"",MIN('Hours Log'!$A$4:$A$5000)+7*(ROW()-10)))</f>
        <v/>
      </c>
    </row>
    <row r="437" spans="1:10" x14ac:dyDescent="0.25">
      <c r="A437" t="str">
        <f>IF($J437="","",YEAR($J437-WEEKDAY($J437,2)+4)&amp;"-W"&amp;TEXT(_xludf.ISOWEEKNUM($J437),"00"))</f>
        <v/>
      </c>
      <c r="B437"/>
      <c r="C437" t="str">
        <f>IF($J437="","",SUMIFS('Hours Log'!$C:$C,'Hours Log'!$A:$A,"&gt;="&amp;$J437,'Hours Log'!$A:$A,"&lt;"&amp;$J437+7)+SUMIFS('Hours Log'!$D:$D,'Hours Log'!$A:$A,"&gt;="&amp;$J437,'Hours Log'!$A:$A,"&lt;"&amp;$J437+7))</f>
        <v/>
      </c>
      <c r="D437" t="str">
        <f>IF($J437="","",SUMIFS('Hours Log'!$D:$D,'Hours Log'!$A:$A,"&gt;="&amp;$J437,'Hours Log'!$A:$A,"&lt;"&amp;$J437+7))</f>
        <v/>
      </c>
      <c r="E437" t="str">
        <f t="shared" si="12"/>
        <v/>
      </c>
      <c r="F437" t="str">
        <f t="shared" si="13"/>
        <v/>
      </c>
      <c r="G437" t="str">
        <f>IF($J437="","",SUMIFS('Hours Log'!$E:$E,'Hours Log'!$A:$A,"&gt;="&amp;$J437,'Hours Log'!$A:$A,"&lt;"&amp;$J437+7))</f>
        <v/>
      </c>
      <c r="J437" t="str">
        <f>IF(COUNT('Hours Log'!$A$4:$A$5000)=0,"",IF(MIN('Hours Log'!$A$4:$A$5000)+7*(ROW()-10)&gt;MAX('Hours Log'!$A$4:$A$5000),"",MIN('Hours Log'!$A$4:$A$5000)+7*(ROW()-10)))</f>
        <v/>
      </c>
    </row>
    <row r="438" spans="1:10" x14ac:dyDescent="0.25">
      <c r="A438" t="str">
        <f>IF($J438="","",YEAR($J438-WEEKDAY($J438,2)+4)&amp;"-W"&amp;TEXT(_xludf.ISOWEEKNUM($J438),"00"))</f>
        <v/>
      </c>
      <c r="B438"/>
      <c r="C438" t="str">
        <f>IF($J438="","",SUMIFS('Hours Log'!$C:$C,'Hours Log'!$A:$A,"&gt;="&amp;$J438,'Hours Log'!$A:$A,"&lt;"&amp;$J438+7)+SUMIFS('Hours Log'!$D:$D,'Hours Log'!$A:$A,"&gt;="&amp;$J438,'Hours Log'!$A:$A,"&lt;"&amp;$J438+7))</f>
        <v/>
      </c>
      <c r="D438" t="str">
        <f>IF($J438="","",SUMIFS('Hours Log'!$D:$D,'Hours Log'!$A:$A,"&gt;="&amp;$J438,'Hours Log'!$A:$A,"&lt;"&amp;$J438+7))</f>
        <v/>
      </c>
      <c r="E438" t="str">
        <f t="shared" si="12"/>
        <v/>
      </c>
      <c r="F438" t="str">
        <f t="shared" si="13"/>
        <v/>
      </c>
      <c r="G438" t="str">
        <f>IF($J438="","",SUMIFS('Hours Log'!$E:$E,'Hours Log'!$A:$A,"&gt;="&amp;$J438,'Hours Log'!$A:$A,"&lt;"&amp;$J438+7))</f>
        <v/>
      </c>
      <c r="J438" t="str">
        <f>IF(COUNT('Hours Log'!$A$4:$A$5000)=0,"",IF(MIN('Hours Log'!$A$4:$A$5000)+7*(ROW()-10)&gt;MAX('Hours Log'!$A$4:$A$5000),"",MIN('Hours Log'!$A$4:$A$5000)+7*(ROW()-10)))</f>
        <v/>
      </c>
    </row>
    <row r="439" spans="1:10" x14ac:dyDescent="0.25">
      <c r="A439" t="str">
        <f>IF($J439="","",YEAR($J439-WEEKDAY($J439,2)+4)&amp;"-W"&amp;TEXT(_xludf.ISOWEEKNUM($J439),"00"))</f>
        <v/>
      </c>
      <c r="B439"/>
      <c r="C439" t="str">
        <f>IF($J439="","",SUMIFS('Hours Log'!$C:$C,'Hours Log'!$A:$A,"&gt;="&amp;$J439,'Hours Log'!$A:$A,"&lt;"&amp;$J439+7)+SUMIFS('Hours Log'!$D:$D,'Hours Log'!$A:$A,"&gt;="&amp;$J439,'Hours Log'!$A:$A,"&lt;"&amp;$J439+7))</f>
        <v/>
      </c>
      <c r="D439" t="str">
        <f>IF($J439="","",SUMIFS('Hours Log'!$D:$D,'Hours Log'!$A:$A,"&gt;="&amp;$J439,'Hours Log'!$A:$A,"&lt;"&amp;$J439+7))</f>
        <v/>
      </c>
      <c r="E439" t="str">
        <f t="shared" si="12"/>
        <v/>
      </c>
      <c r="F439" t="str">
        <f t="shared" si="13"/>
        <v/>
      </c>
      <c r="G439" t="str">
        <f>IF($J439="","",SUMIFS('Hours Log'!$E:$E,'Hours Log'!$A:$A,"&gt;="&amp;$J439,'Hours Log'!$A:$A,"&lt;"&amp;$J439+7))</f>
        <v/>
      </c>
      <c r="J439" t="str">
        <f>IF(COUNT('Hours Log'!$A$4:$A$5000)=0,"",IF(MIN('Hours Log'!$A$4:$A$5000)+7*(ROW()-10)&gt;MAX('Hours Log'!$A$4:$A$5000),"",MIN('Hours Log'!$A$4:$A$5000)+7*(ROW()-10)))</f>
        <v/>
      </c>
    </row>
    <row r="440" spans="1:10" x14ac:dyDescent="0.25">
      <c r="A440" t="str">
        <f>IF($J440="","",YEAR($J440-WEEKDAY($J440,2)+4)&amp;"-W"&amp;TEXT(_xludf.ISOWEEKNUM($J440),"00"))</f>
        <v/>
      </c>
      <c r="B440"/>
      <c r="C440" t="str">
        <f>IF($J440="","",SUMIFS('Hours Log'!$C:$C,'Hours Log'!$A:$A,"&gt;="&amp;$J440,'Hours Log'!$A:$A,"&lt;"&amp;$J440+7)+SUMIFS('Hours Log'!$D:$D,'Hours Log'!$A:$A,"&gt;="&amp;$J440,'Hours Log'!$A:$A,"&lt;"&amp;$J440+7))</f>
        <v/>
      </c>
      <c r="D440" t="str">
        <f>IF($J440="","",SUMIFS('Hours Log'!$D:$D,'Hours Log'!$A:$A,"&gt;="&amp;$J440,'Hours Log'!$A:$A,"&lt;"&amp;$J440+7))</f>
        <v/>
      </c>
      <c r="E440" t="str">
        <f t="shared" si="12"/>
        <v/>
      </c>
      <c r="F440" t="str">
        <f t="shared" si="13"/>
        <v/>
      </c>
      <c r="G440" t="str">
        <f>IF($J440="","",SUMIFS('Hours Log'!$E:$E,'Hours Log'!$A:$A,"&gt;="&amp;$J440,'Hours Log'!$A:$A,"&lt;"&amp;$J440+7))</f>
        <v/>
      </c>
      <c r="J440" t="str">
        <f>IF(COUNT('Hours Log'!$A$4:$A$5000)=0,"",IF(MIN('Hours Log'!$A$4:$A$5000)+7*(ROW()-10)&gt;MAX('Hours Log'!$A$4:$A$5000),"",MIN('Hours Log'!$A$4:$A$5000)+7*(ROW()-10)))</f>
        <v/>
      </c>
    </row>
    <row r="441" spans="1:10" x14ac:dyDescent="0.25">
      <c r="A441" t="str">
        <f>IF($J441="","",YEAR($J441-WEEKDAY($J441,2)+4)&amp;"-W"&amp;TEXT(_xludf.ISOWEEKNUM($J441),"00"))</f>
        <v/>
      </c>
      <c r="B441"/>
      <c r="C441" t="str">
        <f>IF($J441="","",SUMIFS('Hours Log'!$C:$C,'Hours Log'!$A:$A,"&gt;="&amp;$J441,'Hours Log'!$A:$A,"&lt;"&amp;$J441+7)+SUMIFS('Hours Log'!$D:$D,'Hours Log'!$A:$A,"&gt;="&amp;$J441,'Hours Log'!$A:$A,"&lt;"&amp;$J441+7))</f>
        <v/>
      </c>
      <c r="D441" t="str">
        <f>IF($J441="","",SUMIFS('Hours Log'!$D:$D,'Hours Log'!$A:$A,"&gt;="&amp;$J441,'Hours Log'!$A:$A,"&lt;"&amp;$J441+7))</f>
        <v/>
      </c>
      <c r="E441" t="str">
        <f t="shared" si="12"/>
        <v/>
      </c>
      <c r="F441" t="str">
        <f t="shared" si="13"/>
        <v/>
      </c>
      <c r="G441" t="str">
        <f>IF($J441="","",SUMIFS('Hours Log'!$E:$E,'Hours Log'!$A:$A,"&gt;="&amp;$J441,'Hours Log'!$A:$A,"&lt;"&amp;$J441+7))</f>
        <v/>
      </c>
      <c r="J441" t="str">
        <f>IF(COUNT('Hours Log'!$A$4:$A$5000)=0,"",IF(MIN('Hours Log'!$A$4:$A$5000)+7*(ROW()-10)&gt;MAX('Hours Log'!$A$4:$A$5000),"",MIN('Hours Log'!$A$4:$A$5000)+7*(ROW()-10)))</f>
        <v/>
      </c>
    </row>
    <row r="442" spans="1:10" x14ac:dyDescent="0.25">
      <c r="A442" t="str">
        <f>IF($J442="","",YEAR($J442-WEEKDAY($J442,2)+4)&amp;"-W"&amp;TEXT(_xludf.ISOWEEKNUM($J442),"00"))</f>
        <v/>
      </c>
      <c r="B442"/>
      <c r="C442" t="str">
        <f>IF($J442="","",SUMIFS('Hours Log'!$C:$C,'Hours Log'!$A:$A,"&gt;="&amp;$J442,'Hours Log'!$A:$A,"&lt;"&amp;$J442+7)+SUMIFS('Hours Log'!$D:$D,'Hours Log'!$A:$A,"&gt;="&amp;$J442,'Hours Log'!$A:$A,"&lt;"&amp;$J442+7))</f>
        <v/>
      </c>
      <c r="D442" t="str">
        <f>IF($J442="","",SUMIFS('Hours Log'!$D:$D,'Hours Log'!$A:$A,"&gt;="&amp;$J442,'Hours Log'!$A:$A,"&lt;"&amp;$J442+7))</f>
        <v/>
      </c>
      <c r="E442" t="str">
        <f t="shared" si="12"/>
        <v/>
      </c>
      <c r="F442" t="str">
        <f t="shared" si="13"/>
        <v/>
      </c>
      <c r="G442" t="str">
        <f>IF($J442="","",SUMIFS('Hours Log'!$E:$E,'Hours Log'!$A:$A,"&gt;="&amp;$J442,'Hours Log'!$A:$A,"&lt;"&amp;$J442+7))</f>
        <v/>
      </c>
      <c r="J442" t="str">
        <f>IF(COUNT('Hours Log'!$A$4:$A$5000)=0,"",IF(MIN('Hours Log'!$A$4:$A$5000)+7*(ROW()-10)&gt;MAX('Hours Log'!$A$4:$A$5000),"",MIN('Hours Log'!$A$4:$A$5000)+7*(ROW()-10)))</f>
        <v/>
      </c>
    </row>
    <row r="443" spans="1:10" x14ac:dyDescent="0.25">
      <c r="A443" t="str">
        <f>IF($J443="","",YEAR($J443-WEEKDAY($J443,2)+4)&amp;"-W"&amp;TEXT(_xludf.ISOWEEKNUM($J443),"00"))</f>
        <v/>
      </c>
      <c r="B443"/>
      <c r="C443" t="str">
        <f>IF($J443="","",SUMIFS('Hours Log'!$C:$C,'Hours Log'!$A:$A,"&gt;="&amp;$J443,'Hours Log'!$A:$A,"&lt;"&amp;$J443+7)+SUMIFS('Hours Log'!$D:$D,'Hours Log'!$A:$A,"&gt;="&amp;$J443,'Hours Log'!$A:$A,"&lt;"&amp;$J443+7))</f>
        <v/>
      </c>
      <c r="D443" t="str">
        <f>IF($J443="","",SUMIFS('Hours Log'!$D:$D,'Hours Log'!$A:$A,"&gt;="&amp;$J443,'Hours Log'!$A:$A,"&lt;"&amp;$J443+7))</f>
        <v/>
      </c>
      <c r="E443" t="str">
        <f t="shared" si="12"/>
        <v/>
      </c>
      <c r="F443" t="str">
        <f t="shared" si="13"/>
        <v/>
      </c>
      <c r="G443" t="str">
        <f>IF($J443="","",SUMIFS('Hours Log'!$E:$E,'Hours Log'!$A:$A,"&gt;="&amp;$J443,'Hours Log'!$A:$A,"&lt;"&amp;$J443+7))</f>
        <v/>
      </c>
      <c r="J443" t="str">
        <f>IF(COUNT('Hours Log'!$A$4:$A$5000)=0,"",IF(MIN('Hours Log'!$A$4:$A$5000)+7*(ROW()-10)&gt;MAX('Hours Log'!$A$4:$A$5000),"",MIN('Hours Log'!$A$4:$A$5000)+7*(ROW()-10)))</f>
        <v/>
      </c>
    </row>
    <row r="444" spans="1:10" x14ac:dyDescent="0.25">
      <c r="A444" t="str">
        <f>IF($J444="","",YEAR($J444-WEEKDAY($J444,2)+4)&amp;"-W"&amp;TEXT(_xludf.ISOWEEKNUM($J444),"00"))</f>
        <v/>
      </c>
      <c r="B444"/>
      <c r="C444" t="str">
        <f>IF($J444="","",SUMIFS('Hours Log'!$C:$C,'Hours Log'!$A:$A,"&gt;="&amp;$J444,'Hours Log'!$A:$A,"&lt;"&amp;$J444+7)+SUMIFS('Hours Log'!$D:$D,'Hours Log'!$A:$A,"&gt;="&amp;$J444,'Hours Log'!$A:$A,"&lt;"&amp;$J444+7))</f>
        <v/>
      </c>
      <c r="D444" t="str">
        <f>IF($J444="","",SUMIFS('Hours Log'!$D:$D,'Hours Log'!$A:$A,"&gt;="&amp;$J444,'Hours Log'!$A:$A,"&lt;"&amp;$J444+7))</f>
        <v/>
      </c>
      <c r="E444" t="str">
        <f t="shared" si="12"/>
        <v/>
      </c>
      <c r="F444" t="str">
        <f t="shared" si="13"/>
        <v/>
      </c>
      <c r="G444" t="str">
        <f>IF($J444="","",SUMIFS('Hours Log'!$E:$E,'Hours Log'!$A:$A,"&gt;="&amp;$J444,'Hours Log'!$A:$A,"&lt;"&amp;$J444+7))</f>
        <v/>
      </c>
      <c r="J444" t="str">
        <f>IF(COUNT('Hours Log'!$A$4:$A$5000)=0,"",IF(MIN('Hours Log'!$A$4:$A$5000)+7*(ROW()-10)&gt;MAX('Hours Log'!$A$4:$A$5000),"",MIN('Hours Log'!$A$4:$A$5000)+7*(ROW()-10)))</f>
        <v/>
      </c>
    </row>
    <row r="445" spans="1:10" x14ac:dyDescent="0.25">
      <c r="A445" t="str">
        <f>IF($J445="","",YEAR($J445-WEEKDAY($J445,2)+4)&amp;"-W"&amp;TEXT(_xludf.ISOWEEKNUM($J445),"00"))</f>
        <v/>
      </c>
      <c r="B445"/>
      <c r="C445" t="str">
        <f>IF($J445="","",SUMIFS('Hours Log'!$C:$C,'Hours Log'!$A:$A,"&gt;="&amp;$J445,'Hours Log'!$A:$A,"&lt;"&amp;$J445+7)+SUMIFS('Hours Log'!$D:$D,'Hours Log'!$A:$A,"&gt;="&amp;$J445,'Hours Log'!$A:$A,"&lt;"&amp;$J445+7))</f>
        <v/>
      </c>
      <c r="D445" t="str">
        <f>IF($J445="","",SUMIFS('Hours Log'!$D:$D,'Hours Log'!$A:$A,"&gt;="&amp;$J445,'Hours Log'!$A:$A,"&lt;"&amp;$J445+7))</f>
        <v/>
      </c>
      <c r="E445" t="str">
        <f t="shared" si="12"/>
        <v/>
      </c>
      <c r="F445" t="str">
        <f t="shared" si="13"/>
        <v/>
      </c>
      <c r="G445" t="str">
        <f>IF($J445="","",SUMIFS('Hours Log'!$E:$E,'Hours Log'!$A:$A,"&gt;="&amp;$J445,'Hours Log'!$A:$A,"&lt;"&amp;$J445+7))</f>
        <v/>
      </c>
      <c r="J445" t="str">
        <f>IF(COUNT('Hours Log'!$A$4:$A$5000)=0,"",IF(MIN('Hours Log'!$A$4:$A$5000)+7*(ROW()-10)&gt;MAX('Hours Log'!$A$4:$A$5000),"",MIN('Hours Log'!$A$4:$A$5000)+7*(ROW()-10)))</f>
        <v/>
      </c>
    </row>
    <row r="446" spans="1:10" x14ac:dyDescent="0.25">
      <c r="A446" t="str">
        <f>IF($J446="","",YEAR($J446-WEEKDAY($J446,2)+4)&amp;"-W"&amp;TEXT(_xludf.ISOWEEKNUM($J446),"00"))</f>
        <v/>
      </c>
      <c r="B446"/>
      <c r="C446" t="str">
        <f>IF($J446="","",SUMIFS('Hours Log'!$C:$C,'Hours Log'!$A:$A,"&gt;="&amp;$J446,'Hours Log'!$A:$A,"&lt;"&amp;$J446+7)+SUMIFS('Hours Log'!$D:$D,'Hours Log'!$A:$A,"&gt;="&amp;$J446,'Hours Log'!$A:$A,"&lt;"&amp;$J446+7))</f>
        <v/>
      </c>
      <c r="D446" t="str">
        <f>IF($J446="","",SUMIFS('Hours Log'!$D:$D,'Hours Log'!$A:$A,"&gt;="&amp;$J446,'Hours Log'!$A:$A,"&lt;"&amp;$J446+7))</f>
        <v/>
      </c>
      <c r="E446" t="str">
        <f t="shared" si="12"/>
        <v/>
      </c>
      <c r="F446" t="str">
        <f t="shared" si="13"/>
        <v/>
      </c>
      <c r="G446" t="str">
        <f>IF($J446="","",SUMIFS('Hours Log'!$E:$E,'Hours Log'!$A:$A,"&gt;="&amp;$J446,'Hours Log'!$A:$A,"&lt;"&amp;$J446+7))</f>
        <v/>
      </c>
      <c r="J446" t="str">
        <f>IF(COUNT('Hours Log'!$A$4:$A$5000)=0,"",IF(MIN('Hours Log'!$A$4:$A$5000)+7*(ROW()-10)&gt;MAX('Hours Log'!$A$4:$A$5000),"",MIN('Hours Log'!$A$4:$A$5000)+7*(ROW()-10)))</f>
        <v/>
      </c>
    </row>
    <row r="447" spans="1:10" x14ac:dyDescent="0.25">
      <c r="A447" t="str">
        <f>IF($J447="","",YEAR($J447-WEEKDAY($J447,2)+4)&amp;"-W"&amp;TEXT(_xludf.ISOWEEKNUM($J447),"00"))</f>
        <v/>
      </c>
      <c r="B447"/>
      <c r="C447" t="str">
        <f>IF($J447="","",SUMIFS('Hours Log'!$C:$C,'Hours Log'!$A:$A,"&gt;="&amp;$J447,'Hours Log'!$A:$A,"&lt;"&amp;$J447+7)+SUMIFS('Hours Log'!$D:$D,'Hours Log'!$A:$A,"&gt;="&amp;$J447,'Hours Log'!$A:$A,"&lt;"&amp;$J447+7))</f>
        <v/>
      </c>
      <c r="D447" t="str">
        <f>IF($J447="","",SUMIFS('Hours Log'!$D:$D,'Hours Log'!$A:$A,"&gt;="&amp;$J447,'Hours Log'!$A:$A,"&lt;"&amp;$J447+7))</f>
        <v/>
      </c>
      <c r="E447" t="str">
        <f t="shared" si="12"/>
        <v/>
      </c>
      <c r="F447" t="str">
        <f t="shared" si="13"/>
        <v/>
      </c>
      <c r="G447" t="str">
        <f>IF($J447="","",SUMIFS('Hours Log'!$E:$E,'Hours Log'!$A:$A,"&gt;="&amp;$J447,'Hours Log'!$A:$A,"&lt;"&amp;$J447+7))</f>
        <v/>
      </c>
      <c r="J447" t="str">
        <f>IF(COUNT('Hours Log'!$A$4:$A$5000)=0,"",IF(MIN('Hours Log'!$A$4:$A$5000)+7*(ROW()-10)&gt;MAX('Hours Log'!$A$4:$A$5000),"",MIN('Hours Log'!$A$4:$A$5000)+7*(ROW()-10)))</f>
        <v/>
      </c>
    </row>
    <row r="448" spans="1:10" x14ac:dyDescent="0.25">
      <c r="A448" t="str">
        <f>IF($J448="","",YEAR($J448-WEEKDAY($J448,2)+4)&amp;"-W"&amp;TEXT(_xludf.ISOWEEKNUM($J448),"00"))</f>
        <v/>
      </c>
      <c r="B448"/>
      <c r="C448" t="str">
        <f>IF($J448="","",SUMIFS('Hours Log'!$C:$C,'Hours Log'!$A:$A,"&gt;="&amp;$J448,'Hours Log'!$A:$A,"&lt;"&amp;$J448+7)+SUMIFS('Hours Log'!$D:$D,'Hours Log'!$A:$A,"&gt;="&amp;$J448,'Hours Log'!$A:$A,"&lt;"&amp;$J448+7))</f>
        <v/>
      </c>
      <c r="D448" t="str">
        <f>IF($J448="","",SUMIFS('Hours Log'!$D:$D,'Hours Log'!$A:$A,"&gt;="&amp;$J448,'Hours Log'!$A:$A,"&lt;"&amp;$J448+7))</f>
        <v/>
      </c>
      <c r="E448" t="str">
        <f t="shared" si="12"/>
        <v/>
      </c>
      <c r="F448" t="str">
        <f t="shared" si="13"/>
        <v/>
      </c>
      <c r="G448" t="str">
        <f>IF($J448="","",SUMIFS('Hours Log'!$E:$E,'Hours Log'!$A:$A,"&gt;="&amp;$J448,'Hours Log'!$A:$A,"&lt;"&amp;$J448+7))</f>
        <v/>
      </c>
      <c r="J448" t="str">
        <f>IF(COUNT('Hours Log'!$A$4:$A$5000)=0,"",IF(MIN('Hours Log'!$A$4:$A$5000)+7*(ROW()-10)&gt;MAX('Hours Log'!$A$4:$A$5000),"",MIN('Hours Log'!$A$4:$A$5000)+7*(ROW()-10)))</f>
        <v/>
      </c>
    </row>
    <row r="449" spans="1:10" x14ac:dyDescent="0.25">
      <c r="A449" t="str">
        <f>IF($J449="","",YEAR($J449-WEEKDAY($J449,2)+4)&amp;"-W"&amp;TEXT(_xludf.ISOWEEKNUM($J449),"00"))</f>
        <v/>
      </c>
      <c r="B449"/>
      <c r="C449" t="str">
        <f>IF($J449="","",SUMIFS('Hours Log'!$C:$C,'Hours Log'!$A:$A,"&gt;="&amp;$J449,'Hours Log'!$A:$A,"&lt;"&amp;$J449+7)+SUMIFS('Hours Log'!$D:$D,'Hours Log'!$A:$A,"&gt;="&amp;$J449,'Hours Log'!$A:$A,"&lt;"&amp;$J449+7))</f>
        <v/>
      </c>
      <c r="D449" t="str">
        <f>IF($J449="","",SUMIFS('Hours Log'!$D:$D,'Hours Log'!$A:$A,"&gt;="&amp;$J449,'Hours Log'!$A:$A,"&lt;"&amp;$J449+7))</f>
        <v/>
      </c>
      <c r="E449" t="str">
        <f t="shared" si="12"/>
        <v/>
      </c>
      <c r="F449" t="str">
        <f t="shared" si="13"/>
        <v/>
      </c>
      <c r="G449" t="str">
        <f>IF($J449="","",SUMIFS('Hours Log'!$E:$E,'Hours Log'!$A:$A,"&gt;="&amp;$J449,'Hours Log'!$A:$A,"&lt;"&amp;$J449+7))</f>
        <v/>
      </c>
      <c r="J449" t="str">
        <f>IF(COUNT('Hours Log'!$A$4:$A$5000)=0,"",IF(MIN('Hours Log'!$A$4:$A$5000)+7*(ROW()-10)&gt;MAX('Hours Log'!$A$4:$A$5000),"",MIN('Hours Log'!$A$4:$A$5000)+7*(ROW()-10)))</f>
        <v/>
      </c>
    </row>
    <row r="450" spans="1:10" x14ac:dyDescent="0.25">
      <c r="A450" t="str">
        <f>IF($J450="","",YEAR($J450-WEEKDAY($J450,2)+4)&amp;"-W"&amp;TEXT(_xludf.ISOWEEKNUM($J450),"00"))</f>
        <v/>
      </c>
      <c r="B450"/>
      <c r="C450" t="str">
        <f>IF($J450="","",SUMIFS('Hours Log'!$C:$C,'Hours Log'!$A:$A,"&gt;="&amp;$J450,'Hours Log'!$A:$A,"&lt;"&amp;$J450+7)+SUMIFS('Hours Log'!$D:$D,'Hours Log'!$A:$A,"&gt;="&amp;$J450,'Hours Log'!$A:$A,"&lt;"&amp;$J450+7))</f>
        <v/>
      </c>
      <c r="D450" t="str">
        <f>IF($J450="","",SUMIFS('Hours Log'!$D:$D,'Hours Log'!$A:$A,"&gt;="&amp;$J450,'Hours Log'!$A:$A,"&lt;"&amp;$J450+7))</f>
        <v/>
      </c>
      <c r="E450" t="str">
        <f t="shared" si="12"/>
        <v/>
      </c>
      <c r="F450" t="str">
        <f t="shared" si="13"/>
        <v/>
      </c>
      <c r="G450" t="str">
        <f>IF($J450="","",SUMIFS('Hours Log'!$E:$E,'Hours Log'!$A:$A,"&gt;="&amp;$J450,'Hours Log'!$A:$A,"&lt;"&amp;$J450+7))</f>
        <v/>
      </c>
      <c r="J450" t="str">
        <f>IF(COUNT('Hours Log'!$A$4:$A$5000)=0,"",IF(MIN('Hours Log'!$A$4:$A$5000)+7*(ROW()-10)&gt;MAX('Hours Log'!$A$4:$A$5000),"",MIN('Hours Log'!$A$4:$A$5000)+7*(ROW()-10)))</f>
        <v/>
      </c>
    </row>
    <row r="451" spans="1:10" x14ac:dyDescent="0.25">
      <c r="A451" t="str">
        <f>IF($J451="","",YEAR($J451-WEEKDAY($J451,2)+4)&amp;"-W"&amp;TEXT(_xludf.ISOWEEKNUM($J451),"00"))</f>
        <v/>
      </c>
      <c r="B451"/>
      <c r="C451" t="str">
        <f>IF($J451="","",SUMIFS('Hours Log'!$C:$C,'Hours Log'!$A:$A,"&gt;="&amp;$J451,'Hours Log'!$A:$A,"&lt;"&amp;$J451+7)+SUMIFS('Hours Log'!$D:$D,'Hours Log'!$A:$A,"&gt;="&amp;$J451,'Hours Log'!$A:$A,"&lt;"&amp;$J451+7))</f>
        <v/>
      </c>
      <c r="D451" t="str">
        <f>IF($J451="","",SUMIFS('Hours Log'!$D:$D,'Hours Log'!$A:$A,"&gt;="&amp;$J451,'Hours Log'!$A:$A,"&lt;"&amp;$J451+7))</f>
        <v/>
      </c>
      <c r="E451" t="str">
        <f t="shared" si="12"/>
        <v/>
      </c>
      <c r="F451" t="str">
        <f t="shared" si="13"/>
        <v/>
      </c>
      <c r="G451" t="str">
        <f>IF($J451="","",SUMIFS('Hours Log'!$E:$E,'Hours Log'!$A:$A,"&gt;="&amp;$J451,'Hours Log'!$A:$A,"&lt;"&amp;$J451+7))</f>
        <v/>
      </c>
      <c r="J451" t="str">
        <f>IF(COUNT('Hours Log'!$A$4:$A$5000)=0,"",IF(MIN('Hours Log'!$A$4:$A$5000)+7*(ROW()-10)&gt;MAX('Hours Log'!$A$4:$A$5000),"",MIN('Hours Log'!$A$4:$A$5000)+7*(ROW()-10)))</f>
        <v/>
      </c>
    </row>
    <row r="452" spans="1:10" x14ac:dyDescent="0.25">
      <c r="A452" t="str">
        <f>IF($J452="","",YEAR($J452-WEEKDAY($J452,2)+4)&amp;"-W"&amp;TEXT(_xludf.ISOWEEKNUM($J452),"00"))</f>
        <v/>
      </c>
      <c r="B452"/>
      <c r="C452" t="str">
        <f>IF($J452="","",SUMIFS('Hours Log'!$C:$C,'Hours Log'!$A:$A,"&gt;="&amp;$J452,'Hours Log'!$A:$A,"&lt;"&amp;$J452+7)+SUMIFS('Hours Log'!$D:$D,'Hours Log'!$A:$A,"&gt;="&amp;$J452,'Hours Log'!$A:$A,"&lt;"&amp;$J452+7))</f>
        <v/>
      </c>
      <c r="D452" t="str">
        <f>IF($J452="","",SUMIFS('Hours Log'!$D:$D,'Hours Log'!$A:$A,"&gt;="&amp;$J452,'Hours Log'!$A:$A,"&lt;"&amp;$J452+7))</f>
        <v/>
      </c>
      <c r="E452" t="str">
        <f t="shared" si="12"/>
        <v/>
      </c>
      <c r="F452" t="str">
        <f t="shared" si="13"/>
        <v/>
      </c>
      <c r="G452" t="str">
        <f>IF($J452="","",SUMIFS('Hours Log'!$E:$E,'Hours Log'!$A:$A,"&gt;="&amp;$J452,'Hours Log'!$A:$A,"&lt;"&amp;$J452+7))</f>
        <v/>
      </c>
      <c r="J452" t="str">
        <f>IF(COUNT('Hours Log'!$A$4:$A$5000)=0,"",IF(MIN('Hours Log'!$A$4:$A$5000)+7*(ROW()-10)&gt;MAX('Hours Log'!$A$4:$A$5000),"",MIN('Hours Log'!$A$4:$A$5000)+7*(ROW()-10)))</f>
        <v/>
      </c>
    </row>
    <row r="453" spans="1:10" x14ac:dyDescent="0.25">
      <c r="A453" t="str">
        <f>IF($J453="","",YEAR($J453-WEEKDAY($J453,2)+4)&amp;"-W"&amp;TEXT(_xludf.ISOWEEKNUM($J453),"00"))</f>
        <v/>
      </c>
      <c r="B453"/>
      <c r="C453" t="str">
        <f>IF($J453="","",SUMIFS('Hours Log'!$C:$C,'Hours Log'!$A:$A,"&gt;="&amp;$J453,'Hours Log'!$A:$A,"&lt;"&amp;$J453+7)+SUMIFS('Hours Log'!$D:$D,'Hours Log'!$A:$A,"&gt;="&amp;$J453,'Hours Log'!$A:$A,"&lt;"&amp;$J453+7))</f>
        <v/>
      </c>
      <c r="D453" t="str">
        <f>IF($J453="","",SUMIFS('Hours Log'!$D:$D,'Hours Log'!$A:$A,"&gt;="&amp;$J453,'Hours Log'!$A:$A,"&lt;"&amp;$J453+7))</f>
        <v/>
      </c>
      <c r="E453" t="str">
        <f t="shared" si="12"/>
        <v/>
      </c>
      <c r="F453" t="str">
        <f t="shared" si="13"/>
        <v/>
      </c>
      <c r="G453" t="str">
        <f>IF($J453="","",SUMIFS('Hours Log'!$E:$E,'Hours Log'!$A:$A,"&gt;="&amp;$J453,'Hours Log'!$A:$A,"&lt;"&amp;$J453+7))</f>
        <v/>
      </c>
      <c r="J453" t="str">
        <f>IF(COUNT('Hours Log'!$A$4:$A$5000)=0,"",IF(MIN('Hours Log'!$A$4:$A$5000)+7*(ROW()-10)&gt;MAX('Hours Log'!$A$4:$A$5000),"",MIN('Hours Log'!$A$4:$A$5000)+7*(ROW()-10)))</f>
        <v/>
      </c>
    </row>
    <row r="454" spans="1:10" x14ac:dyDescent="0.25">
      <c r="A454" t="str">
        <f>IF($J454="","",YEAR($J454-WEEKDAY($J454,2)+4)&amp;"-W"&amp;TEXT(_xludf.ISOWEEKNUM($J454),"00"))</f>
        <v/>
      </c>
      <c r="B454"/>
      <c r="C454" t="str">
        <f>IF($J454="","",SUMIFS('Hours Log'!$C:$C,'Hours Log'!$A:$A,"&gt;="&amp;$J454,'Hours Log'!$A:$A,"&lt;"&amp;$J454+7)+SUMIFS('Hours Log'!$D:$D,'Hours Log'!$A:$A,"&gt;="&amp;$J454,'Hours Log'!$A:$A,"&lt;"&amp;$J454+7))</f>
        <v/>
      </c>
      <c r="D454" t="str">
        <f>IF($J454="","",SUMIFS('Hours Log'!$D:$D,'Hours Log'!$A:$A,"&gt;="&amp;$J454,'Hours Log'!$A:$A,"&lt;"&amp;$J454+7))</f>
        <v/>
      </c>
      <c r="E454" t="str">
        <f t="shared" si="12"/>
        <v/>
      </c>
      <c r="F454" t="str">
        <f t="shared" si="13"/>
        <v/>
      </c>
      <c r="G454" t="str">
        <f>IF($J454="","",SUMIFS('Hours Log'!$E:$E,'Hours Log'!$A:$A,"&gt;="&amp;$J454,'Hours Log'!$A:$A,"&lt;"&amp;$J454+7))</f>
        <v/>
      </c>
      <c r="J454" t="str">
        <f>IF(COUNT('Hours Log'!$A$4:$A$5000)=0,"",IF(MIN('Hours Log'!$A$4:$A$5000)+7*(ROW()-10)&gt;MAX('Hours Log'!$A$4:$A$5000),"",MIN('Hours Log'!$A$4:$A$5000)+7*(ROW()-10)))</f>
        <v/>
      </c>
    </row>
    <row r="455" spans="1:10" x14ac:dyDescent="0.25">
      <c r="A455" t="str">
        <f>IF($J455="","",YEAR($J455-WEEKDAY($J455,2)+4)&amp;"-W"&amp;TEXT(_xludf.ISOWEEKNUM($J455),"00"))</f>
        <v/>
      </c>
      <c r="B455"/>
      <c r="C455" t="str">
        <f>IF($J455="","",SUMIFS('Hours Log'!$C:$C,'Hours Log'!$A:$A,"&gt;="&amp;$J455,'Hours Log'!$A:$A,"&lt;"&amp;$J455+7)+SUMIFS('Hours Log'!$D:$D,'Hours Log'!$A:$A,"&gt;="&amp;$J455,'Hours Log'!$A:$A,"&lt;"&amp;$J455+7))</f>
        <v/>
      </c>
      <c r="D455" t="str">
        <f>IF($J455="","",SUMIFS('Hours Log'!$D:$D,'Hours Log'!$A:$A,"&gt;="&amp;$J455,'Hours Log'!$A:$A,"&lt;"&amp;$J455+7))</f>
        <v/>
      </c>
      <c r="E455" t="str">
        <f t="shared" si="12"/>
        <v/>
      </c>
      <c r="F455" t="str">
        <f t="shared" si="13"/>
        <v/>
      </c>
      <c r="G455" t="str">
        <f>IF($J455="","",SUMIFS('Hours Log'!$E:$E,'Hours Log'!$A:$A,"&gt;="&amp;$J455,'Hours Log'!$A:$A,"&lt;"&amp;$J455+7))</f>
        <v/>
      </c>
      <c r="J455" t="str">
        <f>IF(COUNT('Hours Log'!$A$4:$A$5000)=0,"",IF(MIN('Hours Log'!$A$4:$A$5000)+7*(ROW()-10)&gt;MAX('Hours Log'!$A$4:$A$5000),"",MIN('Hours Log'!$A$4:$A$5000)+7*(ROW()-10)))</f>
        <v/>
      </c>
    </row>
    <row r="456" spans="1:10" x14ac:dyDescent="0.25">
      <c r="A456" t="str">
        <f>IF($J456="","",YEAR($J456-WEEKDAY($J456,2)+4)&amp;"-W"&amp;TEXT(_xludf.ISOWEEKNUM($J456),"00"))</f>
        <v/>
      </c>
      <c r="B456"/>
      <c r="C456" t="str">
        <f>IF($J456="","",SUMIFS('Hours Log'!$C:$C,'Hours Log'!$A:$A,"&gt;="&amp;$J456,'Hours Log'!$A:$A,"&lt;"&amp;$J456+7)+SUMIFS('Hours Log'!$D:$D,'Hours Log'!$A:$A,"&gt;="&amp;$J456,'Hours Log'!$A:$A,"&lt;"&amp;$J456+7))</f>
        <v/>
      </c>
      <c r="D456" t="str">
        <f>IF($J456="","",SUMIFS('Hours Log'!$D:$D,'Hours Log'!$A:$A,"&gt;="&amp;$J456,'Hours Log'!$A:$A,"&lt;"&amp;$J456+7))</f>
        <v/>
      </c>
      <c r="E456" t="str">
        <f t="shared" si="12"/>
        <v/>
      </c>
      <c r="F456" t="str">
        <f t="shared" si="13"/>
        <v/>
      </c>
      <c r="G456" t="str">
        <f>IF($J456="","",SUMIFS('Hours Log'!$E:$E,'Hours Log'!$A:$A,"&gt;="&amp;$J456,'Hours Log'!$A:$A,"&lt;"&amp;$J456+7))</f>
        <v/>
      </c>
      <c r="J456" t="str">
        <f>IF(COUNT('Hours Log'!$A$4:$A$5000)=0,"",IF(MIN('Hours Log'!$A$4:$A$5000)+7*(ROW()-10)&gt;MAX('Hours Log'!$A$4:$A$5000),"",MIN('Hours Log'!$A$4:$A$5000)+7*(ROW()-10)))</f>
        <v/>
      </c>
    </row>
    <row r="457" spans="1:10" x14ac:dyDescent="0.25">
      <c r="A457" t="str">
        <f>IF($J457="","",YEAR($J457-WEEKDAY($J457,2)+4)&amp;"-W"&amp;TEXT(_xludf.ISOWEEKNUM($J457),"00"))</f>
        <v/>
      </c>
      <c r="B457"/>
      <c r="C457" t="str">
        <f>IF($J457="","",SUMIFS('Hours Log'!$C:$C,'Hours Log'!$A:$A,"&gt;="&amp;$J457,'Hours Log'!$A:$A,"&lt;"&amp;$J457+7)+SUMIFS('Hours Log'!$D:$D,'Hours Log'!$A:$A,"&gt;="&amp;$J457,'Hours Log'!$A:$A,"&lt;"&amp;$J457+7))</f>
        <v/>
      </c>
      <c r="D457" t="str">
        <f>IF($J457="","",SUMIFS('Hours Log'!$D:$D,'Hours Log'!$A:$A,"&gt;="&amp;$J457,'Hours Log'!$A:$A,"&lt;"&amp;$J457+7))</f>
        <v/>
      </c>
      <c r="E457" t="str">
        <f t="shared" si="12"/>
        <v/>
      </c>
      <c r="F457" t="str">
        <f t="shared" si="13"/>
        <v/>
      </c>
      <c r="G457" t="str">
        <f>IF($J457="","",SUMIFS('Hours Log'!$E:$E,'Hours Log'!$A:$A,"&gt;="&amp;$J457,'Hours Log'!$A:$A,"&lt;"&amp;$J457+7))</f>
        <v/>
      </c>
      <c r="J457" t="str">
        <f>IF(COUNT('Hours Log'!$A$4:$A$5000)=0,"",IF(MIN('Hours Log'!$A$4:$A$5000)+7*(ROW()-10)&gt;MAX('Hours Log'!$A$4:$A$5000),"",MIN('Hours Log'!$A$4:$A$5000)+7*(ROW()-10)))</f>
        <v/>
      </c>
    </row>
    <row r="458" spans="1:10" x14ac:dyDescent="0.25">
      <c r="A458" t="str">
        <f>IF($J458="","",YEAR($J458-WEEKDAY($J458,2)+4)&amp;"-W"&amp;TEXT(_xludf.ISOWEEKNUM($J458),"00"))</f>
        <v/>
      </c>
      <c r="B458"/>
      <c r="C458" t="str">
        <f>IF($J458="","",SUMIFS('Hours Log'!$C:$C,'Hours Log'!$A:$A,"&gt;="&amp;$J458,'Hours Log'!$A:$A,"&lt;"&amp;$J458+7)+SUMIFS('Hours Log'!$D:$D,'Hours Log'!$A:$A,"&gt;="&amp;$J458,'Hours Log'!$A:$A,"&lt;"&amp;$J458+7))</f>
        <v/>
      </c>
      <c r="D458" t="str">
        <f>IF($J458="","",SUMIFS('Hours Log'!$D:$D,'Hours Log'!$A:$A,"&gt;="&amp;$J458,'Hours Log'!$A:$A,"&lt;"&amp;$J458+7))</f>
        <v/>
      </c>
      <c r="E458" t="str">
        <f t="shared" ref="E458:E521" si="14">IF($J458="","",IFERROR(C458/(B458*40),0))</f>
        <v/>
      </c>
      <c r="F458" t="str">
        <f t="shared" ref="F458:F521" si="15">IF($J458="","",0)</f>
        <v/>
      </c>
      <c r="G458" t="str">
        <f>IF($J458="","",SUMIFS('Hours Log'!$E:$E,'Hours Log'!$A:$A,"&gt;="&amp;$J458,'Hours Log'!$A:$A,"&lt;"&amp;$J458+7))</f>
        <v/>
      </c>
      <c r="J458" t="str">
        <f>IF(COUNT('Hours Log'!$A$4:$A$5000)=0,"",IF(MIN('Hours Log'!$A$4:$A$5000)+7*(ROW()-10)&gt;MAX('Hours Log'!$A$4:$A$5000),"",MIN('Hours Log'!$A$4:$A$5000)+7*(ROW()-10)))</f>
        <v/>
      </c>
    </row>
    <row r="459" spans="1:10" x14ac:dyDescent="0.25">
      <c r="A459" t="str">
        <f>IF($J459="","",YEAR($J459-WEEKDAY($J459,2)+4)&amp;"-W"&amp;TEXT(_xludf.ISOWEEKNUM($J459),"00"))</f>
        <v/>
      </c>
      <c r="B459"/>
      <c r="C459" t="str">
        <f>IF($J459="","",SUMIFS('Hours Log'!$C:$C,'Hours Log'!$A:$A,"&gt;="&amp;$J459,'Hours Log'!$A:$A,"&lt;"&amp;$J459+7)+SUMIFS('Hours Log'!$D:$D,'Hours Log'!$A:$A,"&gt;="&amp;$J459,'Hours Log'!$A:$A,"&lt;"&amp;$J459+7))</f>
        <v/>
      </c>
      <c r="D459" t="str">
        <f>IF($J459="","",SUMIFS('Hours Log'!$D:$D,'Hours Log'!$A:$A,"&gt;="&amp;$J459,'Hours Log'!$A:$A,"&lt;"&amp;$J459+7))</f>
        <v/>
      </c>
      <c r="E459" t="str">
        <f t="shared" si="14"/>
        <v/>
      </c>
      <c r="F459" t="str">
        <f t="shared" si="15"/>
        <v/>
      </c>
      <c r="G459" t="str">
        <f>IF($J459="","",SUMIFS('Hours Log'!$E:$E,'Hours Log'!$A:$A,"&gt;="&amp;$J459,'Hours Log'!$A:$A,"&lt;"&amp;$J459+7))</f>
        <v/>
      </c>
      <c r="J459" t="str">
        <f>IF(COUNT('Hours Log'!$A$4:$A$5000)=0,"",IF(MIN('Hours Log'!$A$4:$A$5000)+7*(ROW()-10)&gt;MAX('Hours Log'!$A$4:$A$5000),"",MIN('Hours Log'!$A$4:$A$5000)+7*(ROW()-10)))</f>
        <v/>
      </c>
    </row>
    <row r="460" spans="1:10" x14ac:dyDescent="0.25">
      <c r="A460" t="str">
        <f>IF($J460="","",YEAR($J460-WEEKDAY($J460,2)+4)&amp;"-W"&amp;TEXT(_xludf.ISOWEEKNUM($J460),"00"))</f>
        <v/>
      </c>
      <c r="B460"/>
      <c r="C460" t="str">
        <f>IF($J460="","",SUMIFS('Hours Log'!$C:$C,'Hours Log'!$A:$A,"&gt;="&amp;$J460,'Hours Log'!$A:$A,"&lt;"&amp;$J460+7)+SUMIFS('Hours Log'!$D:$D,'Hours Log'!$A:$A,"&gt;="&amp;$J460,'Hours Log'!$A:$A,"&lt;"&amp;$J460+7))</f>
        <v/>
      </c>
      <c r="D460" t="str">
        <f>IF($J460="","",SUMIFS('Hours Log'!$D:$D,'Hours Log'!$A:$A,"&gt;="&amp;$J460,'Hours Log'!$A:$A,"&lt;"&amp;$J460+7))</f>
        <v/>
      </c>
      <c r="E460" t="str">
        <f t="shared" si="14"/>
        <v/>
      </c>
      <c r="F460" t="str">
        <f t="shared" si="15"/>
        <v/>
      </c>
      <c r="G460" t="str">
        <f>IF($J460="","",SUMIFS('Hours Log'!$E:$E,'Hours Log'!$A:$A,"&gt;="&amp;$J460,'Hours Log'!$A:$A,"&lt;"&amp;$J460+7))</f>
        <v/>
      </c>
      <c r="J460" t="str">
        <f>IF(COUNT('Hours Log'!$A$4:$A$5000)=0,"",IF(MIN('Hours Log'!$A$4:$A$5000)+7*(ROW()-10)&gt;MAX('Hours Log'!$A$4:$A$5000),"",MIN('Hours Log'!$A$4:$A$5000)+7*(ROW()-10)))</f>
        <v/>
      </c>
    </row>
    <row r="461" spans="1:10" x14ac:dyDescent="0.25">
      <c r="A461" t="str">
        <f>IF($J461="","",YEAR($J461-WEEKDAY($J461,2)+4)&amp;"-W"&amp;TEXT(_xludf.ISOWEEKNUM($J461),"00"))</f>
        <v/>
      </c>
      <c r="B461"/>
      <c r="C461" t="str">
        <f>IF($J461="","",SUMIFS('Hours Log'!$C:$C,'Hours Log'!$A:$A,"&gt;="&amp;$J461,'Hours Log'!$A:$A,"&lt;"&amp;$J461+7)+SUMIFS('Hours Log'!$D:$D,'Hours Log'!$A:$A,"&gt;="&amp;$J461,'Hours Log'!$A:$A,"&lt;"&amp;$J461+7))</f>
        <v/>
      </c>
      <c r="D461" t="str">
        <f>IF($J461="","",SUMIFS('Hours Log'!$D:$D,'Hours Log'!$A:$A,"&gt;="&amp;$J461,'Hours Log'!$A:$A,"&lt;"&amp;$J461+7))</f>
        <v/>
      </c>
      <c r="E461" t="str">
        <f t="shared" si="14"/>
        <v/>
      </c>
      <c r="F461" t="str">
        <f t="shared" si="15"/>
        <v/>
      </c>
      <c r="G461" t="str">
        <f>IF($J461="","",SUMIFS('Hours Log'!$E:$E,'Hours Log'!$A:$A,"&gt;="&amp;$J461,'Hours Log'!$A:$A,"&lt;"&amp;$J461+7))</f>
        <v/>
      </c>
      <c r="J461" t="str">
        <f>IF(COUNT('Hours Log'!$A$4:$A$5000)=0,"",IF(MIN('Hours Log'!$A$4:$A$5000)+7*(ROW()-10)&gt;MAX('Hours Log'!$A$4:$A$5000),"",MIN('Hours Log'!$A$4:$A$5000)+7*(ROW()-10)))</f>
        <v/>
      </c>
    </row>
    <row r="462" spans="1:10" x14ac:dyDescent="0.25">
      <c r="A462" t="str">
        <f>IF($J462="","",YEAR($J462-WEEKDAY($J462,2)+4)&amp;"-W"&amp;TEXT(_xludf.ISOWEEKNUM($J462),"00"))</f>
        <v/>
      </c>
      <c r="B462"/>
      <c r="C462" t="str">
        <f>IF($J462="","",SUMIFS('Hours Log'!$C:$C,'Hours Log'!$A:$A,"&gt;="&amp;$J462,'Hours Log'!$A:$A,"&lt;"&amp;$J462+7)+SUMIFS('Hours Log'!$D:$D,'Hours Log'!$A:$A,"&gt;="&amp;$J462,'Hours Log'!$A:$A,"&lt;"&amp;$J462+7))</f>
        <v/>
      </c>
      <c r="D462" t="str">
        <f>IF($J462="","",SUMIFS('Hours Log'!$D:$D,'Hours Log'!$A:$A,"&gt;="&amp;$J462,'Hours Log'!$A:$A,"&lt;"&amp;$J462+7))</f>
        <v/>
      </c>
      <c r="E462" t="str">
        <f t="shared" si="14"/>
        <v/>
      </c>
      <c r="F462" t="str">
        <f t="shared" si="15"/>
        <v/>
      </c>
      <c r="G462" t="str">
        <f>IF($J462="","",SUMIFS('Hours Log'!$E:$E,'Hours Log'!$A:$A,"&gt;="&amp;$J462,'Hours Log'!$A:$A,"&lt;"&amp;$J462+7))</f>
        <v/>
      </c>
      <c r="J462" t="str">
        <f>IF(COUNT('Hours Log'!$A$4:$A$5000)=0,"",IF(MIN('Hours Log'!$A$4:$A$5000)+7*(ROW()-10)&gt;MAX('Hours Log'!$A$4:$A$5000),"",MIN('Hours Log'!$A$4:$A$5000)+7*(ROW()-10)))</f>
        <v/>
      </c>
    </row>
    <row r="463" spans="1:10" x14ac:dyDescent="0.25">
      <c r="A463" t="str">
        <f>IF($J463="","",YEAR($J463-WEEKDAY($J463,2)+4)&amp;"-W"&amp;TEXT(_xludf.ISOWEEKNUM($J463),"00"))</f>
        <v/>
      </c>
      <c r="B463"/>
      <c r="C463" t="str">
        <f>IF($J463="","",SUMIFS('Hours Log'!$C:$C,'Hours Log'!$A:$A,"&gt;="&amp;$J463,'Hours Log'!$A:$A,"&lt;"&amp;$J463+7)+SUMIFS('Hours Log'!$D:$D,'Hours Log'!$A:$A,"&gt;="&amp;$J463,'Hours Log'!$A:$A,"&lt;"&amp;$J463+7))</f>
        <v/>
      </c>
      <c r="D463" t="str">
        <f>IF($J463="","",SUMIFS('Hours Log'!$D:$D,'Hours Log'!$A:$A,"&gt;="&amp;$J463,'Hours Log'!$A:$A,"&lt;"&amp;$J463+7))</f>
        <v/>
      </c>
      <c r="E463" t="str">
        <f t="shared" si="14"/>
        <v/>
      </c>
      <c r="F463" t="str">
        <f t="shared" si="15"/>
        <v/>
      </c>
      <c r="G463" t="str">
        <f>IF($J463="","",SUMIFS('Hours Log'!$E:$E,'Hours Log'!$A:$A,"&gt;="&amp;$J463,'Hours Log'!$A:$A,"&lt;"&amp;$J463+7))</f>
        <v/>
      </c>
      <c r="J463" t="str">
        <f>IF(COUNT('Hours Log'!$A$4:$A$5000)=0,"",IF(MIN('Hours Log'!$A$4:$A$5000)+7*(ROW()-10)&gt;MAX('Hours Log'!$A$4:$A$5000),"",MIN('Hours Log'!$A$4:$A$5000)+7*(ROW()-10)))</f>
        <v/>
      </c>
    </row>
    <row r="464" spans="1:10" x14ac:dyDescent="0.25">
      <c r="A464" t="str">
        <f>IF($J464="","",YEAR($J464-WEEKDAY($J464,2)+4)&amp;"-W"&amp;TEXT(_xludf.ISOWEEKNUM($J464),"00"))</f>
        <v/>
      </c>
      <c r="B464"/>
      <c r="C464" t="str">
        <f>IF($J464="","",SUMIFS('Hours Log'!$C:$C,'Hours Log'!$A:$A,"&gt;="&amp;$J464,'Hours Log'!$A:$A,"&lt;"&amp;$J464+7)+SUMIFS('Hours Log'!$D:$D,'Hours Log'!$A:$A,"&gt;="&amp;$J464,'Hours Log'!$A:$A,"&lt;"&amp;$J464+7))</f>
        <v/>
      </c>
      <c r="D464" t="str">
        <f>IF($J464="","",SUMIFS('Hours Log'!$D:$D,'Hours Log'!$A:$A,"&gt;="&amp;$J464,'Hours Log'!$A:$A,"&lt;"&amp;$J464+7))</f>
        <v/>
      </c>
      <c r="E464" t="str">
        <f t="shared" si="14"/>
        <v/>
      </c>
      <c r="F464" t="str">
        <f t="shared" si="15"/>
        <v/>
      </c>
      <c r="G464" t="str">
        <f>IF($J464="","",SUMIFS('Hours Log'!$E:$E,'Hours Log'!$A:$A,"&gt;="&amp;$J464,'Hours Log'!$A:$A,"&lt;"&amp;$J464+7))</f>
        <v/>
      </c>
      <c r="J464" t="str">
        <f>IF(COUNT('Hours Log'!$A$4:$A$5000)=0,"",IF(MIN('Hours Log'!$A$4:$A$5000)+7*(ROW()-10)&gt;MAX('Hours Log'!$A$4:$A$5000),"",MIN('Hours Log'!$A$4:$A$5000)+7*(ROW()-10)))</f>
        <v/>
      </c>
    </row>
    <row r="465" spans="1:10" x14ac:dyDescent="0.25">
      <c r="A465" t="str">
        <f>IF($J465="","",YEAR($J465-WEEKDAY($J465,2)+4)&amp;"-W"&amp;TEXT(_xludf.ISOWEEKNUM($J465),"00"))</f>
        <v/>
      </c>
      <c r="B465"/>
      <c r="C465" t="str">
        <f>IF($J465="","",SUMIFS('Hours Log'!$C:$C,'Hours Log'!$A:$A,"&gt;="&amp;$J465,'Hours Log'!$A:$A,"&lt;"&amp;$J465+7)+SUMIFS('Hours Log'!$D:$D,'Hours Log'!$A:$A,"&gt;="&amp;$J465,'Hours Log'!$A:$A,"&lt;"&amp;$J465+7))</f>
        <v/>
      </c>
      <c r="D465" t="str">
        <f>IF($J465="","",SUMIFS('Hours Log'!$D:$D,'Hours Log'!$A:$A,"&gt;="&amp;$J465,'Hours Log'!$A:$A,"&lt;"&amp;$J465+7))</f>
        <v/>
      </c>
      <c r="E465" t="str">
        <f t="shared" si="14"/>
        <v/>
      </c>
      <c r="F465" t="str">
        <f t="shared" si="15"/>
        <v/>
      </c>
      <c r="G465" t="str">
        <f>IF($J465="","",SUMIFS('Hours Log'!$E:$E,'Hours Log'!$A:$A,"&gt;="&amp;$J465,'Hours Log'!$A:$A,"&lt;"&amp;$J465+7))</f>
        <v/>
      </c>
      <c r="J465" t="str">
        <f>IF(COUNT('Hours Log'!$A$4:$A$5000)=0,"",IF(MIN('Hours Log'!$A$4:$A$5000)+7*(ROW()-10)&gt;MAX('Hours Log'!$A$4:$A$5000),"",MIN('Hours Log'!$A$4:$A$5000)+7*(ROW()-10)))</f>
        <v/>
      </c>
    </row>
    <row r="466" spans="1:10" x14ac:dyDescent="0.25">
      <c r="A466" t="str">
        <f>IF($J466="","",YEAR($J466-WEEKDAY($J466,2)+4)&amp;"-W"&amp;TEXT(_xludf.ISOWEEKNUM($J466),"00"))</f>
        <v/>
      </c>
      <c r="B466"/>
      <c r="C466" t="str">
        <f>IF($J466="","",SUMIFS('Hours Log'!$C:$C,'Hours Log'!$A:$A,"&gt;="&amp;$J466,'Hours Log'!$A:$A,"&lt;"&amp;$J466+7)+SUMIFS('Hours Log'!$D:$D,'Hours Log'!$A:$A,"&gt;="&amp;$J466,'Hours Log'!$A:$A,"&lt;"&amp;$J466+7))</f>
        <v/>
      </c>
      <c r="D466" t="str">
        <f>IF($J466="","",SUMIFS('Hours Log'!$D:$D,'Hours Log'!$A:$A,"&gt;="&amp;$J466,'Hours Log'!$A:$A,"&lt;"&amp;$J466+7))</f>
        <v/>
      </c>
      <c r="E466" t="str">
        <f t="shared" si="14"/>
        <v/>
      </c>
      <c r="F466" t="str">
        <f t="shared" si="15"/>
        <v/>
      </c>
      <c r="G466" t="str">
        <f>IF($J466="","",SUMIFS('Hours Log'!$E:$E,'Hours Log'!$A:$A,"&gt;="&amp;$J466,'Hours Log'!$A:$A,"&lt;"&amp;$J466+7))</f>
        <v/>
      </c>
      <c r="J466" t="str">
        <f>IF(COUNT('Hours Log'!$A$4:$A$5000)=0,"",IF(MIN('Hours Log'!$A$4:$A$5000)+7*(ROW()-10)&gt;MAX('Hours Log'!$A$4:$A$5000),"",MIN('Hours Log'!$A$4:$A$5000)+7*(ROW()-10)))</f>
        <v/>
      </c>
    </row>
    <row r="467" spans="1:10" x14ac:dyDescent="0.25">
      <c r="A467" t="str">
        <f>IF($J467="","",YEAR($J467-WEEKDAY($J467,2)+4)&amp;"-W"&amp;TEXT(_xludf.ISOWEEKNUM($J467),"00"))</f>
        <v/>
      </c>
      <c r="B467"/>
      <c r="C467" t="str">
        <f>IF($J467="","",SUMIFS('Hours Log'!$C:$C,'Hours Log'!$A:$A,"&gt;="&amp;$J467,'Hours Log'!$A:$A,"&lt;"&amp;$J467+7)+SUMIFS('Hours Log'!$D:$D,'Hours Log'!$A:$A,"&gt;="&amp;$J467,'Hours Log'!$A:$A,"&lt;"&amp;$J467+7))</f>
        <v/>
      </c>
      <c r="D467" t="str">
        <f>IF($J467="","",SUMIFS('Hours Log'!$D:$D,'Hours Log'!$A:$A,"&gt;="&amp;$J467,'Hours Log'!$A:$A,"&lt;"&amp;$J467+7))</f>
        <v/>
      </c>
      <c r="E467" t="str">
        <f t="shared" si="14"/>
        <v/>
      </c>
      <c r="F467" t="str">
        <f t="shared" si="15"/>
        <v/>
      </c>
      <c r="G467" t="str">
        <f>IF($J467="","",SUMIFS('Hours Log'!$E:$E,'Hours Log'!$A:$A,"&gt;="&amp;$J467,'Hours Log'!$A:$A,"&lt;"&amp;$J467+7))</f>
        <v/>
      </c>
      <c r="J467" t="str">
        <f>IF(COUNT('Hours Log'!$A$4:$A$5000)=0,"",IF(MIN('Hours Log'!$A$4:$A$5000)+7*(ROW()-10)&gt;MAX('Hours Log'!$A$4:$A$5000),"",MIN('Hours Log'!$A$4:$A$5000)+7*(ROW()-10)))</f>
        <v/>
      </c>
    </row>
    <row r="468" spans="1:10" x14ac:dyDescent="0.25">
      <c r="A468" t="str">
        <f>IF($J468="","",YEAR($J468-WEEKDAY($J468,2)+4)&amp;"-W"&amp;TEXT(_xludf.ISOWEEKNUM($J468),"00"))</f>
        <v/>
      </c>
      <c r="B468"/>
      <c r="C468" t="str">
        <f>IF($J468="","",SUMIFS('Hours Log'!$C:$C,'Hours Log'!$A:$A,"&gt;="&amp;$J468,'Hours Log'!$A:$A,"&lt;"&amp;$J468+7)+SUMIFS('Hours Log'!$D:$D,'Hours Log'!$A:$A,"&gt;="&amp;$J468,'Hours Log'!$A:$A,"&lt;"&amp;$J468+7))</f>
        <v/>
      </c>
      <c r="D468" t="str">
        <f>IF($J468="","",SUMIFS('Hours Log'!$D:$D,'Hours Log'!$A:$A,"&gt;="&amp;$J468,'Hours Log'!$A:$A,"&lt;"&amp;$J468+7))</f>
        <v/>
      </c>
      <c r="E468" t="str">
        <f t="shared" si="14"/>
        <v/>
      </c>
      <c r="F468" t="str">
        <f t="shared" si="15"/>
        <v/>
      </c>
      <c r="G468" t="str">
        <f>IF($J468="","",SUMIFS('Hours Log'!$E:$E,'Hours Log'!$A:$A,"&gt;="&amp;$J468,'Hours Log'!$A:$A,"&lt;"&amp;$J468+7))</f>
        <v/>
      </c>
      <c r="J468" t="str">
        <f>IF(COUNT('Hours Log'!$A$4:$A$5000)=0,"",IF(MIN('Hours Log'!$A$4:$A$5000)+7*(ROW()-10)&gt;MAX('Hours Log'!$A$4:$A$5000),"",MIN('Hours Log'!$A$4:$A$5000)+7*(ROW()-10)))</f>
        <v/>
      </c>
    </row>
    <row r="469" spans="1:10" x14ac:dyDescent="0.25">
      <c r="A469" t="str">
        <f>IF($J469="","",YEAR($J469-WEEKDAY($J469,2)+4)&amp;"-W"&amp;TEXT(_xludf.ISOWEEKNUM($J469),"00"))</f>
        <v/>
      </c>
      <c r="B469"/>
      <c r="C469" t="str">
        <f>IF($J469="","",SUMIFS('Hours Log'!$C:$C,'Hours Log'!$A:$A,"&gt;="&amp;$J469,'Hours Log'!$A:$A,"&lt;"&amp;$J469+7)+SUMIFS('Hours Log'!$D:$D,'Hours Log'!$A:$A,"&gt;="&amp;$J469,'Hours Log'!$A:$A,"&lt;"&amp;$J469+7))</f>
        <v/>
      </c>
      <c r="D469" t="str">
        <f>IF($J469="","",SUMIFS('Hours Log'!$D:$D,'Hours Log'!$A:$A,"&gt;="&amp;$J469,'Hours Log'!$A:$A,"&lt;"&amp;$J469+7))</f>
        <v/>
      </c>
      <c r="E469" t="str">
        <f t="shared" si="14"/>
        <v/>
      </c>
      <c r="F469" t="str">
        <f t="shared" si="15"/>
        <v/>
      </c>
      <c r="G469" t="str">
        <f>IF($J469="","",SUMIFS('Hours Log'!$E:$E,'Hours Log'!$A:$A,"&gt;="&amp;$J469,'Hours Log'!$A:$A,"&lt;"&amp;$J469+7))</f>
        <v/>
      </c>
      <c r="J469" t="str">
        <f>IF(COUNT('Hours Log'!$A$4:$A$5000)=0,"",IF(MIN('Hours Log'!$A$4:$A$5000)+7*(ROW()-10)&gt;MAX('Hours Log'!$A$4:$A$5000),"",MIN('Hours Log'!$A$4:$A$5000)+7*(ROW()-10)))</f>
        <v/>
      </c>
    </row>
    <row r="470" spans="1:10" x14ac:dyDescent="0.25">
      <c r="A470" t="str">
        <f>IF($J470="","",YEAR($J470-WEEKDAY($J470,2)+4)&amp;"-W"&amp;TEXT(_xludf.ISOWEEKNUM($J470),"00"))</f>
        <v/>
      </c>
      <c r="B470"/>
      <c r="C470" t="str">
        <f>IF($J470="","",SUMIFS('Hours Log'!$C:$C,'Hours Log'!$A:$A,"&gt;="&amp;$J470,'Hours Log'!$A:$A,"&lt;"&amp;$J470+7)+SUMIFS('Hours Log'!$D:$D,'Hours Log'!$A:$A,"&gt;="&amp;$J470,'Hours Log'!$A:$A,"&lt;"&amp;$J470+7))</f>
        <v/>
      </c>
      <c r="D470" t="str">
        <f>IF($J470="","",SUMIFS('Hours Log'!$D:$D,'Hours Log'!$A:$A,"&gt;="&amp;$J470,'Hours Log'!$A:$A,"&lt;"&amp;$J470+7))</f>
        <v/>
      </c>
      <c r="E470" t="str">
        <f t="shared" si="14"/>
        <v/>
      </c>
      <c r="F470" t="str">
        <f t="shared" si="15"/>
        <v/>
      </c>
      <c r="G470" t="str">
        <f>IF($J470="","",SUMIFS('Hours Log'!$E:$E,'Hours Log'!$A:$A,"&gt;="&amp;$J470,'Hours Log'!$A:$A,"&lt;"&amp;$J470+7))</f>
        <v/>
      </c>
      <c r="J470" t="str">
        <f>IF(COUNT('Hours Log'!$A$4:$A$5000)=0,"",IF(MIN('Hours Log'!$A$4:$A$5000)+7*(ROW()-10)&gt;MAX('Hours Log'!$A$4:$A$5000),"",MIN('Hours Log'!$A$4:$A$5000)+7*(ROW()-10)))</f>
        <v/>
      </c>
    </row>
    <row r="471" spans="1:10" x14ac:dyDescent="0.25">
      <c r="A471" t="str">
        <f>IF($J471="","",YEAR($J471-WEEKDAY($J471,2)+4)&amp;"-W"&amp;TEXT(_xludf.ISOWEEKNUM($J471),"00"))</f>
        <v/>
      </c>
      <c r="B471"/>
      <c r="C471" t="str">
        <f>IF($J471="","",SUMIFS('Hours Log'!$C:$C,'Hours Log'!$A:$A,"&gt;="&amp;$J471,'Hours Log'!$A:$A,"&lt;"&amp;$J471+7)+SUMIFS('Hours Log'!$D:$D,'Hours Log'!$A:$A,"&gt;="&amp;$J471,'Hours Log'!$A:$A,"&lt;"&amp;$J471+7))</f>
        <v/>
      </c>
      <c r="D471" t="str">
        <f>IF($J471="","",SUMIFS('Hours Log'!$D:$D,'Hours Log'!$A:$A,"&gt;="&amp;$J471,'Hours Log'!$A:$A,"&lt;"&amp;$J471+7))</f>
        <v/>
      </c>
      <c r="E471" t="str">
        <f t="shared" si="14"/>
        <v/>
      </c>
      <c r="F471" t="str">
        <f t="shared" si="15"/>
        <v/>
      </c>
      <c r="G471" t="str">
        <f>IF($J471="","",SUMIFS('Hours Log'!$E:$E,'Hours Log'!$A:$A,"&gt;="&amp;$J471,'Hours Log'!$A:$A,"&lt;"&amp;$J471+7))</f>
        <v/>
      </c>
      <c r="J471" t="str">
        <f>IF(COUNT('Hours Log'!$A$4:$A$5000)=0,"",IF(MIN('Hours Log'!$A$4:$A$5000)+7*(ROW()-10)&gt;MAX('Hours Log'!$A$4:$A$5000),"",MIN('Hours Log'!$A$4:$A$5000)+7*(ROW()-10)))</f>
        <v/>
      </c>
    </row>
    <row r="472" spans="1:10" x14ac:dyDescent="0.25">
      <c r="A472" t="str">
        <f>IF($J472="","",YEAR($J472-WEEKDAY($J472,2)+4)&amp;"-W"&amp;TEXT(_xludf.ISOWEEKNUM($J472),"00"))</f>
        <v/>
      </c>
      <c r="B472"/>
      <c r="C472" t="str">
        <f>IF($J472="","",SUMIFS('Hours Log'!$C:$C,'Hours Log'!$A:$A,"&gt;="&amp;$J472,'Hours Log'!$A:$A,"&lt;"&amp;$J472+7)+SUMIFS('Hours Log'!$D:$D,'Hours Log'!$A:$A,"&gt;="&amp;$J472,'Hours Log'!$A:$A,"&lt;"&amp;$J472+7))</f>
        <v/>
      </c>
      <c r="D472" t="str">
        <f>IF($J472="","",SUMIFS('Hours Log'!$D:$D,'Hours Log'!$A:$A,"&gt;="&amp;$J472,'Hours Log'!$A:$A,"&lt;"&amp;$J472+7))</f>
        <v/>
      </c>
      <c r="E472" t="str">
        <f t="shared" si="14"/>
        <v/>
      </c>
      <c r="F472" t="str">
        <f t="shared" si="15"/>
        <v/>
      </c>
      <c r="G472" t="str">
        <f>IF($J472="","",SUMIFS('Hours Log'!$E:$E,'Hours Log'!$A:$A,"&gt;="&amp;$J472,'Hours Log'!$A:$A,"&lt;"&amp;$J472+7))</f>
        <v/>
      </c>
      <c r="J472" t="str">
        <f>IF(COUNT('Hours Log'!$A$4:$A$5000)=0,"",IF(MIN('Hours Log'!$A$4:$A$5000)+7*(ROW()-10)&gt;MAX('Hours Log'!$A$4:$A$5000),"",MIN('Hours Log'!$A$4:$A$5000)+7*(ROW()-10)))</f>
        <v/>
      </c>
    </row>
    <row r="473" spans="1:10" x14ac:dyDescent="0.25">
      <c r="A473" t="str">
        <f>IF($J473="","",YEAR($J473-WEEKDAY($J473,2)+4)&amp;"-W"&amp;TEXT(_xludf.ISOWEEKNUM($J473),"00"))</f>
        <v/>
      </c>
      <c r="B473"/>
      <c r="C473" t="str">
        <f>IF($J473="","",SUMIFS('Hours Log'!$C:$C,'Hours Log'!$A:$A,"&gt;="&amp;$J473,'Hours Log'!$A:$A,"&lt;"&amp;$J473+7)+SUMIFS('Hours Log'!$D:$D,'Hours Log'!$A:$A,"&gt;="&amp;$J473,'Hours Log'!$A:$A,"&lt;"&amp;$J473+7))</f>
        <v/>
      </c>
      <c r="D473" t="str">
        <f>IF($J473="","",SUMIFS('Hours Log'!$D:$D,'Hours Log'!$A:$A,"&gt;="&amp;$J473,'Hours Log'!$A:$A,"&lt;"&amp;$J473+7))</f>
        <v/>
      </c>
      <c r="E473" t="str">
        <f t="shared" si="14"/>
        <v/>
      </c>
      <c r="F473" t="str">
        <f t="shared" si="15"/>
        <v/>
      </c>
      <c r="G473" t="str">
        <f>IF($J473="","",SUMIFS('Hours Log'!$E:$E,'Hours Log'!$A:$A,"&gt;="&amp;$J473,'Hours Log'!$A:$A,"&lt;"&amp;$J473+7))</f>
        <v/>
      </c>
      <c r="J473" t="str">
        <f>IF(COUNT('Hours Log'!$A$4:$A$5000)=0,"",IF(MIN('Hours Log'!$A$4:$A$5000)+7*(ROW()-10)&gt;MAX('Hours Log'!$A$4:$A$5000),"",MIN('Hours Log'!$A$4:$A$5000)+7*(ROW()-10)))</f>
        <v/>
      </c>
    </row>
    <row r="474" spans="1:10" x14ac:dyDescent="0.25">
      <c r="A474" t="str">
        <f>IF($J474="","",YEAR($J474-WEEKDAY($J474,2)+4)&amp;"-W"&amp;TEXT(_xludf.ISOWEEKNUM($J474),"00"))</f>
        <v/>
      </c>
      <c r="B474"/>
      <c r="C474" t="str">
        <f>IF($J474="","",SUMIFS('Hours Log'!$C:$C,'Hours Log'!$A:$A,"&gt;="&amp;$J474,'Hours Log'!$A:$A,"&lt;"&amp;$J474+7)+SUMIFS('Hours Log'!$D:$D,'Hours Log'!$A:$A,"&gt;="&amp;$J474,'Hours Log'!$A:$A,"&lt;"&amp;$J474+7))</f>
        <v/>
      </c>
      <c r="D474" t="str">
        <f>IF($J474="","",SUMIFS('Hours Log'!$D:$D,'Hours Log'!$A:$A,"&gt;="&amp;$J474,'Hours Log'!$A:$A,"&lt;"&amp;$J474+7))</f>
        <v/>
      </c>
      <c r="E474" t="str">
        <f t="shared" si="14"/>
        <v/>
      </c>
      <c r="F474" t="str">
        <f t="shared" si="15"/>
        <v/>
      </c>
      <c r="G474" t="str">
        <f>IF($J474="","",SUMIFS('Hours Log'!$E:$E,'Hours Log'!$A:$A,"&gt;="&amp;$J474,'Hours Log'!$A:$A,"&lt;"&amp;$J474+7))</f>
        <v/>
      </c>
      <c r="J474" t="str">
        <f>IF(COUNT('Hours Log'!$A$4:$A$5000)=0,"",IF(MIN('Hours Log'!$A$4:$A$5000)+7*(ROW()-10)&gt;MAX('Hours Log'!$A$4:$A$5000),"",MIN('Hours Log'!$A$4:$A$5000)+7*(ROW()-10)))</f>
        <v/>
      </c>
    </row>
    <row r="475" spans="1:10" x14ac:dyDescent="0.25">
      <c r="A475" t="str">
        <f>IF($J475="","",YEAR($J475-WEEKDAY($J475,2)+4)&amp;"-W"&amp;TEXT(_xludf.ISOWEEKNUM($J475),"00"))</f>
        <v/>
      </c>
      <c r="B475"/>
      <c r="C475" t="str">
        <f>IF($J475="","",SUMIFS('Hours Log'!$C:$C,'Hours Log'!$A:$A,"&gt;="&amp;$J475,'Hours Log'!$A:$A,"&lt;"&amp;$J475+7)+SUMIFS('Hours Log'!$D:$D,'Hours Log'!$A:$A,"&gt;="&amp;$J475,'Hours Log'!$A:$A,"&lt;"&amp;$J475+7))</f>
        <v/>
      </c>
      <c r="D475" t="str">
        <f>IF($J475="","",SUMIFS('Hours Log'!$D:$D,'Hours Log'!$A:$A,"&gt;="&amp;$J475,'Hours Log'!$A:$A,"&lt;"&amp;$J475+7))</f>
        <v/>
      </c>
      <c r="E475" t="str">
        <f t="shared" si="14"/>
        <v/>
      </c>
      <c r="F475" t="str">
        <f t="shared" si="15"/>
        <v/>
      </c>
      <c r="G475" t="str">
        <f>IF($J475="","",SUMIFS('Hours Log'!$E:$E,'Hours Log'!$A:$A,"&gt;="&amp;$J475,'Hours Log'!$A:$A,"&lt;"&amp;$J475+7))</f>
        <v/>
      </c>
      <c r="J475" t="str">
        <f>IF(COUNT('Hours Log'!$A$4:$A$5000)=0,"",IF(MIN('Hours Log'!$A$4:$A$5000)+7*(ROW()-10)&gt;MAX('Hours Log'!$A$4:$A$5000),"",MIN('Hours Log'!$A$4:$A$5000)+7*(ROW()-10)))</f>
        <v/>
      </c>
    </row>
    <row r="476" spans="1:10" x14ac:dyDescent="0.25">
      <c r="A476" t="str">
        <f>IF($J476="","",YEAR($J476-WEEKDAY($J476,2)+4)&amp;"-W"&amp;TEXT(_xludf.ISOWEEKNUM($J476),"00"))</f>
        <v/>
      </c>
      <c r="B476"/>
      <c r="C476" t="str">
        <f>IF($J476="","",SUMIFS('Hours Log'!$C:$C,'Hours Log'!$A:$A,"&gt;="&amp;$J476,'Hours Log'!$A:$A,"&lt;"&amp;$J476+7)+SUMIFS('Hours Log'!$D:$D,'Hours Log'!$A:$A,"&gt;="&amp;$J476,'Hours Log'!$A:$A,"&lt;"&amp;$J476+7))</f>
        <v/>
      </c>
      <c r="D476" t="str">
        <f>IF($J476="","",SUMIFS('Hours Log'!$D:$D,'Hours Log'!$A:$A,"&gt;="&amp;$J476,'Hours Log'!$A:$A,"&lt;"&amp;$J476+7))</f>
        <v/>
      </c>
      <c r="E476" t="str">
        <f t="shared" si="14"/>
        <v/>
      </c>
      <c r="F476" t="str">
        <f t="shared" si="15"/>
        <v/>
      </c>
      <c r="G476" t="str">
        <f>IF($J476="","",SUMIFS('Hours Log'!$E:$E,'Hours Log'!$A:$A,"&gt;="&amp;$J476,'Hours Log'!$A:$A,"&lt;"&amp;$J476+7))</f>
        <v/>
      </c>
      <c r="J476" t="str">
        <f>IF(COUNT('Hours Log'!$A$4:$A$5000)=0,"",IF(MIN('Hours Log'!$A$4:$A$5000)+7*(ROW()-10)&gt;MAX('Hours Log'!$A$4:$A$5000),"",MIN('Hours Log'!$A$4:$A$5000)+7*(ROW()-10)))</f>
        <v/>
      </c>
    </row>
    <row r="477" spans="1:10" x14ac:dyDescent="0.25">
      <c r="A477" t="str">
        <f>IF($J477="","",YEAR($J477-WEEKDAY($J477,2)+4)&amp;"-W"&amp;TEXT(_xludf.ISOWEEKNUM($J477),"00"))</f>
        <v/>
      </c>
      <c r="B477"/>
      <c r="C477" t="str">
        <f>IF($J477="","",SUMIFS('Hours Log'!$C:$C,'Hours Log'!$A:$A,"&gt;="&amp;$J477,'Hours Log'!$A:$A,"&lt;"&amp;$J477+7)+SUMIFS('Hours Log'!$D:$D,'Hours Log'!$A:$A,"&gt;="&amp;$J477,'Hours Log'!$A:$A,"&lt;"&amp;$J477+7))</f>
        <v/>
      </c>
      <c r="D477" t="str">
        <f>IF($J477="","",SUMIFS('Hours Log'!$D:$D,'Hours Log'!$A:$A,"&gt;="&amp;$J477,'Hours Log'!$A:$A,"&lt;"&amp;$J477+7))</f>
        <v/>
      </c>
      <c r="E477" t="str">
        <f t="shared" si="14"/>
        <v/>
      </c>
      <c r="F477" t="str">
        <f t="shared" si="15"/>
        <v/>
      </c>
      <c r="G477" t="str">
        <f>IF($J477="","",SUMIFS('Hours Log'!$E:$E,'Hours Log'!$A:$A,"&gt;="&amp;$J477,'Hours Log'!$A:$A,"&lt;"&amp;$J477+7))</f>
        <v/>
      </c>
      <c r="J477" t="str">
        <f>IF(COUNT('Hours Log'!$A$4:$A$5000)=0,"",IF(MIN('Hours Log'!$A$4:$A$5000)+7*(ROW()-10)&gt;MAX('Hours Log'!$A$4:$A$5000),"",MIN('Hours Log'!$A$4:$A$5000)+7*(ROW()-10)))</f>
        <v/>
      </c>
    </row>
    <row r="478" spans="1:10" x14ac:dyDescent="0.25">
      <c r="A478" t="str">
        <f>IF($J478="","",YEAR($J478-WEEKDAY($J478,2)+4)&amp;"-W"&amp;TEXT(_xludf.ISOWEEKNUM($J478),"00"))</f>
        <v/>
      </c>
      <c r="B478"/>
      <c r="C478" t="str">
        <f>IF($J478="","",SUMIFS('Hours Log'!$C:$C,'Hours Log'!$A:$A,"&gt;="&amp;$J478,'Hours Log'!$A:$A,"&lt;"&amp;$J478+7)+SUMIFS('Hours Log'!$D:$D,'Hours Log'!$A:$A,"&gt;="&amp;$J478,'Hours Log'!$A:$A,"&lt;"&amp;$J478+7))</f>
        <v/>
      </c>
      <c r="D478" t="str">
        <f>IF($J478="","",SUMIFS('Hours Log'!$D:$D,'Hours Log'!$A:$A,"&gt;="&amp;$J478,'Hours Log'!$A:$A,"&lt;"&amp;$J478+7))</f>
        <v/>
      </c>
      <c r="E478" t="str">
        <f t="shared" si="14"/>
        <v/>
      </c>
      <c r="F478" t="str">
        <f t="shared" si="15"/>
        <v/>
      </c>
      <c r="G478" t="str">
        <f>IF($J478="","",SUMIFS('Hours Log'!$E:$E,'Hours Log'!$A:$A,"&gt;="&amp;$J478,'Hours Log'!$A:$A,"&lt;"&amp;$J478+7))</f>
        <v/>
      </c>
      <c r="J478" t="str">
        <f>IF(COUNT('Hours Log'!$A$4:$A$5000)=0,"",IF(MIN('Hours Log'!$A$4:$A$5000)+7*(ROW()-10)&gt;MAX('Hours Log'!$A$4:$A$5000),"",MIN('Hours Log'!$A$4:$A$5000)+7*(ROW()-10)))</f>
        <v/>
      </c>
    </row>
    <row r="479" spans="1:10" x14ac:dyDescent="0.25">
      <c r="A479" t="str">
        <f>IF($J479="","",YEAR($J479-WEEKDAY($J479,2)+4)&amp;"-W"&amp;TEXT(_xludf.ISOWEEKNUM($J479),"00"))</f>
        <v/>
      </c>
      <c r="B479"/>
      <c r="C479" t="str">
        <f>IF($J479="","",SUMIFS('Hours Log'!$C:$C,'Hours Log'!$A:$A,"&gt;="&amp;$J479,'Hours Log'!$A:$A,"&lt;"&amp;$J479+7)+SUMIFS('Hours Log'!$D:$D,'Hours Log'!$A:$A,"&gt;="&amp;$J479,'Hours Log'!$A:$A,"&lt;"&amp;$J479+7))</f>
        <v/>
      </c>
      <c r="D479" t="str">
        <f>IF($J479="","",SUMIFS('Hours Log'!$D:$D,'Hours Log'!$A:$A,"&gt;="&amp;$J479,'Hours Log'!$A:$A,"&lt;"&amp;$J479+7))</f>
        <v/>
      </c>
      <c r="E479" t="str">
        <f t="shared" si="14"/>
        <v/>
      </c>
      <c r="F479" t="str">
        <f t="shared" si="15"/>
        <v/>
      </c>
      <c r="G479" t="str">
        <f>IF($J479="","",SUMIFS('Hours Log'!$E:$E,'Hours Log'!$A:$A,"&gt;="&amp;$J479,'Hours Log'!$A:$A,"&lt;"&amp;$J479+7))</f>
        <v/>
      </c>
      <c r="J479" t="str">
        <f>IF(COUNT('Hours Log'!$A$4:$A$5000)=0,"",IF(MIN('Hours Log'!$A$4:$A$5000)+7*(ROW()-10)&gt;MAX('Hours Log'!$A$4:$A$5000),"",MIN('Hours Log'!$A$4:$A$5000)+7*(ROW()-10)))</f>
        <v/>
      </c>
    </row>
    <row r="480" spans="1:10" x14ac:dyDescent="0.25">
      <c r="A480" t="str">
        <f>IF($J480="","",YEAR($J480-WEEKDAY($J480,2)+4)&amp;"-W"&amp;TEXT(_xludf.ISOWEEKNUM($J480),"00"))</f>
        <v/>
      </c>
      <c r="B480"/>
      <c r="C480" t="str">
        <f>IF($J480="","",SUMIFS('Hours Log'!$C:$C,'Hours Log'!$A:$A,"&gt;="&amp;$J480,'Hours Log'!$A:$A,"&lt;"&amp;$J480+7)+SUMIFS('Hours Log'!$D:$D,'Hours Log'!$A:$A,"&gt;="&amp;$J480,'Hours Log'!$A:$A,"&lt;"&amp;$J480+7))</f>
        <v/>
      </c>
      <c r="D480" t="str">
        <f>IF($J480="","",SUMIFS('Hours Log'!$D:$D,'Hours Log'!$A:$A,"&gt;="&amp;$J480,'Hours Log'!$A:$A,"&lt;"&amp;$J480+7))</f>
        <v/>
      </c>
      <c r="E480" t="str">
        <f t="shared" si="14"/>
        <v/>
      </c>
      <c r="F480" t="str">
        <f t="shared" si="15"/>
        <v/>
      </c>
      <c r="G480" t="str">
        <f>IF($J480="","",SUMIFS('Hours Log'!$E:$E,'Hours Log'!$A:$A,"&gt;="&amp;$J480,'Hours Log'!$A:$A,"&lt;"&amp;$J480+7))</f>
        <v/>
      </c>
      <c r="J480" t="str">
        <f>IF(COUNT('Hours Log'!$A$4:$A$5000)=0,"",IF(MIN('Hours Log'!$A$4:$A$5000)+7*(ROW()-10)&gt;MAX('Hours Log'!$A$4:$A$5000),"",MIN('Hours Log'!$A$4:$A$5000)+7*(ROW()-10)))</f>
        <v/>
      </c>
    </row>
    <row r="481" spans="1:10" x14ac:dyDescent="0.25">
      <c r="A481" t="str">
        <f>IF($J481="","",YEAR($J481-WEEKDAY($J481,2)+4)&amp;"-W"&amp;TEXT(_xludf.ISOWEEKNUM($J481),"00"))</f>
        <v/>
      </c>
      <c r="B481"/>
      <c r="C481" t="str">
        <f>IF($J481="","",SUMIFS('Hours Log'!$C:$C,'Hours Log'!$A:$A,"&gt;="&amp;$J481,'Hours Log'!$A:$A,"&lt;"&amp;$J481+7)+SUMIFS('Hours Log'!$D:$D,'Hours Log'!$A:$A,"&gt;="&amp;$J481,'Hours Log'!$A:$A,"&lt;"&amp;$J481+7))</f>
        <v/>
      </c>
      <c r="D481" t="str">
        <f>IF($J481="","",SUMIFS('Hours Log'!$D:$D,'Hours Log'!$A:$A,"&gt;="&amp;$J481,'Hours Log'!$A:$A,"&lt;"&amp;$J481+7))</f>
        <v/>
      </c>
      <c r="E481" t="str">
        <f t="shared" si="14"/>
        <v/>
      </c>
      <c r="F481" t="str">
        <f t="shared" si="15"/>
        <v/>
      </c>
      <c r="G481" t="str">
        <f>IF($J481="","",SUMIFS('Hours Log'!$E:$E,'Hours Log'!$A:$A,"&gt;="&amp;$J481,'Hours Log'!$A:$A,"&lt;"&amp;$J481+7))</f>
        <v/>
      </c>
      <c r="J481" t="str">
        <f>IF(COUNT('Hours Log'!$A$4:$A$5000)=0,"",IF(MIN('Hours Log'!$A$4:$A$5000)+7*(ROW()-10)&gt;MAX('Hours Log'!$A$4:$A$5000),"",MIN('Hours Log'!$A$4:$A$5000)+7*(ROW()-10)))</f>
        <v/>
      </c>
    </row>
    <row r="482" spans="1:10" x14ac:dyDescent="0.25">
      <c r="A482" t="str">
        <f>IF($J482="","",YEAR($J482-WEEKDAY($J482,2)+4)&amp;"-W"&amp;TEXT(_xludf.ISOWEEKNUM($J482),"00"))</f>
        <v/>
      </c>
      <c r="B482"/>
      <c r="C482" t="str">
        <f>IF($J482="","",SUMIFS('Hours Log'!$C:$C,'Hours Log'!$A:$A,"&gt;="&amp;$J482,'Hours Log'!$A:$A,"&lt;"&amp;$J482+7)+SUMIFS('Hours Log'!$D:$D,'Hours Log'!$A:$A,"&gt;="&amp;$J482,'Hours Log'!$A:$A,"&lt;"&amp;$J482+7))</f>
        <v/>
      </c>
      <c r="D482" t="str">
        <f>IF($J482="","",SUMIFS('Hours Log'!$D:$D,'Hours Log'!$A:$A,"&gt;="&amp;$J482,'Hours Log'!$A:$A,"&lt;"&amp;$J482+7))</f>
        <v/>
      </c>
      <c r="E482" t="str">
        <f t="shared" si="14"/>
        <v/>
      </c>
      <c r="F482" t="str">
        <f t="shared" si="15"/>
        <v/>
      </c>
      <c r="G482" t="str">
        <f>IF($J482="","",SUMIFS('Hours Log'!$E:$E,'Hours Log'!$A:$A,"&gt;="&amp;$J482,'Hours Log'!$A:$A,"&lt;"&amp;$J482+7))</f>
        <v/>
      </c>
      <c r="J482" t="str">
        <f>IF(COUNT('Hours Log'!$A$4:$A$5000)=0,"",IF(MIN('Hours Log'!$A$4:$A$5000)+7*(ROW()-10)&gt;MAX('Hours Log'!$A$4:$A$5000),"",MIN('Hours Log'!$A$4:$A$5000)+7*(ROW()-10)))</f>
        <v/>
      </c>
    </row>
    <row r="483" spans="1:10" x14ac:dyDescent="0.25">
      <c r="A483" t="str">
        <f>IF($J483="","",YEAR($J483-WEEKDAY($J483,2)+4)&amp;"-W"&amp;TEXT(_xludf.ISOWEEKNUM($J483),"00"))</f>
        <v/>
      </c>
      <c r="B483"/>
      <c r="C483" t="str">
        <f>IF($J483="","",SUMIFS('Hours Log'!$C:$C,'Hours Log'!$A:$A,"&gt;="&amp;$J483,'Hours Log'!$A:$A,"&lt;"&amp;$J483+7)+SUMIFS('Hours Log'!$D:$D,'Hours Log'!$A:$A,"&gt;="&amp;$J483,'Hours Log'!$A:$A,"&lt;"&amp;$J483+7))</f>
        <v/>
      </c>
      <c r="D483" t="str">
        <f>IF($J483="","",SUMIFS('Hours Log'!$D:$D,'Hours Log'!$A:$A,"&gt;="&amp;$J483,'Hours Log'!$A:$A,"&lt;"&amp;$J483+7))</f>
        <v/>
      </c>
      <c r="E483" t="str">
        <f t="shared" si="14"/>
        <v/>
      </c>
      <c r="F483" t="str">
        <f t="shared" si="15"/>
        <v/>
      </c>
      <c r="G483" t="str">
        <f>IF($J483="","",SUMIFS('Hours Log'!$E:$E,'Hours Log'!$A:$A,"&gt;="&amp;$J483,'Hours Log'!$A:$A,"&lt;"&amp;$J483+7))</f>
        <v/>
      </c>
      <c r="J483" t="str">
        <f>IF(COUNT('Hours Log'!$A$4:$A$5000)=0,"",IF(MIN('Hours Log'!$A$4:$A$5000)+7*(ROW()-10)&gt;MAX('Hours Log'!$A$4:$A$5000),"",MIN('Hours Log'!$A$4:$A$5000)+7*(ROW()-10)))</f>
        <v/>
      </c>
    </row>
    <row r="484" spans="1:10" x14ac:dyDescent="0.25">
      <c r="A484" t="str">
        <f>IF($J484="","",YEAR($J484-WEEKDAY($J484,2)+4)&amp;"-W"&amp;TEXT(_xludf.ISOWEEKNUM($J484),"00"))</f>
        <v/>
      </c>
      <c r="B484"/>
      <c r="C484" t="str">
        <f>IF($J484="","",SUMIFS('Hours Log'!$C:$C,'Hours Log'!$A:$A,"&gt;="&amp;$J484,'Hours Log'!$A:$A,"&lt;"&amp;$J484+7)+SUMIFS('Hours Log'!$D:$D,'Hours Log'!$A:$A,"&gt;="&amp;$J484,'Hours Log'!$A:$A,"&lt;"&amp;$J484+7))</f>
        <v/>
      </c>
      <c r="D484" t="str">
        <f>IF($J484="","",SUMIFS('Hours Log'!$D:$D,'Hours Log'!$A:$A,"&gt;="&amp;$J484,'Hours Log'!$A:$A,"&lt;"&amp;$J484+7))</f>
        <v/>
      </c>
      <c r="E484" t="str">
        <f t="shared" si="14"/>
        <v/>
      </c>
      <c r="F484" t="str">
        <f t="shared" si="15"/>
        <v/>
      </c>
      <c r="G484" t="str">
        <f>IF($J484="","",SUMIFS('Hours Log'!$E:$E,'Hours Log'!$A:$A,"&gt;="&amp;$J484,'Hours Log'!$A:$A,"&lt;"&amp;$J484+7))</f>
        <v/>
      </c>
      <c r="J484" t="str">
        <f>IF(COUNT('Hours Log'!$A$4:$A$5000)=0,"",IF(MIN('Hours Log'!$A$4:$A$5000)+7*(ROW()-10)&gt;MAX('Hours Log'!$A$4:$A$5000),"",MIN('Hours Log'!$A$4:$A$5000)+7*(ROW()-10)))</f>
        <v/>
      </c>
    </row>
    <row r="485" spans="1:10" x14ac:dyDescent="0.25">
      <c r="A485" t="str">
        <f>IF($J485="","",YEAR($J485-WEEKDAY($J485,2)+4)&amp;"-W"&amp;TEXT(_xludf.ISOWEEKNUM($J485),"00"))</f>
        <v/>
      </c>
      <c r="B485"/>
      <c r="C485" t="str">
        <f>IF($J485="","",SUMIFS('Hours Log'!$C:$C,'Hours Log'!$A:$A,"&gt;="&amp;$J485,'Hours Log'!$A:$A,"&lt;"&amp;$J485+7)+SUMIFS('Hours Log'!$D:$D,'Hours Log'!$A:$A,"&gt;="&amp;$J485,'Hours Log'!$A:$A,"&lt;"&amp;$J485+7))</f>
        <v/>
      </c>
      <c r="D485" t="str">
        <f>IF($J485="","",SUMIFS('Hours Log'!$D:$D,'Hours Log'!$A:$A,"&gt;="&amp;$J485,'Hours Log'!$A:$A,"&lt;"&amp;$J485+7))</f>
        <v/>
      </c>
      <c r="E485" t="str">
        <f t="shared" si="14"/>
        <v/>
      </c>
      <c r="F485" t="str">
        <f t="shared" si="15"/>
        <v/>
      </c>
      <c r="G485" t="str">
        <f>IF($J485="","",SUMIFS('Hours Log'!$E:$E,'Hours Log'!$A:$A,"&gt;="&amp;$J485,'Hours Log'!$A:$A,"&lt;"&amp;$J485+7))</f>
        <v/>
      </c>
      <c r="J485" t="str">
        <f>IF(COUNT('Hours Log'!$A$4:$A$5000)=0,"",IF(MIN('Hours Log'!$A$4:$A$5000)+7*(ROW()-10)&gt;MAX('Hours Log'!$A$4:$A$5000),"",MIN('Hours Log'!$A$4:$A$5000)+7*(ROW()-10)))</f>
        <v/>
      </c>
    </row>
    <row r="486" spans="1:10" x14ac:dyDescent="0.25">
      <c r="A486" t="str">
        <f>IF($J486="","",YEAR($J486-WEEKDAY($J486,2)+4)&amp;"-W"&amp;TEXT(_xludf.ISOWEEKNUM($J486),"00"))</f>
        <v/>
      </c>
      <c r="B486"/>
      <c r="C486" t="str">
        <f>IF($J486="","",SUMIFS('Hours Log'!$C:$C,'Hours Log'!$A:$A,"&gt;="&amp;$J486,'Hours Log'!$A:$A,"&lt;"&amp;$J486+7)+SUMIFS('Hours Log'!$D:$D,'Hours Log'!$A:$A,"&gt;="&amp;$J486,'Hours Log'!$A:$A,"&lt;"&amp;$J486+7))</f>
        <v/>
      </c>
      <c r="D486" t="str">
        <f>IF($J486="","",SUMIFS('Hours Log'!$D:$D,'Hours Log'!$A:$A,"&gt;="&amp;$J486,'Hours Log'!$A:$A,"&lt;"&amp;$J486+7))</f>
        <v/>
      </c>
      <c r="E486" t="str">
        <f t="shared" si="14"/>
        <v/>
      </c>
      <c r="F486" t="str">
        <f t="shared" si="15"/>
        <v/>
      </c>
      <c r="G486" t="str">
        <f>IF($J486="","",SUMIFS('Hours Log'!$E:$E,'Hours Log'!$A:$A,"&gt;="&amp;$J486,'Hours Log'!$A:$A,"&lt;"&amp;$J486+7))</f>
        <v/>
      </c>
      <c r="J486" t="str">
        <f>IF(COUNT('Hours Log'!$A$4:$A$5000)=0,"",IF(MIN('Hours Log'!$A$4:$A$5000)+7*(ROW()-10)&gt;MAX('Hours Log'!$A$4:$A$5000),"",MIN('Hours Log'!$A$4:$A$5000)+7*(ROW()-10)))</f>
        <v/>
      </c>
    </row>
    <row r="487" spans="1:10" x14ac:dyDescent="0.25">
      <c r="A487" t="str">
        <f>IF($J487="","",YEAR($J487-WEEKDAY($J487,2)+4)&amp;"-W"&amp;TEXT(_xludf.ISOWEEKNUM($J487),"00"))</f>
        <v/>
      </c>
      <c r="B487"/>
      <c r="C487" t="str">
        <f>IF($J487="","",SUMIFS('Hours Log'!$C:$C,'Hours Log'!$A:$A,"&gt;="&amp;$J487,'Hours Log'!$A:$A,"&lt;"&amp;$J487+7)+SUMIFS('Hours Log'!$D:$D,'Hours Log'!$A:$A,"&gt;="&amp;$J487,'Hours Log'!$A:$A,"&lt;"&amp;$J487+7))</f>
        <v/>
      </c>
      <c r="D487" t="str">
        <f>IF($J487="","",SUMIFS('Hours Log'!$D:$D,'Hours Log'!$A:$A,"&gt;="&amp;$J487,'Hours Log'!$A:$A,"&lt;"&amp;$J487+7))</f>
        <v/>
      </c>
      <c r="E487" t="str">
        <f t="shared" si="14"/>
        <v/>
      </c>
      <c r="F487" t="str">
        <f t="shared" si="15"/>
        <v/>
      </c>
      <c r="G487" t="str">
        <f>IF($J487="","",SUMIFS('Hours Log'!$E:$E,'Hours Log'!$A:$A,"&gt;="&amp;$J487,'Hours Log'!$A:$A,"&lt;"&amp;$J487+7))</f>
        <v/>
      </c>
      <c r="J487" t="str">
        <f>IF(COUNT('Hours Log'!$A$4:$A$5000)=0,"",IF(MIN('Hours Log'!$A$4:$A$5000)+7*(ROW()-10)&gt;MAX('Hours Log'!$A$4:$A$5000),"",MIN('Hours Log'!$A$4:$A$5000)+7*(ROW()-10)))</f>
        <v/>
      </c>
    </row>
    <row r="488" spans="1:10" x14ac:dyDescent="0.25">
      <c r="A488" t="str">
        <f>IF($J488="","",YEAR($J488-WEEKDAY($J488,2)+4)&amp;"-W"&amp;TEXT(_xludf.ISOWEEKNUM($J488),"00"))</f>
        <v/>
      </c>
      <c r="B488"/>
      <c r="C488" t="str">
        <f>IF($J488="","",SUMIFS('Hours Log'!$C:$C,'Hours Log'!$A:$A,"&gt;="&amp;$J488,'Hours Log'!$A:$A,"&lt;"&amp;$J488+7)+SUMIFS('Hours Log'!$D:$D,'Hours Log'!$A:$A,"&gt;="&amp;$J488,'Hours Log'!$A:$A,"&lt;"&amp;$J488+7))</f>
        <v/>
      </c>
      <c r="D488" t="str">
        <f>IF($J488="","",SUMIFS('Hours Log'!$D:$D,'Hours Log'!$A:$A,"&gt;="&amp;$J488,'Hours Log'!$A:$A,"&lt;"&amp;$J488+7))</f>
        <v/>
      </c>
      <c r="E488" t="str">
        <f t="shared" si="14"/>
        <v/>
      </c>
      <c r="F488" t="str">
        <f t="shared" si="15"/>
        <v/>
      </c>
      <c r="G488" t="str">
        <f>IF($J488="","",SUMIFS('Hours Log'!$E:$E,'Hours Log'!$A:$A,"&gt;="&amp;$J488,'Hours Log'!$A:$A,"&lt;"&amp;$J488+7))</f>
        <v/>
      </c>
      <c r="J488" t="str">
        <f>IF(COUNT('Hours Log'!$A$4:$A$5000)=0,"",IF(MIN('Hours Log'!$A$4:$A$5000)+7*(ROW()-10)&gt;MAX('Hours Log'!$A$4:$A$5000),"",MIN('Hours Log'!$A$4:$A$5000)+7*(ROW()-10)))</f>
        <v/>
      </c>
    </row>
    <row r="489" spans="1:10" x14ac:dyDescent="0.25">
      <c r="A489" t="str">
        <f>IF($J489="","",YEAR($J489-WEEKDAY($J489,2)+4)&amp;"-W"&amp;TEXT(_xludf.ISOWEEKNUM($J489),"00"))</f>
        <v/>
      </c>
      <c r="B489"/>
      <c r="C489" t="str">
        <f>IF($J489="","",SUMIFS('Hours Log'!$C:$C,'Hours Log'!$A:$A,"&gt;="&amp;$J489,'Hours Log'!$A:$A,"&lt;"&amp;$J489+7)+SUMIFS('Hours Log'!$D:$D,'Hours Log'!$A:$A,"&gt;="&amp;$J489,'Hours Log'!$A:$A,"&lt;"&amp;$J489+7))</f>
        <v/>
      </c>
      <c r="D489" t="str">
        <f>IF($J489="","",SUMIFS('Hours Log'!$D:$D,'Hours Log'!$A:$A,"&gt;="&amp;$J489,'Hours Log'!$A:$A,"&lt;"&amp;$J489+7))</f>
        <v/>
      </c>
      <c r="E489" t="str">
        <f t="shared" si="14"/>
        <v/>
      </c>
      <c r="F489" t="str">
        <f t="shared" si="15"/>
        <v/>
      </c>
      <c r="G489" t="str">
        <f>IF($J489="","",SUMIFS('Hours Log'!$E:$E,'Hours Log'!$A:$A,"&gt;="&amp;$J489,'Hours Log'!$A:$A,"&lt;"&amp;$J489+7))</f>
        <v/>
      </c>
      <c r="J489" t="str">
        <f>IF(COUNT('Hours Log'!$A$4:$A$5000)=0,"",IF(MIN('Hours Log'!$A$4:$A$5000)+7*(ROW()-10)&gt;MAX('Hours Log'!$A$4:$A$5000),"",MIN('Hours Log'!$A$4:$A$5000)+7*(ROW()-10)))</f>
        <v/>
      </c>
    </row>
    <row r="490" spans="1:10" x14ac:dyDescent="0.25">
      <c r="A490" t="str">
        <f>IF($J490="","",YEAR($J490-WEEKDAY($J490,2)+4)&amp;"-W"&amp;TEXT(_xludf.ISOWEEKNUM($J490),"00"))</f>
        <v/>
      </c>
      <c r="B490"/>
      <c r="C490" t="str">
        <f>IF($J490="","",SUMIFS('Hours Log'!$C:$C,'Hours Log'!$A:$A,"&gt;="&amp;$J490,'Hours Log'!$A:$A,"&lt;"&amp;$J490+7)+SUMIFS('Hours Log'!$D:$D,'Hours Log'!$A:$A,"&gt;="&amp;$J490,'Hours Log'!$A:$A,"&lt;"&amp;$J490+7))</f>
        <v/>
      </c>
      <c r="D490" t="str">
        <f>IF($J490="","",SUMIFS('Hours Log'!$D:$D,'Hours Log'!$A:$A,"&gt;="&amp;$J490,'Hours Log'!$A:$A,"&lt;"&amp;$J490+7))</f>
        <v/>
      </c>
      <c r="E490" t="str">
        <f t="shared" si="14"/>
        <v/>
      </c>
      <c r="F490" t="str">
        <f t="shared" si="15"/>
        <v/>
      </c>
      <c r="G490" t="str">
        <f>IF($J490="","",SUMIFS('Hours Log'!$E:$E,'Hours Log'!$A:$A,"&gt;="&amp;$J490,'Hours Log'!$A:$A,"&lt;"&amp;$J490+7))</f>
        <v/>
      </c>
      <c r="J490" t="str">
        <f>IF(COUNT('Hours Log'!$A$4:$A$5000)=0,"",IF(MIN('Hours Log'!$A$4:$A$5000)+7*(ROW()-10)&gt;MAX('Hours Log'!$A$4:$A$5000),"",MIN('Hours Log'!$A$4:$A$5000)+7*(ROW()-10)))</f>
        <v/>
      </c>
    </row>
    <row r="491" spans="1:10" x14ac:dyDescent="0.25">
      <c r="A491" t="str">
        <f>IF($J491="","",YEAR($J491-WEEKDAY($J491,2)+4)&amp;"-W"&amp;TEXT(_xludf.ISOWEEKNUM($J491),"00"))</f>
        <v/>
      </c>
      <c r="B491"/>
      <c r="C491" t="str">
        <f>IF($J491="","",SUMIFS('Hours Log'!$C:$C,'Hours Log'!$A:$A,"&gt;="&amp;$J491,'Hours Log'!$A:$A,"&lt;"&amp;$J491+7)+SUMIFS('Hours Log'!$D:$D,'Hours Log'!$A:$A,"&gt;="&amp;$J491,'Hours Log'!$A:$A,"&lt;"&amp;$J491+7))</f>
        <v/>
      </c>
      <c r="D491" t="str">
        <f>IF($J491="","",SUMIFS('Hours Log'!$D:$D,'Hours Log'!$A:$A,"&gt;="&amp;$J491,'Hours Log'!$A:$A,"&lt;"&amp;$J491+7))</f>
        <v/>
      </c>
      <c r="E491" t="str">
        <f t="shared" si="14"/>
        <v/>
      </c>
      <c r="F491" t="str">
        <f t="shared" si="15"/>
        <v/>
      </c>
      <c r="G491" t="str">
        <f>IF($J491="","",SUMIFS('Hours Log'!$E:$E,'Hours Log'!$A:$A,"&gt;="&amp;$J491,'Hours Log'!$A:$A,"&lt;"&amp;$J491+7))</f>
        <v/>
      </c>
      <c r="J491" t="str">
        <f>IF(COUNT('Hours Log'!$A$4:$A$5000)=0,"",IF(MIN('Hours Log'!$A$4:$A$5000)+7*(ROW()-10)&gt;MAX('Hours Log'!$A$4:$A$5000),"",MIN('Hours Log'!$A$4:$A$5000)+7*(ROW()-10)))</f>
        <v/>
      </c>
    </row>
    <row r="492" spans="1:10" x14ac:dyDescent="0.25">
      <c r="A492" t="str">
        <f>IF($J492="","",YEAR($J492-WEEKDAY($J492,2)+4)&amp;"-W"&amp;TEXT(_xludf.ISOWEEKNUM($J492),"00"))</f>
        <v/>
      </c>
      <c r="B492"/>
      <c r="C492" t="str">
        <f>IF($J492="","",SUMIFS('Hours Log'!$C:$C,'Hours Log'!$A:$A,"&gt;="&amp;$J492,'Hours Log'!$A:$A,"&lt;"&amp;$J492+7)+SUMIFS('Hours Log'!$D:$D,'Hours Log'!$A:$A,"&gt;="&amp;$J492,'Hours Log'!$A:$A,"&lt;"&amp;$J492+7))</f>
        <v/>
      </c>
      <c r="D492" t="str">
        <f>IF($J492="","",SUMIFS('Hours Log'!$D:$D,'Hours Log'!$A:$A,"&gt;="&amp;$J492,'Hours Log'!$A:$A,"&lt;"&amp;$J492+7))</f>
        <v/>
      </c>
      <c r="E492" t="str">
        <f t="shared" si="14"/>
        <v/>
      </c>
      <c r="F492" t="str">
        <f t="shared" si="15"/>
        <v/>
      </c>
      <c r="G492" t="str">
        <f>IF($J492="","",SUMIFS('Hours Log'!$E:$E,'Hours Log'!$A:$A,"&gt;="&amp;$J492,'Hours Log'!$A:$A,"&lt;"&amp;$J492+7))</f>
        <v/>
      </c>
      <c r="J492" t="str">
        <f>IF(COUNT('Hours Log'!$A$4:$A$5000)=0,"",IF(MIN('Hours Log'!$A$4:$A$5000)+7*(ROW()-10)&gt;MAX('Hours Log'!$A$4:$A$5000),"",MIN('Hours Log'!$A$4:$A$5000)+7*(ROW()-10)))</f>
        <v/>
      </c>
    </row>
    <row r="493" spans="1:10" x14ac:dyDescent="0.25">
      <c r="A493" t="str">
        <f>IF($J493="","",YEAR($J493-WEEKDAY($J493,2)+4)&amp;"-W"&amp;TEXT(_xludf.ISOWEEKNUM($J493),"00"))</f>
        <v/>
      </c>
      <c r="B493"/>
      <c r="C493" t="str">
        <f>IF($J493="","",SUMIFS('Hours Log'!$C:$C,'Hours Log'!$A:$A,"&gt;="&amp;$J493,'Hours Log'!$A:$A,"&lt;"&amp;$J493+7)+SUMIFS('Hours Log'!$D:$D,'Hours Log'!$A:$A,"&gt;="&amp;$J493,'Hours Log'!$A:$A,"&lt;"&amp;$J493+7))</f>
        <v/>
      </c>
      <c r="D493" t="str">
        <f>IF($J493="","",SUMIFS('Hours Log'!$D:$D,'Hours Log'!$A:$A,"&gt;="&amp;$J493,'Hours Log'!$A:$A,"&lt;"&amp;$J493+7))</f>
        <v/>
      </c>
      <c r="E493" t="str">
        <f t="shared" si="14"/>
        <v/>
      </c>
      <c r="F493" t="str">
        <f t="shared" si="15"/>
        <v/>
      </c>
      <c r="G493" t="str">
        <f>IF($J493="","",SUMIFS('Hours Log'!$E:$E,'Hours Log'!$A:$A,"&gt;="&amp;$J493,'Hours Log'!$A:$A,"&lt;"&amp;$J493+7))</f>
        <v/>
      </c>
      <c r="J493" t="str">
        <f>IF(COUNT('Hours Log'!$A$4:$A$5000)=0,"",IF(MIN('Hours Log'!$A$4:$A$5000)+7*(ROW()-10)&gt;MAX('Hours Log'!$A$4:$A$5000),"",MIN('Hours Log'!$A$4:$A$5000)+7*(ROW()-10)))</f>
        <v/>
      </c>
    </row>
    <row r="494" spans="1:10" x14ac:dyDescent="0.25">
      <c r="A494" t="str">
        <f>IF($J494="","",YEAR($J494-WEEKDAY($J494,2)+4)&amp;"-W"&amp;TEXT(_xludf.ISOWEEKNUM($J494),"00"))</f>
        <v/>
      </c>
      <c r="B494"/>
      <c r="C494" t="str">
        <f>IF($J494="","",SUMIFS('Hours Log'!$C:$C,'Hours Log'!$A:$A,"&gt;="&amp;$J494,'Hours Log'!$A:$A,"&lt;"&amp;$J494+7)+SUMIFS('Hours Log'!$D:$D,'Hours Log'!$A:$A,"&gt;="&amp;$J494,'Hours Log'!$A:$A,"&lt;"&amp;$J494+7))</f>
        <v/>
      </c>
      <c r="D494" t="str">
        <f>IF($J494="","",SUMIFS('Hours Log'!$D:$D,'Hours Log'!$A:$A,"&gt;="&amp;$J494,'Hours Log'!$A:$A,"&lt;"&amp;$J494+7))</f>
        <v/>
      </c>
      <c r="E494" t="str">
        <f t="shared" si="14"/>
        <v/>
      </c>
      <c r="F494" t="str">
        <f t="shared" si="15"/>
        <v/>
      </c>
      <c r="G494" t="str">
        <f>IF($J494="","",SUMIFS('Hours Log'!$E:$E,'Hours Log'!$A:$A,"&gt;="&amp;$J494,'Hours Log'!$A:$A,"&lt;"&amp;$J494+7))</f>
        <v/>
      </c>
      <c r="J494" t="str">
        <f>IF(COUNT('Hours Log'!$A$4:$A$5000)=0,"",IF(MIN('Hours Log'!$A$4:$A$5000)+7*(ROW()-10)&gt;MAX('Hours Log'!$A$4:$A$5000),"",MIN('Hours Log'!$A$4:$A$5000)+7*(ROW()-10)))</f>
        <v/>
      </c>
    </row>
    <row r="495" spans="1:10" x14ac:dyDescent="0.25">
      <c r="A495" t="str">
        <f>IF($J495="","",YEAR($J495-WEEKDAY($J495,2)+4)&amp;"-W"&amp;TEXT(_xludf.ISOWEEKNUM($J495),"00"))</f>
        <v/>
      </c>
      <c r="B495"/>
      <c r="C495" t="str">
        <f>IF($J495="","",SUMIFS('Hours Log'!$C:$C,'Hours Log'!$A:$A,"&gt;="&amp;$J495,'Hours Log'!$A:$A,"&lt;"&amp;$J495+7)+SUMIFS('Hours Log'!$D:$D,'Hours Log'!$A:$A,"&gt;="&amp;$J495,'Hours Log'!$A:$A,"&lt;"&amp;$J495+7))</f>
        <v/>
      </c>
      <c r="D495" t="str">
        <f>IF($J495="","",SUMIFS('Hours Log'!$D:$D,'Hours Log'!$A:$A,"&gt;="&amp;$J495,'Hours Log'!$A:$A,"&lt;"&amp;$J495+7))</f>
        <v/>
      </c>
      <c r="E495" t="str">
        <f t="shared" si="14"/>
        <v/>
      </c>
      <c r="F495" t="str">
        <f t="shared" si="15"/>
        <v/>
      </c>
      <c r="G495" t="str">
        <f>IF($J495="","",SUMIFS('Hours Log'!$E:$E,'Hours Log'!$A:$A,"&gt;="&amp;$J495,'Hours Log'!$A:$A,"&lt;"&amp;$J495+7))</f>
        <v/>
      </c>
      <c r="J495" t="str">
        <f>IF(COUNT('Hours Log'!$A$4:$A$5000)=0,"",IF(MIN('Hours Log'!$A$4:$A$5000)+7*(ROW()-10)&gt;MAX('Hours Log'!$A$4:$A$5000),"",MIN('Hours Log'!$A$4:$A$5000)+7*(ROW()-10)))</f>
        <v/>
      </c>
    </row>
    <row r="496" spans="1:10" x14ac:dyDescent="0.25">
      <c r="A496" t="str">
        <f>IF($J496="","",YEAR($J496-WEEKDAY($J496,2)+4)&amp;"-W"&amp;TEXT(_xludf.ISOWEEKNUM($J496),"00"))</f>
        <v/>
      </c>
      <c r="B496"/>
      <c r="C496" t="str">
        <f>IF($J496="","",SUMIFS('Hours Log'!$C:$C,'Hours Log'!$A:$A,"&gt;="&amp;$J496,'Hours Log'!$A:$A,"&lt;"&amp;$J496+7)+SUMIFS('Hours Log'!$D:$D,'Hours Log'!$A:$A,"&gt;="&amp;$J496,'Hours Log'!$A:$A,"&lt;"&amp;$J496+7))</f>
        <v/>
      </c>
      <c r="D496" t="str">
        <f>IF($J496="","",SUMIFS('Hours Log'!$D:$D,'Hours Log'!$A:$A,"&gt;="&amp;$J496,'Hours Log'!$A:$A,"&lt;"&amp;$J496+7))</f>
        <v/>
      </c>
      <c r="E496" t="str">
        <f t="shared" si="14"/>
        <v/>
      </c>
      <c r="F496" t="str">
        <f t="shared" si="15"/>
        <v/>
      </c>
      <c r="G496" t="str">
        <f>IF($J496="","",SUMIFS('Hours Log'!$E:$E,'Hours Log'!$A:$A,"&gt;="&amp;$J496,'Hours Log'!$A:$A,"&lt;"&amp;$J496+7))</f>
        <v/>
      </c>
      <c r="J496" t="str">
        <f>IF(COUNT('Hours Log'!$A$4:$A$5000)=0,"",IF(MIN('Hours Log'!$A$4:$A$5000)+7*(ROW()-10)&gt;MAX('Hours Log'!$A$4:$A$5000),"",MIN('Hours Log'!$A$4:$A$5000)+7*(ROW()-10)))</f>
        <v/>
      </c>
    </row>
    <row r="497" spans="1:10" x14ac:dyDescent="0.25">
      <c r="A497" t="str">
        <f>IF($J497="","",YEAR($J497-WEEKDAY($J497,2)+4)&amp;"-W"&amp;TEXT(_xludf.ISOWEEKNUM($J497),"00"))</f>
        <v/>
      </c>
      <c r="B497"/>
      <c r="C497" t="str">
        <f>IF($J497="","",SUMIFS('Hours Log'!$C:$C,'Hours Log'!$A:$A,"&gt;="&amp;$J497,'Hours Log'!$A:$A,"&lt;"&amp;$J497+7)+SUMIFS('Hours Log'!$D:$D,'Hours Log'!$A:$A,"&gt;="&amp;$J497,'Hours Log'!$A:$A,"&lt;"&amp;$J497+7))</f>
        <v/>
      </c>
      <c r="D497" t="str">
        <f>IF($J497="","",SUMIFS('Hours Log'!$D:$D,'Hours Log'!$A:$A,"&gt;="&amp;$J497,'Hours Log'!$A:$A,"&lt;"&amp;$J497+7))</f>
        <v/>
      </c>
      <c r="E497" t="str">
        <f t="shared" si="14"/>
        <v/>
      </c>
      <c r="F497" t="str">
        <f t="shared" si="15"/>
        <v/>
      </c>
      <c r="G497" t="str">
        <f>IF($J497="","",SUMIFS('Hours Log'!$E:$E,'Hours Log'!$A:$A,"&gt;="&amp;$J497,'Hours Log'!$A:$A,"&lt;"&amp;$J497+7))</f>
        <v/>
      </c>
      <c r="J497" t="str">
        <f>IF(COUNT('Hours Log'!$A$4:$A$5000)=0,"",IF(MIN('Hours Log'!$A$4:$A$5000)+7*(ROW()-10)&gt;MAX('Hours Log'!$A$4:$A$5000),"",MIN('Hours Log'!$A$4:$A$5000)+7*(ROW()-10)))</f>
        <v/>
      </c>
    </row>
    <row r="498" spans="1:10" x14ac:dyDescent="0.25">
      <c r="A498" t="str">
        <f>IF($J498="","",YEAR($J498-WEEKDAY($J498,2)+4)&amp;"-W"&amp;TEXT(_xludf.ISOWEEKNUM($J498),"00"))</f>
        <v/>
      </c>
      <c r="B498"/>
      <c r="C498" t="str">
        <f>IF($J498="","",SUMIFS('Hours Log'!$C:$C,'Hours Log'!$A:$A,"&gt;="&amp;$J498,'Hours Log'!$A:$A,"&lt;"&amp;$J498+7)+SUMIFS('Hours Log'!$D:$D,'Hours Log'!$A:$A,"&gt;="&amp;$J498,'Hours Log'!$A:$A,"&lt;"&amp;$J498+7))</f>
        <v/>
      </c>
      <c r="D498" t="str">
        <f>IF($J498="","",SUMIFS('Hours Log'!$D:$D,'Hours Log'!$A:$A,"&gt;="&amp;$J498,'Hours Log'!$A:$A,"&lt;"&amp;$J498+7))</f>
        <v/>
      </c>
      <c r="E498" t="str">
        <f t="shared" si="14"/>
        <v/>
      </c>
      <c r="F498" t="str">
        <f t="shared" si="15"/>
        <v/>
      </c>
      <c r="G498" t="str">
        <f>IF($J498="","",SUMIFS('Hours Log'!$E:$E,'Hours Log'!$A:$A,"&gt;="&amp;$J498,'Hours Log'!$A:$A,"&lt;"&amp;$J498+7))</f>
        <v/>
      </c>
      <c r="J498" t="str">
        <f>IF(COUNT('Hours Log'!$A$4:$A$5000)=0,"",IF(MIN('Hours Log'!$A$4:$A$5000)+7*(ROW()-10)&gt;MAX('Hours Log'!$A$4:$A$5000),"",MIN('Hours Log'!$A$4:$A$5000)+7*(ROW()-10)))</f>
        <v/>
      </c>
    </row>
    <row r="499" spans="1:10" x14ac:dyDescent="0.25">
      <c r="A499" t="str">
        <f>IF($J499="","",YEAR($J499-WEEKDAY($J499,2)+4)&amp;"-W"&amp;TEXT(_xludf.ISOWEEKNUM($J499),"00"))</f>
        <v/>
      </c>
      <c r="B499"/>
      <c r="C499" t="str">
        <f>IF($J499="","",SUMIFS('Hours Log'!$C:$C,'Hours Log'!$A:$A,"&gt;="&amp;$J499,'Hours Log'!$A:$A,"&lt;"&amp;$J499+7)+SUMIFS('Hours Log'!$D:$D,'Hours Log'!$A:$A,"&gt;="&amp;$J499,'Hours Log'!$A:$A,"&lt;"&amp;$J499+7))</f>
        <v/>
      </c>
      <c r="D499" t="str">
        <f>IF($J499="","",SUMIFS('Hours Log'!$D:$D,'Hours Log'!$A:$A,"&gt;="&amp;$J499,'Hours Log'!$A:$A,"&lt;"&amp;$J499+7))</f>
        <v/>
      </c>
      <c r="E499" t="str">
        <f t="shared" si="14"/>
        <v/>
      </c>
      <c r="F499" t="str">
        <f t="shared" si="15"/>
        <v/>
      </c>
      <c r="G499" t="str">
        <f>IF($J499="","",SUMIFS('Hours Log'!$E:$E,'Hours Log'!$A:$A,"&gt;="&amp;$J499,'Hours Log'!$A:$A,"&lt;"&amp;$J499+7))</f>
        <v/>
      </c>
      <c r="J499" t="str">
        <f>IF(COUNT('Hours Log'!$A$4:$A$5000)=0,"",IF(MIN('Hours Log'!$A$4:$A$5000)+7*(ROW()-10)&gt;MAX('Hours Log'!$A$4:$A$5000),"",MIN('Hours Log'!$A$4:$A$5000)+7*(ROW()-10)))</f>
        <v/>
      </c>
    </row>
    <row r="500" spans="1:10" x14ac:dyDescent="0.25">
      <c r="A500" t="str">
        <f>IF($J500="","",YEAR($J500-WEEKDAY($J500,2)+4)&amp;"-W"&amp;TEXT(_xludf.ISOWEEKNUM($J500),"00"))</f>
        <v/>
      </c>
      <c r="B500"/>
      <c r="C500" t="str">
        <f>IF($J500="","",SUMIFS('Hours Log'!$C:$C,'Hours Log'!$A:$A,"&gt;="&amp;$J500,'Hours Log'!$A:$A,"&lt;"&amp;$J500+7)+SUMIFS('Hours Log'!$D:$D,'Hours Log'!$A:$A,"&gt;="&amp;$J500,'Hours Log'!$A:$A,"&lt;"&amp;$J500+7))</f>
        <v/>
      </c>
      <c r="D500" t="str">
        <f>IF($J500="","",SUMIFS('Hours Log'!$D:$D,'Hours Log'!$A:$A,"&gt;="&amp;$J500,'Hours Log'!$A:$A,"&lt;"&amp;$J500+7))</f>
        <v/>
      </c>
      <c r="E500" t="str">
        <f t="shared" si="14"/>
        <v/>
      </c>
      <c r="F500" t="str">
        <f t="shared" si="15"/>
        <v/>
      </c>
      <c r="G500" t="str">
        <f>IF($J500="","",SUMIFS('Hours Log'!$E:$E,'Hours Log'!$A:$A,"&gt;="&amp;$J500,'Hours Log'!$A:$A,"&lt;"&amp;$J500+7))</f>
        <v/>
      </c>
      <c r="J500" t="str">
        <f>IF(COUNT('Hours Log'!$A$4:$A$5000)=0,"",IF(MIN('Hours Log'!$A$4:$A$5000)+7*(ROW()-10)&gt;MAX('Hours Log'!$A$4:$A$5000),"",MIN('Hours Log'!$A$4:$A$5000)+7*(ROW()-10)))</f>
        <v/>
      </c>
    </row>
    <row r="501" spans="1:10" x14ac:dyDescent="0.25">
      <c r="A501" t="str">
        <f>IF($J501="","",YEAR($J501-WEEKDAY($J501,2)+4)&amp;"-W"&amp;TEXT(_xludf.ISOWEEKNUM($J501),"00"))</f>
        <v/>
      </c>
      <c r="B501"/>
      <c r="C501" t="str">
        <f>IF($J501="","",SUMIFS('Hours Log'!$C:$C,'Hours Log'!$A:$A,"&gt;="&amp;$J501,'Hours Log'!$A:$A,"&lt;"&amp;$J501+7)+SUMIFS('Hours Log'!$D:$D,'Hours Log'!$A:$A,"&gt;="&amp;$J501,'Hours Log'!$A:$A,"&lt;"&amp;$J501+7))</f>
        <v/>
      </c>
      <c r="D501" t="str">
        <f>IF($J501="","",SUMIFS('Hours Log'!$D:$D,'Hours Log'!$A:$A,"&gt;="&amp;$J501,'Hours Log'!$A:$A,"&lt;"&amp;$J501+7))</f>
        <v/>
      </c>
      <c r="E501" t="str">
        <f t="shared" si="14"/>
        <v/>
      </c>
      <c r="F501" t="str">
        <f t="shared" si="15"/>
        <v/>
      </c>
      <c r="G501" t="str">
        <f>IF($J501="","",SUMIFS('Hours Log'!$E:$E,'Hours Log'!$A:$A,"&gt;="&amp;$J501,'Hours Log'!$A:$A,"&lt;"&amp;$J501+7))</f>
        <v/>
      </c>
      <c r="J501" t="str">
        <f>IF(COUNT('Hours Log'!$A$4:$A$5000)=0,"",IF(MIN('Hours Log'!$A$4:$A$5000)+7*(ROW()-10)&gt;MAX('Hours Log'!$A$4:$A$5000),"",MIN('Hours Log'!$A$4:$A$5000)+7*(ROW()-10)))</f>
        <v/>
      </c>
    </row>
    <row r="502" spans="1:10" x14ac:dyDescent="0.25">
      <c r="A502" t="str">
        <f>IF($J502="","",YEAR($J502-WEEKDAY($J502,2)+4)&amp;"-W"&amp;TEXT(_xludf.ISOWEEKNUM($J502),"00"))</f>
        <v/>
      </c>
      <c r="B502"/>
      <c r="C502" t="str">
        <f>IF($J502="","",SUMIFS('Hours Log'!$C:$C,'Hours Log'!$A:$A,"&gt;="&amp;$J502,'Hours Log'!$A:$A,"&lt;"&amp;$J502+7)+SUMIFS('Hours Log'!$D:$D,'Hours Log'!$A:$A,"&gt;="&amp;$J502,'Hours Log'!$A:$A,"&lt;"&amp;$J502+7))</f>
        <v/>
      </c>
      <c r="D502" t="str">
        <f>IF($J502="","",SUMIFS('Hours Log'!$D:$D,'Hours Log'!$A:$A,"&gt;="&amp;$J502,'Hours Log'!$A:$A,"&lt;"&amp;$J502+7))</f>
        <v/>
      </c>
      <c r="E502" t="str">
        <f t="shared" si="14"/>
        <v/>
      </c>
      <c r="F502" t="str">
        <f t="shared" si="15"/>
        <v/>
      </c>
      <c r="G502" t="str">
        <f>IF($J502="","",SUMIFS('Hours Log'!$E:$E,'Hours Log'!$A:$A,"&gt;="&amp;$J502,'Hours Log'!$A:$A,"&lt;"&amp;$J502+7))</f>
        <v/>
      </c>
      <c r="J502" t="str">
        <f>IF(COUNT('Hours Log'!$A$4:$A$5000)=0,"",IF(MIN('Hours Log'!$A$4:$A$5000)+7*(ROW()-10)&gt;MAX('Hours Log'!$A$4:$A$5000),"",MIN('Hours Log'!$A$4:$A$5000)+7*(ROW()-10)))</f>
        <v/>
      </c>
    </row>
    <row r="503" spans="1:10" x14ac:dyDescent="0.25">
      <c r="A503" t="str">
        <f>IF($J503="","",YEAR($J503-WEEKDAY($J503,2)+4)&amp;"-W"&amp;TEXT(_xludf.ISOWEEKNUM($J503),"00"))</f>
        <v/>
      </c>
      <c r="B503"/>
      <c r="C503" t="str">
        <f>IF($J503="","",SUMIFS('Hours Log'!$C:$C,'Hours Log'!$A:$A,"&gt;="&amp;$J503,'Hours Log'!$A:$A,"&lt;"&amp;$J503+7)+SUMIFS('Hours Log'!$D:$D,'Hours Log'!$A:$A,"&gt;="&amp;$J503,'Hours Log'!$A:$A,"&lt;"&amp;$J503+7))</f>
        <v/>
      </c>
      <c r="D503" t="str">
        <f>IF($J503="","",SUMIFS('Hours Log'!$D:$D,'Hours Log'!$A:$A,"&gt;="&amp;$J503,'Hours Log'!$A:$A,"&lt;"&amp;$J503+7))</f>
        <v/>
      </c>
      <c r="E503" t="str">
        <f t="shared" si="14"/>
        <v/>
      </c>
      <c r="F503" t="str">
        <f t="shared" si="15"/>
        <v/>
      </c>
      <c r="G503" t="str">
        <f>IF($J503="","",SUMIFS('Hours Log'!$E:$E,'Hours Log'!$A:$A,"&gt;="&amp;$J503,'Hours Log'!$A:$A,"&lt;"&amp;$J503+7))</f>
        <v/>
      </c>
      <c r="J503" t="str">
        <f>IF(COUNT('Hours Log'!$A$4:$A$5000)=0,"",IF(MIN('Hours Log'!$A$4:$A$5000)+7*(ROW()-10)&gt;MAX('Hours Log'!$A$4:$A$5000),"",MIN('Hours Log'!$A$4:$A$5000)+7*(ROW()-10)))</f>
        <v/>
      </c>
    </row>
    <row r="504" spans="1:10" x14ac:dyDescent="0.25">
      <c r="A504" t="str">
        <f>IF($J504="","",YEAR($J504-WEEKDAY($J504,2)+4)&amp;"-W"&amp;TEXT(_xludf.ISOWEEKNUM($J504),"00"))</f>
        <v/>
      </c>
      <c r="B504"/>
      <c r="C504" t="str">
        <f>IF($J504="","",SUMIFS('Hours Log'!$C:$C,'Hours Log'!$A:$A,"&gt;="&amp;$J504,'Hours Log'!$A:$A,"&lt;"&amp;$J504+7)+SUMIFS('Hours Log'!$D:$D,'Hours Log'!$A:$A,"&gt;="&amp;$J504,'Hours Log'!$A:$A,"&lt;"&amp;$J504+7))</f>
        <v/>
      </c>
      <c r="D504" t="str">
        <f>IF($J504="","",SUMIFS('Hours Log'!$D:$D,'Hours Log'!$A:$A,"&gt;="&amp;$J504,'Hours Log'!$A:$A,"&lt;"&amp;$J504+7))</f>
        <v/>
      </c>
      <c r="E504" t="str">
        <f t="shared" si="14"/>
        <v/>
      </c>
      <c r="F504" t="str">
        <f t="shared" si="15"/>
        <v/>
      </c>
      <c r="G504" t="str">
        <f>IF($J504="","",SUMIFS('Hours Log'!$E:$E,'Hours Log'!$A:$A,"&gt;="&amp;$J504,'Hours Log'!$A:$A,"&lt;"&amp;$J504+7))</f>
        <v/>
      </c>
      <c r="J504" t="str">
        <f>IF(COUNT('Hours Log'!$A$4:$A$5000)=0,"",IF(MIN('Hours Log'!$A$4:$A$5000)+7*(ROW()-10)&gt;MAX('Hours Log'!$A$4:$A$5000),"",MIN('Hours Log'!$A$4:$A$5000)+7*(ROW()-10)))</f>
        <v/>
      </c>
    </row>
    <row r="505" spans="1:10" x14ac:dyDescent="0.25">
      <c r="A505" t="str">
        <f>IF($J505="","",YEAR($J505-WEEKDAY($J505,2)+4)&amp;"-W"&amp;TEXT(_xludf.ISOWEEKNUM($J505),"00"))</f>
        <v/>
      </c>
      <c r="B505"/>
      <c r="C505" t="str">
        <f>IF($J505="","",SUMIFS('Hours Log'!$C:$C,'Hours Log'!$A:$A,"&gt;="&amp;$J505,'Hours Log'!$A:$A,"&lt;"&amp;$J505+7)+SUMIFS('Hours Log'!$D:$D,'Hours Log'!$A:$A,"&gt;="&amp;$J505,'Hours Log'!$A:$A,"&lt;"&amp;$J505+7))</f>
        <v/>
      </c>
      <c r="D505" t="str">
        <f>IF($J505="","",SUMIFS('Hours Log'!$D:$D,'Hours Log'!$A:$A,"&gt;="&amp;$J505,'Hours Log'!$A:$A,"&lt;"&amp;$J505+7))</f>
        <v/>
      </c>
      <c r="E505" t="str">
        <f t="shared" si="14"/>
        <v/>
      </c>
      <c r="F505" t="str">
        <f t="shared" si="15"/>
        <v/>
      </c>
      <c r="G505" t="str">
        <f>IF($J505="","",SUMIFS('Hours Log'!$E:$E,'Hours Log'!$A:$A,"&gt;="&amp;$J505,'Hours Log'!$A:$A,"&lt;"&amp;$J505+7))</f>
        <v/>
      </c>
      <c r="J505" t="str">
        <f>IF(COUNT('Hours Log'!$A$4:$A$5000)=0,"",IF(MIN('Hours Log'!$A$4:$A$5000)+7*(ROW()-10)&gt;MAX('Hours Log'!$A$4:$A$5000),"",MIN('Hours Log'!$A$4:$A$5000)+7*(ROW()-10)))</f>
        <v/>
      </c>
    </row>
    <row r="506" spans="1:10" x14ac:dyDescent="0.25">
      <c r="A506" t="str">
        <f>IF($J506="","",YEAR($J506-WEEKDAY($J506,2)+4)&amp;"-W"&amp;TEXT(_xludf.ISOWEEKNUM($J506),"00"))</f>
        <v/>
      </c>
      <c r="B506"/>
      <c r="C506" t="str">
        <f>IF($J506="","",SUMIFS('Hours Log'!$C:$C,'Hours Log'!$A:$A,"&gt;="&amp;$J506,'Hours Log'!$A:$A,"&lt;"&amp;$J506+7)+SUMIFS('Hours Log'!$D:$D,'Hours Log'!$A:$A,"&gt;="&amp;$J506,'Hours Log'!$A:$A,"&lt;"&amp;$J506+7))</f>
        <v/>
      </c>
      <c r="D506" t="str">
        <f>IF($J506="","",SUMIFS('Hours Log'!$D:$D,'Hours Log'!$A:$A,"&gt;="&amp;$J506,'Hours Log'!$A:$A,"&lt;"&amp;$J506+7))</f>
        <v/>
      </c>
      <c r="E506" t="str">
        <f t="shared" si="14"/>
        <v/>
      </c>
      <c r="F506" t="str">
        <f t="shared" si="15"/>
        <v/>
      </c>
      <c r="G506" t="str">
        <f>IF($J506="","",SUMIFS('Hours Log'!$E:$E,'Hours Log'!$A:$A,"&gt;="&amp;$J506,'Hours Log'!$A:$A,"&lt;"&amp;$J506+7))</f>
        <v/>
      </c>
      <c r="J506" t="str">
        <f>IF(COUNT('Hours Log'!$A$4:$A$5000)=0,"",IF(MIN('Hours Log'!$A$4:$A$5000)+7*(ROW()-10)&gt;MAX('Hours Log'!$A$4:$A$5000),"",MIN('Hours Log'!$A$4:$A$5000)+7*(ROW()-10)))</f>
        <v/>
      </c>
    </row>
    <row r="507" spans="1:10" x14ac:dyDescent="0.25">
      <c r="A507" t="str">
        <f>IF($J507="","",YEAR($J507-WEEKDAY($J507,2)+4)&amp;"-W"&amp;TEXT(_xludf.ISOWEEKNUM($J507),"00"))</f>
        <v/>
      </c>
      <c r="B507"/>
      <c r="C507" t="str">
        <f>IF($J507="","",SUMIFS('Hours Log'!$C:$C,'Hours Log'!$A:$A,"&gt;="&amp;$J507,'Hours Log'!$A:$A,"&lt;"&amp;$J507+7)+SUMIFS('Hours Log'!$D:$D,'Hours Log'!$A:$A,"&gt;="&amp;$J507,'Hours Log'!$A:$A,"&lt;"&amp;$J507+7))</f>
        <v/>
      </c>
      <c r="D507" t="str">
        <f>IF($J507="","",SUMIFS('Hours Log'!$D:$D,'Hours Log'!$A:$A,"&gt;="&amp;$J507,'Hours Log'!$A:$A,"&lt;"&amp;$J507+7))</f>
        <v/>
      </c>
      <c r="E507" t="str">
        <f t="shared" si="14"/>
        <v/>
      </c>
      <c r="F507" t="str">
        <f t="shared" si="15"/>
        <v/>
      </c>
      <c r="G507" t="str">
        <f>IF($J507="","",SUMIFS('Hours Log'!$E:$E,'Hours Log'!$A:$A,"&gt;="&amp;$J507,'Hours Log'!$A:$A,"&lt;"&amp;$J507+7))</f>
        <v/>
      </c>
      <c r="J507" t="str">
        <f>IF(COUNT('Hours Log'!$A$4:$A$5000)=0,"",IF(MIN('Hours Log'!$A$4:$A$5000)+7*(ROW()-10)&gt;MAX('Hours Log'!$A$4:$A$5000),"",MIN('Hours Log'!$A$4:$A$5000)+7*(ROW()-10)))</f>
        <v/>
      </c>
    </row>
    <row r="508" spans="1:10" x14ac:dyDescent="0.25">
      <c r="A508" t="str">
        <f>IF($J508="","",YEAR($J508-WEEKDAY($J508,2)+4)&amp;"-W"&amp;TEXT(_xludf.ISOWEEKNUM($J508),"00"))</f>
        <v/>
      </c>
      <c r="B508"/>
      <c r="C508" t="str">
        <f>IF($J508="","",SUMIFS('Hours Log'!$C:$C,'Hours Log'!$A:$A,"&gt;="&amp;$J508,'Hours Log'!$A:$A,"&lt;"&amp;$J508+7)+SUMIFS('Hours Log'!$D:$D,'Hours Log'!$A:$A,"&gt;="&amp;$J508,'Hours Log'!$A:$A,"&lt;"&amp;$J508+7))</f>
        <v/>
      </c>
      <c r="D508" t="str">
        <f>IF($J508="","",SUMIFS('Hours Log'!$D:$D,'Hours Log'!$A:$A,"&gt;="&amp;$J508,'Hours Log'!$A:$A,"&lt;"&amp;$J508+7))</f>
        <v/>
      </c>
      <c r="E508" t="str">
        <f t="shared" si="14"/>
        <v/>
      </c>
      <c r="F508" t="str">
        <f t="shared" si="15"/>
        <v/>
      </c>
      <c r="G508" t="str">
        <f>IF($J508="","",SUMIFS('Hours Log'!$E:$E,'Hours Log'!$A:$A,"&gt;="&amp;$J508,'Hours Log'!$A:$A,"&lt;"&amp;$J508+7))</f>
        <v/>
      </c>
      <c r="J508" t="str">
        <f>IF(COUNT('Hours Log'!$A$4:$A$5000)=0,"",IF(MIN('Hours Log'!$A$4:$A$5000)+7*(ROW()-10)&gt;MAX('Hours Log'!$A$4:$A$5000),"",MIN('Hours Log'!$A$4:$A$5000)+7*(ROW()-10)))</f>
        <v/>
      </c>
    </row>
    <row r="509" spans="1:10" x14ac:dyDescent="0.25">
      <c r="A509" t="str">
        <f>IF($J509="","",YEAR($J509-WEEKDAY($J509,2)+4)&amp;"-W"&amp;TEXT(_xludf.ISOWEEKNUM($J509),"00"))</f>
        <v/>
      </c>
      <c r="B509"/>
      <c r="C509" t="str">
        <f>IF($J509="","",SUMIFS('Hours Log'!$C:$C,'Hours Log'!$A:$A,"&gt;="&amp;$J509,'Hours Log'!$A:$A,"&lt;"&amp;$J509+7)+SUMIFS('Hours Log'!$D:$D,'Hours Log'!$A:$A,"&gt;="&amp;$J509,'Hours Log'!$A:$A,"&lt;"&amp;$J509+7))</f>
        <v/>
      </c>
      <c r="D509" t="str">
        <f>IF($J509="","",SUMIFS('Hours Log'!$D:$D,'Hours Log'!$A:$A,"&gt;="&amp;$J509,'Hours Log'!$A:$A,"&lt;"&amp;$J509+7))</f>
        <v/>
      </c>
      <c r="E509" t="str">
        <f t="shared" si="14"/>
        <v/>
      </c>
      <c r="F509" t="str">
        <f t="shared" si="15"/>
        <v/>
      </c>
      <c r="G509" t="str">
        <f>IF($J509="","",SUMIFS('Hours Log'!$E:$E,'Hours Log'!$A:$A,"&gt;="&amp;$J509,'Hours Log'!$A:$A,"&lt;"&amp;$J509+7))</f>
        <v/>
      </c>
      <c r="J509" t="str">
        <f>IF(COUNT('Hours Log'!$A$4:$A$5000)=0,"",IF(MIN('Hours Log'!$A$4:$A$5000)+7*(ROW()-10)&gt;MAX('Hours Log'!$A$4:$A$5000),"",MIN('Hours Log'!$A$4:$A$5000)+7*(ROW()-10)))</f>
        <v/>
      </c>
    </row>
    <row r="510" spans="1:10" x14ac:dyDescent="0.25">
      <c r="A510" t="str">
        <f>IF($J510="","",YEAR($J510-WEEKDAY($J510,2)+4)&amp;"-W"&amp;TEXT(_xludf.ISOWEEKNUM($J510),"00"))</f>
        <v/>
      </c>
      <c r="B510"/>
      <c r="C510" t="str">
        <f>IF($J510="","",SUMIFS('Hours Log'!$C:$C,'Hours Log'!$A:$A,"&gt;="&amp;$J510,'Hours Log'!$A:$A,"&lt;"&amp;$J510+7)+SUMIFS('Hours Log'!$D:$D,'Hours Log'!$A:$A,"&gt;="&amp;$J510,'Hours Log'!$A:$A,"&lt;"&amp;$J510+7))</f>
        <v/>
      </c>
      <c r="D510" t="str">
        <f>IF($J510="","",SUMIFS('Hours Log'!$D:$D,'Hours Log'!$A:$A,"&gt;="&amp;$J510,'Hours Log'!$A:$A,"&lt;"&amp;$J510+7))</f>
        <v/>
      </c>
      <c r="E510" t="str">
        <f t="shared" si="14"/>
        <v/>
      </c>
      <c r="F510" t="str">
        <f t="shared" si="15"/>
        <v/>
      </c>
      <c r="G510" t="str">
        <f>IF($J510="","",SUMIFS('Hours Log'!$E:$E,'Hours Log'!$A:$A,"&gt;="&amp;$J510,'Hours Log'!$A:$A,"&lt;"&amp;$J510+7))</f>
        <v/>
      </c>
      <c r="J510" t="str">
        <f>IF(COUNT('Hours Log'!$A$4:$A$5000)=0,"",IF(MIN('Hours Log'!$A$4:$A$5000)+7*(ROW()-10)&gt;MAX('Hours Log'!$A$4:$A$5000),"",MIN('Hours Log'!$A$4:$A$5000)+7*(ROW()-10)))</f>
        <v/>
      </c>
    </row>
    <row r="511" spans="1:10" x14ac:dyDescent="0.25">
      <c r="A511" t="str">
        <f>IF($J511="","",YEAR($J511-WEEKDAY($J511,2)+4)&amp;"-W"&amp;TEXT(_xludf.ISOWEEKNUM($J511),"00"))</f>
        <v/>
      </c>
      <c r="B511"/>
      <c r="C511" t="str">
        <f>IF($J511="","",SUMIFS('Hours Log'!$C:$C,'Hours Log'!$A:$A,"&gt;="&amp;$J511,'Hours Log'!$A:$A,"&lt;"&amp;$J511+7)+SUMIFS('Hours Log'!$D:$D,'Hours Log'!$A:$A,"&gt;="&amp;$J511,'Hours Log'!$A:$A,"&lt;"&amp;$J511+7))</f>
        <v/>
      </c>
      <c r="D511" t="str">
        <f>IF($J511="","",SUMIFS('Hours Log'!$D:$D,'Hours Log'!$A:$A,"&gt;="&amp;$J511,'Hours Log'!$A:$A,"&lt;"&amp;$J511+7))</f>
        <v/>
      </c>
      <c r="E511" t="str">
        <f t="shared" si="14"/>
        <v/>
      </c>
      <c r="F511" t="str">
        <f t="shared" si="15"/>
        <v/>
      </c>
      <c r="G511" t="str">
        <f>IF($J511="","",SUMIFS('Hours Log'!$E:$E,'Hours Log'!$A:$A,"&gt;="&amp;$J511,'Hours Log'!$A:$A,"&lt;"&amp;$J511+7))</f>
        <v/>
      </c>
      <c r="J511" t="str">
        <f>IF(COUNT('Hours Log'!$A$4:$A$5000)=0,"",IF(MIN('Hours Log'!$A$4:$A$5000)+7*(ROW()-10)&gt;MAX('Hours Log'!$A$4:$A$5000),"",MIN('Hours Log'!$A$4:$A$5000)+7*(ROW()-10)))</f>
        <v/>
      </c>
    </row>
    <row r="512" spans="1:10" x14ac:dyDescent="0.25">
      <c r="A512" t="str">
        <f>IF($J512="","",YEAR($J512-WEEKDAY($J512,2)+4)&amp;"-W"&amp;TEXT(_xludf.ISOWEEKNUM($J512),"00"))</f>
        <v/>
      </c>
      <c r="B512"/>
      <c r="C512" t="str">
        <f>IF($J512="","",SUMIFS('Hours Log'!$C:$C,'Hours Log'!$A:$A,"&gt;="&amp;$J512,'Hours Log'!$A:$A,"&lt;"&amp;$J512+7)+SUMIFS('Hours Log'!$D:$D,'Hours Log'!$A:$A,"&gt;="&amp;$J512,'Hours Log'!$A:$A,"&lt;"&amp;$J512+7))</f>
        <v/>
      </c>
      <c r="D512" t="str">
        <f>IF($J512="","",SUMIFS('Hours Log'!$D:$D,'Hours Log'!$A:$A,"&gt;="&amp;$J512,'Hours Log'!$A:$A,"&lt;"&amp;$J512+7))</f>
        <v/>
      </c>
      <c r="E512" t="str">
        <f t="shared" si="14"/>
        <v/>
      </c>
      <c r="F512" t="str">
        <f t="shared" si="15"/>
        <v/>
      </c>
      <c r="G512" t="str">
        <f>IF($J512="","",SUMIFS('Hours Log'!$E:$E,'Hours Log'!$A:$A,"&gt;="&amp;$J512,'Hours Log'!$A:$A,"&lt;"&amp;$J512+7))</f>
        <v/>
      </c>
      <c r="J512" t="str">
        <f>IF(COUNT('Hours Log'!$A$4:$A$5000)=0,"",IF(MIN('Hours Log'!$A$4:$A$5000)+7*(ROW()-10)&gt;MAX('Hours Log'!$A$4:$A$5000),"",MIN('Hours Log'!$A$4:$A$5000)+7*(ROW()-10)))</f>
        <v/>
      </c>
    </row>
    <row r="513" spans="1:10" x14ac:dyDescent="0.25">
      <c r="A513" t="str">
        <f>IF($J513="","",YEAR($J513-WEEKDAY($J513,2)+4)&amp;"-W"&amp;TEXT(_xludf.ISOWEEKNUM($J513),"00"))</f>
        <v/>
      </c>
      <c r="B513"/>
      <c r="C513" t="str">
        <f>IF($J513="","",SUMIFS('Hours Log'!$C:$C,'Hours Log'!$A:$A,"&gt;="&amp;$J513,'Hours Log'!$A:$A,"&lt;"&amp;$J513+7)+SUMIFS('Hours Log'!$D:$D,'Hours Log'!$A:$A,"&gt;="&amp;$J513,'Hours Log'!$A:$A,"&lt;"&amp;$J513+7))</f>
        <v/>
      </c>
      <c r="D513" t="str">
        <f>IF($J513="","",SUMIFS('Hours Log'!$D:$D,'Hours Log'!$A:$A,"&gt;="&amp;$J513,'Hours Log'!$A:$A,"&lt;"&amp;$J513+7))</f>
        <v/>
      </c>
      <c r="E513" t="str">
        <f t="shared" si="14"/>
        <v/>
      </c>
      <c r="F513" t="str">
        <f t="shared" si="15"/>
        <v/>
      </c>
      <c r="G513" t="str">
        <f>IF($J513="","",SUMIFS('Hours Log'!$E:$E,'Hours Log'!$A:$A,"&gt;="&amp;$J513,'Hours Log'!$A:$A,"&lt;"&amp;$J513+7))</f>
        <v/>
      </c>
      <c r="J513" t="str">
        <f>IF(COUNT('Hours Log'!$A$4:$A$5000)=0,"",IF(MIN('Hours Log'!$A$4:$A$5000)+7*(ROW()-10)&gt;MAX('Hours Log'!$A$4:$A$5000),"",MIN('Hours Log'!$A$4:$A$5000)+7*(ROW()-10)))</f>
        <v/>
      </c>
    </row>
    <row r="514" spans="1:10" x14ac:dyDescent="0.25">
      <c r="A514" t="str">
        <f>IF($J514="","",YEAR($J514-WEEKDAY($J514,2)+4)&amp;"-W"&amp;TEXT(_xludf.ISOWEEKNUM($J514),"00"))</f>
        <v/>
      </c>
      <c r="B514"/>
      <c r="C514" t="str">
        <f>IF($J514="","",SUMIFS('Hours Log'!$C:$C,'Hours Log'!$A:$A,"&gt;="&amp;$J514,'Hours Log'!$A:$A,"&lt;"&amp;$J514+7)+SUMIFS('Hours Log'!$D:$D,'Hours Log'!$A:$A,"&gt;="&amp;$J514,'Hours Log'!$A:$A,"&lt;"&amp;$J514+7))</f>
        <v/>
      </c>
      <c r="D514" t="str">
        <f>IF($J514="","",SUMIFS('Hours Log'!$D:$D,'Hours Log'!$A:$A,"&gt;="&amp;$J514,'Hours Log'!$A:$A,"&lt;"&amp;$J514+7))</f>
        <v/>
      </c>
      <c r="E514" t="str">
        <f t="shared" si="14"/>
        <v/>
      </c>
      <c r="F514" t="str">
        <f t="shared" si="15"/>
        <v/>
      </c>
      <c r="G514" t="str">
        <f>IF($J514="","",SUMIFS('Hours Log'!$E:$E,'Hours Log'!$A:$A,"&gt;="&amp;$J514,'Hours Log'!$A:$A,"&lt;"&amp;$J514+7))</f>
        <v/>
      </c>
      <c r="J514" t="str">
        <f>IF(COUNT('Hours Log'!$A$4:$A$5000)=0,"",IF(MIN('Hours Log'!$A$4:$A$5000)+7*(ROW()-10)&gt;MAX('Hours Log'!$A$4:$A$5000),"",MIN('Hours Log'!$A$4:$A$5000)+7*(ROW()-10)))</f>
        <v/>
      </c>
    </row>
    <row r="515" spans="1:10" x14ac:dyDescent="0.25">
      <c r="A515" t="str">
        <f>IF($J515="","",YEAR($J515-WEEKDAY($J515,2)+4)&amp;"-W"&amp;TEXT(_xludf.ISOWEEKNUM($J515),"00"))</f>
        <v/>
      </c>
      <c r="B515"/>
      <c r="C515" t="str">
        <f>IF($J515="","",SUMIFS('Hours Log'!$C:$C,'Hours Log'!$A:$A,"&gt;="&amp;$J515,'Hours Log'!$A:$A,"&lt;"&amp;$J515+7)+SUMIFS('Hours Log'!$D:$D,'Hours Log'!$A:$A,"&gt;="&amp;$J515,'Hours Log'!$A:$A,"&lt;"&amp;$J515+7))</f>
        <v/>
      </c>
      <c r="D515" t="str">
        <f>IF($J515="","",SUMIFS('Hours Log'!$D:$D,'Hours Log'!$A:$A,"&gt;="&amp;$J515,'Hours Log'!$A:$A,"&lt;"&amp;$J515+7))</f>
        <v/>
      </c>
      <c r="E515" t="str">
        <f t="shared" si="14"/>
        <v/>
      </c>
      <c r="F515" t="str">
        <f t="shared" si="15"/>
        <v/>
      </c>
      <c r="G515" t="str">
        <f>IF($J515="","",SUMIFS('Hours Log'!$E:$E,'Hours Log'!$A:$A,"&gt;="&amp;$J515,'Hours Log'!$A:$A,"&lt;"&amp;$J515+7))</f>
        <v/>
      </c>
      <c r="J515" t="str">
        <f>IF(COUNT('Hours Log'!$A$4:$A$5000)=0,"",IF(MIN('Hours Log'!$A$4:$A$5000)+7*(ROW()-10)&gt;MAX('Hours Log'!$A$4:$A$5000),"",MIN('Hours Log'!$A$4:$A$5000)+7*(ROW()-10)))</f>
        <v/>
      </c>
    </row>
    <row r="516" spans="1:10" x14ac:dyDescent="0.25">
      <c r="A516" t="str">
        <f>IF($J516="","",YEAR($J516-WEEKDAY($J516,2)+4)&amp;"-W"&amp;TEXT(_xludf.ISOWEEKNUM($J516),"00"))</f>
        <v/>
      </c>
      <c r="B516"/>
      <c r="C516" t="str">
        <f>IF($J516="","",SUMIFS('Hours Log'!$C:$C,'Hours Log'!$A:$A,"&gt;="&amp;$J516,'Hours Log'!$A:$A,"&lt;"&amp;$J516+7)+SUMIFS('Hours Log'!$D:$D,'Hours Log'!$A:$A,"&gt;="&amp;$J516,'Hours Log'!$A:$A,"&lt;"&amp;$J516+7))</f>
        <v/>
      </c>
      <c r="D516" t="str">
        <f>IF($J516="","",SUMIFS('Hours Log'!$D:$D,'Hours Log'!$A:$A,"&gt;="&amp;$J516,'Hours Log'!$A:$A,"&lt;"&amp;$J516+7))</f>
        <v/>
      </c>
      <c r="E516" t="str">
        <f t="shared" si="14"/>
        <v/>
      </c>
      <c r="F516" t="str">
        <f t="shared" si="15"/>
        <v/>
      </c>
      <c r="G516" t="str">
        <f>IF($J516="","",SUMIFS('Hours Log'!$E:$E,'Hours Log'!$A:$A,"&gt;="&amp;$J516,'Hours Log'!$A:$A,"&lt;"&amp;$J516+7))</f>
        <v/>
      </c>
      <c r="J516" t="str">
        <f>IF(COUNT('Hours Log'!$A$4:$A$5000)=0,"",IF(MIN('Hours Log'!$A$4:$A$5000)+7*(ROW()-10)&gt;MAX('Hours Log'!$A$4:$A$5000),"",MIN('Hours Log'!$A$4:$A$5000)+7*(ROW()-10)))</f>
        <v/>
      </c>
    </row>
    <row r="517" spans="1:10" x14ac:dyDescent="0.25">
      <c r="A517" t="str">
        <f>IF($J517="","",YEAR($J517-WEEKDAY($J517,2)+4)&amp;"-W"&amp;TEXT(_xludf.ISOWEEKNUM($J517),"00"))</f>
        <v/>
      </c>
      <c r="B517"/>
      <c r="C517" t="str">
        <f>IF($J517="","",SUMIFS('Hours Log'!$C:$C,'Hours Log'!$A:$A,"&gt;="&amp;$J517,'Hours Log'!$A:$A,"&lt;"&amp;$J517+7)+SUMIFS('Hours Log'!$D:$D,'Hours Log'!$A:$A,"&gt;="&amp;$J517,'Hours Log'!$A:$A,"&lt;"&amp;$J517+7))</f>
        <v/>
      </c>
      <c r="D517" t="str">
        <f>IF($J517="","",SUMIFS('Hours Log'!$D:$D,'Hours Log'!$A:$A,"&gt;="&amp;$J517,'Hours Log'!$A:$A,"&lt;"&amp;$J517+7))</f>
        <v/>
      </c>
      <c r="E517" t="str">
        <f t="shared" si="14"/>
        <v/>
      </c>
      <c r="F517" t="str">
        <f t="shared" si="15"/>
        <v/>
      </c>
      <c r="G517" t="str">
        <f>IF($J517="","",SUMIFS('Hours Log'!$E:$E,'Hours Log'!$A:$A,"&gt;="&amp;$J517,'Hours Log'!$A:$A,"&lt;"&amp;$J517+7))</f>
        <v/>
      </c>
      <c r="J517" t="str">
        <f>IF(COUNT('Hours Log'!$A$4:$A$5000)=0,"",IF(MIN('Hours Log'!$A$4:$A$5000)+7*(ROW()-10)&gt;MAX('Hours Log'!$A$4:$A$5000),"",MIN('Hours Log'!$A$4:$A$5000)+7*(ROW()-10)))</f>
        <v/>
      </c>
    </row>
    <row r="518" spans="1:10" x14ac:dyDescent="0.25">
      <c r="A518" t="str">
        <f>IF($J518="","",YEAR($J518-WEEKDAY($J518,2)+4)&amp;"-W"&amp;TEXT(_xludf.ISOWEEKNUM($J518),"00"))</f>
        <v/>
      </c>
      <c r="B518"/>
      <c r="C518" t="str">
        <f>IF($J518="","",SUMIFS('Hours Log'!$C:$C,'Hours Log'!$A:$A,"&gt;="&amp;$J518,'Hours Log'!$A:$A,"&lt;"&amp;$J518+7)+SUMIFS('Hours Log'!$D:$D,'Hours Log'!$A:$A,"&gt;="&amp;$J518,'Hours Log'!$A:$A,"&lt;"&amp;$J518+7))</f>
        <v/>
      </c>
      <c r="D518" t="str">
        <f>IF($J518="","",SUMIFS('Hours Log'!$D:$D,'Hours Log'!$A:$A,"&gt;="&amp;$J518,'Hours Log'!$A:$A,"&lt;"&amp;$J518+7))</f>
        <v/>
      </c>
      <c r="E518" t="str">
        <f t="shared" si="14"/>
        <v/>
      </c>
      <c r="F518" t="str">
        <f t="shared" si="15"/>
        <v/>
      </c>
      <c r="G518" t="str">
        <f>IF($J518="","",SUMIFS('Hours Log'!$E:$E,'Hours Log'!$A:$A,"&gt;="&amp;$J518,'Hours Log'!$A:$A,"&lt;"&amp;$J518+7))</f>
        <v/>
      </c>
      <c r="J518" t="str">
        <f>IF(COUNT('Hours Log'!$A$4:$A$5000)=0,"",IF(MIN('Hours Log'!$A$4:$A$5000)+7*(ROW()-10)&gt;MAX('Hours Log'!$A$4:$A$5000),"",MIN('Hours Log'!$A$4:$A$5000)+7*(ROW()-10)))</f>
        <v/>
      </c>
    </row>
    <row r="519" spans="1:10" x14ac:dyDescent="0.25">
      <c r="A519" t="str">
        <f>IF($J519="","",YEAR($J519-WEEKDAY($J519,2)+4)&amp;"-W"&amp;TEXT(_xludf.ISOWEEKNUM($J519),"00"))</f>
        <v/>
      </c>
      <c r="B519"/>
      <c r="C519" t="str">
        <f>IF($J519="","",SUMIFS('Hours Log'!$C:$C,'Hours Log'!$A:$A,"&gt;="&amp;$J519,'Hours Log'!$A:$A,"&lt;"&amp;$J519+7)+SUMIFS('Hours Log'!$D:$D,'Hours Log'!$A:$A,"&gt;="&amp;$J519,'Hours Log'!$A:$A,"&lt;"&amp;$J519+7))</f>
        <v/>
      </c>
      <c r="D519" t="str">
        <f>IF($J519="","",SUMIFS('Hours Log'!$D:$D,'Hours Log'!$A:$A,"&gt;="&amp;$J519,'Hours Log'!$A:$A,"&lt;"&amp;$J519+7))</f>
        <v/>
      </c>
      <c r="E519" t="str">
        <f t="shared" si="14"/>
        <v/>
      </c>
      <c r="F519" t="str">
        <f t="shared" si="15"/>
        <v/>
      </c>
      <c r="G519" t="str">
        <f>IF($J519="","",SUMIFS('Hours Log'!$E:$E,'Hours Log'!$A:$A,"&gt;="&amp;$J519,'Hours Log'!$A:$A,"&lt;"&amp;$J519+7))</f>
        <v/>
      </c>
      <c r="J519" t="str">
        <f>IF(COUNT('Hours Log'!$A$4:$A$5000)=0,"",IF(MIN('Hours Log'!$A$4:$A$5000)+7*(ROW()-10)&gt;MAX('Hours Log'!$A$4:$A$5000),"",MIN('Hours Log'!$A$4:$A$5000)+7*(ROW()-10)))</f>
        <v/>
      </c>
    </row>
    <row r="520" spans="1:10" x14ac:dyDescent="0.25">
      <c r="A520" t="str">
        <f>IF($J520="","",YEAR($J520-WEEKDAY($J520,2)+4)&amp;"-W"&amp;TEXT(_xludf.ISOWEEKNUM($J520),"00"))</f>
        <v/>
      </c>
      <c r="B520"/>
      <c r="C520" t="str">
        <f>IF($J520="","",SUMIFS('Hours Log'!$C:$C,'Hours Log'!$A:$A,"&gt;="&amp;$J520,'Hours Log'!$A:$A,"&lt;"&amp;$J520+7)+SUMIFS('Hours Log'!$D:$D,'Hours Log'!$A:$A,"&gt;="&amp;$J520,'Hours Log'!$A:$A,"&lt;"&amp;$J520+7))</f>
        <v/>
      </c>
      <c r="D520" t="str">
        <f>IF($J520="","",SUMIFS('Hours Log'!$D:$D,'Hours Log'!$A:$A,"&gt;="&amp;$J520,'Hours Log'!$A:$A,"&lt;"&amp;$J520+7))</f>
        <v/>
      </c>
      <c r="E520" t="str">
        <f t="shared" si="14"/>
        <v/>
      </c>
      <c r="F520" t="str">
        <f t="shared" si="15"/>
        <v/>
      </c>
      <c r="G520" t="str">
        <f>IF($J520="","",SUMIFS('Hours Log'!$E:$E,'Hours Log'!$A:$A,"&gt;="&amp;$J520,'Hours Log'!$A:$A,"&lt;"&amp;$J520+7))</f>
        <v/>
      </c>
      <c r="J520" t="str">
        <f>IF(COUNT('Hours Log'!$A$4:$A$5000)=0,"",IF(MIN('Hours Log'!$A$4:$A$5000)+7*(ROW()-10)&gt;MAX('Hours Log'!$A$4:$A$5000),"",MIN('Hours Log'!$A$4:$A$5000)+7*(ROW()-10)))</f>
        <v/>
      </c>
    </row>
    <row r="521" spans="1:10" x14ac:dyDescent="0.25">
      <c r="A521" t="str">
        <f>IF($J521="","",YEAR($J521-WEEKDAY($J521,2)+4)&amp;"-W"&amp;TEXT(_xludf.ISOWEEKNUM($J521),"00"))</f>
        <v/>
      </c>
      <c r="B521"/>
      <c r="C521" t="str">
        <f>IF($J521="","",SUMIFS('Hours Log'!$C:$C,'Hours Log'!$A:$A,"&gt;="&amp;$J521,'Hours Log'!$A:$A,"&lt;"&amp;$J521+7)+SUMIFS('Hours Log'!$D:$D,'Hours Log'!$A:$A,"&gt;="&amp;$J521,'Hours Log'!$A:$A,"&lt;"&amp;$J521+7))</f>
        <v/>
      </c>
      <c r="D521" t="str">
        <f>IF($J521="","",SUMIFS('Hours Log'!$D:$D,'Hours Log'!$A:$A,"&gt;="&amp;$J521,'Hours Log'!$A:$A,"&lt;"&amp;$J521+7))</f>
        <v/>
      </c>
      <c r="E521" t="str">
        <f t="shared" si="14"/>
        <v/>
      </c>
      <c r="F521" t="str">
        <f t="shared" si="15"/>
        <v/>
      </c>
      <c r="G521" t="str">
        <f>IF($J521="","",SUMIFS('Hours Log'!$E:$E,'Hours Log'!$A:$A,"&gt;="&amp;$J521,'Hours Log'!$A:$A,"&lt;"&amp;$J521+7))</f>
        <v/>
      </c>
      <c r="J521" t="str">
        <f>IF(COUNT('Hours Log'!$A$4:$A$5000)=0,"",IF(MIN('Hours Log'!$A$4:$A$5000)+7*(ROW()-10)&gt;MAX('Hours Log'!$A$4:$A$5000),"",MIN('Hours Log'!$A$4:$A$5000)+7*(ROW()-10)))</f>
        <v/>
      </c>
    </row>
    <row r="522" spans="1:10" x14ac:dyDescent="0.25">
      <c r="A522" t="str">
        <f>IF($J522="","",YEAR($J522-WEEKDAY($J522,2)+4)&amp;"-W"&amp;TEXT(_xludf.ISOWEEKNUM($J522),"00"))</f>
        <v/>
      </c>
      <c r="B522"/>
      <c r="C522" t="str">
        <f>IF($J522="","",SUMIFS('Hours Log'!$C:$C,'Hours Log'!$A:$A,"&gt;="&amp;$J522,'Hours Log'!$A:$A,"&lt;"&amp;$J522+7)+SUMIFS('Hours Log'!$D:$D,'Hours Log'!$A:$A,"&gt;="&amp;$J522,'Hours Log'!$A:$A,"&lt;"&amp;$J522+7))</f>
        <v/>
      </c>
      <c r="D522" t="str">
        <f>IF($J522="","",SUMIFS('Hours Log'!$D:$D,'Hours Log'!$A:$A,"&gt;="&amp;$J522,'Hours Log'!$A:$A,"&lt;"&amp;$J522+7))</f>
        <v/>
      </c>
      <c r="E522" t="str">
        <f t="shared" ref="E522:E585" si="16">IF($J522="","",IFERROR(C522/(B522*40),0))</f>
        <v/>
      </c>
      <c r="F522" t="str">
        <f t="shared" ref="F522:F585" si="17">IF($J522="","",0)</f>
        <v/>
      </c>
      <c r="G522" t="str">
        <f>IF($J522="","",SUMIFS('Hours Log'!$E:$E,'Hours Log'!$A:$A,"&gt;="&amp;$J522,'Hours Log'!$A:$A,"&lt;"&amp;$J522+7))</f>
        <v/>
      </c>
      <c r="J522" t="str">
        <f>IF(COUNT('Hours Log'!$A$4:$A$5000)=0,"",IF(MIN('Hours Log'!$A$4:$A$5000)+7*(ROW()-10)&gt;MAX('Hours Log'!$A$4:$A$5000),"",MIN('Hours Log'!$A$4:$A$5000)+7*(ROW()-10)))</f>
        <v/>
      </c>
    </row>
    <row r="523" spans="1:10" x14ac:dyDescent="0.25">
      <c r="A523" t="str">
        <f>IF($J523="","",YEAR($J523-WEEKDAY($J523,2)+4)&amp;"-W"&amp;TEXT(_xludf.ISOWEEKNUM($J523),"00"))</f>
        <v/>
      </c>
      <c r="B523"/>
      <c r="C523" t="str">
        <f>IF($J523="","",SUMIFS('Hours Log'!$C:$C,'Hours Log'!$A:$A,"&gt;="&amp;$J523,'Hours Log'!$A:$A,"&lt;"&amp;$J523+7)+SUMIFS('Hours Log'!$D:$D,'Hours Log'!$A:$A,"&gt;="&amp;$J523,'Hours Log'!$A:$A,"&lt;"&amp;$J523+7))</f>
        <v/>
      </c>
      <c r="D523" t="str">
        <f>IF($J523="","",SUMIFS('Hours Log'!$D:$D,'Hours Log'!$A:$A,"&gt;="&amp;$J523,'Hours Log'!$A:$A,"&lt;"&amp;$J523+7))</f>
        <v/>
      </c>
      <c r="E523" t="str">
        <f t="shared" si="16"/>
        <v/>
      </c>
      <c r="F523" t="str">
        <f t="shared" si="17"/>
        <v/>
      </c>
      <c r="G523" t="str">
        <f>IF($J523="","",SUMIFS('Hours Log'!$E:$E,'Hours Log'!$A:$A,"&gt;="&amp;$J523,'Hours Log'!$A:$A,"&lt;"&amp;$J523+7))</f>
        <v/>
      </c>
      <c r="J523" t="str">
        <f>IF(COUNT('Hours Log'!$A$4:$A$5000)=0,"",IF(MIN('Hours Log'!$A$4:$A$5000)+7*(ROW()-10)&gt;MAX('Hours Log'!$A$4:$A$5000),"",MIN('Hours Log'!$A$4:$A$5000)+7*(ROW()-10)))</f>
        <v/>
      </c>
    </row>
    <row r="524" spans="1:10" x14ac:dyDescent="0.25">
      <c r="A524" t="str">
        <f>IF($J524="","",YEAR($J524-WEEKDAY($J524,2)+4)&amp;"-W"&amp;TEXT(_xludf.ISOWEEKNUM($J524),"00"))</f>
        <v/>
      </c>
      <c r="B524"/>
      <c r="C524" t="str">
        <f>IF($J524="","",SUMIFS('Hours Log'!$C:$C,'Hours Log'!$A:$A,"&gt;="&amp;$J524,'Hours Log'!$A:$A,"&lt;"&amp;$J524+7)+SUMIFS('Hours Log'!$D:$D,'Hours Log'!$A:$A,"&gt;="&amp;$J524,'Hours Log'!$A:$A,"&lt;"&amp;$J524+7))</f>
        <v/>
      </c>
      <c r="D524" t="str">
        <f>IF($J524="","",SUMIFS('Hours Log'!$D:$D,'Hours Log'!$A:$A,"&gt;="&amp;$J524,'Hours Log'!$A:$A,"&lt;"&amp;$J524+7))</f>
        <v/>
      </c>
      <c r="E524" t="str">
        <f t="shared" si="16"/>
        <v/>
      </c>
      <c r="F524" t="str">
        <f t="shared" si="17"/>
        <v/>
      </c>
      <c r="G524" t="str">
        <f>IF($J524="","",SUMIFS('Hours Log'!$E:$E,'Hours Log'!$A:$A,"&gt;="&amp;$J524,'Hours Log'!$A:$A,"&lt;"&amp;$J524+7))</f>
        <v/>
      </c>
      <c r="J524" t="str">
        <f>IF(COUNT('Hours Log'!$A$4:$A$5000)=0,"",IF(MIN('Hours Log'!$A$4:$A$5000)+7*(ROW()-10)&gt;MAX('Hours Log'!$A$4:$A$5000),"",MIN('Hours Log'!$A$4:$A$5000)+7*(ROW()-10)))</f>
        <v/>
      </c>
    </row>
    <row r="525" spans="1:10" x14ac:dyDescent="0.25">
      <c r="A525" t="str">
        <f>IF($J525="","",YEAR($J525-WEEKDAY($J525,2)+4)&amp;"-W"&amp;TEXT(_xludf.ISOWEEKNUM($J525),"00"))</f>
        <v/>
      </c>
      <c r="B525"/>
      <c r="C525" t="str">
        <f>IF($J525="","",SUMIFS('Hours Log'!$C:$C,'Hours Log'!$A:$A,"&gt;="&amp;$J525,'Hours Log'!$A:$A,"&lt;"&amp;$J525+7)+SUMIFS('Hours Log'!$D:$D,'Hours Log'!$A:$A,"&gt;="&amp;$J525,'Hours Log'!$A:$A,"&lt;"&amp;$J525+7))</f>
        <v/>
      </c>
      <c r="D525" t="str">
        <f>IF($J525="","",SUMIFS('Hours Log'!$D:$D,'Hours Log'!$A:$A,"&gt;="&amp;$J525,'Hours Log'!$A:$A,"&lt;"&amp;$J525+7))</f>
        <v/>
      </c>
      <c r="E525" t="str">
        <f t="shared" si="16"/>
        <v/>
      </c>
      <c r="F525" t="str">
        <f t="shared" si="17"/>
        <v/>
      </c>
      <c r="G525" t="str">
        <f>IF($J525="","",SUMIFS('Hours Log'!$E:$E,'Hours Log'!$A:$A,"&gt;="&amp;$J525,'Hours Log'!$A:$A,"&lt;"&amp;$J525+7))</f>
        <v/>
      </c>
      <c r="J525" t="str">
        <f>IF(COUNT('Hours Log'!$A$4:$A$5000)=0,"",IF(MIN('Hours Log'!$A$4:$A$5000)+7*(ROW()-10)&gt;MAX('Hours Log'!$A$4:$A$5000),"",MIN('Hours Log'!$A$4:$A$5000)+7*(ROW()-10)))</f>
        <v/>
      </c>
    </row>
    <row r="526" spans="1:10" x14ac:dyDescent="0.25">
      <c r="A526" t="str">
        <f>IF($J526="","",YEAR($J526-WEEKDAY($J526,2)+4)&amp;"-W"&amp;TEXT(_xludf.ISOWEEKNUM($J526),"00"))</f>
        <v/>
      </c>
      <c r="B526"/>
      <c r="C526" t="str">
        <f>IF($J526="","",SUMIFS('Hours Log'!$C:$C,'Hours Log'!$A:$A,"&gt;="&amp;$J526,'Hours Log'!$A:$A,"&lt;"&amp;$J526+7)+SUMIFS('Hours Log'!$D:$D,'Hours Log'!$A:$A,"&gt;="&amp;$J526,'Hours Log'!$A:$A,"&lt;"&amp;$J526+7))</f>
        <v/>
      </c>
      <c r="D526" t="str">
        <f>IF($J526="","",SUMIFS('Hours Log'!$D:$D,'Hours Log'!$A:$A,"&gt;="&amp;$J526,'Hours Log'!$A:$A,"&lt;"&amp;$J526+7))</f>
        <v/>
      </c>
      <c r="E526" t="str">
        <f t="shared" si="16"/>
        <v/>
      </c>
      <c r="F526" t="str">
        <f t="shared" si="17"/>
        <v/>
      </c>
      <c r="G526" t="str">
        <f>IF($J526="","",SUMIFS('Hours Log'!$E:$E,'Hours Log'!$A:$A,"&gt;="&amp;$J526,'Hours Log'!$A:$A,"&lt;"&amp;$J526+7))</f>
        <v/>
      </c>
      <c r="J526" t="str">
        <f>IF(COUNT('Hours Log'!$A$4:$A$5000)=0,"",IF(MIN('Hours Log'!$A$4:$A$5000)+7*(ROW()-10)&gt;MAX('Hours Log'!$A$4:$A$5000),"",MIN('Hours Log'!$A$4:$A$5000)+7*(ROW()-10)))</f>
        <v/>
      </c>
    </row>
    <row r="527" spans="1:10" x14ac:dyDescent="0.25">
      <c r="A527" t="str">
        <f>IF($J527="","",YEAR($J527-WEEKDAY($J527,2)+4)&amp;"-W"&amp;TEXT(_xludf.ISOWEEKNUM($J527),"00"))</f>
        <v/>
      </c>
      <c r="B527"/>
      <c r="C527" t="str">
        <f>IF($J527="","",SUMIFS('Hours Log'!$C:$C,'Hours Log'!$A:$A,"&gt;="&amp;$J527,'Hours Log'!$A:$A,"&lt;"&amp;$J527+7)+SUMIFS('Hours Log'!$D:$D,'Hours Log'!$A:$A,"&gt;="&amp;$J527,'Hours Log'!$A:$A,"&lt;"&amp;$J527+7))</f>
        <v/>
      </c>
      <c r="D527" t="str">
        <f>IF($J527="","",SUMIFS('Hours Log'!$D:$D,'Hours Log'!$A:$A,"&gt;="&amp;$J527,'Hours Log'!$A:$A,"&lt;"&amp;$J527+7))</f>
        <v/>
      </c>
      <c r="E527" t="str">
        <f t="shared" si="16"/>
        <v/>
      </c>
      <c r="F527" t="str">
        <f t="shared" si="17"/>
        <v/>
      </c>
      <c r="G527" t="str">
        <f>IF($J527="","",SUMIFS('Hours Log'!$E:$E,'Hours Log'!$A:$A,"&gt;="&amp;$J527,'Hours Log'!$A:$A,"&lt;"&amp;$J527+7))</f>
        <v/>
      </c>
      <c r="J527" t="str">
        <f>IF(COUNT('Hours Log'!$A$4:$A$5000)=0,"",IF(MIN('Hours Log'!$A$4:$A$5000)+7*(ROW()-10)&gt;MAX('Hours Log'!$A$4:$A$5000),"",MIN('Hours Log'!$A$4:$A$5000)+7*(ROW()-10)))</f>
        <v/>
      </c>
    </row>
    <row r="528" spans="1:10" x14ac:dyDescent="0.25">
      <c r="A528" t="str">
        <f>IF($J528="","",YEAR($J528-WEEKDAY($J528,2)+4)&amp;"-W"&amp;TEXT(_xludf.ISOWEEKNUM($J528),"00"))</f>
        <v/>
      </c>
      <c r="B528"/>
      <c r="C528" t="str">
        <f>IF($J528="","",SUMIFS('Hours Log'!$C:$C,'Hours Log'!$A:$A,"&gt;="&amp;$J528,'Hours Log'!$A:$A,"&lt;"&amp;$J528+7)+SUMIFS('Hours Log'!$D:$D,'Hours Log'!$A:$A,"&gt;="&amp;$J528,'Hours Log'!$A:$A,"&lt;"&amp;$J528+7))</f>
        <v/>
      </c>
      <c r="D528" t="str">
        <f>IF($J528="","",SUMIFS('Hours Log'!$D:$D,'Hours Log'!$A:$A,"&gt;="&amp;$J528,'Hours Log'!$A:$A,"&lt;"&amp;$J528+7))</f>
        <v/>
      </c>
      <c r="E528" t="str">
        <f t="shared" si="16"/>
        <v/>
      </c>
      <c r="F528" t="str">
        <f t="shared" si="17"/>
        <v/>
      </c>
      <c r="G528" t="str">
        <f>IF($J528="","",SUMIFS('Hours Log'!$E:$E,'Hours Log'!$A:$A,"&gt;="&amp;$J528,'Hours Log'!$A:$A,"&lt;"&amp;$J528+7))</f>
        <v/>
      </c>
      <c r="J528" t="str">
        <f>IF(COUNT('Hours Log'!$A$4:$A$5000)=0,"",IF(MIN('Hours Log'!$A$4:$A$5000)+7*(ROW()-10)&gt;MAX('Hours Log'!$A$4:$A$5000),"",MIN('Hours Log'!$A$4:$A$5000)+7*(ROW()-10)))</f>
        <v/>
      </c>
    </row>
    <row r="529" spans="1:10" x14ac:dyDescent="0.25">
      <c r="A529" t="str">
        <f>IF($J529="","",YEAR($J529-WEEKDAY($J529,2)+4)&amp;"-W"&amp;TEXT(_xludf.ISOWEEKNUM($J529),"00"))</f>
        <v/>
      </c>
      <c r="B529"/>
      <c r="C529" t="str">
        <f>IF($J529="","",SUMIFS('Hours Log'!$C:$C,'Hours Log'!$A:$A,"&gt;="&amp;$J529,'Hours Log'!$A:$A,"&lt;"&amp;$J529+7)+SUMIFS('Hours Log'!$D:$D,'Hours Log'!$A:$A,"&gt;="&amp;$J529,'Hours Log'!$A:$A,"&lt;"&amp;$J529+7))</f>
        <v/>
      </c>
      <c r="D529" t="str">
        <f>IF($J529="","",SUMIFS('Hours Log'!$D:$D,'Hours Log'!$A:$A,"&gt;="&amp;$J529,'Hours Log'!$A:$A,"&lt;"&amp;$J529+7))</f>
        <v/>
      </c>
      <c r="E529" t="str">
        <f t="shared" si="16"/>
        <v/>
      </c>
      <c r="F529" t="str">
        <f t="shared" si="17"/>
        <v/>
      </c>
      <c r="G529" t="str">
        <f>IF($J529="","",SUMIFS('Hours Log'!$E:$E,'Hours Log'!$A:$A,"&gt;="&amp;$J529,'Hours Log'!$A:$A,"&lt;"&amp;$J529+7))</f>
        <v/>
      </c>
      <c r="J529" t="str">
        <f>IF(COUNT('Hours Log'!$A$4:$A$5000)=0,"",IF(MIN('Hours Log'!$A$4:$A$5000)+7*(ROW()-10)&gt;MAX('Hours Log'!$A$4:$A$5000),"",MIN('Hours Log'!$A$4:$A$5000)+7*(ROW()-10)))</f>
        <v/>
      </c>
    </row>
    <row r="530" spans="1:10" x14ac:dyDescent="0.25">
      <c r="A530" t="str">
        <f>IF($J530="","",YEAR($J530-WEEKDAY($J530,2)+4)&amp;"-W"&amp;TEXT(_xludf.ISOWEEKNUM($J530),"00"))</f>
        <v/>
      </c>
      <c r="B530"/>
      <c r="C530" t="str">
        <f>IF($J530="","",SUMIFS('Hours Log'!$C:$C,'Hours Log'!$A:$A,"&gt;="&amp;$J530,'Hours Log'!$A:$A,"&lt;"&amp;$J530+7)+SUMIFS('Hours Log'!$D:$D,'Hours Log'!$A:$A,"&gt;="&amp;$J530,'Hours Log'!$A:$A,"&lt;"&amp;$J530+7))</f>
        <v/>
      </c>
      <c r="D530" t="str">
        <f>IF($J530="","",SUMIFS('Hours Log'!$D:$D,'Hours Log'!$A:$A,"&gt;="&amp;$J530,'Hours Log'!$A:$A,"&lt;"&amp;$J530+7))</f>
        <v/>
      </c>
      <c r="E530" t="str">
        <f t="shared" si="16"/>
        <v/>
      </c>
      <c r="F530" t="str">
        <f t="shared" si="17"/>
        <v/>
      </c>
      <c r="G530" t="str">
        <f>IF($J530="","",SUMIFS('Hours Log'!$E:$E,'Hours Log'!$A:$A,"&gt;="&amp;$J530,'Hours Log'!$A:$A,"&lt;"&amp;$J530+7))</f>
        <v/>
      </c>
      <c r="J530" t="str">
        <f>IF(COUNT('Hours Log'!$A$4:$A$5000)=0,"",IF(MIN('Hours Log'!$A$4:$A$5000)+7*(ROW()-10)&gt;MAX('Hours Log'!$A$4:$A$5000),"",MIN('Hours Log'!$A$4:$A$5000)+7*(ROW()-10)))</f>
        <v/>
      </c>
    </row>
    <row r="531" spans="1:10" x14ac:dyDescent="0.25">
      <c r="A531" t="str">
        <f>IF($J531="","",YEAR($J531-WEEKDAY($J531,2)+4)&amp;"-W"&amp;TEXT(_xludf.ISOWEEKNUM($J531),"00"))</f>
        <v/>
      </c>
      <c r="B531"/>
      <c r="C531" t="str">
        <f>IF($J531="","",SUMIFS('Hours Log'!$C:$C,'Hours Log'!$A:$A,"&gt;="&amp;$J531,'Hours Log'!$A:$A,"&lt;"&amp;$J531+7)+SUMIFS('Hours Log'!$D:$D,'Hours Log'!$A:$A,"&gt;="&amp;$J531,'Hours Log'!$A:$A,"&lt;"&amp;$J531+7))</f>
        <v/>
      </c>
      <c r="D531" t="str">
        <f>IF($J531="","",SUMIFS('Hours Log'!$D:$D,'Hours Log'!$A:$A,"&gt;="&amp;$J531,'Hours Log'!$A:$A,"&lt;"&amp;$J531+7))</f>
        <v/>
      </c>
      <c r="E531" t="str">
        <f t="shared" si="16"/>
        <v/>
      </c>
      <c r="F531" t="str">
        <f t="shared" si="17"/>
        <v/>
      </c>
      <c r="G531" t="str">
        <f>IF($J531="","",SUMIFS('Hours Log'!$E:$E,'Hours Log'!$A:$A,"&gt;="&amp;$J531,'Hours Log'!$A:$A,"&lt;"&amp;$J531+7))</f>
        <v/>
      </c>
      <c r="J531" t="str">
        <f>IF(COUNT('Hours Log'!$A$4:$A$5000)=0,"",IF(MIN('Hours Log'!$A$4:$A$5000)+7*(ROW()-10)&gt;MAX('Hours Log'!$A$4:$A$5000),"",MIN('Hours Log'!$A$4:$A$5000)+7*(ROW()-10)))</f>
        <v/>
      </c>
    </row>
    <row r="532" spans="1:10" x14ac:dyDescent="0.25">
      <c r="A532" t="str">
        <f>IF($J532="","",YEAR($J532-WEEKDAY($J532,2)+4)&amp;"-W"&amp;TEXT(_xludf.ISOWEEKNUM($J532),"00"))</f>
        <v/>
      </c>
      <c r="B532"/>
      <c r="C532" t="str">
        <f>IF($J532="","",SUMIFS('Hours Log'!$C:$C,'Hours Log'!$A:$A,"&gt;="&amp;$J532,'Hours Log'!$A:$A,"&lt;"&amp;$J532+7)+SUMIFS('Hours Log'!$D:$D,'Hours Log'!$A:$A,"&gt;="&amp;$J532,'Hours Log'!$A:$A,"&lt;"&amp;$J532+7))</f>
        <v/>
      </c>
      <c r="D532" t="str">
        <f>IF($J532="","",SUMIFS('Hours Log'!$D:$D,'Hours Log'!$A:$A,"&gt;="&amp;$J532,'Hours Log'!$A:$A,"&lt;"&amp;$J532+7))</f>
        <v/>
      </c>
      <c r="E532" t="str">
        <f t="shared" si="16"/>
        <v/>
      </c>
      <c r="F532" t="str">
        <f t="shared" si="17"/>
        <v/>
      </c>
      <c r="G532" t="str">
        <f>IF($J532="","",SUMIFS('Hours Log'!$E:$E,'Hours Log'!$A:$A,"&gt;="&amp;$J532,'Hours Log'!$A:$A,"&lt;"&amp;$J532+7))</f>
        <v/>
      </c>
      <c r="J532" t="str">
        <f>IF(COUNT('Hours Log'!$A$4:$A$5000)=0,"",IF(MIN('Hours Log'!$A$4:$A$5000)+7*(ROW()-10)&gt;MAX('Hours Log'!$A$4:$A$5000),"",MIN('Hours Log'!$A$4:$A$5000)+7*(ROW()-10)))</f>
        <v/>
      </c>
    </row>
    <row r="533" spans="1:10" x14ac:dyDescent="0.25">
      <c r="A533" t="str">
        <f>IF($J533="","",YEAR($J533-WEEKDAY($J533,2)+4)&amp;"-W"&amp;TEXT(_xludf.ISOWEEKNUM($J533),"00"))</f>
        <v/>
      </c>
      <c r="B533"/>
      <c r="C533" t="str">
        <f>IF($J533="","",SUMIFS('Hours Log'!$C:$C,'Hours Log'!$A:$A,"&gt;="&amp;$J533,'Hours Log'!$A:$A,"&lt;"&amp;$J533+7)+SUMIFS('Hours Log'!$D:$D,'Hours Log'!$A:$A,"&gt;="&amp;$J533,'Hours Log'!$A:$A,"&lt;"&amp;$J533+7))</f>
        <v/>
      </c>
      <c r="D533" t="str">
        <f>IF($J533="","",SUMIFS('Hours Log'!$D:$D,'Hours Log'!$A:$A,"&gt;="&amp;$J533,'Hours Log'!$A:$A,"&lt;"&amp;$J533+7))</f>
        <v/>
      </c>
      <c r="E533" t="str">
        <f t="shared" si="16"/>
        <v/>
      </c>
      <c r="F533" t="str">
        <f t="shared" si="17"/>
        <v/>
      </c>
      <c r="G533" t="str">
        <f>IF($J533="","",SUMIFS('Hours Log'!$E:$E,'Hours Log'!$A:$A,"&gt;="&amp;$J533,'Hours Log'!$A:$A,"&lt;"&amp;$J533+7))</f>
        <v/>
      </c>
      <c r="J533" t="str">
        <f>IF(COUNT('Hours Log'!$A$4:$A$5000)=0,"",IF(MIN('Hours Log'!$A$4:$A$5000)+7*(ROW()-10)&gt;MAX('Hours Log'!$A$4:$A$5000),"",MIN('Hours Log'!$A$4:$A$5000)+7*(ROW()-10)))</f>
        <v/>
      </c>
    </row>
    <row r="534" spans="1:10" x14ac:dyDescent="0.25">
      <c r="A534" t="str">
        <f>IF($J534="","",YEAR($J534-WEEKDAY($J534,2)+4)&amp;"-W"&amp;TEXT(_xludf.ISOWEEKNUM($J534),"00"))</f>
        <v/>
      </c>
      <c r="B534"/>
      <c r="C534" t="str">
        <f>IF($J534="","",SUMIFS('Hours Log'!$C:$C,'Hours Log'!$A:$A,"&gt;="&amp;$J534,'Hours Log'!$A:$A,"&lt;"&amp;$J534+7)+SUMIFS('Hours Log'!$D:$D,'Hours Log'!$A:$A,"&gt;="&amp;$J534,'Hours Log'!$A:$A,"&lt;"&amp;$J534+7))</f>
        <v/>
      </c>
      <c r="D534" t="str">
        <f>IF($J534="","",SUMIFS('Hours Log'!$D:$D,'Hours Log'!$A:$A,"&gt;="&amp;$J534,'Hours Log'!$A:$A,"&lt;"&amp;$J534+7))</f>
        <v/>
      </c>
      <c r="E534" t="str">
        <f t="shared" si="16"/>
        <v/>
      </c>
      <c r="F534" t="str">
        <f t="shared" si="17"/>
        <v/>
      </c>
      <c r="G534" t="str">
        <f>IF($J534="","",SUMIFS('Hours Log'!$E:$E,'Hours Log'!$A:$A,"&gt;="&amp;$J534,'Hours Log'!$A:$A,"&lt;"&amp;$J534+7))</f>
        <v/>
      </c>
      <c r="J534" t="str">
        <f>IF(COUNT('Hours Log'!$A$4:$A$5000)=0,"",IF(MIN('Hours Log'!$A$4:$A$5000)+7*(ROW()-10)&gt;MAX('Hours Log'!$A$4:$A$5000),"",MIN('Hours Log'!$A$4:$A$5000)+7*(ROW()-10)))</f>
        <v/>
      </c>
    </row>
    <row r="535" spans="1:10" x14ac:dyDescent="0.25">
      <c r="A535" t="str">
        <f>IF($J535="","",YEAR($J535-WEEKDAY($J535,2)+4)&amp;"-W"&amp;TEXT(_xludf.ISOWEEKNUM($J535),"00"))</f>
        <v/>
      </c>
      <c r="B535"/>
      <c r="C535" t="str">
        <f>IF($J535="","",SUMIFS('Hours Log'!$C:$C,'Hours Log'!$A:$A,"&gt;="&amp;$J535,'Hours Log'!$A:$A,"&lt;"&amp;$J535+7)+SUMIFS('Hours Log'!$D:$D,'Hours Log'!$A:$A,"&gt;="&amp;$J535,'Hours Log'!$A:$A,"&lt;"&amp;$J535+7))</f>
        <v/>
      </c>
      <c r="D535" t="str">
        <f>IF($J535="","",SUMIFS('Hours Log'!$D:$D,'Hours Log'!$A:$A,"&gt;="&amp;$J535,'Hours Log'!$A:$A,"&lt;"&amp;$J535+7))</f>
        <v/>
      </c>
      <c r="E535" t="str">
        <f t="shared" si="16"/>
        <v/>
      </c>
      <c r="F535" t="str">
        <f t="shared" si="17"/>
        <v/>
      </c>
      <c r="G535" t="str">
        <f>IF($J535="","",SUMIFS('Hours Log'!$E:$E,'Hours Log'!$A:$A,"&gt;="&amp;$J535,'Hours Log'!$A:$A,"&lt;"&amp;$J535+7))</f>
        <v/>
      </c>
      <c r="J535" t="str">
        <f>IF(COUNT('Hours Log'!$A$4:$A$5000)=0,"",IF(MIN('Hours Log'!$A$4:$A$5000)+7*(ROW()-10)&gt;MAX('Hours Log'!$A$4:$A$5000),"",MIN('Hours Log'!$A$4:$A$5000)+7*(ROW()-10)))</f>
        <v/>
      </c>
    </row>
    <row r="536" spans="1:10" x14ac:dyDescent="0.25">
      <c r="A536" t="str">
        <f>IF($J536="","",YEAR($J536-WEEKDAY($J536,2)+4)&amp;"-W"&amp;TEXT(_xludf.ISOWEEKNUM($J536),"00"))</f>
        <v/>
      </c>
      <c r="B536"/>
      <c r="C536" t="str">
        <f>IF($J536="","",SUMIFS('Hours Log'!$C:$C,'Hours Log'!$A:$A,"&gt;="&amp;$J536,'Hours Log'!$A:$A,"&lt;"&amp;$J536+7)+SUMIFS('Hours Log'!$D:$D,'Hours Log'!$A:$A,"&gt;="&amp;$J536,'Hours Log'!$A:$A,"&lt;"&amp;$J536+7))</f>
        <v/>
      </c>
      <c r="D536" t="str">
        <f>IF($J536="","",SUMIFS('Hours Log'!$D:$D,'Hours Log'!$A:$A,"&gt;="&amp;$J536,'Hours Log'!$A:$A,"&lt;"&amp;$J536+7))</f>
        <v/>
      </c>
      <c r="E536" t="str">
        <f t="shared" si="16"/>
        <v/>
      </c>
      <c r="F536" t="str">
        <f t="shared" si="17"/>
        <v/>
      </c>
      <c r="G536" t="str">
        <f>IF($J536="","",SUMIFS('Hours Log'!$E:$E,'Hours Log'!$A:$A,"&gt;="&amp;$J536,'Hours Log'!$A:$A,"&lt;"&amp;$J536+7))</f>
        <v/>
      </c>
      <c r="J536" t="str">
        <f>IF(COUNT('Hours Log'!$A$4:$A$5000)=0,"",IF(MIN('Hours Log'!$A$4:$A$5000)+7*(ROW()-10)&gt;MAX('Hours Log'!$A$4:$A$5000),"",MIN('Hours Log'!$A$4:$A$5000)+7*(ROW()-10)))</f>
        <v/>
      </c>
    </row>
    <row r="537" spans="1:10" x14ac:dyDescent="0.25">
      <c r="A537" t="str">
        <f>IF($J537="","",YEAR($J537-WEEKDAY($J537,2)+4)&amp;"-W"&amp;TEXT(_xludf.ISOWEEKNUM($J537),"00"))</f>
        <v/>
      </c>
      <c r="B537"/>
      <c r="C537" t="str">
        <f>IF($J537="","",SUMIFS('Hours Log'!$C:$C,'Hours Log'!$A:$A,"&gt;="&amp;$J537,'Hours Log'!$A:$A,"&lt;"&amp;$J537+7)+SUMIFS('Hours Log'!$D:$D,'Hours Log'!$A:$A,"&gt;="&amp;$J537,'Hours Log'!$A:$A,"&lt;"&amp;$J537+7))</f>
        <v/>
      </c>
      <c r="D537" t="str">
        <f>IF($J537="","",SUMIFS('Hours Log'!$D:$D,'Hours Log'!$A:$A,"&gt;="&amp;$J537,'Hours Log'!$A:$A,"&lt;"&amp;$J537+7))</f>
        <v/>
      </c>
      <c r="E537" t="str">
        <f t="shared" si="16"/>
        <v/>
      </c>
      <c r="F537" t="str">
        <f t="shared" si="17"/>
        <v/>
      </c>
      <c r="G537" t="str">
        <f>IF($J537="","",SUMIFS('Hours Log'!$E:$E,'Hours Log'!$A:$A,"&gt;="&amp;$J537,'Hours Log'!$A:$A,"&lt;"&amp;$J537+7))</f>
        <v/>
      </c>
      <c r="J537" t="str">
        <f>IF(COUNT('Hours Log'!$A$4:$A$5000)=0,"",IF(MIN('Hours Log'!$A$4:$A$5000)+7*(ROW()-10)&gt;MAX('Hours Log'!$A$4:$A$5000),"",MIN('Hours Log'!$A$4:$A$5000)+7*(ROW()-10)))</f>
        <v/>
      </c>
    </row>
    <row r="538" spans="1:10" x14ac:dyDescent="0.25">
      <c r="A538" t="str">
        <f>IF($J538="","",YEAR($J538-WEEKDAY($J538,2)+4)&amp;"-W"&amp;TEXT(_xludf.ISOWEEKNUM($J538),"00"))</f>
        <v/>
      </c>
      <c r="B538"/>
      <c r="C538" t="str">
        <f>IF($J538="","",SUMIFS('Hours Log'!$C:$C,'Hours Log'!$A:$A,"&gt;="&amp;$J538,'Hours Log'!$A:$A,"&lt;"&amp;$J538+7)+SUMIFS('Hours Log'!$D:$D,'Hours Log'!$A:$A,"&gt;="&amp;$J538,'Hours Log'!$A:$A,"&lt;"&amp;$J538+7))</f>
        <v/>
      </c>
      <c r="D538" t="str">
        <f>IF($J538="","",SUMIFS('Hours Log'!$D:$D,'Hours Log'!$A:$A,"&gt;="&amp;$J538,'Hours Log'!$A:$A,"&lt;"&amp;$J538+7))</f>
        <v/>
      </c>
      <c r="E538" t="str">
        <f t="shared" si="16"/>
        <v/>
      </c>
      <c r="F538" t="str">
        <f t="shared" si="17"/>
        <v/>
      </c>
      <c r="G538" t="str">
        <f>IF($J538="","",SUMIFS('Hours Log'!$E:$E,'Hours Log'!$A:$A,"&gt;="&amp;$J538,'Hours Log'!$A:$A,"&lt;"&amp;$J538+7))</f>
        <v/>
      </c>
      <c r="J538" t="str">
        <f>IF(COUNT('Hours Log'!$A$4:$A$5000)=0,"",IF(MIN('Hours Log'!$A$4:$A$5000)+7*(ROW()-10)&gt;MAX('Hours Log'!$A$4:$A$5000),"",MIN('Hours Log'!$A$4:$A$5000)+7*(ROW()-10)))</f>
        <v/>
      </c>
    </row>
    <row r="539" spans="1:10" x14ac:dyDescent="0.25">
      <c r="A539" t="str">
        <f>IF($J539="","",YEAR($J539-WEEKDAY($J539,2)+4)&amp;"-W"&amp;TEXT(_xludf.ISOWEEKNUM($J539),"00"))</f>
        <v/>
      </c>
      <c r="B539"/>
      <c r="C539" t="str">
        <f>IF($J539="","",SUMIFS('Hours Log'!$C:$C,'Hours Log'!$A:$A,"&gt;="&amp;$J539,'Hours Log'!$A:$A,"&lt;"&amp;$J539+7)+SUMIFS('Hours Log'!$D:$D,'Hours Log'!$A:$A,"&gt;="&amp;$J539,'Hours Log'!$A:$A,"&lt;"&amp;$J539+7))</f>
        <v/>
      </c>
      <c r="D539" t="str">
        <f>IF($J539="","",SUMIFS('Hours Log'!$D:$D,'Hours Log'!$A:$A,"&gt;="&amp;$J539,'Hours Log'!$A:$A,"&lt;"&amp;$J539+7))</f>
        <v/>
      </c>
      <c r="E539" t="str">
        <f t="shared" si="16"/>
        <v/>
      </c>
      <c r="F539" t="str">
        <f t="shared" si="17"/>
        <v/>
      </c>
      <c r="G539" t="str">
        <f>IF($J539="","",SUMIFS('Hours Log'!$E:$E,'Hours Log'!$A:$A,"&gt;="&amp;$J539,'Hours Log'!$A:$A,"&lt;"&amp;$J539+7))</f>
        <v/>
      </c>
      <c r="J539" t="str">
        <f>IF(COUNT('Hours Log'!$A$4:$A$5000)=0,"",IF(MIN('Hours Log'!$A$4:$A$5000)+7*(ROW()-10)&gt;MAX('Hours Log'!$A$4:$A$5000),"",MIN('Hours Log'!$A$4:$A$5000)+7*(ROW()-10)))</f>
        <v/>
      </c>
    </row>
    <row r="540" spans="1:10" x14ac:dyDescent="0.25">
      <c r="A540" t="str">
        <f>IF($J540="","",YEAR($J540-WEEKDAY($J540,2)+4)&amp;"-W"&amp;TEXT(_xludf.ISOWEEKNUM($J540),"00"))</f>
        <v/>
      </c>
      <c r="B540"/>
      <c r="C540" t="str">
        <f>IF($J540="","",SUMIFS('Hours Log'!$C:$C,'Hours Log'!$A:$A,"&gt;="&amp;$J540,'Hours Log'!$A:$A,"&lt;"&amp;$J540+7)+SUMIFS('Hours Log'!$D:$D,'Hours Log'!$A:$A,"&gt;="&amp;$J540,'Hours Log'!$A:$A,"&lt;"&amp;$J540+7))</f>
        <v/>
      </c>
      <c r="D540" t="str">
        <f>IF($J540="","",SUMIFS('Hours Log'!$D:$D,'Hours Log'!$A:$A,"&gt;="&amp;$J540,'Hours Log'!$A:$A,"&lt;"&amp;$J540+7))</f>
        <v/>
      </c>
      <c r="E540" t="str">
        <f t="shared" si="16"/>
        <v/>
      </c>
      <c r="F540" t="str">
        <f t="shared" si="17"/>
        <v/>
      </c>
      <c r="G540" t="str">
        <f>IF($J540="","",SUMIFS('Hours Log'!$E:$E,'Hours Log'!$A:$A,"&gt;="&amp;$J540,'Hours Log'!$A:$A,"&lt;"&amp;$J540+7))</f>
        <v/>
      </c>
      <c r="J540" t="str">
        <f>IF(COUNT('Hours Log'!$A$4:$A$5000)=0,"",IF(MIN('Hours Log'!$A$4:$A$5000)+7*(ROW()-10)&gt;MAX('Hours Log'!$A$4:$A$5000),"",MIN('Hours Log'!$A$4:$A$5000)+7*(ROW()-10)))</f>
        <v/>
      </c>
    </row>
    <row r="541" spans="1:10" x14ac:dyDescent="0.25">
      <c r="A541" t="str">
        <f>IF($J541="","",YEAR($J541-WEEKDAY($J541,2)+4)&amp;"-W"&amp;TEXT(_xludf.ISOWEEKNUM($J541),"00"))</f>
        <v/>
      </c>
      <c r="B541"/>
      <c r="C541" t="str">
        <f>IF($J541="","",SUMIFS('Hours Log'!$C:$C,'Hours Log'!$A:$A,"&gt;="&amp;$J541,'Hours Log'!$A:$A,"&lt;"&amp;$J541+7)+SUMIFS('Hours Log'!$D:$D,'Hours Log'!$A:$A,"&gt;="&amp;$J541,'Hours Log'!$A:$A,"&lt;"&amp;$J541+7))</f>
        <v/>
      </c>
      <c r="D541" t="str">
        <f>IF($J541="","",SUMIFS('Hours Log'!$D:$D,'Hours Log'!$A:$A,"&gt;="&amp;$J541,'Hours Log'!$A:$A,"&lt;"&amp;$J541+7))</f>
        <v/>
      </c>
      <c r="E541" t="str">
        <f t="shared" si="16"/>
        <v/>
      </c>
      <c r="F541" t="str">
        <f t="shared" si="17"/>
        <v/>
      </c>
      <c r="G541" t="str">
        <f>IF($J541="","",SUMIFS('Hours Log'!$E:$E,'Hours Log'!$A:$A,"&gt;="&amp;$J541,'Hours Log'!$A:$A,"&lt;"&amp;$J541+7))</f>
        <v/>
      </c>
      <c r="J541" t="str">
        <f>IF(COUNT('Hours Log'!$A$4:$A$5000)=0,"",IF(MIN('Hours Log'!$A$4:$A$5000)+7*(ROW()-10)&gt;MAX('Hours Log'!$A$4:$A$5000),"",MIN('Hours Log'!$A$4:$A$5000)+7*(ROW()-10)))</f>
        <v/>
      </c>
    </row>
    <row r="542" spans="1:10" x14ac:dyDescent="0.25">
      <c r="A542" t="str">
        <f>IF($J542="","",YEAR($J542-WEEKDAY($J542,2)+4)&amp;"-W"&amp;TEXT(_xludf.ISOWEEKNUM($J542),"00"))</f>
        <v/>
      </c>
      <c r="B542"/>
      <c r="C542" t="str">
        <f>IF($J542="","",SUMIFS('Hours Log'!$C:$C,'Hours Log'!$A:$A,"&gt;="&amp;$J542,'Hours Log'!$A:$A,"&lt;"&amp;$J542+7)+SUMIFS('Hours Log'!$D:$D,'Hours Log'!$A:$A,"&gt;="&amp;$J542,'Hours Log'!$A:$A,"&lt;"&amp;$J542+7))</f>
        <v/>
      </c>
      <c r="D542" t="str">
        <f>IF($J542="","",SUMIFS('Hours Log'!$D:$D,'Hours Log'!$A:$A,"&gt;="&amp;$J542,'Hours Log'!$A:$A,"&lt;"&amp;$J542+7))</f>
        <v/>
      </c>
      <c r="E542" t="str">
        <f t="shared" si="16"/>
        <v/>
      </c>
      <c r="F542" t="str">
        <f t="shared" si="17"/>
        <v/>
      </c>
      <c r="G542" t="str">
        <f>IF($J542="","",SUMIFS('Hours Log'!$E:$E,'Hours Log'!$A:$A,"&gt;="&amp;$J542,'Hours Log'!$A:$A,"&lt;"&amp;$J542+7))</f>
        <v/>
      </c>
      <c r="J542" t="str">
        <f>IF(COUNT('Hours Log'!$A$4:$A$5000)=0,"",IF(MIN('Hours Log'!$A$4:$A$5000)+7*(ROW()-10)&gt;MAX('Hours Log'!$A$4:$A$5000),"",MIN('Hours Log'!$A$4:$A$5000)+7*(ROW()-10)))</f>
        <v/>
      </c>
    </row>
    <row r="543" spans="1:10" x14ac:dyDescent="0.25">
      <c r="A543" t="str">
        <f>IF($J543="","",YEAR($J543-WEEKDAY($J543,2)+4)&amp;"-W"&amp;TEXT(_xludf.ISOWEEKNUM($J543),"00"))</f>
        <v/>
      </c>
      <c r="B543"/>
      <c r="C543" t="str">
        <f>IF($J543="","",SUMIFS('Hours Log'!$C:$C,'Hours Log'!$A:$A,"&gt;="&amp;$J543,'Hours Log'!$A:$A,"&lt;"&amp;$J543+7)+SUMIFS('Hours Log'!$D:$D,'Hours Log'!$A:$A,"&gt;="&amp;$J543,'Hours Log'!$A:$A,"&lt;"&amp;$J543+7))</f>
        <v/>
      </c>
      <c r="D543" t="str">
        <f>IF($J543="","",SUMIFS('Hours Log'!$D:$D,'Hours Log'!$A:$A,"&gt;="&amp;$J543,'Hours Log'!$A:$A,"&lt;"&amp;$J543+7))</f>
        <v/>
      </c>
      <c r="E543" t="str">
        <f t="shared" si="16"/>
        <v/>
      </c>
      <c r="F543" t="str">
        <f t="shared" si="17"/>
        <v/>
      </c>
      <c r="G543" t="str">
        <f>IF($J543="","",SUMIFS('Hours Log'!$E:$E,'Hours Log'!$A:$A,"&gt;="&amp;$J543,'Hours Log'!$A:$A,"&lt;"&amp;$J543+7))</f>
        <v/>
      </c>
      <c r="J543" t="str">
        <f>IF(COUNT('Hours Log'!$A$4:$A$5000)=0,"",IF(MIN('Hours Log'!$A$4:$A$5000)+7*(ROW()-10)&gt;MAX('Hours Log'!$A$4:$A$5000),"",MIN('Hours Log'!$A$4:$A$5000)+7*(ROW()-10)))</f>
        <v/>
      </c>
    </row>
    <row r="544" spans="1:10" x14ac:dyDescent="0.25">
      <c r="A544" t="str">
        <f>IF($J544="","",YEAR($J544-WEEKDAY($J544,2)+4)&amp;"-W"&amp;TEXT(_xludf.ISOWEEKNUM($J544),"00"))</f>
        <v/>
      </c>
      <c r="B544"/>
      <c r="C544" t="str">
        <f>IF($J544="","",SUMIFS('Hours Log'!$C:$C,'Hours Log'!$A:$A,"&gt;="&amp;$J544,'Hours Log'!$A:$A,"&lt;"&amp;$J544+7)+SUMIFS('Hours Log'!$D:$D,'Hours Log'!$A:$A,"&gt;="&amp;$J544,'Hours Log'!$A:$A,"&lt;"&amp;$J544+7))</f>
        <v/>
      </c>
      <c r="D544" t="str">
        <f>IF($J544="","",SUMIFS('Hours Log'!$D:$D,'Hours Log'!$A:$A,"&gt;="&amp;$J544,'Hours Log'!$A:$A,"&lt;"&amp;$J544+7))</f>
        <v/>
      </c>
      <c r="E544" t="str">
        <f t="shared" si="16"/>
        <v/>
      </c>
      <c r="F544" t="str">
        <f t="shared" si="17"/>
        <v/>
      </c>
      <c r="G544" t="str">
        <f>IF($J544="","",SUMIFS('Hours Log'!$E:$E,'Hours Log'!$A:$A,"&gt;="&amp;$J544,'Hours Log'!$A:$A,"&lt;"&amp;$J544+7))</f>
        <v/>
      </c>
      <c r="J544" t="str">
        <f>IF(COUNT('Hours Log'!$A$4:$A$5000)=0,"",IF(MIN('Hours Log'!$A$4:$A$5000)+7*(ROW()-10)&gt;MAX('Hours Log'!$A$4:$A$5000),"",MIN('Hours Log'!$A$4:$A$5000)+7*(ROW()-10)))</f>
        <v/>
      </c>
    </row>
    <row r="545" spans="1:10" x14ac:dyDescent="0.25">
      <c r="A545" t="str">
        <f>IF($J545="","",YEAR($J545-WEEKDAY($J545,2)+4)&amp;"-W"&amp;TEXT(_xludf.ISOWEEKNUM($J545),"00"))</f>
        <v/>
      </c>
      <c r="B545"/>
      <c r="C545" t="str">
        <f>IF($J545="","",SUMIFS('Hours Log'!$C:$C,'Hours Log'!$A:$A,"&gt;="&amp;$J545,'Hours Log'!$A:$A,"&lt;"&amp;$J545+7)+SUMIFS('Hours Log'!$D:$D,'Hours Log'!$A:$A,"&gt;="&amp;$J545,'Hours Log'!$A:$A,"&lt;"&amp;$J545+7))</f>
        <v/>
      </c>
      <c r="D545" t="str">
        <f>IF($J545="","",SUMIFS('Hours Log'!$D:$D,'Hours Log'!$A:$A,"&gt;="&amp;$J545,'Hours Log'!$A:$A,"&lt;"&amp;$J545+7))</f>
        <v/>
      </c>
      <c r="E545" t="str">
        <f t="shared" si="16"/>
        <v/>
      </c>
      <c r="F545" t="str">
        <f t="shared" si="17"/>
        <v/>
      </c>
      <c r="G545" t="str">
        <f>IF($J545="","",SUMIFS('Hours Log'!$E:$E,'Hours Log'!$A:$A,"&gt;="&amp;$J545,'Hours Log'!$A:$A,"&lt;"&amp;$J545+7))</f>
        <v/>
      </c>
      <c r="J545" t="str">
        <f>IF(COUNT('Hours Log'!$A$4:$A$5000)=0,"",IF(MIN('Hours Log'!$A$4:$A$5000)+7*(ROW()-10)&gt;MAX('Hours Log'!$A$4:$A$5000),"",MIN('Hours Log'!$A$4:$A$5000)+7*(ROW()-10)))</f>
        <v/>
      </c>
    </row>
    <row r="546" spans="1:10" x14ac:dyDescent="0.25">
      <c r="A546" t="str">
        <f>IF($J546="","",YEAR($J546-WEEKDAY($J546,2)+4)&amp;"-W"&amp;TEXT(_xludf.ISOWEEKNUM($J546),"00"))</f>
        <v/>
      </c>
      <c r="B546"/>
      <c r="C546" t="str">
        <f>IF($J546="","",SUMIFS('Hours Log'!$C:$C,'Hours Log'!$A:$A,"&gt;="&amp;$J546,'Hours Log'!$A:$A,"&lt;"&amp;$J546+7)+SUMIFS('Hours Log'!$D:$D,'Hours Log'!$A:$A,"&gt;="&amp;$J546,'Hours Log'!$A:$A,"&lt;"&amp;$J546+7))</f>
        <v/>
      </c>
      <c r="D546" t="str">
        <f>IF($J546="","",SUMIFS('Hours Log'!$D:$D,'Hours Log'!$A:$A,"&gt;="&amp;$J546,'Hours Log'!$A:$A,"&lt;"&amp;$J546+7))</f>
        <v/>
      </c>
      <c r="E546" t="str">
        <f t="shared" si="16"/>
        <v/>
      </c>
      <c r="F546" t="str">
        <f t="shared" si="17"/>
        <v/>
      </c>
      <c r="G546" t="str">
        <f>IF($J546="","",SUMIFS('Hours Log'!$E:$E,'Hours Log'!$A:$A,"&gt;="&amp;$J546,'Hours Log'!$A:$A,"&lt;"&amp;$J546+7))</f>
        <v/>
      </c>
      <c r="J546" t="str">
        <f>IF(COUNT('Hours Log'!$A$4:$A$5000)=0,"",IF(MIN('Hours Log'!$A$4:$A$5000)+7*(ROW()-10)&gt;MAX('Hours Log'!$A$4:$A$5000),"",MIN('Hours Log'!$A$4:$A$5000)+7*(ROW()-10)))</f>
        <v/>
      </c>
    </row>
    <row r="547" spans="1:10" x14ac:dyDescent="0.25">
      <c r="A547" t="str">
        <f>IF($J547="","",YEAR($J547-WEEKDAY($J547,2)+4)&amp;"-W"&amp;TEXT(_xludf.ISOWEEKNUM($J547),"00"))</f>
        <v/>
      </c>
      <c r="B547"/>
      <c r="C547" t="str">
        <f>IF($J547="","",SUMIFS('Hours Log'!$C:$C,'Hours Log'!$A:$A,"&gt;="&amp;$J547,'Hours Log'!$A:$A,"&lt;"&amp;$J547+7)+SUMIFS('Hours Log'!$D:$D,'Hours Log'!$A:$A,"&gt;="&amp;$J547,'Hours Log'!$A:$A,"&lt;"&amp;$J547+7))</f>
        <v/>
      </c>
      <c r="D547" t="str">
        <f>IF($J547="","",SUMIFS('Hours Log'!$D:$D,'Hours Log'!$A:$A,"&gt;="&amp;$J547,'Hours Log'!$A:$A,"&lt;"&amp;$J547+7))</f>
        <v/>
      </c>
      <c r="E547" t="str">
        <f t="shared" si="16"/>
        <v/>
      </c>
      <c r="F547" t="str">
        <f t="shared" si="17"/>
        <v/>
      </c>
      <c r="G547" t="str">
        <f>IF($J547="","",SUMIFS('Hours Log'!$E:$E,'Hours Log'!$A:$A,"&gt;="&amp;$J547,'Hours Log'!$A:$A,"&lt;"&amp;$J547+7))</f>
        <v/>
      </c>
      <c r="J547" t="str">
        <f>IF(COUNT('Hours Log'!$A$4:$A$5000)=0,"",IF(MIN('Hours Log'!$A$4:$A$5000)+7*(ROW()-10)&gt;MAX('Hours Log'!$A$4:$A$5000),"",MIN('Hours Log'!$A$4:$A$5000)+7*(ROW()-10)))</f>
        <v/>
      </c>
    </row>
    <row r="548" spans="1:10" x14ac:dyDescent="0.25">
      <c r="A548" t="str">
        <f>IF($J548="","",YEAR($J548-WEEKDAY($J548,2)+4)&amp;"-W"&amp;TEXT(_xludf.ISOWEEKNUM($J548),"00"))</f>
        <v/>
      </c>
      <c r="B548"/>
      <c r="C548" t="str">
        <f>IF($J548="","",SUMIFS('Hours Log'!$C:$C,'Hours Log'!$A:$A,"&gt;="&amp;$J548,'Hours Log'!$A:$A,"&lt;"&amp;$J548+7)+SUMIFS('Hours Log'!$D:$D,'Hours Log'!$A:$A,"&gt;="&amp;$J548,'Hours Log'!$A:$A,"&lt;"&amp;$J548+7))</f>
        <v/>
      </c>
      <c r="D548" t="str">
        <f>IF($J548="","",SUMIFS('Hours Log'!$D:$D,'Hours Log'!$A:$A,"&gt;="&amp;$J548,'Hours Log'!$A:$A,"&lt;"&amp;$J548+7))</f>
        <v/>
      </c>
      <c r="E548" t="str">
        <f t="shared" si="16"/>
        <v/>
      </c>
      <c r="F548" t="str">
        <f t="shared" si="17"/>
        <v/>
      </c>
      <c r="G548" t="str">
        <f>IF($J548="","",SUMIFS('Hours Log'!$E:$E,'Hours Log'!$A:$A,"&gt;="&amp;$J548,'Hours Log'!$A:$A,"&lt;"&amp;$J548+7))</f>
        <v/>
      </c>
      <c r="J548" t="str">
        <f>IF(COUNT('Hours Log'!$A$4:$A$5000)=0,"",IF(MIN('Hours Log'!$A$4:$A$5000)+7*(ROW()-10)&gt;MAX('Hours Log'!$A$4:$A$5000),"",MIN('Hours Log'!$A$4:$A$5000)+7*(ROW()-10)))</f>
        <v/>
      </c>
    </row>
    <row r="549" spans="1:10" x14ac:dyDescent="0.25">
      <c r="A549" t="str">
        <f>IF($J549="","",YEAR($J549-WEEKDAY($J549,2)+4)&amp;"-W"&amp;TEXT(_xludf.ISOWEEKNUM($J549),"00"))</f>
        <v/>
      </c>
      <c r="B549"/>
      <c r="C549" t="str">
        <f>IF($J549="","",SUMIFS('Hours Log'!$C:$C,'Hours Log'!$A:$A,"&gt;="&amp;$J549,'Hours Log'!$A:$A,"&lt;"&amp;$J549+7)+SUMIFS('Hours Log'!$D:$D,'Hours Log'!$A:$A,"&gt;="&amp;$J549,'Hours Log'!$A:$A,"&lt;"&amp;$J549+7))</f>
        <v/>
      </c>
      <c r="D549" t="str">
        <f>IF($J549="","",SUMIFS('Hours Log'!$D:$D,'Hours Log'!$A:$A,"&gt;="&amp;$J549,'Hours Log'!$A:$A,"&lt;"&amp;$J549+7))</f>
        <v/>
      </c>
      <c r="E549" t="str">
        <f t="shared" si="16"/>
        <v/>
      </c>
      <c r="F549" t="str">
        <f t="shared" si="17"/>
        <v/>
      </c>
      <c r="G549" t="str">
        <f>IF($J549="","",SUMIFS('Hours Log'!$E:$E,'Hours Log'!$A:$A,"&gt;="&amp;$J549,'Hours Log'!$A:$A,"&lt;"&amp;$J549+7))</f>
        <v/>
      </c>
      <c r="J549" t="str">
        <f>IF(COUNT('Hours Log'!$A$4:$A$5000)=0,"",IF(MIN('Hours Log'!$A$4:$A$5000)+7*(ROW()-10)&gt;MAX('Hours Log'!$A$4:$A$5000),"",MIN('Hours Log'!$A$4:$A$5000)+7*(ROW()-10)))</f>
        <v/>
      </c>
    </row>
    <row r="550" spans="1:10" x14ac:dyDescent="0.25">
      <c r="A550" t="str">
        <f>IF($J550="","",YEAR($J550-WEEKDAY($J550,2)+4)&amp;"-W"&amp;TEXT(_xludf.ISOWEEKNUM($J550),"00"))</f>
        <v/>
      </c>
      <c r="B550"/>
      <c r="C550" t="str">
        <f>IF($J550="","",SUMIFS('Hours Log'!$C:$C,'Hours Log'!$A:$A,"&gt;="&amp;$J550,'Hours Log'!$A:$A,"&lt;"&amp;$J550+7)+SUMIFS('Hours Log'!$D:$D,'Hours Log'!$A:$A,"&gt;="&amp;$J550,'Hours Log'!$A:$A,"&lt;"&amp;$J550+7))</f>
        <v/>
      </c>
      <c r="D550" t="str">
        <f>IF($J550="","",SUMIFS('Hours Log'!$D:$D,'Hours Log'!$A:$A,"&gt;="&amp;$J550,'Hours Log'!$A:$A,"&lt;"&amp;$J550+7))</f>
        <v/>
      </c>
      <c r="E550" t="str">
        <f t="shared" si="16"/>
        <v/>
      </c>
      <c r="F550" t="str">
        <f t="shared" si="17"/>
        <v/>
      </c>
      <c r="G550" t="str">
        <f>IF($J550="","",SUMIFS('Hours Log'!$E:$E,'Hours Log'!$A:$A,"&gt;="&amp;$J550,'Hours Log'!$A:$A,"&lt;"&amp;$J550+7))</f>
        <v/>
      </c>
      <c r="J550" t="str">
        <f>IF(COUNT('Hours Log'!$A$4:$A$5000)=0,"",IF(MIN('Hours Log'!$A$4:$A$5000)+7*(ROW()-10)&gt;MAX('Hours Log'!$A$4:$A$5000),"",MIN('Hours Log'!$A$4:$A$5000)+7*(ROW()-10)))</f>
        <v/>
      </c>
    </row>
    <row r="551" spans="1:10" x14ac:dyDescent="0.25">
      <c r="A551" t="str">
        <f>IF($J551="","",YEAR($J551-WEEKDAY($J551,2)+4)&amp;"-W"&amp;TEXT(_xludf.ISOWEEKNUM($J551),"00"))</f>
        <v/>
      </c>
      <c r="B551"/>
      <c r="C551" t="str">
        <f>IF($J551="","",SUMIFS('Hours Log'!$C:$C,'Hours Log'!$A:$A,"&gt;="&amp;$J551,'Hours Log'!$A:$A,"&lt;"&amp;$J551+7)+SUMIFS('Hours Log'!$D:$D,'Hours Log'!$A:$A,"&gt;="&amp;$J551,'Hours Log'!$A:$A,"&lt;"&amp;$J551+7))</f>
        <v/>
      </c>
      <c r="D551" t="str">
        <f>IF($J551="","",SUMIFS('Hours Log'!$D:$D,'Hours Log'!$A:$A,"&gt;="&amp;$J551,'Hours Log'!$A:$A,"&lt;"&amp;$J551+7))</f>
        <v/>
      </c>
      <c r="E551" t="str">
        <f t="shared" si="16"/>
        <v/>
      </c>
      <c r="F551" t="str">
        <f t="shared" si="17"/>
        <v/>
      </c>
      <c r="G551" t="str">
        <f>IF($J551="","",SUMIFS('Hours Log'!$E:$E,'Hours Log'!$A:$A,"&gt;="&amp;$J551,'Hours Log'!$A:$A,"&lt;"&amp;$J551+7))</f>
        <v/>
      </c>
      <c r="J551" t="str">
        <f>IF(COUNT('Hours Log'!$A$4:$A$5000)=0,"",IF(MIN('Hours Log'!$A$4:$A$5000)+7*(ROW()-10)&gt;MAX('Hours Log'!$A$4:$A$5000),"",MIN('Hours Log'!$A$4:$A$5000)+7*(ROW()-10)))</f>
        <v/>
      </c>
    </row>
    <row r="552" spans="1:10" x14ac:dyDescent="0.25">
      <c r="A552" t="str">
        <f>IF($J552="","",YEAR($J552-WEEKDAY($J552,2)+4)&amp;"-W"&amp;TEXT(_xludf.ISOWEEKNUM($J552),"00"))</f>
        <v/>
      </c>
      <c r="B552"/>
      <c r="C552" t="str">
        <f>IF($J552="","",SUMIFS('Hours Log'!$C:$C,'Hours Log'!$A:$A,"&gt;="&amp;$J552,'Hours Log'!$A:$A,"&lt;"&amp;$J552+7)+SUMIFS('Hours Log'!$D:$D,'Hours Log'!$A:$A,"&gt;="&amp;$J552,'Hours Log'!$A:$A,"&lt;"&amp;$J552+7))</f>
        <v/>
      </c>
      <c r="D552" t="str">
        <f>IF($J552="","",SUMIFS('Hours Log'!$D:$D,'Hours Log'!$A:$A,"&gt;="&amp;$J552,'Hours Log'!$A:$A,"&lt;"&amp;$J552+7))</f>
        <v/>
      </c>
      <c r="E552" t="str">
        <f t="shared" si="16"/>
        <v/>
      </c>
      <c r="F552" t="str">
        <f t="shared" si="17"/>
        <v/>
      </c>
      <c r="G552" t="str">
        <f>IF($J552="","",SUMIFS('Hours Log'!$E:$E,'Hours Log'!$A:$A,"&gt;="&amp;$J552,'Hours Log'!$A:$A,"&lt;"&amp;$J552+7))</f>
        <v/>
      </c>
      <c r="J552" t="str">
        <f>IF(COUNT('Hours Log'!$A$4:$A$5000)=0,"",IF(MIN('Hours Log'!$A$4:$A$5000)+7*(ROW()-10)&gt;MAX('Hours Log'!$A$4:$A$5000),"",MIN('Hours Log'!$A$4:$A$5000)+7*(ROW()-10)))</f>
        <v/>
      </c>
    </row>
    <row r="553" spans="1:10" x14ac:dyDescent="0.25">
      <c r="A553" t="str">
        <f>IF($J553="","",YEAR($J553-WEEKDAY($J553,2)+4)&amp;"-W"&amp;TEXT(_xludf.ISOWEEKNUM($J553),"00"))</f>
        <v/>
      </c>
      <c r="B553"/>
      <c r="C553" t="str">
        <f>IF($J553="","",SUMIFS('Hours Log'!$C:$C,'Hours Log'!$A:$A,"&gt;="&amp;$J553,'Hours Log'!$A:$A,"&lt;"&amp;$J553+7)+SUMIFS('Hours Log'!$D:$D,'Hours Log'!$A:$A,"&gt;="&amp;$J553,'Hours Log'!$A:$A,"&lt;"&amp;$J553+7))</f>
        <v/>
      </c>
      <c r="D553" t="str">
        <f>IF($J553="","",SUMIFS('Hours Log'!$D:$D,'Hours Log'!$A:$A,"&gt;="&amp;$J553,'Hours Log'!$A:$A,"&lt;"&amp;$J553+7))</f>
        <v/>
      </c>
      <c r="E553" t="str">
        <f t="shared" si="16"/>
        <v/>
      </c>
      <c r="F553" t="str">
        <f t="shared" si="17"/>
        <v/>
      </c>
      <c r="G553" t="str">
        <f>IF($J553="","",SUMIFS('Hours Log'!$E:$E,'Hours Log'!$A:$A,"&gt;="&amp;$J553,'Hours Log'!$A:$A,"&lt;"&amp;$J553+7))</f>
        <v/>
      </c>
      <c r="J553" t="str">
        <f>IF(COUNT('Hours Log'!$A$4:$A$5000)=0,"",IF(MIN('Hours Log'!$A$4:$A$5000)+7*(ROW()-10)&gt;MAX('Hours Log'!$A$4:$A$5000),"",MIN('Hours Log'!$A$4:$A$5000)+7*(ROW()-10)))</f>
        <v/>
      </c>
    </row>
    <row r="554" spans="1:10" x14ac:dyDescent="0.25">
      <c r="A554" t="str">
        <f>IF($J554="","",YEAR($J554-WEEKDAY($J554,2)+4)&amp;"-W"&amp;TEXT(_xludf.ISOWEEKNUM($J554),"00"))</f>
        <v/>
      </c>
      <c r="B554"/>
      <c r="C554" t="str">
        <f>IF($J554="","",SUMIFS('Hours Log'!$C:$C,'Hours Log'!$A:$A,"&gt;="&amp;$J554,'Hours Log'!$A:$A,"&lt;"&amp;$J554+7)+SUMIFS('Hours Log'!$D:$D,'Hours Log'!$A:$A,"&gt;="&amp;$J554,'Hours Log'!$A:$A,"&lt;"&amp;$J554+7))</f>
        <v/>
      </c>
      <c r="D554" t="str">
        <f>IF($J554="","",SUMIFS('Hours Log'!$D:$D,'Hours Log'!$A:$A,"&gt;="&amp;$J554,'Hours Log'!$A:$A,"&lt;"&amp;$J554+7))</f>
        <v/>
      </c>
      <c r="E554" t="str">
        <f t="shared" si="16"/>
        <v/>
      </c>
      <c r="F554" t="str">
        <f t="shared" si="17"/>
        <v/>
      </c>
      <c r="G554" t="str">
        <f>IF($J554="","",SUMIFS('Hours Log'!$E:$E,'Hours Log'!$A:$A,"&gt;="&amp;$J554,'Hours Log'!$A:$A,"&lt;"&amp;$J554+7))</f>
        <v/>
      </c>
      <c r="J554" t="str">
        <f>IF(COUNT('Hours Log'!$A$4:$A$5000)=0,"",IF(MIN('Hours Log'!$A$4:$A$5000)+7*(ROW()-10)&gt;MAX('Hours Log'!$A$4:$A$5000),"",MIN('Hours Log'!$A$4:$A$5000)+7*(ROW()-10)))</f>
        <v/>
      </c>
    </row>
    <row r="555" spans="1:10" x14ac:dyDescent="0.25">
      <c r="A555" t="str">
        <f>IF($J555="","",YEAR($J555-WEEKDAY($J555,2)+4)&amp;"-W"&amp;TEXT(_xludf.ISOWEEKNUM($J555),"00"))</f>
        <v/>
      </c>
      <c r="B555"/>
      <c r="C555" t="str">
        <f>IF($J555="","",SUMIFS('Hours Log'!$C:$C,'Hours Log'!$A:$A,"&gt;="&amp;$J555,'Hours Log'!$A:$A,"&lt;"&amp;$J555+7)+SUMIFS('Hours Log'!$D:$D,'Hours Log'!$A:$A,"&gt;="&amp;$J555,'Hours Log'!$A:$A,"&lt;"&amp;$J555+7))</f>
        <v/>
      </c>
      <c r="D555" t="str">
        <f>IF($J555="","",SUMIFS('Hours Log'!$D:$D,'Hours Log'!$A:$A,"&gt;="&amp;$J555,'Hours Log'!$A:$A,"&lt;"&amp;$J555+7))</f>
        <v/>
      </c>
      <c r="E555" t="str">
        <f t="shared" si="16"/>
        <v/>
      </c>
      <c r="F555" t="str">
        <f t="shared" si="17"/>
        <v/>
      </c>
      <c r="G555" t="str">
        <f>IF($J555="","",SUMIFS('Hours Log'!$E:$E,'Hours Log'!$A:$A,"&gt;="&amp;$J555,'Hours Log'!$A:$A,"&lt;"&amp;$J555+7))</f>
        <v/>
      </c>
      <c r="J555" t="str">
        <f>IF(COUNT('Hours Log'!$A$4:$A$5000)=0,"",IF(MIN('Hours Log'!$A$4:$A$5000)+7*(ROW()-10)&gt;MAX('Hours Log'!$A$4:$A$5000),"",MIN('Hours Log'!$A$4:$A$5000)+7*(ROW()-10)))</f>
        <v/>
      </c>
    </row>
    <row r="556" spans="1:10" x14ac:dyDescent="0.25">
      <c r="A556" t="str">
        <f>IF($J556="","",YEAR($J556-WEEKDAY($J556,2)+4)&amp;"-W"&amp;TEXT(_xludf.ISOWEEKNUM($J556),"00"))</f>
        <v/>
      </c>
      <c r="B556"/>
      <c r="C556" t="str">
        <f>IF($J556="","",SUMIFS('Hours Log'!$C:$C,'Hours Log'!$A:$A,"&gt;="&amp;$J556,'Hours Log'!$A:$A,"&lt;"&amp;$J556+7)+SUMIFS('Hours Log'!$D:$D,'Hours Log'!$A:$A,"&gt;="&amp;$J556,'Hours Log'!$A:$A,"&lt;"&amp;$J556+7))</f>
        <v/>
      </c>
      <c r="D556" t="str">
        <f>IF($J556="","",SUMIFS('Hours Log'!$D:$D,'Hours Log'!$A:$A,"&gt;="&amp;$J556,'Hours Log'!$A:$A,"&lt;"&amp;$J556+7))</f>
        <v/>
      </c>
      <c r="E556" t="str">
        <f t="shared" si="16"/>
        <v/>
      </c>
      <c r="F556" t="str">
        <f t="shared" si="17"/>
        <v/>
      </c>
      <c r="G556" t="str">
        <f>IF($J556="","",SUMIFS('Hours Log'!$E:$E,'Hours Log'!$A:$A,"&gt;="&amp;$J556,'Hours Log'!$A:$A,"&lt;"&amp;$J556+7))</f>
        <v/>
      </c>
      <c r="J556" t="str">
        <f>IF(COUNT('Hours Log'!$A$4:$A$5000)=0,"",IF(MIN('Hours Log'!$A$4:$A$5000)+7*(ROW()-10)&gt;MAX('Hours Log'!$A$4:$A$5000),"",MIN('Hours Log'!$A$4:$A$5000)+7*(ROW()-10)))</f>
        <v/>
      </c>
    </row>
    <row r="557" spans="1:10" x14ac:dyDescent="0.25">
      <c r="A557" t="str">
        <f>IF($J557="","",YEAR($J557-WEEKDAY($J557,2)+4)&amp;"-W"&amp;TEXT(_xludf.ISOWEEKNUM($J557),"00"))</f>
        <v/>
      </c>
      <c r="B557"/>
      <c r="C557" t="str">
        <f>IF($J557="","",SUMIFS('Hours Log'!$C:$C,'Hours Log'!$A:$A,"&gt;="&amp;$J557,'Hours Log'!$A:$A,"&lt;"&amp;$J557+7)+SUMIFS('Hours Log'!$D:$D,'Hours Log'!$A:$A,"&gt;="&amp;$J557,'Hours Log'!$A:$A,"&lt;"&amp;$J557+7))</f>
        <v/>
      </c>
      <c r="D557" t="str">
        <f>IF($J557="","",SUMIFS('Hours Log'!$D:$D,'Hours Log'!$A:$A,"&gt;="&amp;$J557,'Hours Log'!$A:$A,"&lt;"&amp;$J557+7))</f>
        <v/>
      </c>
      <c r="E557" t="str">
        <f t="shared" si="16"/>
        <v/>
      </c>
      <c r="F557" t="str">
        <f t="shared" si="17"/>
        <v/>
      </c>
      <c r="G557" t="str">
        <f>IF($J557="","",SUMIFS('Hours Log'!$E:$E,'Hours Log'!$A:$A,"&gt;="&amp;$J557,'Hours Log'!$A:$A,"&lt;"&amp;$J557+7))</f>
        <v/>
      </c>
      <c r="J557" t="str">
        <f>IF(COUNT('Hours Log'!$A$4:$A$5000)=0,"",IF(MIN('Hours Log'!$A$4:$A$5000)+7*(ROW()-10)&gt;MAX('Hours Log'!$A$4:$A$5000),"",MIN('Hours Log'!$A$4:$A$5000)+7*(ROW()-10)))</f>
        <v/>
      </c>
    </row>
    <row r="558" spans="1:10" x14ac:dyDescent="0.25">
      <c r="A558" t="str">
        <f>IF($J558="","",YEAR($J558-WEEKDAY($J558,2)+4)&amp;"-W"&amp;TEXT(_xludf.ISOWEEKNUM($J558),"00"))</f>
        <v/>
      </c>
      <c r="B558"/>
      <c r="C558" t="str">
        <f>IF($J558="","",SUMIFS('Hours Log'!$C:$C,'Hours Log'!$A:$A,"&gt;="&amp;$J558,'Hours Log'!$A:$A,"&lt;"&amp;$J558+7)+SUMIFS('Hours Log'!$D:$D,'Hours Log'!$A:$A,"&gt;="&amp;$J558,'Hours Log'!$A:$A,"&lt;"&amp;$J558+7))</f>
        <v/>
      </c>
      <c r="D558" t="str">
        <f>IF($J558="","",SUMIFS('Hours Log'!$D:$D,'Hours Log'!$A:$A,"&gt;="&amp;$J558,'Hours Log'!$A:$A,"&lt;"&amp;$J558+7))</f>
        <v/>
      </c>
      <c r="E558" t="str">
        <f t="shared" si="16"/>
        <v/>
      </c>
      <c r="F558" t="str">
        <f t="shared" si="17"/>
        <v/>
      </c>
      <c r="G558" t="str">
        <f>IF($J558="","",SUMIFS('Hours Log'!$E:$E,'Hours Log'!$A:$A,"&gt;="&amp;$J558,'Hours Log'!$A:$A,"&lt;"&amp;$J558+7))</f>
        <v/>
      </c>
      <c r="J558" t="str">
        <f>IF(COUNT('Hours Log'!$A$4:$A$5000)=0,"",IF(MIN('Hours Log'!$A$4:$A$5000)+7*(ROW()-10)&gt;MAX('Hours Log'!$A$4:$A$5000),"",MIN('Hours Log'!$A$4:$A$5000)+7*(ROW()-10)))</f>
        <v/>
      </c>
    </row>
    <row r="559" spans="1:10" x14ac:dyDescent="0.25">
      <c r="A559" t="str">
        <f>IF($J559="","",YEAR($J559-WEEKDAY($J559,2)+4)&amp;"-W"&amp;TEXT(_xludf.ISOWEEKNUM($J559),"00"))</f>
        <v/>
      </c>
      <c r="B559"/>
      <c r="C559" t="str">
        <f>IF($J559="","",SUMIFS('Hours Log'!$C:$C,'Hours Log'!$A:$A,"&gt;="&amp;$J559,'Hours Log'!$A:$A,"&lt;"&amp;$J559+7)+SUMIFS('Hours Log'!$D:$D,'Hours Log'!$A:$A,"&gt;="&amp;$J559,'Hours Log'!$A:$A,"&lt;"&amp;$J559+7))</f>
        <v/>
      </c>
      <c r="D559" t="str">
        <f>IF($J559="","",SUMIFS('Hours Log'!$D:$D,'Hours Log'!$A:$A,"&gt;="&amp;$J559,'Hours Log'!$A:$A,"&lt;"&amp;$J559+7))</f>
        <v/>
      </c>
      <c r="E559" t="str">
        <f t="shared" si="16"/>
        <v/>
      </c>
      <c r="F559" t="str">
        <f t="shared" si="17"/>
        <v/>
      </c>
      <c r="G559" t="str">
        <f>IF($J559="","",SUMIFS('Hours Log'!$E:$E,'Hours Log'!$A:$A,"&gt;="&amp;$J559,'Hours Log'!$A:$A,"&lt;"&amp;$J559+7))</f>
        <v/>
      </c>
      <c r="J559" t="str">
        <f>IF(COUNT('Hours Log'!$A$4:$A$5000)=0,"",IF(MIN('Hours Log'!$A$4:$A$5000)+7*(ROW()-10)&gt;MAX('Hours Log'!$A$4:$A$5000),"",MIN('Hours Log'!$A$4:$A$5000)+7*(ROW()-10)))</f>
        <v/>
      </c>
    </row>
    <row r="560" spans="1:10" x14ac:dyDescent="0.25">
      <c r="A560" t="str">
        <f>IF($J560="","",YEAR($J560-WEEKDAY($J560,2)+4)&amp;"-W"&amp;TEXT(_xludf.ISOWEEKNUM($J560),"00"))</f>
        <v/>
      </c>
      <c r="B560"/>
      <c r="C560" t="str">
        <f>IF($J560="","",SUMIFS('Hours Log'!$C:$C,'Hours Log'!$A:$A,"&gt;="&amp;$J560,'Hours Log'!$A:$A,"&lt;"&amp;$J560+7)+SUMIFS('Hours Log'!$D:$D,'Hours Log'!$A:$A,"&gt;="&amp;$J560,'Hours Log'!$A:$A,"&lt;"&amp;$J560+7))</f>
        <v/>
      </c>
      <c r="D560" t="str">
        <f>IF($J560="","",SUMIFS('Hours Log'!$D:$D,'Hours Log'!$A:$A,"&gt;="&amp;$J560,'Hours Log'!$A:$A,"&lt;"&amp;$J560+7))</f>
        <v/>
      </c>
      <c r="E560" t="str">
        <f t="shared" si="16"/>
        <v/>
      </c>
      <c r="F560" t="str">
        <f t="shared" si="17"/>
        <v/>
      </c>
      <c r="G560" t="str">
        <f>IF($J560="","",SUMIFS('Hours Log'!$E:$E,'Hours Log'!$A:$A,"&gt;="&amp;$J560,'Hours Log'!$A:$A,"&lt;"&amp;$J560+7))</f>
        <v/>
      </c>
      <c r="J560" t="str">
        <f>IF(COUNT('Hours Log'!$A$4:$A$5000)=0,"",IF(MIN('Hours Log'!$A$4:$A$5000)+7*(ROW()-10)&gt;MAX('Hours Log'!$A$4:$A$5000),"",MIN('Hours Log'!$A$4:$A$5000)+7*(ROW()-10)))</f>
        <v/>
      </c>
    </row>
    <row r="561" spans="1:10" x14ac:dyDescent="0.25">
      <c r="A561" t="str">
        <f>IF($J561="","",YEAR($J561-WEEKDAY($J561,2)+4)&amp;"-W"&amp;TEXT(_xludf.ISOWEEKNUM($J561),"00"))</f>
        <v/>
      </c>
      <c r="B561"/>
      <c r="C561" t="str">
        <f>IF($J561="","",SUMIFS('Hours Log'!$C:$C,'Hours Log'!$A:$A,"&gt;="&amp;$J561,'Hours Log'!$A:$A,"&lt;"&amp;$J561+7)+SUMIFS('Hours Log'!$D:$D,'Hours Log'!$A:$A,"&gt;="&amp;$J561,'Hours Log'!$A:$A,"&lt;"&amp;$J561+7))</f>
        <v/>
      </c>
      <c r="D561" t="str">
        <f>IF($J561="","",SUMIFS('Hours Log'!$D:$D,'Hours Log'!$A:$A,"&gt;="&amp;$J561,'Hours Log'!$A:$A,"&lt;"&amp;$J561+7))</f>
        <v/>
      </c>
      <c r="E561" t="str">
        <f t="shared" si="16"/>
        <v/>
      </c>
      <c r="F561" t="str">
        <f t="shared" si="17"/>
        <v/>
      </c>
      <c r="G561" t="str">
        <f>IF($J561="","",SUMIFS('Hours Log'!$E:$E,'Hours Log'!$A:$A,"&gt;="&amp;$J561,'Hours Log'!$A:$A,"&lt;"&amp;$J561+7))</f>
        <v/>
      </c>
      <c r="J561" t="str">
        <f>IF(COUNT('Hours Log'!$A$4:$A$5000)=0,"",IF(MIN('Hours Log'!$A$4:$A$5000)+7*(ROW()-10)&gt;MAX('Hours Log'!$A$4:$A$5000),"",MIN('Hours Log'!$A$4:$A$5000)+7*(ROW()-10)))</f>
        <v/>
      </c>
    </row>
    <row r="562" spans="1:10" x14ac:dyDescent="0.25">
      <c r="A562" t="str">
        <f>IF($J562="","",YEAR($J562-WEEKDAY($J562,2)+4)&amp;"-W"&amp;TEXT(_xludf.ISOWEEKNUM($J562),"00"))</f>
        <v/>
      </c>
      <c r="B562"/>
      <c r="C562" t="str">
        <f>IF($J562="","",SUMIFS('Hours Log'!$C:$C,'Hours Log'!$A:$A,"&gt;="&amp;$J562,'Hours Log'!$A:$A,"&lt;"&amp;$J562+7)+SUMIFS('Hours Log'!$D:$D,'Hours Log'!$A:$A,"&gt;="&amp;$J562,'Hours Log'!$A:$A,"&lt;"&amp;$J562+7))</f>
        <v/>
      </c>
      <c r="D562" t="str">
        <f>IF($J562="","",SUMIFS('Hours Log'!$D:$D,'Hours Log'!$A:$A,"&gt;="&amp;$J562,'Hours Log'!$A:$A,"&lt;"&amp;$J562+7))</f>
        <v/>
      </c>
      <c r="E562" t="str">
        <f t="shared" si="16"/>
        <v/>
      </c>
      <c r="F562" t="str">
        <f t="shared" si="17"/>
        <v/>
      </c>
      <c r="G562" t="str">
        <f>IF($J562="","",SUMIFS('Hours Log'!$E:$E,'Hours Log'!$A:$A,"&gt;="&amp;$J562,'Hours Log'!$A:$A,"&lt;"&amp;$J562+7))</f>
        <v/>
      </c>
      <c r="J562" t="str">
        <f>IF(COUNT('Hours Log'!$A$4:$A$5000)=0,"",IF(MIN('Hours Log'!$A$4:$A$5000)+7*(ROW()-10)&gt;MAX('Hours Log'!$A$4:$A$5000),"",MIN('Hours Log'!$A$4:$A$5000)+7*(ROW()-10)))</f>
        <v/>
      </c>
    </row>
    <row r="563" spans="1:10" x14ac:dyDescent="0.25">
      <c r="A563" t="str">
        <f>IF($J563="","",YEAR($J563-WEEKDAY($J563,2)+4)&amp;"-W"&amp;TEXT(_xludf.ISOWEEKNUM($J563),"00"))</f>
        <v/>
      </c>
      <c r="B563"/>
      <c r="C563" t="str">
        <f>IF($J563="","",SUMIFS('Hours Log'!$C:$C,'Hours Log'!$A:$A,"&gt;="&amp;$J563,'Hours Log'!$A:$A,"&lt;"&amp;$J563+7)+SUMIFS('Hours Log'!$D:$D,'Hours Log'!$A:$A,"&gt;="&amp;$J563,'Hours Log'!$A:$A,"&lt;"&amp;$J563+7))</f>
        <v/>
      </c>
      <c r="D563" t="str">
        <f>IF($J563="","",SUMIFS('Hours Log'!$D:$D,'Hours Log'!$A:$A,"&gt;="&amp;$J563,'Hours Log'!$A:$A,"&lt;"&amp;$J563+7))</f>
        <v/>
      </c>
      <c r="E563" t="str">
        <f t="shared" si="16"/>
        <v/>
      </c>
      <c r="F563" t="str">
        <f t="shared" si="17"/>
        <v/>
      </c>
      <c r="G563" t="str">
        <f>IF($J563="","",SUMIFS('Hours Log'!$E:$E,'Hours Log'!$A:$A,"&gt;="&amp;$J563,'Hours Log'!$A:$A,"&lt;"&amp;$J563+7))</f>
        <v/>
      </c>
      <c r="J563" t="str">
        <f>IF(COUNT('Hours Log'!$A$4:$A$5000)=0,"",IF(MIN('Hours Log'!$A$4:$A$5000)+7*(ROW()-10)&gt;MAX('Hours Log'!$A$4:$A$5000),"",MIN('Hours Log'!$A$4:$A$5000)+7*(ROW()-10)))</f>
        <v/>
      </c>
    </row>
    <row r="564" spans="1:10" x14ac:dyDescent="0.25">
      <c r="A564" t="str">
        <f>IF($J564="","",YEAR($J564-WEEKDAY($J564,2)+4)&amp;"-W"&amp;TEXT(_xludf.ISOWEEKNUM($J564),"00"))</f>
        <v/>
      </c>
      <c r="B564"/>
      <c r="C564" t="str">
        <f>IF($J564="","",SUMIFS('Hours Log'!$C:$C,'Hours Log'!$A:$A,"&gt;="&amp;$J564,'Hours Log'!$A:$A,"&lt;"&amp;$J564+7)+SUMIFS('Hours Log'!$D:$D,'Hours Log'!$A:$A,"&gt;="&amp;$J564,'Hours Log'!$A:$A,"&lt;"&amp;$J564+7))</f>
        <v/>
      </c>
      <c r="D564" t="str">
        <f>IF($J564="","",SUMIFS('Hours Log'!$D:$D,'Hours Log'!$A:$A,"&gt;="&amp;$J564,'Hours Log'!$A:$A,"&lt;"&amp;$J564+7))</f>
        <v/>
      </c>
      <c r="E564" t="str">
        <f t="shared" si="16"/>
        <v/>
      </c>
      <c r="F564" t="str">
        <f t="shared" si="17"/>
        <v/>
      </c>
      <c r="G564" t="str">
        <f>IF($J564="","",SUMIFS('Hours Log'!$E:$E,'Hours Log'!$A:$A,"&gt;="&amp;$J564,'Hours Log'!$A:$A,"&lt;"&amp;$J564+7))</f>
        <v/>
      </c>
      <c r="J564" t="str">
        <f>IF(COUNT('Hours Log'!$A$4:$A$5000)=0,"",IF(MIN('Hours Log'!$A$4:$A$5000)+7*(ROW()-10)&gt;MAX('Hours Log'!$A$4:$A$5000),"",MIN('Hours Log'!$A$4:$A$5000)+7*(ROW()-10)))</f>
        <v/>
      </c>
    </row>
    <row r="565" spans="1:10" x14ac:dyDescent="0.25">
      <c r="A565" t="str">
        <f>IF($J565="","",YEAR($J565-WEEKDAY($J565,2)+4)&amp;"-W"&amp;TEXT(_xludf.ISOWEEKNUM($J565),"00"))</f>
        <v/>
      </c>
      <c r="B565"/>
      <c r="C565" t="str">
        <f>IF($J565="","",SUMIFS('Hours Log'!$C:$C,'Hours Log'!$A:$A,"&gt;="&amp;$J565,'Hours Log'!$A:$A,"&lt;"&amp;$J565+7)+SUMIFS('Hours Log'!$D:$D,'Hours Log'!$A:$A,"&gt;="&amp;$J565,'Hours Log'!$A:$A,"&lt;"&amp;$J565+7))</f>
        <v/>
      </c>
      <c r="D565" t="str">
        <f>IF($J565="","",SUMIFS('Hours Log'!$D:$D,'Hours Log'!$A:$A,"&gt;="&amp;$J565,'Hours Log'!$A:$A,"&lt;"&amp;$J565+7))</f>
        <v/>
      </c>
      <c r="E565" t="str">
        <f t="shared" si="16"/>
        <v/>
      </c>
      <c r="F565" t="str">
        <f t="shared" si="17"/>
        <v/>
      </c>
      <c r="G565" t="str">
        <f>IF($J565="","",SUMIFS('Hours Log'!$E:$E,'Hours Log'!$A:$A,"&gt;="&amp;$J565,'Hours Log'!$A:$A,"&lt;"&amp;$J565+7))</f>
        <v/>
      </c>
      <c r="J565" t="str">
        <f>IF(COUNT('Hours Log'!$A$4:$A$5000)=0,"",IF(MIN('Hours Log'!$A$4:$A$5000)+7*(ROW()-10)&gt;MAX('Hours Log'!$A$4:$A$5000),"",MIN('Hours Log'!$A$4:$A$5000)+7*(ROW()-10)))</f>
        <v/>
      </c>
    </row>
    <row r="566" spans="1:10" x14ac:dyDescent="0.25">
      <c r="A566" t="str">
        <f>IF($J566="","",YEAR($J566-WEEKDAY($J566,2)+4)&amp;"-W"&amp;TEXT(_xludf.ISOWEEKNUM($J566),"00"))</f>
        <v/>
      </c>
      <c r="B566"/>
      <c r="C566" t="str">
        <f>IF($J566="","",SUMIFS('Hours Log'!$C:$C,'Hours Log'!$A:$A,"&gt;="&amp;$J566,'Hours Log'!$A:$A,"&lt;"&amp;$J566+7)+SUMIFS('Hours Log'!$D:$D,'Hours Log'!$A:$A,"&gt;="&amp;$J566,'Hours Log'!$A:$A,"&lt;"&amp;$J566+7))</f>
        <v/>
      </c>
      <c r="D566" t="str">
        <f>IF($J566="","",SUMIFS('Hours Log'!$D:$D,'Hours Log'!$A:$A,"&gt;="&amp;$J566,'Hours Log'!$A:$A,"&lt;"&amp;$J566+7))</f>
        <v/>
      </c>
      <c r="E566" t="str">
        <f t="shared" si="16"/>
        <v/>
      </c>
      <c r="F566" t="str">
        <f t="shared" si="17"/>
        <v/>
      </c>
      <c r="G566" t="str">
        <f>IF($J566="","",SUMIFS('Hours Log'!$E:$E,'Hours Log'!$A:$A,"&gt;="&amp;$J566,'Hours Log'!$A:$A,"&lt;"&amp;$J566+7))</f>
        <v/>
      </c>
      <c r="J566" t="str">
        <f>IF(COUNT('Hours Log'!$A$4:$A$5000)=0,"",IF(MIN('Hours Log'!$A$4:$A$5000)+7*(ROW()-10)&gt;MAX('Hours Log'!$A$4:$A$5000),"",MIN('Hours Log'!$A$4:$A$5000)+7*(ROW()-10)))</f>
        <v/>
      </c>
    </row>
    <row r="567" spans="1:10" x14ac:dyDescent="0.25">
      <c r="A567" t="str">
        <f>IF($J567="","",YEAR($J567-WEEKDAY($J567,2)+4)&amp;"-W"&amp;TEXT(_xludf.ISOWEEKNUM($J567),"00"))</f>
        <v/>
      </c>
      <c r="B567"/>
      <c r="C567" t="str">
        <f>IF($J567="","",SUMIFS('Hours Log'!$C:$C,'Hours Log'!$A:$A,"&gt;="&amp;$J567,'Hours Log'!$A:$A,"&lt;"&amp;$J567+7)+SUMIFS('Hours Log'!$D:$D,'Hours Log'!$A:$A,"&gt;="&amp;$J567,'Hours Log'!$A:$A,"&lt;"&amp;$J567+7))</f>
        <v/>
      </c>
      <c r="D567" t="str">
        <f>IF($J567="","",SUMIFS('Hours Log'!$D:$D,'Hours Log'!$A:$A,"&gt;="&amp;$J567,'Hours Log'!$A:$A,"&lt;"&amp;$J567+7))</f>
        <v/>
      </c>
      <c r="E567" t="str">
        <f t="shared" si="16"/>
        <v/>
      </c>
      <c r="F567" t="str">
        <f t="shared" si="17"/>
        <v/>
      </c>
      <c r="G567" t="str">
        <f>IF($J567="","",SUMIFS('Hours Log'!$E:$E,'Hours Log'!$A:$A,"&gt;="&amp;$J567,'Hours Log'!$A:$A,"&lt;"&amp;$J567+7))</f>
        <v/>
      </c>
      <c r="J567" t="str">
        <f>IF(COUNT('Hours Log'!$A$4:$A$5000)=0,"",IF(MIN('Hours Log'!$A$4:$A$5000)+7*(ROW()-10)&gt;MAX('Hours Log'!$A$4:$A$5000),"",MIN('Hours Log'!$A$4:$A$5000)+7*(ROW()-10)))</f>
        <v/>
      </c>
    </row>
    <row r="568" spans="1:10" x14ac:dyDescent="0.25">
      <c r="A568" t="str">
        <f>IF($J568="","",YEAR($J568-WEEKDAY($J568,2)+4)&amp;"-W"&amp;TEXT(_xludf.ISOWEEKNUM($J568),"00"))</f>
        <v/>
      </c>
      <c r="B568"/>
      <c r="C568" t="str">
        <f>IF($J568="","",SUMIFS('Hours Log'!$C:$C,'Hours Log'!$A:$A,"&gt;="&amp;$J568,'Hours Log'!$A:$A,"&lt;"&amp;$J568+7)+SUMIFS('Hours Log'!$D:$D,'Hours Log'!$A:$A,"&gt;="&amp;$J568,'Hours Log'!$A:$A,"&lt;"&amp;$J568+7))</f>
        <v/>
      </c>
      <c r="D568" t="str">
        <f>IF($J568="","",SUMIFS('Hours Log'!$D:$D,'Hours Log'!$A:$A,"&gt;="&amp;$J568,'Hours Log'!$A:$A,"&lt;"&amp;$J568+7))</f>
        <v/>
      </c>
      <c r="E568" t="str">
        <f t="shared" si="16"/>
        <v/>
      </c>
      <c r="F568" t="str">
        <f t="shared" si="17"/>
        <v/>
      </c>
      <c r="G568" t="str">
        <f>IF($J568="","",SUMIFS('Hours Log'!$E:$E,'Hours Log'!$A:$A,"&gt;="&amp;$J568,'Hours Log'!$A:$A,"&lt;"&amp;$J568+7))</f>
        <v/>
      </c>
      <c r="J568" t="str">
        <f>IF(COUNT('Hours Log'!$A$4:$A$5000)=0,"",IF(MIN('Hours Log'!$A$4:$A$5000)+7*(ROW()-10)&gt;MAX('Hours Log'!$A$4:$A$5000),"",MIN('Hours Log'!$A$4:$A$5000)+7*(ROW()-10)))</f>
        <v/>
      </c>
    </row>
    <row r="569" spans="1:10" x14ac:dyDescent="0.25">
      <c r="A569" t="str">
        <f>IF($J569="","",YEAR($J569-WEEKDAY($J569,2)+4)&amp;"-W"&amp;TEXT(_xludf.ISOWEEKNUM($J569),"00"))</f>
        <v/>
      </c>
      <c r="B569"/>
      <c r="C569" t="str">
        <f>IF($J569="","",SUMIFS('Hours Log'!$C:$C,'Hours Log'!$A:$A,"&gt;="&amp;$J569,'Hours Log'!$A:$A,"&lt;"&amp;$J569+7)+SUMIFS('Hours Log'!$D:$D,'Hours Log'!$A:$A,"&gt;="&amp;$J569,'Hours Log'!$A:$A,"&lt;"&amp;$J569+7))</f>
        <v/>
      </c>
      <c r="D569" t="str">
        <f>IF($J569="","",SUMIFS('Hours Log'!$D:$D,'Hours Log'!$A:$A,"&gt;="&amp;$J569,'Hours Log'!$A:$A,"&lt;"&amp;$J569+7))</f>
        <v/>
      </c>
      <c r="E569" t="str">
        <f t="shared" si="16"/>
        <v/>
      </c>
      <c r="F569" t="str">
        <f t="shared" si="17"/>
        <v/>
      </c>
      <c r="G569" t="str">
        <f>IF($J569="","",SUMIFS('Hours Log'!$E:$E,'Hours Log'!$A:$A,"&gt;="&amp;$J569,'Hours Log'!$A:$A,"&lt;"&amp;$J569+7))</f>
        <v/>
      </c>
      <c r="J569" t="str">
        <f>IF(COUNT('Hours Log'!$A$4:$A$5000)=0,"",IF(MIN('Hours Log'!$A$4:$A$5000)+7*(ROW()-10)&gt;MAX('Hours Log'!$A$4:$A$5000),"",MIN('Hours Log'!$A$4:$A$5000)+7*(ROW()-10)))</f>
        <v/>
      </c>
    </row>
    <row r="570" spans="1:10" x14ac:dyDescent="0.25">
      <c r="A570" t="str">
        <f>IF($J570="","",YEAR($J570-WEEKDAY($J570,2)+4)&amp;"-W"&amp;TEXT(_xludf.ISOWEEKNUM($J570),"00"))</f>
        <v/>
      </c>
      <c r="B570"/>
      <c r="C570" t="str">
        <f>IF($J570="","",SUMIFS('Hours Log'!$C:$C,'Hours Log'!$A:$A,"&gt;="&amp;$J570,'Hours Log'!$A:$A,"&lt;"&amp;$J570+7)+SUMIFS('Hours Log'!$D:$D,'Hours Log'!$A:$A,"&gt;="&amp;$J570,'Hours Log'!$A:$A,"&lt;"&amp;$J570+7))</f>
        <v/>
      </c>
      <c r="D570" t="str">
        <f>IF($J570="","",SUMIFS('Hours Log'!$D:$D,'Hours Log'!$A:$A,"&gt;="&amp;$J570,'Hours Log'!$A:$A,"&lt;"&amp;$J570+7))</f>
        <v/>
      </c>
      <c r="E570" t="str">
        <f t="shared" si="16"/>
        <v/>
      </c>
      <c r="F570" t="str">
        <f t="shared" si="17"/>
        <v/>
      </c>
      <c r="G570" t="str">
        <f>IF($J570="","",SUMIFS('Hours Log'!$E:$E,'Hours Log'!$A:$A,"&gt;="&amp;$J570,'Hours Log'!$A:$A,"&lt;"&amp;$J570+7))</f>
        <v/>
      </c>
      <c r="J570" t="str">
        <f>IF(COUNT('Hours Log'!$A$4:$A$5000)=0,"",IF(MIN('Hours Log'!$A$4:$A$5000)+7*(ROW()-10)&gt;MAX('Hours Log'!$A$4:$A$5000),"",MIN('Hours Log'!$A$4:$A$5000)+7*(ROW()-10)))</f>
        <v/>
      </c>
    </row>
    <row r="571" spans="1:10" x14ac:dyDescent="0.25">
      <c r="A571" t="str">
        <f>IF($J571="","",YEAR($J571-WEEKDAY($J571,2)+4)&amp;"-W"&amp;TEXT(_xludf.ISOWEEKNUM($J571),"00"))</f>
        <v/>
      </c>
      <c r="B571"/>
      <c r="C571" t="str">
        <f>IF($J571="","",SUMIFS('Hours Log'!$C:$C,'Hours Log'!$A:$A,"&gt;="&amp;$J571,'Hours Log'!$A:$A,"&lt;"&amp;$J571+7)+SUMIFS('Hours Log'!$D:$D,'Hours Log'!$A:$A,"&gt;="&amp;$J571,'Hours Log'!$A:$A,"&lt;"&amp;$J571+7))</f>
        <v/>
      </c>
      <c r="D571" t="str">
        <f>IF($J571="","",SUMIFS('Hours Log'!$D:$D,'Hours Log'!$A:$A,"&gt;="&amp;$J571,'Hours Log'!$A:$A,"&lt;"&amp;$J571+7))</f>
        <v/>
      </c>
      <c r="E571" t="str">
        <f t="shared" si="16"/>
        <v/>
      </c>
      <c r="F571" t="str">
        <f t="shared" si="17"/>
        <v/>
      </c>
      <c r="G571" t="str">
        <f>IF($J571="","",SUMIFS('Hours Log'!$E:$E,'Hours Log'!$A:$A,"&gt;="&amp;$J571,'Hours Log'!$A:$A,"&lt;"&amp;$J571+7))</f>
        <v/>
      </c>
      <c r="J571" t="str">
        <f>IF(COUNT('Hours Log'!$A$4:$A$5000)=0,"",IF(MIN('Hours Log'!$A$4:$A$5000)+7*(ROW()-10)&gt;MAX('Hours Log'!$A$4:$A$5000),"",MIN('Hours Log'!$A$4:$A$5000)+7*(ROW()-10)))</f>
        <v/>
      </c>
    </row>
    <row r="572" spans="1:10" x14ac:dyDescent="0.25">
      <c r="A572" t="str">
        <f>IF($J572="","",YEAR($J572-WEEKDAY($J572,2)+4)&amp;"-W"&amp;TEXT(_xludf.ISOWEEKNUM($J572),"00"))</f>
        <v/>
      </c>
      <c r="B572"/>
      <c r="C572" t="str">
        <f>IF($J572="","",SUMIFS('Hours Log'!$C:$C,'Hours Log'!$A:$A,"&gt;="&amp;$J572,'Hours Log'!$A:$A,"&lt;"&amp;$J572+7)+SUMIFS('Hours Log'!$D:$D,'Hours Log'!$A:$A,"&gt;="&amp;$J572,'Hours Log'!$A:$A,"&lt;"&amp;$J572+7))</f>
        <v/>
      </c>
      <c r="D572" t="str">
        <f>IF($J572="","",SUMIFS('Hours Log'!$D:$D,'Hours Log'!$A:$A,"&gt;="&amp;$J572,'Hours Log'!$A:$A,"&lt;"&amp;$J572+7))</f>
        <v/>
      </c>
      <c r="E572" t="str">
        <f t="shared" si="16"/>
        <v/>
      </c>
      <c r="F572" t="str">
        <f t="shared" si="17"/>
        <v/>
      </c>
      <c r="G572" t="str">
        <f>IF($J572="","",SUMIFS('Hours Log'!$E:$E,'Hours Log'!$A:$A,"&gt;="&amp;$J572,'Hours Log'!$A:$A,"&lt;"&amp;$J572+7))</f>
        <v/>
      </c>
      <c r="J572" t="str">
        <f>IF(COUNT('Hours Log'!$A$4:$A$5000)=0,"",IF(MIN('Hours Log'!$A$4:$A$5000)+7*(ROW()-10)&gt;MAX('Hours Log'!$A$4:$A$5000),"",MIN('Hours Log'!$A$4:$A$5000)+7*(ROW()-10)))</f>
        <v/>
      </c>
    </row>
    <row r="573" spans="1:10" x14ac:dyDescent="0.25">
      <c r="A573" t="str">
        <f>IF($J573="","",YEAR($J573-WEEKDAY($J573,2)+4)&amp;"-W"&amp;TEXT(_xludf.ISOWEEKNUM($J573),"00"))</f>
        <v/>
      </c>
      <c r="B573"/>
      <c r="C573" t="str">
        <f>IF($J573="","",SUMIFS('Hours Log'!$C:$C,'Hours Log'!$A:$A,"&gt;="&amp;$J573,'Hours Log'!$A:$A,"&lt;"&amp;$J573+7)+SUMIFS('Hours Log'!$D:$D,'Hours Log'!$A:$A,"&gt;="&amp;$J573,'Hours Log'!$A:$A,"&lt;"&amp;$J573+7))</f>
        <v/>
      </c>
      <c r="D573" t="str">
        <f>IF($J573="","",SUMIFS('Hours Log'!$D:$D,'Hours Log'!$A:$A,"&gt;="&amp;$J573,'Hours Log'!$A:$A,"&lt;"&amp;$J573+7))</f>
        <v/>
      </c>
      <c r="E573" t="str">
        <f t="shared" si="16"/>
        <v/>
      </c>
      <c r="F573" t="str">
        <f t="shared" si="17"/>
        <v/>
      </c>
      <c r="G573" t="str">
        <f>IF($J573="","",SUMIFS('Hours Log'!$E:$E,'Hours Log'!$A:$A,"&gt;="&amp;$J573,'Hours Log'!$A:$A,"&lt;"&amp;$J573+7))</f>
        <v/>
      </c>
      <c r="J573" t="str">
        <f>IF(COUNT('Hours Log'!$A$4:$A$5000)=0,"",IF(MIN('Hours Log'!$A$4:$A$5000)+7*(ROW()-10)&gt;MAX('Hours Log'!$A$4:$A$5000),"",MIN('Hours Log'!$A$4:$A$5000)+7*(ROW()-10)))</f>
        <v/>
      </c>
    </row>
    <row r="574" spans="1:10" x14ac:dyDescent="0.25">
      <c r="A574" t="str">
        <f>IF($J574="","",YEAR($J574-WEEKDAY($J574,2)+4)&amp;"-W"&amp;TEXT(_xludf.ISOWEEKNUM($J574),"00"))</f>
        <v/>
      </c>
      <c r="B574"/>
      <c r="C574" t="str">
        <f>IF($J574="","",SUMIFS('Hours Log'!$C:$C,'Hours Log'!$A:$A,"&gt;="&amp;$J574,'Hours Log'!$A:$A,"&lt;"&amp;$J574+7)+SUMIFS('Hours Log'!$D:$D,'Hours Log'!$A:$A,"&gt;="&amp;$J574,'Hours Log'!$A:$A,"&lt;"&amp;$J574+7))</f>
        <v/>
      </c>
      <c r="D574" t="str">
        <f>IF($J574="","",SUMIFS('Hours Log'!$D:$D,'Hours Log'!$A:$A,"&gt;="&amp;$J574,'Hours Log'!$A:$A,"&lt;"&amp;$J574+7))</f>
        <v/>
      </c>
      <c r="E574" t="str">
        <f t="shared" si="16"/>
        <v/>
      </c>
      <c r="F574" t="str">
        <f t="shared" si="17"/>
        <v/>
      </c>
      <c r="G574" t="str">
        <f>IF($J574="","",SUMIFS('Hours Log'!$E:$E,'Hours Log'!$A:$A,"&gt;="&amp;$J574,'Hours Log'!$A:$A,"&lt;"&amp;$J574+7))</f>
        <v/>
      </c>
      <c r="J574" t="str">
        <f>IF(COUNT('Hours Log'!$A$4:$A$5000)=0,"",IF(MIN('Hours Log'!$A$4:$A$5000)+7*(ROW()-10)&gt;MAX('Hours Log'!$A$4:$A$5000),"",MIN('Hours Log'!$A$4:$A$5000)+7*(ROW()-10)))</f>
        <v/>
      </c>
    </row>
    <row r="575" spans="1:10" x14ac:dyDescent="0.25">
      <c r="A575" t="str">
        <f>IF($J575="","",YEAR($J575-WEEKDAY($J575,2)+4)&amp;"-W"&amp;TEXT(_xludf.ISOWEEKNUM($J575),"00"))</f>
        <v/>
      </c>
      <c r="B575"/>
      <c r="C575" t="str">
        <f>IF($J575="","",SUMIFS('Hours Log'!$C:$C,'Hours Log'!$A:$A,"&gt;="&amp;$J575,'Hours Log'!$A:$A,"&lt;"&amp;$J575+7)+SUMIFS('Hours Log'!$D:$D,'Hours Log'!$A:$A,"&gt;="&amp;$J575,'Hours Log'!$A:$A,"&lt;"&amp;$J575+7))</f>
        <v/>
      </c>
      <c r="D575" t="str">
        <f>IF($J575="","",SUMIFS('Hours Log'!$D:$D,'Hours Log'!$A:$A,"&gt;="&amp;$J575,'Hours Log'!$A:$A,"&lt;"&amp;$J575+7))</f>
        <v/>
      </c>
      <c r="E575" t="str">
        <f t="shared" si="16"/>
        <v/>
      </c>
      <c r="F575" t="str">
        <f t="shared" si="17"/>
        <v/>
      </c>
      <c r="G575" t="str">
        <f>IF($J575="","",SUMIFS('Hours Log'!$E:$E,'Hours Log'!$A:$A,"&gt;="&amp;$J575,'Hours Log'!$A:$A,"&lt;"&amp;$J575+7))</f>
        <v/>
      </c>
      <c r="J575" t="str">
        <f>IF(COUNT('Hours Log'!$A$4:$A$5000)=0,"",IF(MIN('Hours Log'!$A$4:$A$5000)+7*(ROW()-10)&gt;MAX('Hours Log'!$A$4:$A$5000),"",MIN('Hours Log'!$A$4:$A$5000)+7*(ROW()-10)))</f>
        <v/>
      </c>
    </row>
    <row r="576" spans="1:10" x14ac:dyDescent="0.25">
      <c r="A576" t="str">
        <f>IF($J576="","",YEAR($J576-WEEKDAY($J576,2)+4)&amp;"-W"&amp;TEXT(_xludf.ISOWEEKNUM($J576),"00"))</f>
        <v/>
      </c>
      <c r="B576"/>
      <c r="C576" t="str">
        <f>IF($J576="","",SUMIFS('Hours Log'!$C:$C,'Hours Log'!$A:$A,"&gt;="&amp;$J576,'Hours Log'!$A:$A,"&lt;"&amp;$J576+7)+SUMIFS('Hours Log'!$D:$D,'Hours Log'!$A:$A,"&gt;="&amp;$J576,'Hours Log'!$A:$A,"&lt;"&amp;$J576+7))</f>
        <v/>
      </c>
      <c r="D576" t="str">
        <f>IF($J576="","",SUMIFS('Hours Log'!$D:$D,'Hours Log'!$A:$A,"&gt;="&amp;$J576,'Hours Log'!$A:$A,"&lt;"&amp;$J576+7))</f>
        <v/>
      </c>
      <c r="E576" t="str">
        <f t="shared" si="16"/>
        <v/>
      </c>
      <c r="F576" t="str">
        <f t="shared" si="17"/>
        <v/>
      </c>
      <c r="G576" t="str">
        <f>IF($J576="","",SUMIFS('Hours Log'!$E:$E,'Hours Log'!$A:$A,"&gt;="&amp;$J576,'Hours Log'!$A:$A,"&lt;"&amp;$J576+7))</f>
        <v/>
      </c>
      <c r="J576" t="str">
        <f>IF(COUNT('Hours Log'!$A$4:$A$5000)=0,"",IF(MIN('Hours Log'!$A$4:$A$5000)+7*(ROW()-10)&gt;MAX('Hours Log'!$A$4:$A$5000),"",MIN('Hours Log'!$A$4:$A$5000)+7*(ROW()-10)))</f>
        <v/>
      </c>
    </row>
    <row r="577" spans="1:10" x14ac:dyDescent="0.25">
      <c r="A577" t="str">
        <f>IF($J577="","",YEAR($J577-WEEKDAY($J577,2)+4)&amp;"-W"&amp;TEXT(_xludf.ISOWEEKNUM($J577),"00"))</f>
        <v/>
      </c>
      <c r="B577"/>
      <c r="C577" t="str">
        <f>IF($J577="","",SUMIFS('Hours Log'!$C:$C,'Hours Log'!$A:$A,"&gt;="&amp;$J577,'Hours Log'!$A:$A,"&lt;"&amp;$J577+7)+SUMIFS('Hours Log'!$D:$D,'Hours Log'!$A:$A,"&gt;="&amp;$J577,'Hours Log'!$A:$A,"&lt;"&amp;$J577+7))</f>
        <v/>
      </c>
      <c r="D577" t="str">
        <f>IF($J577="","",SUMIFS('Hours Log'!$D:$D,'Hours Log'!$A:$A,"&gt;="&amp;$J577,'Hours Log'!$A:$A,"&lt;"&amp;$J577+7))</f>
        <v/>
      </c>
      <c r="E577" t="str">
        <f t="shared" si="16"/>
        <v/>
      </c>
      <c r="F577" t="str">
        <f t="shared" si="17"/>
        <v/>
      </c>
      <c r="G577" t="str">
        <f>IF($J577="","",SUMIFS('Hours Log'!$E:$E,'Hours Log'!$A:$A,"&gt;="&amp;$J577,'Hours Log'!$A:$A,"&lt;"&amp;$J577+7))</f>
        <v/>
      </c>
      <c r="J577" t="str">
        <f>IF(COUNT('Hours Log'!$A$4:$A$5000)=0,"",IF(MIN('Hours Log'!$A$4:$A$5000)+7*(ROW()-10)&gt;MAX('Hours Log'!$A$4:$A$5000),"",MIN('Hours Log'!$A$4:$A$5000)+7*(ROW()-10)))</f>
        <v/>
      </c>
    </row>
    <row r="578" spans="1:10" x14ac:dyDescent="0.25">
      <c r="A578" t="str">
        <f>IF($J578="","",YEAR($J578-WEEKDAY($J578,2)+4)&amp;"-W"&amp;TEXT(_xludf.ISOWEEKNUM($J578),"00"))</f>
        <v/>
      </c>
      <c r="B578"/>
      <c r="C578" t="str">
        <f>IF($J578="","",SUMIFS('Hours Log'!$C:$C,'Hours Log'!$A:$A,"&gt;="&amp;$J578,'Hours Log'!$A:$A,"&lt;"&amp;$J578+7)+SUMIFS('Hours Log'!$D:$D,'Hours Log'!$A:$A,"&gt;="&amp;$J578,'Hours Log'!$A:$A,"&lt;"&amp;$J578+7))</f>
        <v/>
      </c>
      <c r="D578" t="str">
        <f>IF($J578="","",SUMIFS('Hours Log'!$D:$D,'Hours Log'!$A:$A,"&gt;="&amp;$J578,'Hours Log'!$A:$A,"&lt;"&amp;$J578+7))</f>
        <v/>
      </c>
      <c r="E578" t="str">
        <f t="shared" si="16"/>
        <v/>
      </c>
      <c r="F578" t="str">
        <f t="shared" si="17"/>
        <v/>
      </c>
      <c r="G578" t="str">
        <f>IF($J578="","",SUMIFS('Hours Log'!$E:$E,'Hours Log'!$A:$A,"&gt;="&amp;$J578,'Hours Log'!$A:$A,"&lt;"&amp;$J578+7))</f>
        <v/>
      </c>
      <c r="J578" t="str">
        <f>IF(COUNT('Hours Log'!$A$4:$A$5000)=0,"",IF(MIN('Hours Log'!$A$4:$A$5000)+7*(ROW()-10)&gt;MAX('Hours Log'!$A$4:$A$5000),"",MIN('Hours Log'!$A$4:$A$5000)+7*(ROW()-10)))</f>
        <v/>
      </c>
    </row>
    <row r="579" spans="1:10" x14ac:dyDescent="0.25">
      <c r="A579" t="str">
        <f>IF($J579="","",YEAR($J579-WEEKDAY($J579,2)+4)&amp;"-W"&amp;TEXT(_xludf.ISOWEEKNUM($J579),"00"))</f>
        <v/>
      </c>
      <c r="B579"/>
      <c r="C579" t="str">
        <f>IF($J579="","",SUMIFS('Hours Log'!$C:$C,'Hours Log'!$A:$A,"&gt;="&amp;$J579,'Hours Log'!$A:$A,"&lt;"&amp;$J579+7)+SUMIFS('Hours Log'!$D:$D,'Hours Log'!$A:$A,"&gt;="&amp;$J579,'Hours Log'!$A:$A,"&lt;"&amp;$J579+7))</f>
        <v/>
      </c>
      <c r="D579" t="str">
        <f>IF($J579="","",SUMIFS('Hours Log'!$D:$D,'Hours Log'!$A:$A,"&gt;="&amp;$J579,'Hours Log'!$A:$A,"&lt;"&amp;$J579+7))</f>
        <v/>
      </c>
      <c r="E579" t="str">
        <f t="shared" si="16"/>
        <v/>
      </c>
      <c r="F579" t="str">
        <f t="shared" si="17"/>
        <v/>
      </c>
      <c r="G579" t="str">
        <f>IF($J579="","",SUMIFS('Hours Log'!$E:$E,'Hours Log'!$A:$A,"&gt;="&amp;$J579,'Hours Log'!$A:$A,"&lt;"&amp;$J579+7))</f>
        <v/>
      </c>
      <c r="J579" t="str">
        <f>IF(COUNT('Hours Log'!$A$4:$A$5000)=0,"",IF(MIN('Hours Log'!$A$4:$A$5000)+7*(ROW()-10)&gt;MAX('Hours Log'!$A$4:$A$5000),"",MIN('Hours Log'!$A$4:$A$5000)+7*(ROW()-10)))</f>
        <v/>
      </c>
    </row>
    <row r="580" spans="1:10" x14ac:dyDescent="0.25">
      <c r="A580" t="str">
        <f>IF($J580="","",YEAR($J580-WEEKDAY($J580,2)+4)&amp;"-W"&amp;TEXT(_xludf.ISOWEEKNUM($J580),"00"))</f>
        <v/>
      </c>
      <c r="B580"/>
      <c r="C580" t="str">
        <f>IF($J580="","",SUMIFS('Hours Log'!$C:$C,'Hours Log'!$A:$A,"&gt;="&amp;$J580,'Hours Log'!$A:$A,"&lt;"&amp;$J580+7)+SUMIFS('Hours Log'!$D:$D,'Hours Log'!$A:$A,"&gt;="&amp;$J580,'Hours Log'!$A:$A,"&lt;"&amp;$J580+7))</f>
        <v/>
      </c>
      <c r="D580" t="str">
        <f>IF($J580="","",SUMIFS('Hours Log'!$D:$D,'Hours Log'!$A:$A,"&gt;="&amp;$J580,'Hours Log'!$A:$A,"&lt;"&amp;$J580+7))</f>
        <v/>
      </c>
      <c r="E580" t="str">
        <f t="shared" si="16"/>
        <v/>
      </c>
      <c r="F580" t="str">
        <f t="shared" si="17"/>
        <v/>
      </c>
      <c r="G580" t="str">
        <f>IF($J580="","",SUMIFS('Hours Log'!$E:$E,'Hours Log'!$A:$A,"&gt;="&amp;$J580,'Hours Log'!$A:$A,"&lt;"&amp;$J580+7))</f>
        <v/>
      </c>
      <c r="J580" t="str">
        <f>IF(COUNT('Hours Log'!$A$4:$A$5000)=0,"",IF(MIN('Hours Log'!$A$4:$A$5000)+7*(ROW()-10)&gt;MAX('Hours Log'!$A$4:$A$5000),"",MIN('Hours Log'!$A$4:$A$5000)+7*(ROW()-10)))</f>
        <v/>
      </c>
    </row>
    <row r="581" spans="1:10" x14ac:dyDescent="0.25">
      <c r="A581" t="str">
        <f>IF($J581="","",YEAR($J581-WEEKDAY($J581,2)+4)&amp;"-W"&amp;TEXT(_xludf.ISOWEEKNUM($J581),"00"))</f>
        <v/>
      </c>
      <c r="B581"/>
      <c r="C581" t="str">
        <f>IF($J581="","",SUMIFS('Hours Log'!$C:$C,'Hours Log'!$A:$A,"&gt;="&amp;$J581,'Hours Log'!$A:$A,"&lt;"&amp;$J581+7)+SUMIFS('Hours Log'!$D:$D,'Hours Log'!$A:$A,"&gt;="&amp;$J581,'Hours Log'!$A:$A,"&lt;"&amp;$J581+7))</f>
        <v/>
      </c>
      <c r="D581" t="str">
        <f>IF($J581="","",SUMIFS('Hours Log'!$D:$D,'Hours Log'!$A:$A,"&gt;="&amp;$J581,'Hours Log'!$A:$A,"&lt;"&amp;$J581+7))</f>
        <v/>
      </c>
      <c r="E581" t="str">
        <f t="shared" si="16"/>
        <v/>
      </c>
      <c r="F581" t="str">
        <f t="shared" si="17"/>
        <v/>
      </c>
      <c r="G581" t="str">
        <f>IF($J581="","",SUMIFS('Hours Log'!$E:$E,'Hours Log'!$A:$A,"&gt;="&amp;$J581,'Hours Log'!$A:$A,"&lt;"&amp;$J581+7))</f>
        <v/>
      </c>
      <c r="J581" t="str">
        <f>IF(COUNT('Hours Log'!$A$4:$A$5000)=0,"",IF(MIN('Hours Log'!$A$4:$A$5000)+7*(ROW()-10)&gt;MAX('Hours Log'!$A$4:$A$5000),"",MIN('Hours Log'!$A$4:$A$5000)+7*(ROW()-10)))</f>
        <v/>
      </c>
    </row>
    <row r="582" spans="1:10" x14ac:dyDescent="0.25">
      <c r="A582" t="str">
        <f>IF($J582="","",YEAR($J582-WEEKDAY($J582,2)+4)&amp;"-W"&amp;TEXT(_xludf.ISOWEEKNUM($J582),"00"))</f>
        <v/>
      </c>
      <c r="B582"/>
      <c r="C582" t="str">
        <f>IF($J582="","",SUMIFS('Hours Log'!$C:$C,'Hours Log'!$A:$A,"&gt;="&amp;$J582,'Hours Log'!$A:$A,"&lt;"&amp;$J582+7)+SUMIFS('Hours Log'!$D:$D,'Hours Log'!$A:$A,"&gt;="&amp;$J582,'Hours Log'!$A:$A,"&lt;"&amp;$J582+7))</f>
        <v/>
      </c>
      <c r="D582" t="str">
        <f>IF($J582="","",SUMIFS('Hours Log'!$D:$D,'Hours Log'!$A:$A,"&gt;="&amp;$J582,'Hours Log'!$A:$A,"&lt;"&amp;$J582+7))</f>
        <v/>
      </c>
      <c r="E582" t="str">
        <f t="shared" si="16"/>
        <v/>
      </c>
      <c r="F582" t="str">
        <f t="shared" si="17"/>
        <v/>
      </c>
      <c r="G582" t="str">
        <f>IF($J582="","",SUMIFS('Hours Log'!$E:$E,'Hours Log'!$A:$A,"&gt;="&amp;$J582,'Hours Log'!$A:$A,"&lt;"&amp;$J582+7))</f>
        <v/>
      </c>
      <c r="J582" t="str">
        <f>IF(COUNT('Hours Log'!$A$4:$A$5000)=0,"",IF(MIN('Hours Log'!$A$4:$A$5000)+7*(ROW()-10)&gt;MAX('Hours Log'!$A$4:$A$5000),"",MIN('Hours Log'!$A$4:$A$5000)+7*(ROW()-10)))</f>
        <v/>
      </c>
    </row>
    <row r="583" spans="1:10" x14ac:dyDescent="0.25">
      <c r="A583" t="str">
        <f>IF($J583="","",YEAR($J583-WEEKDAY($J583,2)+4)&amp;"-W"&amp;TEXT(_xludf.ISOWEEKNUM($J583),"00"))</f>
        <v/>
      </c>
      <c r="B583"/>
      <c r="C583" t="str">
        <f>IF($J583="","",SUMIFS('Hours Log'!$C:$C,'Hours Log'!$A:$A,"&gt;="&amp;$J583,'Hours Log'!$A:$A,"&lt;"&amp;$J583+7)+SUMIFS('Hours Log'!$D:$D,'Hours Log'!$A:$A,"&gt;="&amp;$J583,'Hours Log'!$A:$A,"&lt;"&amp;$J583+7))</f>
        <v/>
      </c>
      <c r="D583" t="str">
        <f>IF($J583="","",SUMIFS('Hours Log'!$D:$D,'Hours Log'!$A:$A,"&gt;="&amp;$J583,'Hours Log'!$A:$A,"&lt;"&amp;$J583+7))</f>
        <v/>
      </c>
      <c r="E583" t="str">
        <f t="shared" si="16"/>
        <v/>
      </c>
      <c r="F583" t="str">
        <f t="shared" si="17"/>
        <v/>
      </c>
      <c r="G583" t="str">
        <f>IF($J583="","",SUMIFS('Hours Log'!$E:$E,'Hours Log'!$A:$A,"&gt;="&amp;$J583,'Hours Log'!$A:$A,"&lt;"&amp;$J583+7))</f>
        <v/>
      </c>
      <c r="J583" t="str">
        <f>IF(COUNT('Hours Log'!$A$4:$A$5000)=0,"",IF(MIN('Hours Log'!$A$4:$A$5000)+7*(ROW()-10)&gt;MAX('Hours Log'!$A$4:$A$5000),"",MIN('Hours Log'!$A$4:$A$5000)+7*(ROW()-10)))</f>
        <v/>
      </c>
    </row>
    <row r="584" spans="1:10" x14ac:dyDescent="0.25">
      <c r="A584" t="str">
        <f>IF($J584="","",YEAR($J584-WEEKDAY($J584,2)+4)&amp;"-W"&amp;TEXT(_xludf.ISOWEEKNUM($J584),"00"))</f>
        <v/>
      </c>
      <c r="B584"/>
      <c r="C584" t="str">
        <f>IF($J584="","",SUMIFS('Hours Log'!$C:$C,'Hours Log'!$A:$A,"&gt;="&amp;$J584,'Hours Log'!$A:$A,"&lt;"&amp;$J584+7)+SUMIFS('Hours Log'!$D:$D,'Hours Log'!$A:$A,"&gt;="&amp;$J584,'Hours Log'!$A:$A,"&lt;"&amp;$J584+7))</f>
        <v/>
      </c>
      <c r="D584" t="str">
        <f>IF($J584="","",SUMIFS('Hours Log'!$D:$D,'Hours Log'!$A:$A,"&gt;="&amp;$J584,'Hours Log'!$A:$A,"&lt;"&amp;$J584+7))</f>
        <v/>
      </c>
      <c r="E584" t="str">
        <f t="shared" si="16"/>
        <v/>
      </c>
      <c r="F584" t="str">
        <f t="shared" si="17"/>
        <v/>
      </c>
      <c r="G584" t="str">
        <f>IF($J584="","",SUMIFS('Hours Log'!$E:$E,'Hours Log'!$A:$A,"&gt;="&amp;$J584,'Hours Log'!$A:$A,"&lt;"&amp;$J584+7))</f>
        <v/>
      </c>
      <c r="J584" t="str">
        <f>IF(COUNT('Hours Log'!$A$4:$A$5000)=0,"",IF(MIN('Hours Log'!$A$4:$A$5000)+7*(ROW()-10)&gt;MAX('Hours Log'!$A$4:$A$5000),"",MIN('Hours Log'!$A$4:$A$5000)+7*(ROW()-10)))</f>
        <v/>
      </c>
    </row>
    <row r="585" spans="1:10" x14ac:dyDescent="0.25">
      <c r="A585" t="str">
        <f>IF($J585="","",YEAR($J585-WEEKDAY($J585,2)+4)&amp;"-W"&amp;TEXT(_xludf.ISOWEEKNUM($J585),"00"))</f>
        <v/>
      </c>
      <c r="B585"/>
      <c r="C585" t="str">
        <f>IF($J585="","",SUMIFS('Hours Log'!$C:$C,'Hours Log'!$A:$A,"&gt;="&amp;$J585,'Hours Log'!$A:$A,"&lt;"&amp;$J585+7)+SUMIFS('Hours Log'!$D:$D,'Hours Log'!$A:$A,"&gt;="&amp;$J585,'Hours Log'!$A:$A,"&lt;"&amp;$J585+7))</f>
        <v/>
      </c>
      <c r="D585" t="str">
        <f>IF($J585="","",SUMIFS('Hours Log'!$D:$D,'Hours Log'!$A:$A,"&gt;="&amp;$J585,'Hours Log'!$A:$A,"&lt;"&amp;$J585+7))</f>
        <v/>
      </c>
      <c r="E585" t="str">
        <f t="shared" si="16"/>
        <v/>
      </c>
      <c r="F585" t="str">
        <f t="shared" si="17"/>
        <v/>
      </c>
      <c r="G585" t="str">
        <f>IF($J585="","",SUMIFS('Hours Log'!$E:$E,'Hours Log'!$A:$A,"&gt;="&amp;$J585,'Hours Log'!$A:$A,"&lt;"&amp;$J585+7))</f>
        <v/>
      </c>
      <c r="J585" t="str">
        <f>IF(COUNT('Hours Log'!$A$4:$A$5000)=0,"",IF(MIN('Hours Log'!$A$4:$A$5000)+7*(ROW()-10)&gt;MAX('Hours Log'!$A$4:$A$5000),"",MIN('Hours Log'!$A$4:$A$5000)+7*(ROW()-10)))</f>
        <v/>
      </c>
    </row>
    <row r="586" spans="1:10" x14ac:dyDescent="0.25">
      <c r="A586" t="str">
        <f>IF($J586="","",YEAR($J586-WEEKDAY($J586,2)+4)&amp;"-W"&amp;TEXT(_xludf.ISOWEEKNUM($J586),"00"))</f>
        <v/>
      </c>
      <c r="B586"/>
      <c r="C586" t="str">
        <f>IF($J586="","",SUMIFS('Hours Log'!$C:$C,'Hours Log'!$A:$A,"&gt;="&amp;$J586,'Hours Log'!$A:$A,"&lt;"&amp;$J586+7)+SUMIFS('Hours Log'!$D:$D,'Hours Log'!$A:$A,"&gt;="&amp;$J586,'Hours Log'!$A:$A,"&lt;"&amp;$J586+7))</f>
        <v/>
      </c>
      <c r="D586" t="str">
        <f>IF($J586="","",SUMIFS('Hours Log'!$D:$D,'Hours Log'!$A:$A,"&gt;="&amp;$J586,'Hours Log'!$A:$A,"&lt;"&amp;$J586+7))</f>
        <v/>
      </c>
      <c r="E586" t="str">
        <f t="shared" ref="E586:E649" si="18">IF($J586="","",IFERROR(C586/(B586*40),0))</f>
        <v/>
      </c>
      <c r="F586" t="str">
        <f t="shared" ref="F586:F649" si="19">IF($J586="","",0)</f>
        <v/>
      </c>
      <c r="G586" t="str">
        <f>IF($J586="","",SUMIFS('Hours Log'!$E:$E,'Hours Log'!$A:$A,"&gt;="&amp;$J586,'Hours Log'!$A:$A,"&lt;"&amp;$J586+7))</f>
        <v/>
      </c>
      <c r="J586" t="str">
        <f>IF(COUNT('Hours Log'!$A$4:$A$5000)=0,"",IF(MIN('Hours Log'!$A$4:$A$5000)+7*(ROW()-10)&gt;MAX('Hours Log'!$A$4:$A$5000),"",MIN('Hours Log'!$A$4:$A$5000)+7*(ROW()-10)))</f>
        <v/>
      </c>
    </row>
    <row r="587" spans="1:10" x14ac:dyDescent="0.25">
      <c r="A587" t="str">
        <f>IF($J587="","",YEAR($J587-WEEKDAY($J587,2)+4)&amp;"-W"&amp;TEXT(_xludf.ISOWEEKNUM($J587),"00"))</f>
        <v/>
      </c>
      <c r="B587"/>
      <c r="C587" t="str">
        <f>IF($J587="","",SUMIFS('Hours Log'!$C:$C,'Hours Log'!$A:$A,"&gt;="&amp;$J587,'Hours Log'!$A:$A,"&lt;"&amp;$J587+7)+SUMIFS('Hours Log'!$D:$D,'Hours Log'!$A:$A,"&gt;="&amp;$J587,'Hours Log'!$A:$A,"&lt;"&amp;$J587+7))</f>
        <v/>
      </c>
      <c r="D587" t="str">
        <f>IF($J587="","",SUMIFS('Hours Log'!$D:$D,'Hours Log'!$A:$A,"&gt;="&amp;$J587,'Hours Log'!$A:$A,"&lt;"&amp;$J587+7))</f>
        <v/>
      </c>
      <c r="E587" t="str">
        <f t="shared" si="18"/>
        <v/>
      </c>
      <c r="F587" t="str">
        <f t="shared" si="19"/>
        <v/>
      </c>
      <c r="G587" t="str">
        <f>IF($J587="","",SUMIFS('Hours Log'!$E:$E,'Hours Log'!$A:$A,"&gt;="&amp;$J587,'Hours Log'!$A:$A,"&lt;"&amp;$J587+7))</f>
        <v/>
      </c>
      <c r="J587" t="str">
        <f>IF(COUNT('Hours Log'!$A$4:$A$5000)=0,"",IF(MIN('Hours Log'!$A$4:$A$5000)+7*(ROW()-10)&gt;MAX('Hours Log'!$A$4:$A$5000),"",MIN('Hours Log'!$A$4:$A$5000)+7*(ROW()-10)))</f>
        <v/>
      </c>
    </row>
    <row r="588" spans="1:10" x14ac:dyDescent="0.25">
      <c r="A588" t="str">
        <f>IF($J588="","",YEAR($J588-WEEKDAY($J588,2)+4)&amp;"-W"&amp;TEXT(_xludf.ISOWEEKNUM($J588),"00"))</f>
        <v/>
      </c>
      <c r="B588"/>
      <c r="C588" t="str">
        <f>IF($J588="","",SUMIFS('Hours Log'!$C:$C,'Hours Log'!$A:$A,"&gt;="&amp;$J588,'Hours Log'!$A:$A,"&lt;"&amp;$J588+7)+SUMIFS('Hours Log'!$D:$D,'Hours Log'!$A:$A,"&gt;="&amp;$J588,'Hours Log'!$A:$A,"&lt;"&amp;$J588+7))</f>
        <v/>
      </c>
      <c r="D588" t="str">
        <f>IF($J588="","",SUMIFS('Hours Log'!$D:$D,'Hours Log'!$A:$A,"&gt;="&amp;$J588,'Hours Log'!$A:$A,"&lt;"&amp;$J588+7))</f>
        <v/>
      </c>
      <c r="E588" t="str">
        <f t="shared" si="18"/>
        <v/>
      </c>
      <c r="F588" t="str">
        <f t="shared" si="19"/>
        <v/>
      </c>
      <c r="G588" t="str">
        <f>IF($J588="","",SUMIFS('Hours Log'!$E:$E,'Hours Log'!$A:$A,"&gt;="&amp;$J588,'Hours Log'!$A:$A,"&lt;"&amp;$J588+7))</f>
        <v/>
      </c>
      <c r="J588" t="str">
        <f>IF(COUNT('Hours Log'!$A$4:$A$5000)=0,"",IF(MIN('Hours Log'!$A$4:$A$5000)+7*(ROW()-10)&gt;MAX('Hours Log'!$A$4:$A$5000),"",MIN('Hours Log'!$A$4:$A$5000)+7*(ROW()-10)))</f>
        <v/>
      </c>
    </row>
    <row r="589" spans="1:10" x14ac:dyDescent="0.25">
      <c r="A589" t="str">
        <f>IF($J589="","",YEAR($J589-WEEKDAY($J589,2)+4)&amp;"-W"&amp;TEXT(_xludf.ISOWEEKNUM($J589),"00"))</f>
        <v/>
      </c>
      <c r="B589"/>
      <c r="C589" t="str">
        <f>IF($J589="","",SUMIFS('Hours Log'!$C:$C,'Hours Log'!$A:$A,"&gt;="&amp;$J589,'Hours Log'!$A:$A,"&lt;"&amp;$J589+7)+SUMIFS('Hours Log'!$D:$D,'Hours Log'!$A:$A,"&gt;="&amp;$J589,'Hours Log'!$A:$A,"&lt;"&amp;$J589+7))</f>
        <v/>
      </c>
      <c r="D589" t="str">
        <f>IF($J589="","",SUMIFS('Hours Log'!$D:$D,'Hours Log'!$A:$A,"&gt;="&amp;$J589,'Hours Log'!$A:$A,"&lt;"&amp;$J589+7))</f>
        <v/>
      </c>
      <c r="E589" t="str">
        <f t="shared" si="18"/>
        <v/>
      </c>
      <c r="F589" t="str">
        <f t="shared" si="19"/>
        <v/>
      </c>
      <c r="G589" t="str">
        <f>IF($J589="","",SUMIFS('Hours Log'!$E:$E,'Hours Log'!$A:$A,"&gt;="&amp;$J589,'Hours Log'!$A:$A,"&lt;"&amp;$J589+7))</f>
        <v/>
      </c>
      <c r="J589" t="str">
        <f>IF(COUNT('Hours Log'!$A$4:$A$5000)=0,"",IF(MIN('Hours Log'!$A$4:$A$5000)+7*(ROW()-10)&gt;MAX('Hours Log'!$A$4:$A$5000),"",MIN('Hours Log'!$A$4:$A$5000)+7*(ROW()-10)))</f>
        <v/>
      </c>
    </row>
    <row r="590" spans="1:10" x14ac:dyDescent="0.25">
      <c r="A590" t="str">
        <f>IF($J590="","",YEAR($J590-WEEKDAY($J590,2)+4)&amp;"-W"&amp;TEXT(_xludf.ISOWEEKNUM($J590),"00"))</f>
        <v/>
      </c>
      <c r="B590"/>
      <c r="C590" t="str">
        <f>IF($J590="","",SUMIFS('Hours Log'!$C:$C,'Hours Log'!$A:$A,"&gt;="&amp;$J590,'Hours Log'!$A:$A,"&lt;"&amp;$J590+7)+SUMIFS('Hours Log'!$D:$D,'Hours Log'!$A:$A,"&gt;="&amp;$J590,'Hours Log'!$A:$A,"&lt;"&amp;$J590+7))</f>
        <v/>
      </c>
      <c r="D590" t="str">
        <f>IF($J590="","",SUMIFS('Hours Log'!$D:$D,'Hours Log'!$A:$A,"&gt;="&amp;$J590,'Hours Log'!$A:$A,"&lt;"&amp;$J590+7))</f>
        <v/>
      </c>
      <c r="E590" t="str">
        <f t="shared" si="18"/>
        <v/>
      </c>
      <c r="F590" t="str">
        <f t="shared" si="19"/>
        <v/>
      </c>
      <c r="G590" t="str">
        <f>IF($J590="","",SUMIFS('Hours Log'!$E:$E,'Hours Log'!$A:$A,"&gt;="&amp;$J590,'Hours Log'!$A:$A,"&lt;"&amp;$J590+7))</f>
        <v/>
      </c>
      <c r="J590" t="str">
        <f>IF(COUNT('Hours Log'!$A$4:$A$5000)=0,"",IF(MIN('Hours Log'!$A$4:$A$5000)+7*(ROW()-10)&gt;MAX('Hours Log'!$A$4:$A$5000),"",MIN('Hours Log'!$A$4:$A$5000)+7*(ROW()-10)))</f>
        <v/>
      </c>
    </row>
    <row r="591" spans="1:10" x14ac:dyDescent="0.25">
      <c r="A591" t="str">
        <f>IF($J591="","",YEAR($J591-WEEKDAY($J591,2)+4)&amp;"-W"&amp;TEXT(_xludf.ISOWEEKNUM($J591),"00"))</f>
        <v/>
      </c>
      <c r="B591"/>
      <c r="C591" t="str">
        <f>IF($J591="","",SUMIFS('Hours Log'!$C:$C,'Hours Log'!$A:$A,"&gt;="&amp;$J591,'Hours Log'!$A:$A,"&lt;"&amp;$J591+7)+SUMIFS('Hours Log'!$D:$D,'Hours Log'!$A:$A,"&gt;="&amp;$J591,'Hours Log'!$A:$A,"&lt;"&amp;$J591+7))</f>
        <v/>
      </c>
      <c r="D591" t="str">
        <f>IF($J591="","",SUMIFS('Hours Log'!$D:$D,'Hours Log'!$A:$A,"&gt;="&amp;$J591,'Hours Log'!$A:$A,"&lt;"&amp;$J591+7))</f>
        <v/>
      </c>
      <c r="E591" t="str">
        <f t="shared" si="18"/>
        <v/>
      </c>
      <c r="F591" t="str">
        <f t="shared" si="19"/>
        <v/>
      </c>
      <c r="G591" t="str">
        <f>IF($J591="","",SUMIFS('Hours Log'!$E:$E,'Hours Log'!$A:$A,"&gt;="&amp;$J591,'Hours Log'!$A:$A,"&lt;"&amp;$J591+7))</f>
        <v/>
      </c>
      <c r="J591" t="str">
        <f>IF(COUNT('Hours Log'!$A$4:$A$5000)=0,"",IF(MIN('Hours Log'!$A$4:$A$5000)+7*(ROW()-10)&gt;MAX('Hours Log'!$A$4:$A$5000),"",MIN('Hours Log'!$A$4:$A$5000)+7*(ROW()-10)))</f>
        <v/>
      </c>
    </row>
    <row r="592" spans="1:10" x14ac:dyDescent="0.25">
      <c r="A592" t="str">
        <f>IF($J592="","",YEAR($J592-WEEKDAY($J592,2)+4)&amp;"-W"&amp;TEXT(_xludf.ISOWEEKNUM($J592),"00"))</f>
        <v/>
      </c>
      <c r="B592"/>
      <c r="C592" t="str">
        <f>IF($J592="","",SUMIFS('Hours Log'!$C:$C,'Hours Log'!$A:$A,"&gt;="&amp;$J592,'Hours Log'!$A:$A,"&lt;"&amp;$J592+7)+SUMIFS('Hours Log'!$D:$D,'Hours Log'!$A:$A,"&gt;="&amp;$J592,'Hours Log'!$A:$A,"&lt;"&amp;$J592+7))</f>
        <v/>
      </c>
      <c r="D592" t="str">
        <f>IF($J592="","",SUMIFS('Hours Log'!$D:$D,'Hours Log'!$A:$A,"&gt;="&amp;$J592,'Hours Log'!$A:$A,"&lt;"&amp;$J592+7))</f>
        <v/>
      </c>
      <c r="E592" t="str">
        <f t="shared" si="18"/>
        <v/>
      </c>
      <c r="F592" t="str">
        <f t="shared" si="19"/>
        <v/>
      </c>
      <c r="G592" t="str">
        <f>IF($J592="","",SUMIFS('Hours Log'!$E:$E,'Hours Log'!$A:$A,"&gt;="&amp;$J592,'Hours Log'!$A:$A,"&lt;"&amp;$J592+7))</f>
        <v/>
      </c>
      <c r="J592" t="str">
        <f>IF(COUNT('Hours Log'!$A$4:$A$5000)=0,"",IF(MIN('Hours Log'!$A$4:$A$5000)+7*(ROW()-10)&gt;MAX('Hours Log'!$A$4:$A$5000),"",MIN('Hours Log'!$A$4:$A$5000)+7*(ROW()-10)))</f>
        <v/>
      </c>
    </row>
    <row r="593" spans="1:10" x14ac:dyDescent="0.25">
      <c r="A593" t="str">
        <f>IF($J593="","",YEAR($J593-WEEKDAY($J593,2)+4)&amp;"-W"&amp;TEXT(_xludf.ISOWEEKNUM($J593),"00"))</f>
        <v/>
      </c>
      <c r="B593"/>
      <c r="C593" t="str">
        <f>IF($J593="","",SUMIFS('Hours Log'!$C:$C,'Hours Log'!$A:$A,"&gt;="&amp;$J593,'Hours Log'!$A:$A,"&lt;"&amp;$J593+7)+SUMIFS('Hours Log'!$D:$D,'Hours Log'!$A:$A,"&gt;="&amp;$J593,'Hours Log'!$A:$A,"&lt;"&amp;$J593+7))</f>
        <v/>
      </c>
      <c r="D593" t="str">
        <f>IF($J593="","",SUMIFS('Hours Log'!$D:$D,'Hours Log'!$A:$A,"&gt;="&amp;$J593,'Hours Log'!$A:$A,"&lt;"&amp;$J593+7))</f>
        <v/>
      </c>
      <c r="E593" t="str">
        <f t="shared" si="18"/>
        <v/>
      </c>
      <c r="F593" t="str">
        <f t="shared" si="19"/>
        <v/>
      </c>
      <c r="G593" t="str">
        <f>IF($J593="","",SUMIFS('Hours Log'!$E:$E,'Hours Log'!$A:$A,"&gt;="&amp;$J593,'Hours Log'!$A:$A,"&lt;"&amp;$J593+7))</f>
        <v/>
      </c>
      <c r="J593" t="str">
        <f>IF(COUNT('Hours Log'!$A$4:$A$5000)=0,"",IF(MIN('Hours Log'!$A$4:$A$5000)+7*(ROW()-10)&gt;MAX('Hours Log'!$A$4:$A$5000),"",MIN('Hours Log'!$A$4:$A$5000)+7*(ROW()-10)))</f>
        <v/>
      </c>
    </row>
    <row r="594" spans="1:10" x14ac:dyDescent="0.25">
      <c r="A594" t="str">
        <f>IF($J594="","",YEAR($J594-WEEKDAY($J594,2)+4)&amp;"-W"&amp;TEXT(_xludf.ISOWEEKNUM($J594),"00"))</f>
        <v/>
      </c>
      <c r="B594"/>
      <c r="C594" t="str">
        <f>IF($J594="","",SUMIFS('Hours Log'!$C:$C,'Hours Log'!$A:$A,"&gt;="&amp;$J594,'Hours Log'!$A:$A,"&lt;"&amp;$J594+7)+SUMIFS('Hours Log'!$D:$D,'Hours Log'!$A:$A,"&gt;="&amp;$J594,'Hours Log'!$A:$A,"&lt;"&amp;$J594+7))</f>
        <v/>
      </c>
      <c r="D594" t="str">
        <f>IF($J594="","",SUMIFS('Hours Log'!$D:$D,'Hours Log'!$A:$A,"&gt;="&amp;$J594,'Hours Log'!$A:$A,"&lt;"&amp;$J594+7))</f>
        <v/>
      </c>
      <c r="E594" t="str">
        <f t="shared" si="18"/>
        <v/>
      </c>
      <c r="F594" t="str">
        <f t="shared" si="19"/>
        <v/>
      </c>
      <c r="G594" t="str">
        <f>IF($J594="","",SUMIFS('Hours Log'!$E:$E,'Hours Log'!$A:$A,"&gt;="&amp;$J594,'Hours Log'!$A:$A,"&lt;"&amp;$J594+7))</f>
        <v/>
      </c>
      <c r="J594" t="str">
        <f>IF(COUNT('Hours Log'!$A$4:$A$5000)=0,"",IF(MIN('Hours Log'!$A$4:$A$5000)+7*(ROW()-10)&gt;MAX('Hours Log'!$A$4:$A$5000),"",MIN('Hours Log'!$A$4:$A$5000)+7*(ROW()-10)))</f>
        <v/>
      </c>
    </row>
    <row r="595" spans="1:10" x14ac:dyDescent="0.25">
      <c r="A595" t="str">
        <f>IF($J595="","",YEAR($J595-WEEKDAY($J595,2)+4)&amp;"-W"&amp;TEXT(_xludf.ISOWEEKNUM($J595),"00"))</f>
        <v/>
      </c>
      <c r="B595"/>
      <c r="C595" t="str">
        <f>IF($J595="","",SUMIFS('Hours Log'!$C:$C,'Hours Log'!$A:$A,"&gt;="&amp;$J595,'Hours Log'!$A:$A,"&lt;"&amp;$J595+7)+SUMIFS('Hours Log'!$D:$D,'Hours Log'!$A:$A,"&gt;="&amp;$J595,'Hours Log'!$A:$A,"&lt;"&amp;$J595+7))</f>
        <v/>
      </c>
      <c r="D595" t="str">
        <f>IF($J595="","",SUMIFS('Hours Log'!$D:$D,'Hours Log'!$A:$A,"&gt;="&amp;$J595,'Hours Log'!$A:$A,"&lt;"&amp;$J595+7))</f>
        <v/>
      </c>
      <c r="E595" t="str">
        <f t="shared" si="18"/>
        <v/>
      </c>
      <c r="F595" t="str">
        <f t="shared" si="19"/>
        <v/>
      </c>
      <c r="G595" t="str">
        <f>IF($J595="","",SUMIFS('Hours Log'!$E:$E,'Hours Log'!$A:$A,"&gt;="&amp;$J595,'Hours Log'!$A:$A,"&lt;"&amp;$J595+7))</f>
        <v/>
      </c>
      <c r="J595" t="str">
        <f>IF(COUNT('Hours Log'!$A$4:$A$5000)=0,"",IF(MIN('Hours Log'!$A$4:$A$5000)+7*(ROW()-10)&gt;MAX('Hours Log'!$A$4:$A$5000),"",MIN('Hours Log'!$A$4:$A$5000)+7*(ROW()-10)))</f>
        <v/>
      </c>
    </row>
    <row r="596" spans="1:10" x14ac:dyDescent="0.25">
      <c r="A596" t="str">
        <f>IF($J596="","",YEAR($J596-WEEKDAY($J596,2)+4)&amp;"-W"&amp;TEXT(_xludf.ISOWEEKNUM($J596),"00"))</f>
        <v/>
      </c>
      <c r="B596"/>
      <c r="C596" t="str">
        <f>IF($J596="","",SUMIFS('Hours Log'!$C:$C,'Hours Log'!$A:$A,"&gt;="&amp;$J596,'Hours Log'!$A:$A,"&lt;"&amp;$J596+7)+SUMIFS('Hours Log'!$D:$D,'Hours Log'!$A:$A,"&gt;="&amp;$J596,'Hours Log'!$A:$A,"&lt;"&amp;$J596+7))</f>
        <v/>
      </c>
      <c r="D596" t="str">
        <f>IF($J596="","",SUMIFS('Hours Log'!$D:$D,'Hours Log'!$A:$A,"&gt;="&amp;$J596,'Hours Log'!$A:$A,"&lt;"&amp;$J596+7))</f>
        <v/>
      </c>
      <c r="E596" t="str">
        <f t="shared" si="18"/>
        <v/>
      </c>
      <c r="F596" t="str">
        <f t="shared" si="19"/>
        <v/>
      </c>
      <c r="G596" t="str">
        <f>IF($J596="","",SUMIFS('Hours Log'!$E:$E,'Hours Log'!$A:$A,"&gt;="&amp;$J596,'Hours Log'!$A:$A,"&lt;"&amp;$J596+7))</f>
        <v/>
      </c>
      <c r="J596" t="str">
        <f>IF(COUNT('Hours Log'!$A$4:$A$5000)=0,"",IF(MIN('Hours Log'!$A$4:$A$5000)+7*(ROW()-10)&gt;MAX('Hours Log'!$A$4:$A$5000),"",MIN('Hours Log'!$A$4:$A$5000)+7*(ROW()-10)))</f>
        <v/>
      </c>
    </row>
    <row r="597" spans="1:10" x14ac:dyDescent="0.25">
      <c r="A597" t="str">
        <f>IF($J597="","",YEAR($J597-WEEKDAY($J597,2)+4)&amp;"-W"&amp;TEXT(_xludf.ISOWEEKNUM($J597),"00"))</f>
        <v/>
      </c>
      <c r="B597"/>
      <c r="C597" t="str">
        <f>IF($J597="","",SUMIFS('Hours Log'!$C:$C,'Hours Log'!$A:$A,"&gt;="&amp;$J597,'Hours Log'!$A:$A,"&lt;"&amp;$J597+7)+SUMIFS('Hours Log'!$D:$D,'Hours Log'!$A:$A,"&gt;="&amp;$J597,'Hours Log'!$A:$A,"&lt;"&amp;$J597+7))</f>
        <v/>
      </c>
      <c r="D597" t="str">
        <f>IF($J597="","",SUMIFS('Hours Log'!$D:$D,'Hours Log'!$A:$A,"&gt;="&amp;$J597,'Hours Log'!$A:$A,"&lt;"&amp;$J597+7))</f>
        <v/>
      </c>
      <c r="E597" t="str">
        <f t="shared" si="18"/>
        <v/>
      </c>
      <c r="F597" t="str">
        <f t="shared" si="19"/>
        <v/>
      </c>
      <c r="G597" t="str">
        <f>IF($J597="","",SUMIFS('Hours Log'!$E:$E,'Hours Log'!$A:$A,"&gt;="&amp;$J597,'Hours Log'!$A:$A,"&lt;"&amp;$J597+7))</f>
        <v/>
      </c>
      <c r="J597" t="str">
        <f>IF(COUNT('Hours Log'!$A$4:$A$5000)=0,"",IF(MIN('Hours Log'!$A$4:$A$5000)+7*(ROW()-10)&gt;MAX('Hours Log'!$A$4:$A$5000),"",MIN('Hours Log'!$A$4:$A$5000)+7*(ROW()-10)))</f>
        <v/>
      </c>
    </row>
    <row r="598" spans="1:10" x14ac:dyDescent="0.25">
      <c r="A598" t="str">
        <f>IF($J598="","",YEAR($J598-WEEKDAY($J598,2)+4)&amp;"-W"&amp;TEXT(_xludf.ISOWEEKNUM($J598),"00"))</f>
        <v/>
      </c>
      <c r="B598"/>
      <c r="C598" t="str">
        <f>IF($J598="","",SUMIFS('Hours Log'!$C:$C,'Hours Log'!$A:$A,"&gt;="&amp;$J598,'Hours Log'!$A:$A,"&lt;"&amp;$J598+7)+SUMIFS('Hours Log'!$D:$D,'Hours Log'!$A:$A,"&gt;="&amp;$J598,'Hours Log'!$A:$A,"&lt;"&amp;$J598+7))</f>
        <v/>
      </c>
      <c r="D598" t="str">
        <f>IF($J598="","",SUMIFS('Hours Log'!$D:$D,'Hours Log'!$A:$A,"&gt;="&amp;$J598,'Hours Log'!$A:$A,"&lt;"&amp;$J598+7))</f>
        <v/>
      </c>
      <c r="E598" t="str">
        <f t="shared" si="18"/>
        <v/>
      </c>
      <c r="F598" t="str">
        <f t="shared" si="19"/>
        <v/>
      </c>
      <c r="G598" t="str">
        <f>IF($J598="","",SUMIFS('Hours Log'!$E:$E,'Hours Log'!$A:$A,"&gt;="&amp;$J598,'Hours Log'!$A:$A,"&lt;"&amp;$J598+7))</f>
        <v/>
      </c>
      <c r="J598" t="str">
        <f>IF(COUNT('Hours Log'!$A$4:$A$5000)=0,"",IF(MIN('Hours Log'!$A$4:$A$5000)+7*(ROW()-10)&gt;MAX('Hours Log'!$A$4:$A$5000),"",MIN('Hours Log'!$A$4:$A$5000)+7*(ROW()-10)))</f>
        <v/>
      </c>
    </row>
    <row r="599" spans="1:10" x14ac:dyDescent="0.25">
      <c r="A599" t="str">
        <f>IF($J599="","",YEAR($J599-WEEKDAY($J599,2)+4)&amp;"-W"&amp;TEXT(_xludf.ISOWEEKNUM($J599),"00"))</f>
        <v/>
      </c>
      <c r="B599"/>
      <c r="C599" t="str">
        <f>IF($J599="","",SUMIFS('Hours Log'!$C:$C,'Hours Log'!$A:$A,"&gt;="&amp;$J599,'Hours Log'!$A:$A,"&lt;"&amp;$J599+7)+SUMIFS('Hours Log'!$D:$D,'Hours Log'!$A:$A,"&gt;="&amp;$J599,'Hours Log'!$A:$A,"&lt;"&amp;$J599+7))</f>
        <v/>
      </c>
      <c r="D599" t="str">
        <f>IF($J599="","",SUMIFS('Hours Log'!$D:$D,'Hours Log'!$A:$A,"&gt;="&amp;$J599,'Hours Log'!$A:$A,"&lt;"&amp;$J599+7))</f>
        <v/>
      </c>
      <c r="E599" t="str">
        <f t="shared" si="18"/>
        <v/>
      </c>
      <c r="F599" t="str">
        <f t="shared" si="19"/>
        <v/>
      </c>
      <c r="G599" t="str">
        <f>IF($J599="","",SUMIFS('Hours Log'!$E:$E,'Hours Log'!$A:$A,"&gt;="&amp;$J599,'Hours Log'!$A:$A,"&lt;"&amp;$J599+7))</f>
        <v/>
      </c>
      <c r="J599" t="str">
        <f>IF(COUNT('Hours Log'!$A$4:$A$5000)=0,"",IF(MIN('Hours Log'!$A$4:$A$5000)+7*(ROW()-10)&gt;MAX('Hours Log'!$A$4:$A$5000),"",MIN('Hours Log'!$A$4:$A$5000)+7*(ROW()-10)))</f>
        <v/>
      </c>
    </row>
    <row r="600" spans="1:10" x14ac:dyDescent="0.25">
      <c r="A600" t="str">
        <f>IF($J600="","",YEAR($J600-WEEKDAY($J600,2)+4)&amp;"-W"&amp;TEXT(_xludf.ISOWEEKNUM($J600),"00"))</f>
        <v/>
      </c>
      <c r="B600"/>
      <c r="C600" t="str">
        <f>IF($J600="","",SUMIFS('Hours Log'!$C:$C,'Hours Log'!$A:$A,"&gt;="&amp;$J600,'Hours Log'!$A:$A,"&lt;"&amp;$J600+7)+SUMIFS('Hours Log'!$D:$D,'Hours Log'!$A:$A,"&gt;="&amp;$J600,'Hours Log'!$A:$A,"&lt;"&amp;$J600+7))</f>
        <v/>
      </c>
      <c r="D600" t="str">
        <f>IF($J600="","",SUMIFS('Hours Log'!$D:$D,'Hours Log'!$A:$A,"&gt;="&amp;$J600,'Hours Log'!$A:$A,"&lt;"&amp;$J600+7))</f>
        <v/>
      </c>
      <c r="E600" t="str">
        <f t="shared" si="18"/>
        <v/>
      </c>
      <c r="F600" t="str">
        <f t="shared" si="19"/>
        <v/>
      </c>
      <c r="G600" t="str">
        <f>IF($J600="","",SUMIFS('Hours Log'!$E:$E,'Hours Log'!$A:$A,"&gt;="&amp;$J600,'Hours Log'!$A:$A,"&lt;"&amp;$J600+7))</f>
        <v/>
      </c>
      <c r="J600" t="str">
        <f>IF(COUNT('Hours Log'!$A$4:$A$5000)=0,"",IF(MIN('Hours Log'!$A$4:$A$5000)+7*(ROW()-10)&gt;MAX('Hours Log'!$A$4:$A$5000),"",MIN('Hours Log'!$A$4:$A$5000)+7*(ROW()-10)))</f>
        <v/>
      </c>
    </row>
    <row r="601" spans="1:10" x14ac:dyDescent="0.25">
      <c r="A601" t="str">
        <f>IF($J601="","",YEAR($J601-WEEKDAY($J601,2)+4)&amp;"-W"&amp;TEXT(_xludf.ISOWEEKNUM($J601),"00"))</f>
        <v/>
      </c>
      <c r="B601"/>
      <c r="C601" t="str">
        <f>IF($J601="","",SUMIFS('Hours Log'!$C:$C,'Hours Log'!$A:$A,"&gt;="&amp;$J601,'Hours Log'!$A:$A,"&lt;"&amp;$J601+7)+SUMIFS('Hours Log'!$D:$D,'Hours Log'!$A:$A,"&gt;="&amp;$J601,'Hours Log'!$A:$A,"&lt;"&amp;$J601+7))</f>
        <v/>
      </c>
      <c r="D601" t="str">
        <f>IF($J601="","",SUMIFS('Hours Log'!$D:$D,'Hours Log'!$A:$A,"&gt;="&amp;$J601,'Hours Log'!$A:$A,"&lt;"&amp;$J601+7))</f>
        <v/>
      </c>
      <c r="E601" t="str">
        <f t="shared" si="18"/>
        <v/>
      </c>
      <c r="F601" t="str">
        <f t="shared" si="19"/>
        <v/>
      </c>
      <c r="G601" t="str">
        <f>IF($J601="","",SUMIFS('Hours Log'!$E:$E,'Hours Log'!$A:$A,"&gt;="&amp;$J601,'Hours Log'!$A:$A,"&lt;"&amp;$J601+7))</f>
        <v/>
      </c>
      <c r="J601" t="str">
        <f>IF(COUNT('Hours Log'!$A$4:$A$5000)=0,"",IF(MIN('Hours Log'!$A$4:$A$5000)+7*(ROW()-10)&gt;MAX('Hours Log'!$A$4:$A$5000),"",MIN('Hours Log'!$A$4:$A$5000)+7*(ROW()-10)))</f>
        <v/>
      </c>
    </row>
    <row r="602" spans="1:10" x14ac:dyDescent="0.25">
      <c r="A602" t="str">
        <f>IF($J602="","",YEAR($J602-WEEKDAY($J602,2)+4)&amp;"-W"&amp;TEXT(_xludf.ISOWEEKNUM($J602),"00"))</f>
        <v/>
      </c>
      <c r="B602"/>
      <c r="C602" t="str">
        <f>IF($J602="","",SUMIFS('Hours Log'!$C:$C,'Hours Log'!$A:$A,"&gt;="&amp;$J602,'Hours Log'!$A:$A,"&lt;"&amp;$J602+7)+SUMIFS('Hours Log'!$D:$D,'Hours Log'!$A:$A,"&gt;="&amp;$J602,'Hours Log'!$A:$A,"&lt;"&amp;$J602+7))</f>
        <v/>
      </c>
      <c r="D602" t="str">
        <f>IF($J602="","",SUMIFS('Hours Log'!$D:$D,'Hours Log'!$A:$A,"&gt;="&amp;$J602,'Hours Log'!$A:$A,"&lt;"&amp;$J602+7))</f>
        <v/>
      </c>
      <c r="E602" t="str">
        <f t="shared" si="18"/>
        <v/>
      </c>
      <c r="F602" t="str">
        <f t="shared" si="19"/>
        <v/>
      </c>
      <c r="G602" t="str">
        <f>IF($J602="","",SUMIFS('Hours Log'!$E:$E,'Hours Log'!$A:$A,"&gt;="&amp;$J602,'Hours Log'!$A:$A,"&lt;"&amp;$J602+7))</f>
        <v/>
      </c>
      <c r="J602" t="str">
        <f>IF(COUNT('Hours Log'!$A$4:$A$5000)=0,"",IF(MIN('Hours Log'!$A$4:$A$5000)+7*(ROW()-10)&gt;MAX('Hours Log'!$A$4:$A$5000),"",MIN('Hours Log'!$A$4:$A$5000)+7*(ROW()-10)))</f>
        <v/>
      </c>
    </row>
    <row r="603" spans="1:10" x14ac:dyDescent="0.25">
      <c r="A603" t="str">
        <f>IF($J603="","",YEAR($J603-WEEKDAY($J603,2)+4)&amp;"-W"&amp;TEXT(_xludf.ISOWEEKNUM($J603),"00"))</f>
        <v/>
      </c>
      <c r="B603"/>
      <c r="C603" t="str">
        <f>IF($J603="","",SUMIFS('Hours Log'!$C:$C,'Hours Log'!$A:$A,"&gt;="&amp;$J603,'Hours Log'!$A:$A,"&lt;"&amp;$J603+7)+SUMIFS('Hours Log'!$D:$D,'Hours Log'!$A:$A,"&gt;="&amp;$J603,'Hours Log'!$A:$A,"&lt;"&amp;$J603+7))</f>
        <v/>
      </c>
      <c r="D603" t="str">
        <f>IF($J603="","",SUMIFS('Hours Log'!$D:$D,'Hours Log'!$A:$A,"&gt;="&amp;$J603,'Hours Log'!$A:$A,"&lt;"&amp;$J603+7))</f>
        <v/>
      </c>
      <c r="E603" t="str">
        <f t="shared" si="18"/>
        <v/>
      </c>
      <c r="F603" t="str">
        <f t="shared" si="19"/>
        <v/>
      </c>
      <c r="G603" t="str">
        <f>IF($J603="","",SUMIFS('Hours Log'!$E:$E,'Hours Log'!$A:$A,"&gt;="&amp;$J603,'Hours Log'!$A:$A,"&lt;"&amp;$J603+7))</f>
        <v/>
      </c>
      <c r="J603" t="str">
        <f>IF(COUNT('Hours Log'!$A$4:$A$5000)=0,"",IF(MIN('Hours Log'!$A$4:$A$5000)+7*(ROW()-10)&gt;MAX('Hours Log'!$A$4:$A$5000),"",MIN('Hours Log'!$A$4:$A$5000)+7*(ROW()-10)))</f>
        <v/>
      </c>
    </row>
    <row r="604" spans="1:10" x14ac:dyDescent="0.25">
      <c r="A604" t="str">
        <f>IF($J604="","",YEAR($J604-WEEKDAY($J604,2)+4)&amp;"-W"&amp;TEXT(_xludf.ISOWEEKNUM($J604),"00"))</f>
        <v/>
      </c>
      <c r="B604"/>
      <c r="C604" t="str">
        <f>IF($J604="","",SUMIFS('Hours Log'!$C:$C,'Hours Log'!$A:$A,"&gt;="&amp;$J604,'Hours Log'!$A:$A,"&lt;"&amp;$J604+7)+SUMIFS('Hours Log'!$D:$D,'Hours Log'!$A:$A,"&gt;="&amp;$J604,'Hours Log'!$A:$A,"&lt;"&amp;$J604+7))</f>
        <v/>
      </c>
      <c r="D604" t="str">
        <f>IF($J604="","",SUMIFS('Hours Log'!$D:$D,'Hours Log'!$A:$A,"&gt;="&amp;$J604,'Hours Log'!$A:$A,"&lt;"&amp;$J604+7))</f>
        <v/>
      </c>
      <c r="E604" t="str">
        <f t="shared" si="18"/>
        <v/>
      </c>
      <c r="F604" t="str">
        <f t="shared" si="19"/>
        <v/>
      </c>
      <c r="G604" t="str">
        <f>IF($J604="","",SUMIFS('Hours Log'!$E:$E,'Hours Log'!$A:$A,"&gt;="&amp;$J604,'Hours Log'!$A:$A,"&lt;"&amp;$J604+7))</f>
        <v/>
      </c>
      <c r="J604" t="str">
        <f>IF(COUNT('Hours Log'!$A$4:$A$5000)=0,"",IF(MIN('Hours Log'!$A$4:$A$5000)+7*(ROW()-10)&gt;MAX('Hours Log'!$A$4:$A$5000),"",MIN('Hours Log'!$A$4:$A$5000)+7*(ROW()-10)))</f>
        <v/>
      </c>
    </row>
    <row r="605" spans="1:10" x14ac:dyDescent="0.25">
      <c r="A605" t="str">
        <f>IF($J605="","",YEAR($J605-WEEKDAY($J605,2)+4)&amp;"-W"&amp;TEXT(_xludf.ISOWEEKNUM($J605),"00"))</f>
        <v/>
      </c>
      <c r="B605"/>
      <c r="C605" t="str">
        <f>IF($J605="","",SUMIFS('Hours Log'!$C:$C,'Hours Log'!$A:$A,"&gt;="&amp;$J605,'Hours Log'!$A:$A,"&lt;"&amp;$J605+7)+SUMIFS('Hours Log'!$D:$D,'Hours Log'!$A:$A,"&gt;="&amp;$J605,'Hours Log'!$A:$A,"&lt;"&amp;$J605+7))</f>
        <v/>
      </c>
      <c r="D605" t="str">
        <f>IF($J605="","",SUMIFS('Hours Log'!$D:$D,'Hours Log'!$A:$A,"&gt;="&amp;$J605,'Hours Log'!$A:$A,"&lt;"&amp;$J605+7))</f>
        <v/>
      </c>
      <c r="E605" t="str">
        <f t="shared" si="18"/>
        <v/>
      </c>
      <c r="F605" t="str">
        <f t="shared" si="19"/>
        <v/>
      </c>
      <c r="G605" t="str">
        <f>IF($J605="","",SUMIFS('Hours Log'!$E:$E,'Hours Log'!$A:$A,"&gt;="&amp;$J605,'Hours Log'!$A:$A,"&lt;"&amp;$J605+7))</f>
        <v/>
      </c>
      <c r="J605" t="str">
        <f>IF(COUNT('Hours Log'!$A$4:$A$5000)=0,"",IF(MIN('Hours Log'!$A$4:$A$5000)+7*(ROW()-10)&gt;MAX('Hours Log'!$A$4:$A$5000),"",MIN('Hours Log'!$A$4:$A$5000)+7*(ROW()-10)))</f>
        <v/>
      </c>
    </row>
    <row r="606" spans="1:10" x14ac:dyDescent="0.25">
      <c r="A606" t="str">
        <f>IF($J606="","",YEAR($J606-WEEKDAY($J606,2)+4)&amp;"-W"&amp;TEXT(_xludf.ISOWEEKNUM($J606),"00"))</f>
        <v/>
      </c>
      <c r="B606"/>
      <c r="C606" t="str">
        <f>IF($J606="","",SUMIFS('Hours Log'!$C:$C,'Hours Log'!$A:$A,"&gt;="&amp;$J606,'Hours Log'!$A:$A,"&lt;"&amp;$J606+7)+SUMIFS('Hours Log'!$D:$D,'Hours Log'!$A:$A,"&gt;="&amp;$J606,'Hours Log'!$A:$A,"&lt;"&amp;$J606+7))</f>
        <v/>
      </c>
      <c r="D606" t="str">
        <f>IF($J606="","",SUMIFS('Hours Log'!$D:$D,'Hours Log'!$A:$A,"&gt;="&amp;$J606,'Hours Log'!$A:$A,"&lt;"&amp;$J606+7))</f>
        <v/>
      </c>
      <c r="E606" t="str">
        <f t="shared" si="18"/>
        <v/>
      </c>
      <c r="F606" t="str">
        <f t="shared" si="19"/>
        <v/>
      </c>
      <c r="G606" t="str">
        <f>IF($J606="","",SUMIFS('Hours Log'!$E:$E,'Hours Log'!$A:$A,"&gt;="&amp;$J606,'Hours Log'!$A:$A,"&lt;"&amp;$J606+7))</f>
        <v/>
      </c>
      <c r="J606" t="str">
        <f>IF(COUNT('Hours Log'!$A$4:$A$5000)=0,"",IF(MIN('Hours Log'!$A$4:$A$5000)+7*(ROW()-10)&gt;MAX('Hours Log'!$A$4:$A$5000),"",MIN('Hours Log'!$A$4:$A$5000)+7*(ROW()-10)))</f>
        <v/>
      </c>
    </row>
    <row r="607" spans="1:10" x14ac:dyDescent="0.25">
      <c r="A607" t="str">
        <f>IF($J607="","",YEAR($J607-WEEKDAY($J607,2)+4)&amp;"-W"&amp;TEXT(_xludf.ISOWEEKNUM($J607),"00"))</f>
        <v/>
      </c>
      <c r="B607"/>
      <c r="C607" t="str">
        <f>IF($J607="","",SUMIFS('Hours Log'!$C:$C,'Hours Log'!$A:$A,"&gt;="&amp;$J607,'Hours Log'!$A:$A,"&lt;"&amp;$J607+7)+SUMIFS('Hours Log'!$D:$D,'Hours Log'!$A:$A,"&gt;="&amp;$J607,'Hours Log'!$A:$A,"&lt;"&amp;$J607+7))</f>
        <v/>
      </c>
      <c r="D607" t="str">
        <f>IF($J607="","",SUMIFS('Hours Log'!$D:$D,'Hours Log'!$A:$A,"&gt;="&amp;$J607,'Hours Log'!$A:$A,"&lt;"&amp;$J607+7))</f>
        <v/>
      </c>
      <c r="E607" t="str">
        <f t="shared" si="18"/>
        <v/>
      </c>
      <c r="F607" t="str">
        <f t="shared" si="19"/>
        <v/>
      </c>
      <c r="G607" t="str">
        <f>IF($J607="","",SUMIFS('Hours Log'!$E:$E,'Hours Log'!$A:$A,"&gt;="&amp;$J607,'Hours Log'!$A:$A,"&lt;"&amp;$J607+7))</f>
        <v/>
      </c>
      <c r="J607" t="str">
        <f>IF(COUNT('Hours Log'!$A$4:$A$5000)=0,"",IF(MIN('Hours Log'!$A$4:$A$5000)+7*(ROW()-10)&gt;MAX('Hours Log'!$A$4:$A$5000),"",MIN('Hours Log'!$A$4:$A$5000)+7*(ROW()-10)))</f>
        <v/>
      </c>
    </row>
    <row r="608" spans="1:10" x14ac:dyDescent="0.25">
      <c r="A608" t="str">
        <f>IF($J608="","",YEAR($J608-WEEKDAY($J608,2)+4)&amp;"-W"&amp;TEXT(_xludf.ISOWEEKNUM($J608),"00"))</f>
        <v/>
      </c>
      <c r="B608"/>
      <c r="C608" t="str">
        <f>IF($J608="","",SUMIFS('Hours Log'!$C:$C,'Hours Log'!$A:$A,"&gt;="&amp;$J608,'Hours Log'!$A:$A,"&lt;"&amp;$J608+7)+SUMIFS('Hours Log'!$D:$D,'Hours Log'!$A:$A,"&gt;="&amp;$J608,'Hours Log'!$A:$A,"&lt;"&amp;$J608+7))</f>
        <v/>
      </c>
      <c r="D608" t="str">
        <f>IF($J608="","",SUMIFS('Hours Log'!$D:$D,'Hours Log'!$A:$A,"&gt;="&amp;$J608,'Hours Log'!$A:$A,"&lt;"&amp;$J608+7))</f>
        <v/>
      </c>
      <c r="E608" t="str">
        <f t="shared" si="18"/>
        <v/>
      </c>
      <c r="F608" t="str">
        <f t="shared" si="19"/>
        <v/>
      </c>
      <c r="G608" t="str">
        <f>IF($J608="","",SUMIFS('Hours Log'!$E:$E,'Hours Log'!$A:$A,"&gt;="&amp;$J608,'Hours Log'!$A:$A,"&lt;"&amp;$J608+7))</f>
        <v/>
      </c>
      <c r="J608" t="str">
        <f>IF(COUNT('Hours Log'!$A$4:$A$5000)=0,"",IF(MIN('Hours Log'!$A$4:$A$5000)+7*(ROW()-10)&gt;MAX('Hours Log'!$A$4:$A$5000),"",MIN('Hours Log'!$A$4:$A$5000)+7*(ROW()-10)))</f>
        <v/>
      </c>
    </row>
    <row r="609" spans="1:10" x14ac:dyDescent="0.25">
      <c r="A609" t="str">
        <f>IF($J609="","",YEAR($J609-WEEKDAY($J609,2)+4)&amp;"-W"&amp;TEXT(_xludf.ISOWEEKNUM($J609),"00"))</f>
        <v/>
      </c>
      <c r="B609"/>
      <c r="C609" t="str">
        <f>IF($J609="","",SUMIFS('Hours Log'!$C:$C,'Hours Log'!$A:$A,"&gt;="&amp;$J609,'Hours Log'!$A:$A,"&lt;"&amp;$J609+7)+SUMIFS('Hours Log'!$D:$D,'Hours Log'!$A:$A,"&gt;="&amp;$J609,'Hours Log'!$A:$A,"&lt;"&amp;$J609+7))</f>
        <v/>
      </c>
      <c r="D609" t="str">
        <f>IF($J609="","",SUMIFS('Hours Log'!$D:$D,'Hours Log'!$A:$A,"&gt;="&amp;$J609,'Hours Log'!$A:$A,"&lt;"&amp;$J609+7))</f>
        <v/>
      </c>
      <c r="E609" t="str">
        <f t="shared" si="18"/>
        <v/>
      </c>
      <c r="F609" t="str">
        <f t="shared" si="19"/>
        <v/>
      </c>
      <c r="G609" t="str">
        <f>IF($J609="","",SUMIFS('Hours Log'!$E:$E,'Hours Log'!$A:$A,"&gt;="&amp;$J609,'Hours Log'!$A:$A,"&lt;"&amp;$J609+7))</f>
        <v/>
      </c>
      <c r="J609" t="str">
        <f>IF(COUNT('Hours Log'!$A$4:$A$5000)=0,"",IF(MIN('Hours Log'!$A$4:$A$5000)+7*(ROW()-10)&gt;MAX('Hours Log'!$A$4:$A$5000),"",MIN('Hours Log'!$A$4:$A$5000)+7*(ROW()-10)))</f>
        <v/>
      </c>
    </row>
    <row r="610" spans="1:10" x14ac:dyDescent="0.25">
      <c r="A610" t="str">
        <f>IF($J610="","",YEAR($J610-WEEKDAY($J610,2)+4)&amp;"-W"&amp;TEXT(_xludf.ISOWEEKNUM($J610),"00"))</f>
        <v/>
      </c>
      <c r="B610"/>
      <c r="C610" t="str">
        <f>IF($J610="","",SUMIFS('Hours Log'!$C:$C,'Hours Log'!$A:$A,"&gt;="&amp;$J610,'Hours Log'!$A:$A,"&lt;"&amp;$J610+7)+SUMIFS('Hours Log'!$D:$D,'Hours Log'!$A:$A,"&gt;="&amp;$J610,'Hours Log'!$A:$A,"&lt;"&amp;$J610+7))</f>
        <v/>
      </c>
      <c r="D610" t="str">
        <f>IF($J610="","",SUMIFS('Hours Log'!$D:$D,'Hours Log'!$A:$A,"&gt;="&amp;$J610,'Hours Log'!$A:$A,"&lt;"&amp;$J610+7))</f>
        <v/>
      </c>
      <c r="E610" t="str">
        <f t="shared" si="18"/>
        <v/>
      </c>
      <c r="F610" t="str">
        <f t="shared" si="19"/>
        <v/>
      </c>
      <c r="G610" t="str">
        <f>IF($J610="","",SUMIFS('Hours Log'!$E:$E,'Hours Log'!$A:$A,"&gt;="&amp;$J610,'Hours Log'!$A:$A,"&lt;"&amp;$J610+7))</f>
        <v/>
      </c>
      <c r="J610" t="str">
        <f>IF(COUNT('Hours Log'!$A$4:$A$5000)=0,"",IF(MIN('Hours Log'!$A$4:$A$5000)+7*(ROW()-10)&gt;MAX('Hours Log'!$A$4:$A$5000),"",MIN('Hours Log'!$A$4:$A$5000)+7*(ROW()-10)))</f>
        <v/>
      </c>
    </row>
    <row r="611" spans="1:10" x14ac:dyDescent="0.25">
      <c r="A611" t="str">
        <f>IF($J611="","",YEAR($J611-WEEKDAY($J611,2)+4)&amp;"-W"&amp;TEXT(_xludf.ISOWEEKNUM($J611),"00"))</f>
        <v/>
      </c>
      <c r="B611"/>
      <c r="C611" t="str">
        <f>IF($J611="","",SUMIFS('Hours Log'!$C:$C,'Hours Log'!$A:$A,"&gt;="&amp;$J611,'Hours Log'!$A:$A,"&lt;"&amp;$J611+7)+SUMIFS('Hours Log'!$D:$D,'Hours Log'!$A:$A,"&gt;="&amp;$J611,'Hours Log'!$A:$A,"&lt;"&amp;$J611+7))</f>
        <v/>
      </c>
      <c r="D611" t="str">
        <f>IF($J611="","",SUMIFS('Hours Log'!$D:$D,'Hours Log'!$A:$A,"&gt;="&amp;$J611,'Hours Log'!$A:$A,"&lt;"&amp;$J611+7))</f>
        <v/>
      </c>
      <c r="E611" t="str">
        <f t="shared" si="18"/>
        <v/>
      </c>
      <c r="F611" t="str">
        <f t="shared" si="19"/>
        <v/>
      </c>
      <c r="G611" t="str">
        <f>IF($J611="","",SUMIFS('Hours Log'!$E:$E,'Hours Log'!$A:$A,"&gt;="&amp;$J611,'Hours Log'!$A:$A,"&lt;"&amp;$J611+7))</f>
        <v/>
      </c>
      <c r="J611" t="str">
        <f>IF(COUNT('Hours Log'!$A$4:$A$5000)=0,"",IF(MIN('Hours Log'!$A$4:$A$5000)+7*(ROW()-10)&gt;MAX('Hours Log'!$A$4:$A$5000),"",MIN('Hours Log'!$A$4:$A$5000)+7*(ROW()-10)))</f>
        <v/>
      </c>
    </row>
    <row r="612" spans="1:10" x14ac:dyDescent="0.25">
      <c r="A612" t="str">
        <f>IF($J612="","",YEAR($J612-WEEKDAY($J612,2)+4)&amp;"-W"&amp;TEXT(_xludf.ISOWEEKNUM($J612),"00"))</f>
        <v/>
      </c>
      <c r="B612"/>
      <c r="C612" t="str">
        <f>IF($J612="","",SUMIFS('Hours Log'!$C:$C,'Hours Log'!$A:$A,"&gt;="&amp;$J612,'Hours Log'!$A:$A,"&lt;"&amp;$J612+7)+SUMIFS('Hours Log'!$D:$D,'Hours Log'!$A:$A,"&gt;="&amp;$J612,'Hours Log'!$A:$A,"&lt;"&amp;$J612+7))</f>
        <v/>
      </c>
      <c r="D612" t="str">
        <f>IF($J612="","",SUMIFS('Hours Log'!$D:$D,'Hours Log'!$A:$A,"&gt;="&amp;$J612,'Hours Log'!$A:$A,"&lt;"&amp;$J612+7))</f>
        <v/>
      </c>
      <c r="E612" t="str">
        <f t="shared" si="18"/>
        <v/>
      </c>
      <c r="F612" t="str">
        <f t="shared" si="19"/>
        <v/>
      </c>
      <c r="G612" t="str">
        <f>IF($J612="","",SUMIFS('Hours Log'!$E:$E,'Hours Log'!$A:$A,"&gt;="&amp;$J612,'Hours Log'!$A:$A,"&lt;"&amp;$J612+7))</f>
        <v/>
      </c>
      <c r="J612" t="str">
        <f>IF(COUNT('Hours Log'!$A$4:$A$5000)=0,"",IF(MIN('Hours Log'!$A$4:$A$5000)+7*(ROW()-10)&gt;MAX('Hours Log'!$A$4:$A$5000),"",MIN('Hours Log'!$A$4:$A$5000)+7*(ROW()-10)))</f>
        <v/>
      </c>
    </row>
    <row r="613" spans="1:10" x14ac:dyDescent="0.25">
      <c r="A613" t="str">
        <f>IF($J613="","",YEAR($J613-WEEKDAY($J613,2)+4)&amp;"-W"&amp;TEXT(_xludf.ISOWEEKNUM($J613),"00"))</f>
        <v/>
      </c>
      <c r="B613"/>
      <c r="C613" t="str">
        <f>IF($J613="","",SUMIFS('Hours Log'!$C:$C,'Hours Log'!$A:$A,"&gt;="&amp;$J613,'Hours Log'!$A:$A,"&lt;"&amp;$J613+7)+SUMIFS('Hours Log'!$D:$D,'Hours Log'!$A:$A,"&gt;="&amp;$J613,'Hours Log'!$A:$A,"&lt;"&amp;$J613+7))</f>
        <v/>
      </c>
      <c r="D613" t="str">
        <f>IF($J613="","",SUMIFS('Hours Log'!$D:$D,'Hours Log'!$A:$A,"&gt;="&amp;$J613,'Hours Log'!$A:$A,"&lt;"&amp;$J613+7))</f>
        <v/>
      </c>
      <c r="E613" t="str">
        <f t="shared" si="18"/>
        <v/>
      </c>
      <c r="F613" t="str">
        <f t="shared" si="19"/>
        <v/>
      </c>
      <c r="G613" t="str">
        <f>IF($J613="","",SUMIFS('Hours Log'!$E:$E,'Hours Log'!$A:$A,"&gt;="&amp;$J613,'Hours Log'!$A:$A,"&lt;"&amp;$J613+7))</f>
        <v/>
      </c>
      <c r="J613" t="str">
        <f>IF(COUNT('Hours Log'!$A$4:$A$5000)=0,"",IF(MIN('Hours Log'!$A$4:$A$5000)+7*(ROW()-10)&gt;MAX('Hours Log'!$A$4:$A$5000),"",MIN('Hours Log'!$A$4:$A$5000)+7*(ROW()-10)))</f>
        <v/>
      </c>
    </row>
    <row r="614" spans="1:10" x14ac:dyDescent="0.25">
      <c r="A614" t="str">
        <f>IF($J614="","",YEAR($J614-WEEKDAY($J614,2)+4)&amp;"-W"&amp;TEXT(_xludf.ISOWEEKNUM($J614),"00"))</f>
        <v/>
      </c>
      <c r="B614"/>
      <c r="C614" t="str">
        <f>IF($J614="","",SUMIFS('Hours Log'!$C:$C,'Hours Log'!$A:$A,"&gt;="&amp;$J614,'Hours Log'!$A:$A,"&lt;"&amp;$J614+7)+SUMIFS('Hours Log'!$D:$D,'Hours Log'!$A:$A,"&gt;="&amp;$J614,'Hours Log'!$A:$A,"&lt;"&amp;$J614+7))</f>
        <v/>
      </c>
      <c r="D614" t="str">
        <f>IF($J614="","",SUMIFS('Hours Log'!$D:$D,'Hours Log'!$A:$A,"&gt;="&amp;$J614,'Hours Log'!$A:$A,"&lt;"&amp;$J614+7))</f>
        <v/>
      </c>
      <c r="E614" t="str">
        <f t="shared" si="18"/>
        <v/>
      </c>
      <c r="F614" t="str">
        <f t="shared" si="19"/>
        <v/>
      </c>
      <c r="G614" t="str">
        <f>IF($J614="","",SUMIFS('Hours Log'!$E:$E,'Hours Log'!$A:$A,"&gt;="&amp;$J614,'Hours Log'!$A:$A,"&lt;"&amp;$J614+7))</f>
        <v/>
      </c>
      <c r="J614" t="str">
        <f>IF(COUNT('Hours Log'!$A$4:$A$5000)=0,"",IF(MIN('Hours Log'!$A$4:$A$5000)+7*(ROW()-10)&gt;MAX('Hours Log'!$A$4:$A$5000),"",MIN('Hours Log'!$A$4:$A$5000)+7*(ROW()-10)))</f>
        <v/>
      </c>
    </row>
    <row r="615" spans="1:10" x14ac:dyDescent="0.25">
      <c r="A615" t="str">
        <f>IF($J615="","",YEAR($J615-WEEKDAY($J615,2)+4)&amp;"-W"&amp;TEXT(_xludf.ISOWEEKNUM($J615),"00"))</f>
        <v/>
      </c>
      <c r="B615"/>
      <c r="C615" t="str">
        <f>IF($J615="","",SUMIFS('Hours Log'!$C:$C,'Hours Log'!$A:$A,"&gt;="&amp;$J615,'Hours Log'!$A:$A,"&lt;"&amp;$J615+7)+SUMIFS('Hours Log'!$D:$D,'Hours Log'!$A:$A,"&gt;="&amp;$J615,'Hours Log'!$A:$A,"&lt;"&amp;$J615+7))</f>
        <v/>
      </c>
      <c r="D615" t="str">
        <f>IF($J615="","",SUMIFS('Hours Log'!$D:$D,'Hours Log'!$A:$A,"&gt;="&amp;$J615,'Hours Log'!$A:$A,"&lt;"&amp;$J615+7))</f>
        <v/>
      </c>
      <c r="E615" t="str">
        <f t="shared" si="18"/>
        <v/>
      </c>
      <c r="F615" t="str">
        <f t="shared" si="19"/>
        <v/>
      </c>
      <c r="G615" t="str">
        <f>IF($J615="","",SUMIFS('Hours Log'!$E:$E,'Hours Log'!$A:$A,"&gt;="&amp;$J615,'Hours Log'!$A:$A,"&lt;"&amp;$J615+7))</f>
        <v/>
      </c>
      <c r="J615" t="str">
        <f>IF(COUNT('Hours Log'!$A$4:$A$5000)=0,"",IF(MIN('Hours Log'!$A$4:$A$5000)+7*(ROW()-10)&gt;MAX('Hours Log'!$A$4:$A$5000),"",MIN('Hours Log'!$A$4:$A$5000)+7*(ROW()-10)))</f>
        <v/>
      </c>
    </row>
    <row r="616" spans="1:10" x14ac:dyDescent="0.25">
      <c r="A616" t="str">
        <f>IF($J616="","",YEAR($J616-WEEKDAY($J616,2)+4)&amp;"-W"&amp;TEXT(_xludf.ISOWEEKNUM($J616),"00"))</f>
        <v/>
      </c>
      <c r="B616"/>
      <c r="C616" t="str">
        <f>IF($J616="","",SUMIFS('Hours Log'!$C:$C,'Hours Log'!$A:$A,"&gt;="&amp;$J616,'Hours Log'!$A:$A,"&lt;"&amp;$J616+7)+SUMIFS('Hours Log'!$D:$D,'Hours Log'!$A:$A,"&gt;="&amp;$J616,'Hours Log'!$A:$A,"&lt;"&amp;$J616+7))</f>
        <v/>
      </c>
      <c r="D616" t="str">
        <f>IF($J616="","",SUMIFS('Hours Log'!$D:$D,'Hours Log'!$A:$A,"&gt;="&amp;$J616,'Hours Log'!$A:$A,"&lt;"&amp;$J616+7))</f>
        <v/>
      </c>
      <c r="E616" t="str">
        <f t="shared" si="18"/>
        <v/>
      </c>
      <c r="F616" t="str">
        <f t="shared" si="19"/>
        <v/>
      </c>
      <c r="G616" t="str">
        <f>IF($J616="","",SUMIFS('Hours Log'!$E:$E,'Hours Log'!$A:$A,"&gt;="&amp;$J616,'Hours Log'!$A:$A,"&lt;"&amp;$J616+7))</f>
        <v/>
      </c>
      <c r="J616" t="str">
        <f>IF(COUNT('Hours Log'!$A$4:$A$5000)=0,"",IF(MIN('Hours Log'!$A$4:$A$5000)+7*(ROW()-10)&gt;MAX('Hours Log'!$A$4:$A$5000),"",MIN('Hours Log'!$A$4:$A$5000)+7*(ROW()-10)))</f>
        <v/>
      </c>
    </row>
    <row r="617" spans="1:10" x14ac:dyDescent="0.25">
      <c r="A617" t="str">
        <f>IF($J617="","",YEAR($J617-WEEKDAY($J617,2)+4)&amp;"-W"&amp;TEXT(_xludf.ISOWEEKNUM($J617),"00"))</f>
        <v/>
      </c>
      <c r="B617"/>
      <c r="C617" t="str">
        <f>IF($J617="","",SUMIFS('Hours Log'!$C:$C,'Hours Log'!$A:$A,"&gt;="&amp;$J617,'Hours Log'!$A:$A,"&lt;"&amp;$J617+7)+SUMIFS('Hours Log'!$D:$D,'Hours Log'!$A:$A,"&gt;="&amp;$J617,'Hours Log'!$A:$A,"&lt;"&amp;$J617+7))</f>
        <v/>
      </c>
      <c r="D617" t="str">
        <f>IF($J617="","",SUMIFS('Hours Log'!$D:$D,'Hours Log'!$A:$A,"&gt;="&amp;$J617,'Hours Log'!$A:$A,"&lt;"&amp;$J617+7))</f>
        <v/>
      </c>
      <c r="E617" t="str">
        <f t="shared" si="18"/>
        <v/>
      </c>
      <c r="F617" t="str">
        <f t="shared" si="19"/>
        <v/>
      </c>
      <c r="G617" t="str">
        <f>IF($J617="","",SUMIFS('Hours Log'!$E:$E,'Hours Log'!$A:$A,"&gt;="&amp;$J617,'Hours Log'!$A:$A,"&lt;"&amp;$J617+7))</f>
        <v/>
      </c>
      <c r="J617" t="str">
        <f>IF(COUNT('Hours Log'!$A$4:$A$5000)=0,"",IF(MIN('Hours Log'!$A$4:$A$5000)+7*(ROW()-10)&gt;MAX('Hours Log'!$A$4:$A$5000),"",MIN('Hours Log'!$A$4:$A$5000)+7*(ROW()-10)))</f>
        <v/>
      </c>
    </row>
    <row r="618" spans="1:10" x14ac:dyDescent="0.25">
      <c r="A618" t="str">
        <f>IF($J618="","",YEAR($J618-WEEKDAY($J618,2)+4)&amp;"-W"&amp;TEXT(_xludf.ISOWEEKNUM($J618),"00"))</f>
        <v/>
      </c>
      <c r="B618"/>
      <c r="C618" t="str">
        <f>IF($J618="","",SUMIFS('Hours Log'!$C:$C,'Hours Log'!$A:$A,"&gt;="&amp;$J618,'Hours Log'!$A:$A,"&lt;"&amp;$J618+7)+SUMIFS('Hours Log'!$D:$D,'Hours Log'!$A:$A,"&gt;="&amp;$J618,'Hours Log'!$A:$A,"&lt;"&amp;$J618+7))</f>
        <v/>
      </c>
      <c r="D618" t="str">
        <f>IF($J618="","",SUMIFS('Hours Log'!$D:$D,'Hours Log'!$A:$A,"&gt;="&amp;$J618,'Hours Log'!$A:$A,"&lt;"&amp;$J618+7))</f>
        <v/>
      </c>
      <c r="E618" t="str">
        <f t="shared" si="18"/>
        <v/>
      </c>
      <c r="F618" t="str">
        <f t="shared" si="19"/>
        <v/>
      </c>
      <c r="G618" t="str">
        <f>IF($J618="","",SUMIFS('Hours Log'!$E:$E,'Hours Log'!$A:$A,"&gt;="&amp;$J618,'Hours Log'!$A:$A,"&lt;"&amp;$J618+7))</f>
        <v/>
      </c>
      <c r="J618" t="str">
        <f>IF(COUNT('Hours Log'!$A$4:$A$5000)=0,"",IF(MIN('Hours Log'!$A$4:$A$5000)+7*(ROW()-10)&gt;MAX('Hours Log'!$A$4:$A$5000),"",MIN('Hours Log'!$A$4:$A$5000)+7*(ROW()-10)))</f>
        <v/>
      </c>
    </row>
    <row r="619" spans="1:10" x14ac:dyDescent="0.25">
      <c r="A619" t="str">
        <f>IF($J619="","",YEAR($J619-WEEKDAY($J619,2)+4)&amp;"-W"&amp;TEXT(_xludf.ISOWEEKNUM($J619),"00"))</f>
        <v/>
      </c>
      <c r="B619"/>
      <c r="C619" t="str">
        <f>IF($J619="","",SUMIFS('Hours Log'!$C:$C,'Hours Log'!$A:$A,"&gt;="&amp;$J619,'Hours Log'!$A:$A,"&lt;"&amp;$J619+7)+SUMIFS('Hours Log'!$D:$D,'Hours Log'!$A:$A,"&gt;="&amp;$J619,'Hours Log'!$A:$A,"&lt;"&amp;$J619+7))</f>
        <v/>
      </c>
      <c r="D619" t="str">
        <f>IF($J619="","",SUMIFS('Hours Log'!$D:$D,'Hours Log'!$A:$A,"&gt;="&amp;$J619,'Hours Log'!$A:$A,"&lt;"&amp;$J619+7))</f>
        <v/>
      </c>
      <c r="E619" t="str">
        <f t="shared" si="18"/>
        <v/>
      </c>
      <c r="F619" t="str">
        <f t="shared" si="19"/>
        <v/>
      </c>
      <c r="G619" t="str">
        <f>IF($J619="","",SUMIFS('Hours Log'!$E:$E,'Hours Log'!$A:$A,"&gt;="&amp;$J619,'Hours Log'!$A:$A,"&lt;"&amp;$J619+7))</f>
        <v/>
      </c>
      <c r="J619" t="str">
        <f>IF(COUNT('Hours Log'!$A$4:$A$5000)=0,"",IF(MIN('Hours Log'!$A$4:$A$5000)+7*(ROW()-10)&gt;MAX('Hours Log'!$A$4:$A$5000),"",MIN('Hours Log'!$A$4:$A$5000)+7*(ROW()-10)))</f>
        <v/>
      </c>
    </row>
    <row r="620" spans="1:10" x14ac:dyDescent="0.25">
      <c r="A620" t="str">
        <f>IF($J620="","",YEAR($J620-WEEKDAY($J620,2)+4)&amp;"-W"&amp;TEXT(_xludf.ISOWEEKNUM($J620),"00"))</f>
        <v/>
      </c>
      <c r="B620"/>
      <c r="C620" t="str">
        <f>IF($J620="","",SUMIFS('Hours Log'!$C:$C,'Hours Log'!$A:$A,"&gt;="&amp;$J620,'Hours Log'!$A:$A,"&lt;"&amp;$J620+7)+SUMIFS('Hours Log'!$D:$D,'Hours Log'!$A:$A,"&gt;="&amp;$J620,'Hours Log'!$A:$A,"&lt;"&amp;$J620+7))</f>
        <v/>
      </c>
      <c r="D620" t="str">
        <f>IF($J620="","",SUMIFS('Hours Log'!$D:$D,'Hours Log'!$A:$A,"&gt;="&amp;$J620,'Hours Log'!$A:$A,"&lt;"&amp;$J620+7))</f>
        <v/>
      </c>
      <c r="E620" t="str">
        <f t="shared" si="18"/>
        <v/>
      </c>
      <c r="F620" t="str">
        <f t="shared" si="19"/>
        <v/>
      </c>
      <c r="G620" t="str">
        <f>IF($J620="","",SUMIFS('Hours Log'!$E:$E,'Hours Log'!$A:$A,"&gt;="&amp;$J620,'Hours Log'!$A:$A,"&lt;"&amp;$J620+7))</f>
        <v/>
      </c>
      <c r="J620" t="str">
        <f>IF(COUNT('Hours Log'!$A$4:$A$5000)=0,"",IF(MIN('Hours Log'!$A$4:$A$5000)+7*(ROW()-10)&gt;MAX('Hours Log'!$A$4:$A$5000),"",MIN('Hours Log'!$A$4:$A$5000)+7*(ROW()-10)))</f>
        <v/>
      </c>
    </row>
    <row r="621" spans="1:10" x14ac:dyDescent="0.25">
      <c r="A621" t="str">
        <f>IF($J621="","",YEAR($J621-WEEKDAY($J621,2)+4)&amp;"-W"&amp;TEXT(_xludf.ISOWEEKNUM($J621),"00"))</f>
        <v/>
      </c>
      <c r="B621"/>
      <c r="C621" t="str">
        <f>IF($J621="","",SUMIFS('Hours Log'!$C:$C,'Hours Log'!$A:$A,"&gt;="&amp;$J621,'Hours Log'!$A:$A,"&lt;"&amp;$J621+7)+SUMIFS('Hours Log'!$D:$D,'Hours Log'!$A:$A,"&gt;="&amp;$J621,'Hours Log'!$A:$A,"&lt;"&amp;$J621+7))</f>
        <v/>
      </c>
      <c r="D621" t="str">
        <f>IF($J621="","",SUMIFS('Hours Log'!$D:$D,'Hours Log'!$A:$A,"&gt;="&amp;$J621,'Hours Log'!$A:$A,"&lt;"&amp;$J621+7))</f>
        <v/>
      </c>
      <c r="E621" t="str">
        <f t="shared" si="18"/>
        <v/>
      </c>
      <c r="F621" t="str">
        <f t="shared" si="19"/>
        <v/>
      </c>
      <c r="G621" t="str">
        <f>IF($J621="","",SUMIFS('Hours Log'!$E:$E,'Hours Log'!$A:$A,"&gt;="&amp;$J621,'Hours Log'!$A:$A,"&lt;"&amp;$J621+7))</f>
        <v/>
      </c>
      <c r="J621" t="str">
        <f>IF(COUNT('Hours Log'!$A$4:$A$5000)=0,"",IF(MIN('Hours Log'!$A$4:$A$5000)+7*(ROW()-10)&gt;MAX('Hours Log'!$A$4:$A$5000),"",MIN('Hours Log'!$A$4:$A$5000)+7*(ROW()-10)))</f>
        <v/>
      </c>
    </row>
    <row r="622" spans="1:10" x14ac:dyDescent="0.25">
      <c r="A622" t="str">
        <f>IF($J622="","",YEAR($J622-WEEKDAY($J622,2)+4)&amp;"-W"&amp;TEXT(_xludf.ISOWEEKNUM($J622),"00"))</f>
        <v/>
      </c>
      <c r="B622"/>
      <c r="C622" t="str">
        <f>IF($J622="","",SUMIFS('Hours Log'!$C:$C,'Hours Log'!$A:$A,"&gt;="&amp;$J622,'Hours Log'!$A:$A,"&lt;"&amp;$J622+7)+SUMIFS('Hours Log'!$D:$D,'Hours Log'!$A:$A,"&gt;="&amp;$J622,'Hours Log'!$A:$A,"&lt;"&amp;$J622+7))</f>
        <v/>
      </c>
      <c r="D622" t="str">
        <f>IF($J622="","",SUMIFS('Hours Log'!$D:$D,'Hours Log'!$A:$A,"&gt;="&amp;$J622,'Hours Log'!$A:$A,"&lt;"&amp;$J622+7))</f>
        <v/>
      </c>
      <c r="E622" t="str">
        <f t="shared" si="18"/>
        <v/>
      </c>
      <c r="F622" t="str">
        <f t="shared" si="19"/>
        <v/>
      </c>
      <c r="G622" t="str">
        <f>IF($J622="","",SUMIFS('Hours Log'!$E:$E,'Hours Log'!$A:$A,"&gt;="&amp;$J622,'Hours Log'!$A:$A,"&lt;"&amp;$J622+7))</f>
        <v/>
      </c>
      <c r="J622" t="str">
        <f>IF(COUNT('Hours Log'!$A$4:$A$5000)=0,"",IF(MIN('Hours Log'!$A$4:$A$5000)+7*(ROW()-10)&gt;MAX('Hours Log'!$A$4:$A$5000),"",MIN('Hours Log'!$A$4:$A$5000)+7*(ROW()-10)))</f>
        <v/>
      </c>
    </row>
    <row r="623" spans="1:10" x14ac:dyDescent="0.25">
      <c r="A623" t="str">
        <f>IF($J623="","",YEAR($J623-WEEKDAY($J623,2)+4)&amp;"-W"&amp;TEXT(_xludf.ISOWEEKNUM($J623),"00"))</f>
        <v/>
      </c>
      <c r="B623"/>
      <c r="C623" t="str">
        <f>IF($J623="","",SUMIFS('Hours Log'!$C:$C,'Hours Log'!$A:$A,"&gt;="&amp;$J623,'Hours Log'!$A:$A,"&lt;"&amp;$J623+7)+SUMIFS('Hours Log'!$D:$D,'Hours Log'!$A:$A,"&gt;="&amp;$J623,'Hours Log'!$A:$A,"&lt;"&amp;$J623+7))</f>
        <v/>
      </c>
      <c r="D623" t="str">
        <f>IF($J623="","",SUMIFS('Hours Log'!$D:$D,'Hours Log'!$A:$A,"&gt;="&amp;$J623,'Hours Log'!$A:$A,"&lt;"&amp;$J623+7))</f>
        <v/>
      </c>
      <c r="E623" t="str">
        <f t="shared" si="18"/>
        <v/>
      </c>
      <c r="F623" t="str">
        <f t="shared" si="19"/>
        <v/>
      </c>
      <c r="G623" t="str">
        <f>IF($J623="","",SUMIFS('Hours Log'!$E:$E,'Hours Log'!$A:$A,"&gt;="&amp;$J623,'Hours Log'!$A:$A,"&lt;"&amp;$J623+7))</f>
        <v/>
      </c>
      <c r="J623" t="str">
        <f>IF(COUNT('Hours Log'!$A$4:$A$5000)=0,"",IF(MIN('Hours Log'!$A$4:$A$5000)+7*(ROW()-10)&gt;MAX('Hours Log'!$A$4:$A$5000),"",MIN('Hours Log'!$A$4:$A$5000)+7*(ROW()-10)))</f>
        <v/>
      </c>
    </row>
    <row r="624" spans="1:10" x14ac:dyDescent="0.25">
      <c r="A624" t="str">
        <f>IF($J624="","",YEAR($J624-WEEKDAY($J624,2)+4)&amp;"-W"&amp;TEXT(_xludf.ISOWEEKNUM($J624),"00"))</f>
        <v/>
      </c>
      <c r="B624"/>
      <c r="C624" t="str">
        <f>IF($J624="","",SUMIFS('Hours Log'!$C:$C,'Hours Log'!$A:$A,"&gt;="&amp;$J624,'Hours Log'!$A:$A,"&lt;"&amp;$J624+7)+SUMIFS('Hours Log'!$D:$D,'Hours Log'!$A:$A,"&gt;="&amp;$J624,'Hours Log'!$A:$A,"&lt;"&amp;$J624+7))</f>
        <v/>
      </c>
      <c r="D624" t="str">
        <f>IF($J624="","",SUMIFS('Hours Log'!$D:$D,'Hours Log'!$A:$A,"&gt;="&amp;$J624,'Hours Log'!$A:$A,"&lt;"&amp;$J624+7))</f>
        <v/>
      </c>
      <c r="E624" t="str">
        <f t="shared" si="18"/>
        <v/>
      </c>
      <c r="F624" t="str">
        <f t="shared" si="19"/>
        <v/>
      </c>
      <c r="G624" t="str">
        <f>IF($J624="","",SUMIFS('Hours Log'!$E:$E,'Hours Log'!$A:$A,"&gt;="&amp;$J624,'Hours Log'!$A:$A,"&lt;"&amp;$J624+7))</f>
        <v/>
      </c>
      <c r="J624" t="str">
        <f>IF(COUNT('Hours Log'!$A$4:$A$5000)=0,"",IF(MIN('Hours Log'!$A$4:$A$5000)+7*(ROW()-10)&gt;MAX('Hours Log'!$A$4:$A$5000),"",MIN('Hours Log'!$A$4:$A$5000)+7*(ROW()-10)))</f>
        <v/>
      </c>
    </row>
    <row r="625" spans="1:10" x14ac:dyDescent="0.25">
      <c r="A625" t="str">
        <f>IF($J625="","",YEAR($J625-WEEKDAY($J625,2)+4)&amp;"-W"&amp;TEXT(_xludf.ISOWEEKNUM($J625),"00"))</f>
        <v/>
      </c>
      <c r="B625"/>
      <c r="C625" t="str">
        <f>IF($J625="","",SUMIFS('Hours Log'!$C:$C,'Hours Log'!$A:$A,"&gt;="&amp;$J625,'Hours Log'!$A:$A,"&lt;"&amp;$J625+7)+SUMIFS('Hours Log'!$D:$D,'Hours Log'!$A:$A,"&gt;="&amp;$J625,'Hours Log'!$A:$A,"&lt;"&amp;$J625+7))</f>
        <v/>
      </c>
      <c r="D625" t="str">
        <f>IF($J625="","",SUMIFS('Hours Log'!$D:$D,'Hours Log'!$A:$A,"&gt;="&amp;$J625,'Hours Log'!$A:$A,"&lt;"&amp;$J625+7))</f>
        <v/>
      </c>
      <c r="E625" t="str">
        <f t="shared" si="18"/>
        <v/>
      </c>
      <c r="F625" t="str">
        <f t="shared" si="19"/>
        <v/>
      </c>
      <c r="G625" t="str">
        <f>IF($J625="","",SUMIFS('Hours Log'!$E:$E,'Hours Log'!$A:$A,"&gt;="&amp;$J625,'Hours Log'!$A:$A,"&lt;"&amp;$J625+7))</f>
        <v/>
      </c>
      <c r="J625" t="str">
        <f>IF(COUNT('Hours Log'!$A$4:$A$5000)=0,"",IF(MIN('Hours Log'!$A$4:$A$5000)+7*(ROW()-10)&gt;MAX('Hours Log'!$A$4:$A$5000),"",MIN('Hours Log'!$A$4:$A$5000)+7*(ROW()-10)))</f>
        <v/>
      </c>
    </row>
    <row r="626" spans="1:10" x14ac:dyDescent="0.25">
      <c r="A626" t="str">
        <f>IF($J626="","",YEAR($J626-WEEKDAY($J626,2)+4)&amp;"-W"&amp;TEXT(_xludf.ISOWEEKNUM($J626),"00"))</f>
        <v/>
      </c>
      <c r="B626"/>
      <c r="C626" t="str">
        <f>IF($J626="","",SUMIFS('Hours Log'!$C:$C,'Hours Log'!$A:$A,"&gt;="&amp;$J626,'Hours Log'!$A:$A,"&lt;"&amp;$J626+7)+SUMIFS('Hours Log'!$D:$D,'Hours Log'!$A:$A,"&gt;="&amp;$J626,'Hours Log'!$A:$A,"&lt;"&amp;$J626+7))</f>
        <v/>
      </c>
      <c r="D626" t="str">
        <f>IF($J626="","",SUMIFS('Hours Log'!$D:$D,'Hours Log'!$A:$A,"&gt;="&amp;$J626,'Hours Log'!$A:$A,"&lt;"&amp;$J626+7))</f>
        <v/>
      </c>
      <c r="E626" t="str">
        <f t="shared" si="18"/>
        <v/>
      </c>
      <c r="F626" t="str">
        <f t="shared" si="19"/>
        <v/>
      </c>
      <c r="G626" t="str">
        <f>IF($J626="","",SUMIFS('Hours Log'!$E:$E,'Hours Log'!$A:$A,"&gt;="&amp;$J626,'Hours Log'!$A:$A,"&lt;"&amp;$J626+7))</f>
        <v/>
      </c>
      <c r="J626" t="str">
        <f>IF(COUNT('Hours Log'!$A$4:$A$5000)=0,"",IF(MIN('Hours Log'!$A$4:$A$5000)+7*(ROW()-10)&gt;MAX('Hours Log'!$A$4:$A$5000),"",MIN('Hours Log'!$A$4:$A$5000)+7*(ROW()-10)))</f>
        <v/>
      </c>
    </row>
    <row r="627" spans="1:10" x14ac:dyDescent="0.25">
      <c r="A627" t="str">
        <f>IF($J627="","",YEAR($J627-WEEKDAY($J627,2)+4)&amp;"-W"&amp;TEXT(_xludf.ISOWEEKNUM($J627),"00"))</f>
        <v/>
      </c>
      <c r="B627"/>
      <c r="C627" t="str">
        <f>IF($J627="","",SUMIFS('Hours Log'!$C:$C,'Hours Log'!$A:$A,"&gt;="&amp;$J627,'Hours Log'!$A:$A,"&lt;"&amp;$J627+7)+SUMIFS('Hours Log'!$D:$D,'Hours Log'!$A:$A,"&gt;="&amp;$J627,'Hours Log'!$A:$A,"&lt;"&amp;$J627+7))</f>
        <v/>
      </c>
      <c r="D627" t="str">
        <f>IF($J627="","",SUMIFS('Hours Log'!$D:$D,'Hours Log'!$A:$A,"&gt;="&amp;$J627,'Hours Log'!$A:$A,"&lt;"&amp;$J627+7))</f>
        <v/>
      </c>
      <c r="E627" t="str">
        <f t="shared" si="18"/>
        <v/>
      </c>
      <c r="F627" t="str">
        <f t="shared" si="19"/>
        <v/>
      </c>
      <c r="G627" t="str">
        <f>IF($J627="","",SUMIFS('Hours Log'!$E:$E,'Hours Log'!$A:$A,"&gt;="&amp;$J627,'Hours Log'!$A:$A,"&lt;"&amp;$J627+7))</f>
        <v/>
      </c>
      <c r="J627" t="str">
        <f>IF(COUNT('Hours Log'!$A$4:$A$5000)=0,"",IF(MIN('Hours Log'!$A$4:$A$5000)+7*(ROW()-10)&gt;MAX('Hours Log'!$A$4:$A$5000),"",MIN('Hours Log'!$A$4:$A$5000)+7*(ROW()-10)))</f>
        <v/>
      </c>
    </row>
    <row r="628" spans="1:10" x14ac:dyDescent="0.25">
      <c r="A628" t="str">
        <f>IF($J628="","",YEAR($J628-WEEKDAY($J628,2)+4)&amp;"-W"&amp;TEXT(_xludf.ISOWEEKNUM($J628),"00"))</f>
        <v/>
      </c>
      <c r="B628"/>
      <c r="C628" t="str">
        <f>IF($J628="","",SUMIFS('Hours Log'!$C:$C,'Hours Log'!$A:$A,"&gt;="&amp;$J628,'Hours Log'!$A:$A,"&lt;"&amp;$J628+7)+SUMIFS('Hours Log'!$D:$D,'Hours Log'!$A:$A,"&gt;="&amp;$J628,'Hours Log'!$A:$A,"&lt;"&amp;$J628+7))</f>
        <v/>
      </c>
      <c r="D628" t="str">
        <f>IF($J628="","",SUMIFS('Hours Log'!$D:$D,'Hours Log'!$A:$A,"&gt;="&amp;$J628,'Hours Log'!$A:$A,"&lt;"&amp;$J628+7))</f>
        <v/>
      </c>
      <c r="E628" t="str">
        <f t="shared" si="18"/>
        <v/>
      </c>
      <c r="F628" t="str">
        <f t="shared" si="19"/>
        <v/>
      </c>
      <c r="G628" t="str">
        <f>IF($J628="","",SUMIFS('Hours Log'!$E:$E,'Hours Log'!$A:$A,"&gt;="&amp;$J628,'Hours Log'!$A:$A,"&lt;"&amp;$J628+7))</f>
        <v/>
      </c>
      <c r="J628" t="str">
        <f>IF(COUNT('Hours Log'!$A$4:$A$5000)=0,"",IF(MIN('Hours Log'!$A$4:$A$5000)+7*(ROW()-10)&gt;MAX('Hours Log'!$A$4:$A$5000),"",MIN('Hours Log'!$A$4:$A$5000)+7*(ROW()-10)))</f>
        <v/>
      </c>
    </row>
    <row r="629" spans="1:10" x14ac:dyDescent="0.25">
      <c r="A629" t="str">
        <f>IF($J629="","",YEAR($J629-WEEKDAY($J629,2)+4)&amp;"-W"&amp;TEXT(_xludf.ISOWEEKNUM($J629),"00"))</f>
        <v/>
      </c>
      <c r="B629"/>
      <c r="C629" t="str">
        <f>IF($J629="","",SUMIFS('Hours Log'!$C:$C,'Hours Log'!$A:$A,"&gt;="&amp;$J629,'Hours Log'!$A:$A,"&lt;"&amp;$J629+7)+SUMIFS('Hours Log'!$D:$D,'Hours Log'!$A:$A,"&gt;="&amp;$J629,'Hours Log'!$A:$A,"&lt;"&amp;$J629+7))</f>
        <v/>
      </c>
      <c r="D629" t="str">
        <f>IF($J629="","",SUMIFS('Hours Log'!$D:$D,'Hours Log'!$A:$A,"&gt;="&amp;$J629,'Hours Log'!$A:$A,"&lt;"&amp;$J629+7))</f>
        <v/>
      </c>
      <c r="E629" t="str">
        <f t="shared" si="18"/>
        <v/>
      </c>
      <c r="F629" t="str">
        <f t="shared" si="19"/>
        <v/>
      </c>
      <c r="G629" t="str">
        <f>IF($J629="","",SUMIFS('Hours Log'!$E:$E,'Hours Log'!$A:$A,"&gt;="&amp;$J629,'Hours Log'!$A:$A,"&lt;"&amp;$J629+7))</f>
        <v/>
      </c>
      <c r="J629" t="str">
        <f>IF(COUNT('Hours Log'!$A$4:$A$5000)=0,"",IF(MIN('Hours Log'!$A$4:$A$5000)+7*(ROW()-10)&gt;MAX('Hours Log'!$A$4:$A$5000),"",MIN('Hours Log'!$A$4:$A$5000)+7*(ROW()-10)))</f>
        <v/>
      </c>
    </row>
    <row r="630" spans="1:10" x14ac:dyDescent="0.25">
      <c r="A630" t="str">
        <f>IF($J630="","",YEAR($J630-WEEKDAY($J630,2)+4)&amp;"-W"&amp;TEXT(_xludf.ISOWEEKNUM($J630),"00"))</f>
        <v/>
      </c>
      <c r="B630"/>
      <c r="C630" t="str">
        <f>IF($J630="","",SUMIFS('Hours Log'!$C:$C,'Hours Log'!$A:$A,"&gt;="&amp;$J630,'Hours Log'!$A:$A,"&lt;"&amp;$J630+7)+SUMIFS('Hours Log'!$D:$D,'Hours Log'!$A:$A,"&gt;="&amp;$J630,'Hours Log'!$A:$A,"&lt;"&amp;$J630+7))</f>
        <v/>
      </c>
      <c r="D630" t="str">
        <f>IF($J630="","",SUMIFS('Hours Log'!$D:$D,'Hours Log'!$A:$A,"&gt;="&amp;$J630,'Hours Log'!$A:$A,"&lt;"&amp;$J630+7))</f>
        <v/>
      </c>
      <c r="E630" t="str">
        <f t="shared" si="18"/>
        <v/>
      </c>
      <c r="F630" t="str">
        <f t="shared" si="19"/>
        <v/>
      </c>
      <c r="G630" t="str">
        <f>IF($J630="","",SUMIFS('Hours Log'!$E:$E,'Hours Log'!$A:$A,"&gt;="&amp;$J630,'Hours Log'!$A:$A,"&lt;"&amp;$J630+7))</f>
        <v/>
      </c>
      <c r="J630" t="str">
        <f>IF(COUNT('Hours Log'!$A$4:$A$5000)=0,"",IF(MIN('Hours Log'!$A$4:$A$5000)+7*(ROW()-10)&gt;MAX('Hours Log'!$A$4:$A$5000),"",MIN('Hours Log'!$A$4:$A$5000)+7*(ROW()-10)))</f>
        <v/>
      </c>
    </row>
    <row r="631" spans="1:10" x14ac:dyDescent="0.25">
      <c r="A631" t="str">
        <f>IF($J631="","",YEAR($J631-WEEKDAY($J631,2)+4)&amp;"-W"&amp;TEXT(_xludf.ISOWEEKNUM($J631),"00"))</f>
        <v/>
      </c>
      <c r="B631"/>
      <c r="C631" t="str">
        <f>IF($J631="","",SUMIFS('Hours Log'!$C:$C,'Hours Log'!$A:$A,"&gt;="&amp;$J631,'Hours Log'!$A:$A,"&lt;"&amp;$J631+7)+SUMIFS('Hours Log'!$D:$D,'Hours Log'!$A:$A,"&gt;="&amp;$J631,'Hours Log'!$A:$A,"&lt;"&amp;$J631+7))</f>
        <v/>
      </c>
      <c r="D631" t="str">
        <f>IF($J631="","",SUMIFS('Hours Log'!$D:$D,'Hours Log'!$A:$A,"&gt;="&amp;$J631,'Hours Log'!$A:$A,"&lt;"&amp;$J631+7))</f>
        <v/>
      </c>
      <c r="E631" t="str">
        <f t="shared" si="18"/>
        <v/>
      </c>
      <c r="F631" t="str">
        <f t="shared" si="19"/>
        <v/>
      </c>
      <c r="G631" t="str">
        <f>IF($J631="","",SUMIFS('Hours Log'!$E:$E,'Hours Log'!$A:$A,"&gt;="&amp;$J631,'Hours Log'!$A:$A,"&lt;"&amp;$J631+7))</f>
        <v/>
      </c>
      <c r="J631" t="str">
        <f>IF(COUNT('Hours Log'!$A$4:$A$5000)=0,"",IF(MIN('Hours Log'!$A$4:$A$5000)+7*(ROW()-10)&gt;MAX('Hours Log'!$A$4:$A$5000),"",MIN('Hours Log'!$A$4:$A$5000)+7*(ROW()-10)))</f>
        <v/>
      </c>
    </row>
    <row r="632" spans="1:10" x14ac:dyDescent="0.25">
      <c r="A632" t="str">
        <f>IF($J632="","",YEAR($J632-WEEKDAY($J632,2)+4)&amp;"-W"&amp;TEXT(_xludf.ISOWEEKNUM($J632),"00"))</f>
        <v/>
      </c>
      <c r="B632"/>
      <c r="C632" t="str">
        <f>IF($J632="","",SUMIFS('Hours Log'!$C:$C,'Hours Log'!$A:$A,"&gt;="&amp;$J632,'Hours Log'!$A:$A,"&lt;"&amp;$J632+7)+SUMIFS('Hours Log'!$D:$D,'Hours Log'!$A:$A,"&gt;="&amp;$J632,'Hours Log'!$A:$A,"&lt;"&amp;$J632+7))</f>
        <v/>
      </c>
      <c r="D632" t="str">
        <f>IF($J632="","",SUMIFS('Hours Log'!$D:$D,'Hours Log'!$A:$A,"&gt;="&amp;$J632,'Hours Log'!$A:$A,"&lt;"&amp;$J632+7))</f>
        <v/>
      </c>
      <c r="E632" t="str">
        <f t="shared" si="18"/>
        <v/>
      </c>
      <c r="F632" t="str">
        <f t="shared" si="19"/>
        <v/>
      </c>
      <c r="G632" t="str">
        <f>IF($J632="","",SUMIFS('Hours Log'!$E:$E,'Hours Log'!$A:$A,"&gt;="&amp;$J632,'Hours Log'!$A:$A,"&lt;"&amp;$J632+7))</f>
        <v/>
      </c>
      <c r="J632" t="str">
        <f>IF(COUNT('Hours Log'!$A$4:$A$5000)=0,"",IF(MIN('Hours Log'!$A$4:$A$5000)+7*(ROW()-10)&gt;MAX('Hours Log'!$A$4:$A$5000),"",MIN('Hours Log'!$A$4:$A$5000)+7*(ROW()-10)))</f>
        <v/>
      </c>
    </row>
    <row r="633" spans="1:10" x14ac:dyDescent="0.25">
      <c r="A633" t="str">
        <f>IF($J633="","",YEAR($J633-WEEKDAY($J633,2)+4)&amp;"-W"&amp;TEXT(_xludf.ISOWEEKNUM($J633),"00"))</f>
        <v/>
      </c>
      <c r="B633"/>
      <c r="C633" t="str">
        <f>IF($J633="","",SUMIFS('Hours Log'!$C:$C,'Hours Log'!$A:$A,"&gt;="&amp;$J633,'Hours Log'!$A:$A,"&lt;"&amp;$J633+7)+SUMIFS('Hours Log'!$D:$D,'Hours Log'!$A:$A,"&gt;="&amp;$J633,'Hours Log'!$A:$A,"&lt;"&amp;$J633+7))</f>
        <v/>
      </c>
      <c r="D633" t="str">
        <f>IF($J633="","",SUMIFS('Hours Log'!$D:$D,'Hours Log'!$A:$A,"&gt;="&amp;$J633,'Hours Log'!$A:$A,"&lt;"&amp;$J633+7))</f>
        <v/>
      </c>
      <c r="E633" t="str">
        <f t="shared" si="18"/>
        <v/>
      </c>
      <c r="F633" t="str">
        <f t="shared" si="19"/>
        <v/>
      </c>
      <c r="G633" t="str">
        <f>IF($J633="","",SUMIFS('Hours Log'!$E:$E,'Hours Log'!$A:$A,"&gt;="&amp;$J633,'Hours Log'!$A:$A,"&lt;"&amp;$J633+7))</f>
        <v/>
      </c>
      <c r="J633" t="str">
        <f>IF(COUNT('Hours Log'!$A$4:$A$5000)=0,"",IF(MIN('Hours Log'!$A$4:$A$5000)+7*(ROW()-10)&gt;MAX('Hours Log'!$A$4:$A$5000),"",MIN('Hours Log'!$A$4:$A$5000)+7*(ROW()-10)))</f>
        <v/>
      </c>
    </row>
    <row r="634" spans="1:10" x14ac:dyDescent="0.25">
      <c r="A634" t="str">
        <f>IF($J634="","",YEAR($J634-WEEKDAY($J634,2)+4)&amp;"-W"&amp;TEXT(_xludf.ISOWEEKNUM($J634),"00"))</f>
        <v/>
      </c>
      <c r="B634"/>
      <c r="C634" t="str">
        <f>IF($J634="","",SUMIFS('Hours Log'!$C:$C,'Hours Log'!$A:$A,"&gt;="&amp;$J634,'Hours Log'!$A:$A,"&lt;"&amp;$J634+7)+SUMIFS('Hours Log'!$D:$D,'Hours Log'!$A:$A,"&gt;="&amp;$J634,'Hours Log'!$A:$A,"&lt;"&amp;$J634+7))</f>
        <v/>
      </c>
      <c r="D634" t="str">
        <f>IF($J634="","",SUMIFS('Hours Log'!$D:$D,'Hours Log'!$A:$A,"&gt;="&amp;$J634,'Hours Log'!$A:$A,"&lt;"&amp;$J634+7))</f>
        <v/>
      </c>
      <c r="E634" t="str">
        <f t="shared" si="18"/>
        <v/>
      </c>
      <c r="F634" t="str">
        <f t="shared" si="19"/>
        <v/>
      </c>
      <c r="G634" t="str">
        <f>IF($J634="","",SUMIFS('Hours Log'!$E:$E,'Hours Log'!$A:$A,"&gt;="&amp;$J634,'Hours Log'!$A:$A,"&lt;"&amp;$J634+7))</f>
        <v/>
      </c>
      <c r="J634" t="str">
        <f>IF(COUNT('Hours Log'!$A$4:$A$5000)=0,"",IF(MIN('Hours Log'!$A$4:$A$5000)+7*(ROW()-10)&gt;MAX('Hours Log'!$A$4:$A$5000),"",MIN('Hours Log'!$A$4:$A$5000)+7*(ROW()-10)))</f>
        <v/>
      </c>
    </row>
    <row r="635" spans="1:10" x14ac:dyDescent="0.25">
      <c r="A635" t="str">
        <f>IF($J635="","",YEAR($J635-WEEKDAY($J635,2)+4)&amp;"-W"&amp;TEXT(_xludf.ISOWEEKNUM($J635),"00"))</f>
        <v/>
      </c>
      <c r="B635"/>
      <c r="C635" t="str">
        <f>IF($J635="","",SUMIFS('Hours Log'!$C:$C,'Hours Log'!$A:$A,"&gt;="&amp;$J635,'Hours Log'!$A:$A,"&lt;"&amp;$J635+7)+SUMIFS('Hours Log'!$D:$D,'Hours Log'!$A:$A,"&gt;="&amp;$J635,'Hours Log'!$A:$A,"&lt;"&amp;$J635+7))</f>
        <v/>
      </c>
      <c r="D635" t="str">
        <f>IF($J635="","",SUMIFS('Hours Log'!$D:$D,'Hours Log'!$A:$A,"&gt;="&amp;$J635,'Hours Log'!$A:$A,"&lt;"&amp;$J635+7))</f>
        <v/>
      </c>
      <c r="E635" t="str">
        <f t="shared" si="18"/>
        <v/>
      </c>
      <c r="F635" t="str">
        <f t="shared" si="19"/>
        <v/>
      </c>
      <c r="G635" t="str">
        <f>IF($J635="","",SUMIFS('Hours Log'!$E:$E,'Hours Log'!$A:$A,"&gt;="&amp;$J635,'Hours Log'!$A:$A,"&lt;"&amp;$J635+7))</f>
        <v/>
      </c>
      <c r="J635" t="str">
        <f>IF(COUNT('Hours Log'!$A$4:$A$5000)=0,"",IF(MIN('Hours Log'!$A$4:$A$5000)+7*(ROW()-10)&gt;MAX('Hours Log'!$A$4:$A$5000),"",MIN('Hours Log'!$A$4:$A$5000)+7*(ROW()-10)))</f>
        <v/>
      </c>
    </row>
    <row r="636" spans="1:10" x14ac:dyDescent="0.25">
      <c r="A636" t="str">
        <f>IF($J636="","",YEAR($J636-WEEKDAY($J636,2)+4)&amp;"-W"&amp;TEXT(_xludf.ISOWEEKNUM($J636),"00"))</f>
        <v/>
      </c>
      <c r="B636"/>
      <c r="C636" t="str">
        <f>IF($J636="","",SUMIFS('Hours Log'!$C:$C,'Hours Log'!$A:$A,"&gt;="&amp;$J636,'Hours Log'!$A:$A,"&lt;"&amp;$J636+7)+SUMIFS('Hours Log'!$D:$D,'Hours Log'!$A:$A,"&gt;="&amp;$J636,'Hours Log'!$A:$A,"&lt;"&amp;$J636+7))</f>
        <v/>
      </c>
      <c r="D636" t="str">
        <f>IF($J636="","",SUMIFS('Hours Log'!$D:$D,'Hours Log'!$A:$A,"&gt;="&amp;$J636,'Hours Log'!$A:$A,"&lt;"&amp;$J636+7))</f>
        <v/>
      </c>
      <c r="E636" t="str">
        <f t="shared" si="18"/>
        <v/>
      </c>
      <c r="F636" t="str">
        <f t="shared" si="19"/>
        <v/>
      </c>
      <c r="G636" t="str">
        <f>IF($J636="","",SUMIFS('Hours Log'!$E:$E,'Hours Log'!$A:$A,"&gt;="&amp;$J636,'Hours Log'!$A:$A,"&lt;"&amp;$J636+7))</f>
        <v/>
      </c>
      <c r="J636" t="str">
        <f>IF(COUNT('Hours Log'!$A$4:$A$5000)=0,"",IF(MIN('Hours Log'!$A$4:$A$5000)+7*(ROW()-10)&gt;MAX('Hours Log'!$A$4:$A$5000),"",MIN('Hours Log'!$A$4:$A$5000)+7*(ROW()-10)))</f>
        <v/>
      </c>
    </row>
    <row r="637" spans="1:10" x14ac:dyDescent="0.25">
      <c r="A637" t="str">
        <f>IF($J637="","",YEAR($J637-WEEKDAY($J637,2)+4)&amp;"-W"&amp;TEXT(_xludf.ISOWEEKNUM($J637),"00"))</f>
        <v/>
      </c>
      <c r="B637"/>
      <c r="C637" t="str">
        <f>IF($J637="","",SUMIFS('Hours Log'!$C:$C,'Hours Log'!$A:$A,"&gt;="&amp;$J637,'Hours Log'!$A:$A,"&lt;"&amp;$J637+7)+SUMIFS('Hours Log'!$D:$D,'Hours Log'!$A:$A,"&gt;="&amp;$J637,'Hours Log'!$A:$A,"&lt;"&amp;$J637+7))</f>
        <v/>
      </c>
      <c r="D637" t="str">
        <f>IF($J637="","",SUMIFS('Hours Log'!$D:$D,'Hours Log'!$A:$A,"&gt;="&amp;$J637,'Hours Log'!$A:$A,"&lt;"&amp;$J637+7))</f>
        <v/>
      </c>
      <c r="E637" t="str">
        <f t="shared" si="18"/>
        <v/>
      </c>
      <c r="F637" t="str">
        <f t="shared" si="19"/>
        <v/>
      </c>
      <c r="G637" t="str">
        <f>IF($J637="","",SUMIFS('Hours Log'!$E:$E,'Hours Log'!$A:$A,"&gt;="&amp;$J637,'Hours Log'!$A:$A,"&lt;"&amp;$J637+7))</f>
        <v/>
      </c>
      <c r="J637" t="str">
        <f>IF(COUNT('Hours Log'!$A$4:$A$5000)=0,"",IF(MIN('Hours Log'!$A$4:$A$5000)+7*(ROW()-10)&gt;MAX('Hours Log'!$A$4:$A$5000),"",MIN('Hours Log'!$A$4:$A$5000)+7*(ROW()-10)))</f>
        <v/>
      </c>
    </row>
    <row r="638" spans="1:10" x14ac:dyDescent="0.25">
      <c r="A638" t="str">
        <f>IF($J638="","",YEAR($J638-WEEKDAY($J638,2)+4)&amp;"-W"&amp;TEXT(_xludf.ISOWEEKNUM($J638),"00"))</f>
        <v/>
      </c>
      <c r="B638"/>
      <c r="C638" t="str">
        <f>IF($J638="","",SUMIFS('Hours Log'!$C:$C,'Hours Log'!$A:$A,"&gt;="&amp;$J638,'Hours Log'!$A:$A,"&lt;"&amp;$J638+7)+SUMIFS('Hours Log'!$D:$D,'Hours Log'!$A:$A,"&gt;="&amp;$J638,'Hours Log'!$A:$A,"&lt;"&amp;$J638+7))</f>
        <v/>
      </c>
      <c r="D638" t="str">
        <f>IF($J638="","",SUMIFS('Hours Log'!$D:$D,'Hours Log'!$A:$A,"&gt;="&amp;$J638,'Hours Log'!$A:$A,"&lt;"&amp;$J638+7))</f>
        <v/>
      </c>
      <c r="E638" t="str">
        <f t="shared" si="18"/>
        <v/>
      </c>
      <c r="F638" t="str">
        <f t="shared" si="19"/>
        <v/>
      </c>
      <c r="G638" t="str">
        <f>IF($J638="","",SUMIFS('Hours Log'!$E:$E,'Hours Log'!$A:$A,"&gt;="&amp;$J638,'Hours Log'!$A:$A,"&lt;"&amp;$J638+7))</f>
        <v/>
      </c>
      <c r="J638" t="str">
        <f>IF(COUNT('Hours Log'!$A$4:$A$5000)=0,"",IF(MIN('Hours Log'!$A$4:$A$5000)+7*(ROW()-10)&gt;MAX('Hours Log'!$A$4:$A$5000),"",MIN('Hours Log'!$A$4:$A$5000)+7*(ROW()-10)))</f>
        <v/>
      </c>
    </row>
    <row r="639" spans="1:10" x14ac:dyDescent="0.25">
      <c r="A639" t="str">
        <f>IF($J639="","",YEAR($J639-WEEKDAY($J639,2)+4)&amp;"-W"&amp;TEXT(_xludf.ISOWEEKNUM($J639),"00"))</f>
        <v/>
      </c>
      <c r="B639"/>
      <c r="C639" t="str">
        <f>IF($J639="","",SUMIFS('Hours Log'!$C:$C,'Hours Log'!$A:$A,"&gt;="&amp;$J639,'Hours Log'!$A:$A,"&lt;"&amp;$J639+7)+SUMIFS('Hours Log'!$D:$D,'Hours Log'!$A:$A,"&gt;="&amp;$J639,'Hours Log'!$A:$A,"&lt;"&amp;$J639+7))</f>
        <v/>
      </c>
      <c r="D639" t="str">
        <f>IF($J639="","",SUMIFS('Hours Log'!$D:$D,'Hours Log'!$A:$A,"&gt;="&amp;$J639,'Hours Log'!$A:$A,"&lt;"&amp;$J639+7))</f>
        <v/>
      </c>
      <c r="E639" t="str">
        <f t="shared" si="18"/>
        <v/>
      </c>
      <c r="F639" t="str">
        <f t="shared" si="19"/>
        <v/>
      </c>
      <c r="G639" t="str">
        <f>IF($J639="","",SUMIFS('Hours Log'!$E:$E,'Hours Log'!$A:$A,"&gt;="&amp;$J639,'Hours Log'!$A:$A,"&lt;"&amp;$J639+7))</f>
        <v/>
      </c>
      <c r="J639" t="str">
        <f>IF(COUNT('Hours Log'!$A$4:$A$5000)=0,"",IF(MIN('Hours Log'!$A$4:$A$5000)+7*(ROW()-10)&gt;MAX('Hours Log'!$A$4:$A$5000),"",MIN('Hours Log'!$A$4:$A$5000)+7*(ROW()-10)))</f>
        <v/>
      </c>
    </row>
    <row r="640" spans="1:10" x14ac:dyDescent="0.25">
      <c r="A640" t="str">
        <f>IF($J640="","",YEAR($J640-WEEKDAY($J640,2)+4)&amp;"-W"&amp;TEXT(_xludf.ISOWEEKNUM($J640),"00"))</f>
        <v/>
      </c>
      <c r="B640"/>
      <c r="C640" t="str">
        <f>IF($J640="","",SUMIFS('Hours Log'!$C:$C,'Hours Log'!$A:$A,"&gt;="&amp;$J640,'Hours Log'!$A:$A,"&lt;"&amp;$J640+7)+SUMIFS('Hours Log'!$D:$D,'Hours Log'!$A:$A,"&gt;="&amp;$J640,'Hours Log'!$A:$A,"&lt;"&amp;$J640+7))</f>
        <v/>
      </c>
      <c r="D640" t="str">
        <f>IF($J640="","",SUMIFS('Hours Log'!$D:$D,'Hours Log'!$A:$A,"&gt;="&amp;$J640,'Hours Log'!$A:$A,"&lt;"&amp;$J640+7))</f>
        <v/>
      </c>
      <c r="E640" t="str">
        <f t="shared" si="18"/>
        <v/>
      </c>
      <c r="F640" t="str">
        <f t="shared" si="19"/>
        <v/>
      </c>
      <c r="G640" t="str">
        <f>IF($J640="","",SUMIFS('Hours Log'!$E:$E,'Hours Log'!$A:$A,"&gt;="&amp;$J640,'Hours Log'!$A:$A,"&lt;"&amp;$J640+7))</f>
        <v/>
      </c>
      <c r="J640" t="str">
        <f>IF(COUNT('Hours Log'!$A$4:$A$5000)=0,"",IF(MIN('Hours Log'!$A$4:$A$5000)+7*(ROW()-10)&gt;MAX('Hours Log'!$A$4:$A$5000),"",MIN('Hours Log'!$A$4:$A$5000)+7*(ROW()-10)))</f>
        <v/>
      </c>
    </row>
    <row r="641" spans="1:10" x14ac:dyDescent="0.25">
      <c r="A641" t="str">
        <f>IF($J641="","",YEAR($J641-WEEKDAY($J641,2)+4)&amp;"-W"&amp;TEXT(_xludf.ISOWEEKNUM($J641),"00"))</f>
        <v/>
      </c>
      <c r="B641"/>
      <c r="C641" t="str">
        <f>IF($J641="","",SUMIFS('Hours Log'!$C:$C,'Hours Log'!$A:$A,"&gt;="&amp;$J641,'Hours Log'!$A:$A,"&lt;"&amp;$J641+7)+SUMIFS('Hours Log'!$D:$D,'Hours Log'!$A:$A,"&gt;="&amp;$J641,'Hours Log'!$A:$A,"&lt;"&amp;$J641+7))</f>
        <v/>
      </c>
      <c r="D641" t="str">
        <f>IF($J641="","",SUMIFS('Hours Log'!$D:$D,'Hours Log'!$A:$A,"&gt;="&amp;$J641,'Hours Log'!$A:$A,"&lt;"&amp;$J641+7))</f>
        <v/>
      </c>
      <c r="E641" t="str">
        <f t="shared" si="18"/>
        <v/>
      </c>
      <c r="F641" t="str">
        <f t="shared" si="19"/>
        <v/>
      </c>
      <c r="G641" t="str">
        <f>IF($J641="","",SUMIFS('Hours Log'!$E:$E,'Hours Log'!$A:$A,"&gt;="&amp;$J641,'Hours Log'!$A:$A,"&lt;"&amp;$J641+7))</f>
        <v/>
      </c>
      <c r="J641" t="str">
        <f>IF(COUNT('Hours Log'!$A$4:$A$5000)=0,"",IF(MIN('Hours Log'!$A$4:$A$5000)+7*(ROW()-10)&gt;MAX('Hours Log'!$A$4:$A$5000),"",MIN('Hours Log'!$A$4:$A$5000)+7*(ROW()-10)))</f>
        <v/>
      </c>
    </row>
    <row r="642" spans="1:10" x14ac:dyDescent="0.25">
      <c r="A642" t="str">
        <f>IF($J642="","",YEAR($J642-WEEKDAY($J642,2)+4)&amp;"-W"&amp;TEXT(_xludf.ISOWEEKNUM($J642),"00"))</f>
        <v/>
      </c>
      <c r="B642"/>
      <c r="C642" t="str">
        <f>IF($J642="","",SUMIFS('Hours Log'!$C:$C,'Hours Log'!$A:$A,"&gt;="&amp;$J642,'Hours Log'!$A:$A,"&lt;"&amp;$J642+7)+SUMIFS('Hours Log'!$D:$D,'Hours Log'!$A:$A,"&gt;="&amp;$J642,'Hours Log'!$A:$A,"&lt;"&amp;$J642+7))</f>
        <v/>
      </c>
      <c r="D642" t="str">
        <f>IF($J642="","",SUMIFS('Hours Log'!$D:$D,'Hours Log'!$A:$A,"&gt;="&amp;$J642,'Hours Log'!$A:$A,"&lt;"&amp;$J642+7))</f>
        <v/>
      </c>
      <c r="E642" t="str">
        <f t="shared" si="18"/>
        <v/>
      </c>
      <c r="F642" t="str">
        <f t="shared" si="19"/>
        <v/>
      </c>
      <c r="G642" t="str">
        <f>IF($J642="","",SUMIFS('Hours Log'!$E:$E,'Hours Log'!$A:$A,"&gt;="&amp;$J642,'Hours Log'!$A:$A,"&lt;"&amp;$J642+7))</f>
        <v/>
      </c>
      <c r="J642" t="str">
        <f>IF(COUNT('Hours Log'!$A$4:$A$5000)=0,"",IF(MIN('Hours Log'!$A$4:$A$5000)+7*(ROW()-10)&gt;MAX('Hours Log'!$A$4:$A$5000),"",MIN('Hours Log'!$A$4:$A$5000)+7*(ROW()-10)))</f>
        <v/>
      </c>
    </row>
    <row r="643" spans="1:10" x14ac:dyDescent="0.25">
      <c r="A643" t="str">
        <f>IF($J643="","",YEAR($J643-WEEKDAY($J643,2)+4)&amp;"-W"&amp;TEXT(_xludf.ISOWEEKNUM($J643),"00"))</f>
        <v/>
      </c>
      <c r="B643"/>
      <c r="C643" t="str">
        <f>IF($J643="","",SUMIFS('Hours Log'!$C:$C,'Hours Log'!$A:$A,"&gt;="&amp;$J643,'Hours Log'!$A:$A,"&lt;"&amp;$J643+7)+SUMIFS('Hours Log'!$D:$D,'Hours Log'!$A:$A,"&gt;="&amp;$J643,'Hours Log'!$A:$A,"&lt;"&amp;$J643+7))</f>
        <v/>
      </c>
      <c r="D643" t="str">
        <f>IF($J643="","",SUMIFS('Hours Log'!$D:$D,'Hours Log'!$A:$A,"&gt;="&amp;$J643,'Hours Log'!$A:$A,"&lt;"&amp;$J643+7))</f>
        <v/>
      </c>
      <c r="E643" t="str">
        <f t="shared" si="18"/>
        <v/>
      </c>
      <c r="F643" t="str">
        <f t="shared" si="19"/>
        <v/>
      </c>
      <c r="G643" t="str">
        <f>IF($J643="","",SUMIFS('Hours Log'!$E:$E,'Hours Log'!$A:$A,"&gt;="&amp;$J643,'Hours Log'!$A:$A,"&lt;"&amp;$J643+7))</f>
        <v/>
      </c>
      <c r="J643" t="str">
        <f>IF(COUNT('Hours Log'!$A$4:$A$5000)=0,"",IF(MIN('Hours Log'!$A$4:$A$5000)+7*(ROW()-10)&gt;MAX('Hours Log'!$A$4:$A$5000),"",MIN('Hours Log'!$A$4:$A$5000)+7*(ROW()-10)))</f>
        <v/>
      </c>
    </row>
    <row r="644" spans="1:10" x14ac:dyDescent="0.25">
      <c r="A644" t="str">
        <f>IF($J644="","",YEAR($J644-WEEKDAY($J644,2)+4)&amp;"-W"&amp;TEXT(_xludf.ISOWEEKNUM($J644),"00"))</f>
        <v/>
      </c>
      <c r="B644"/>
      <c r="C644" t="str">
        <f>IF($J644="","",SUMIFS('Hours Log'!$C:$C,'Hours Log'!$A:$A,"&gt;="&amp;$J644,'Hours Log'!$A:$A,"&lt;"&amp;$J644+7)+SUMIFS('Hours Log'!$D:$D,'Hours Log'!$A:$A,"&gt;="&amp;$J644,'Hours Log'!$A:$A,"&lt;"&amp;$J644+7))</f>
        <v/>
      </c>
      <c r="D644" t="str">
        <f>IF($J644="","",SUMIFS('Hours Log'!$D:$D,'Hours Log'!$A:$A,"&gt;="&amp;$J644,'Hours Log'!$A:$A,"&lt;"&amp;$J644+7))</f>
        <v/>
      </c>
      <c r="E644" t="str">
        <f t="shared" si="18"/>
        <v/>
      </c>
      <c r="F644" t="str">
        <f t="shared" si="19"/>
        <v/>
      </c>
      <c r="G644" t="str">
        <f>IF($J644="","",SUMIFS('Hours Log'!$E:$E,'Hours Log'!$A:$A,"&gt;="&amp;$J644,'Hours Log'!$A:$A,"&lt;"&amp;$J644+7))</f>
        <v/>
      </c>
      <c r="J644" t="str">
        <f>IF(COUNT('Hours Log'!$A$4:$A$5000)=0,"",IF(MIN('Hours Log'!$A$4:$A$5000)+7*(ROW()-10)&gt;MAX('Hours Log'!$A$4:$A$5000),"",MIN('Hours Log'!$A$4:$A$5000)+7*(ROW()-10)))</f>
        <v/>
      </c>
    </row>
    <row r="645" spans="1:10" x14ac:dyDescent="0.25">
      <c r="A645" t="str">
        <f>IF($J645="","",YEAR($J645-WEEKDAY($J645,2)+4)&amp;"-W"&amp;TEXT(_xludf.ISOWEEKNUM($J645),"00"))</f>
        <v/>
      </c>
      <c r="B645"/>
      <c r="C645" t="str">
        <f>IF($J645="","",SUMIFS('Hours Log'!$C:$C,'Hours Log'!$A:$A,"&gt;="&amp;$J645,'Hours Log'!$A:$A,"&lt;"&amp;$J645+7)+SUMIFS('Hours Log'!$D:$D,'Hours Log'!$A:$A,"&gt;="&amp;$J645,'Hours Log'!$A:$A,"&lt;"&amp;$J645+7))</f>
        <v/>
      </c>
      <c r="D645" t="str">
        <f>IF($J645="","",SUMIFS('Hours Log'!$D:$D,'Hours Log'!$A:$A,"&gt;="&amp;$J645,'Hours Log'!$A:$A,"&lt;"&amp;$J645+7))</f>
        <v/>
      </c>
      <c r="E645" t="str">
        <f t="shared" si="18"/>
        <v/>
      </c>
      <c r="F645" t="str">
        <f t="shared" si="19"/>
        <v/>
      </c>
      <c r="G645" t="str">
        <f>IF($J645="","",SUMIFS('Hours Log'!$E:$E,'Hours Log'!$A:$A,"&gt;="&amp;$J645,'Hours Log'!$A:$A,"&lt;"&amp;$J645+7))</f>
        <v/>
      </c>
      <c r="J645" t="str">
        <f>IF(COUNT('Hours Log'!$A$4:$A$5000)=0,"",IF(MIN('Hours Log'!$A$4:$A$5000)+7*(ROW()-10)&gt;MAX('Hours Log'!$A$4:$A$5000),"",MIN('Hours Log'!$A$4:$A$5000)+7*(ROW()-10)))</f>
        <v/>
      </c>
    </row>
    <row r="646" spans="1:10" x14ac:dyDescent="0.25">
      <c r="A646" t="str">
        <f>IF($J646="","",YEAR($J646-WEEKDAY($J646,2)+4)&amp;"-W"&amp;TEXT(_xludf.ISOWEEKNUM($J646),"00"))</f>
        <v/>
      </c>
      <c r="B646"/>
      <c r="C646" t="str">
        <f>IF($J646="","",SUMIFS('Hours Log'!$C:$C,'Hours Log'!$A:$A,"&gt;="&amp;$J646,'Hours Log'!$A:$A,"&lt;"&amp;$J646+7)+SUMIFS('Hours Log'!$D:$D,'Hours Log'!$A:$A,"&gt;="&amp;$J646,'Hours Log'!$A:$A,"&lt;"&amp;$J646+7))</f>
        <v/>
      </c>
      <c r="D646" t="str">
        <f>IF($J646="","",SUMIFS('Hours Log'!$D:$D,'Hours Log'!$A:$A,"&gt;="&amp;$J646,'Hours Log'!$A:$A,"&lt;"&amp;$J646+7))</f>
        <v/>
      </c>
      <c r="E646" t="str">
        <f t="shared" si="18"/>
        <v/>
      </c>
      <c r="F646" t="str">
        <f t="shared" si="19"/>
        <v/>
      </c>
      <c r="G646" t="str">
        <f>IF($J646="","",SUMIFS('Hours Log'!$E:$E,'Hours Log'!$A:$A,"&gt;="&amp;$J646,'Hours Log'!$A:$A,"&lt;"&amp;$J646+7))</f>
        <v/>
      </c>
      <c r="J646" t="str">
        <f>IF(COUNT('Hours Log'!$A$4:$A$5000)=0,"",IF(MIN('Hours Log'!$A$4:$A$5000)+7*(ROW()-10)&gt;MAX('Hours Log'!$A$4:$A$5000),"",MIN('Hours Log'!$A$4:$A$5000)+7*(ROW()-10)))</f>
        <v/>
      </c>
    </row>
    <row r="647" spans="1:10" x14ac:dyDescent="0.25">
      <c r="A647" t="str">
        <f>IF($J647="","",YEAR($J647-WEEKDAY($J647,2)+4)&amp;"-W"&amp;TEXT(_xludf.ISOWEEKNUM($J647),"00"))</f>
        <v/>
      </c>
      <c r="B647"/>
      <c r="C647" t="str">
        <f>IF($J647="","",SUMIFS('Hours Log'!$C:$C,'Hours Log'!$A:$A,"&gt;="&amp;$J647,'Hours Log'!$A:$A,"&lt;"&amp;$J647+7)+SUMIFS('Hours Log'!$D:$D,'Hours Log'!$A:$A,"&gt;="&amp;$J647,'Hours Log'!$A:$A,"&lt;"&amp;$J647+7))</f>
        <v/>
      </c>
      <c r="D647" t="str">
        <f>IF($J647="","",SUMIFS('Hours Log'!$D:$D,'Hours Log'!$A:$A,"&gt;="&amp;$J647,'Hours Log'!$A:$A,"&lt;"&amp;$J647+7))</f>
        <v/>
      </c>
      <c r="E647" t="str">
        <f t="shared" si="18"/>
        <v/>
      </c>
      <c r="F647" t="str">
        <f t="shared" si="19"/>
        <v/>
      </c>
      <c r="G647" t="str">
        <f>IF($J647="","",SUMIFS('Hours Log'!$E:$E,'Hours Log'!$A:$A,"&gt;="&amp;$J647,'Hours Log'!$A:$A,"&lt;"&amp;$J647+7))</f>
        <v/>
      </c>
      <c r="J647" t="str">
        <f>IF(COUNT('Hours Log'!$A$4:$A$5000)=0,"",IF(MIN('Hours Log'!$A$4:$A$5000)+7*(ROW()-10)&gt;MAX('Hours Log'!$A$4:$A$5000),"",MIN('Hours Log'!$A$4:$A$5000)+7*(ROW()-10)))</f>
        <v/>
      </c>
    </row>
    <row r="648" spans="1:10" x14ac:dyDescent="0.25">
      <c r="A648" t="str">
        <f>IF($J648="","",YEAR($J648-WEEKDAY($J648,2)+4)&amp;"-W"&amp;TEXT(_xludf.ISOWEEKNUM($J648),"00"))</f>
        <v/>
      </c>
      <c r="B648"/>
      <c r="C648" t="str">
        <f>IF($J648="","",SUMIFS('Hours Log'!$C:$C,'Hours Log'!$A:$A,"&gt;="&amp;$J648,'Hours Log'!$A:$A,"&lt;"&amp;$J648+7)+SUMIFS('Hours Log'!$D:$D,'Hours Log'!$A:$A,"&gt;="&amp;$J648,'Hours Log'!$A:$A,"&lt;"&amp;$J648+7))</f>
        <v/>
      </c>
      <c r="D648" t="str">
        <f>IF($J648="","",SUMIFS('Hours Log'!$D:$D,'Hours Log'!$A:$A,"&gt;="&amp;$J648,'Hours Log'!$A:$A,"&lt;"&amp;$J648+7))</f>
        <v/>
      </c>
      <c r="E648" t="str">
        <f t="shared" si="18"/>
        <v/>
      </c>
      <c r="F648" t="str">
        <f t="shared" si="19"/>
        <v/>
      </c>
      <c r="G648" t="str">
        <f>IF($J648="","",SUMIFS('Hours Log'!$E:$E,'Hours Log'!$A:$A,"&gt;="&amp;$J648,'Hours Log'!$A:$A,"&lt;"&amp;$J648+7))</f>
        <v/>
      </c>
      <c r="J648" t="str">
        <f>IF(COUNT('Hours Log'!$A$4:$A$5000)=0,"",IF(MIN('Hours Log'!$A$4:$A$5000)+7*(ROW()-10)&gt;MAX('Hours Log'!$A$4:$A$5000),"",MIN('Hours Log'!$A$4:$A$5000)+7*(ROW()-10)))</f>
        <v/>
      </c>
    </row>
    <row r="649" spans="1:10" x14ac:dyDescent="0.25">
      <c r="A649" t="str">
        <f>IF($J649="","",YEAR($J649-WEEKDAY($J649,2)+4)&amp;"-W"&amp;TEXT(_xludf.ISOWEEKNUM($J649),"00"))</f>
        <v/>
      </c>
      <c r="B649"/>
      <c r="C649" t="str">
        <f>IF($J649="","",SUMIFS('Hours Log'!$C:$C,'Hours Log'!$A:$A,"&gt;="&amp;$J649,'Hours Log'!$A:$A,"&lt;"&amp;$J649+7)+SUMIFS('Hours Log'!$D:$D,'Hours Log'!$A:$A,"&gt;="&amp;$J649,'Hours Log'!$A:$A,"&lt;"&amp;$J649+7))</f>
        <v/>
      </c>
      <c r="D649" t="str">
        <f>IF($J649="","",SUMIFS('Hours Log'!$D:$D,'Hours Log'!$A:$A,"&gt;="&amp;$J649,'Hours Log'!$A:$A,"&lt;"&amp;$J649+7))</f>
        <v/>
      </c>
      <c r="E649" t="str">
        <f t="shared" si="18"/>
        <v/>
      </c>
      <c r="F649" t="str">
        <f t="shared" si="19"/>
        <v/>
      </c>
      <c r="G649" t="str">
        <f>IF($J649="","",SUMIFS('Hours Log'!$E:$E,'Hours Log'!$A:$A,"&gt;="&amp;$J649,'Hours Log'!$A:$A,"&lt;"&amp;$J649+7))</f>
        <v/>
      </c>
      <c r="J649" t="str">
        <f>IF(COUNT('Hours Log'!$A$4:$A$5000)=0,"",IF(MIN('Hours Log'!$A$4:$A$5000)+7*(ROW()-10)&gt;MAX('Hours Log'!$A$4:$A$5000),"",MIN('Hours Log'!$A$4:$A$5000)+7*(ROW()-10)))</f>
        <v/>
      </c>
    </row>
    <row r="650" spans="1:10" x14ac:dyDescent="0.25">
      <c r="A650" t="str">
        <f>IF($J650="","",YEAR($J650-WEEKDAY($J650,2)+4)&amp;"-W"&amp;TEXT(_xludf.ISOWEEKNUM($J650),"00"))</f>
        <v/>
      </c>
      <c r="B650"/>
      <c r="C650" t="str">
        <f>IF($J650="","",SUMIFS('Hours Log'!$C:$C,'Hours Log'!$A:$A,"&gt;="&amp;$J650,'Hours Log'!$A:$A,"&lt;"&amp;$J650+7)+SUMIFS('Hours Log'!$D:$D,'Hours Log'!$A:$A,"&gt;="&amp;$J650,'Hours Log'!$A:$A,"&lt;"&amp;$J650+7))</f>
        <v/>
      </c>
      <c r="D650" t="str">
        <f>IF($J650="","",SUMIFS('Hours Log'!$D:$D,'Hours Log'!$A:$A,"&gt;="&amp;$J650,'Hours Log'!$A:$A,"&lt;"&amp;$J650+7))</f>
        <v/>
      </c>
      <c r="E650" t="str">
        <f t="shared" ref="E650:E713" si="20">IF($J650="","",IFERROR(C650/(B650*40),0))</f>
        <v/>
      </c>
      <c r="F650" t="str">
        <f t="shared" ref="F650:F713" si="21">IF($J650="","",0)</f>
        <v/>
      </c>
      <c r="G650" t="str">
        <f>IF($J650="","",SUMIFS('Hours Log'!$E:$E,'Hours Log'!$A:$A,"&gt;="&amp;$J650,'Hours Log'!$A:$A,"&lt;"&amp;$J650+7))</f>
        <v/>
      </c>
      <c r="J650" t="str">
        <f>IF(COUNT('Hours Log'!$A$4:$A$5000)=0,"",IF(MIN('Hours Log'!$A$4:$A$5000)+7*(ROW()-10)&gt;MAX('Hours Log'!$A$4:$A$5000),"",MIN('Hours Log'!$A$4:$A$5000)+7*(ROW()-10)))</f>
        <v/>
      </c>
    </row>
    <row r="651" spans="1:10" x14ac:dyDescent="0.25">
      <c r="A651" t="str">
        <f>IF($J651="","",YEAR($J651-WEEKDAY($J651,2)+4)&amp;"-W"&amp;TEXT(_xludf.ISOWEEKNUM($J651),"00"))</f>
        <v/>
      </c>
      <c r="B651"/>
      <c r="C651" t="str">
        <f>IF($J651="","",SUMIFS('Hours Log'!$C:$C,'Hours Log'!$A:$A,"&gt;="&amp;$J651,'Hours Log'!$A:$A,"&lt;"&amp;$J651+7)+SUMIFS('Hours Log'!$D:$D,'Hours Log'!$A:$A,"&gt;="&amp;$J651,'Hours Log'!$A:$A,"&lt;"&amp;$J651+7))</f>
        <v/>
      </c>
      <c r="D651" t="str">
        <f>IF($J651="","",SUMIFS('Hours Log'!$D:$D,'Hours Log'!$A:$A,"&gt;="&amp;$J651,'Hours Log'!$A:$A,"&lt;"&amp;$J651+7))</f>
        <v/>
      </c>
      <c r="E651" t="str">
        <f t="shared" si="20"/>
        <v/>
      </c>
      <c r="F651" t="str">
        <f t="shared" si="21"/>
        <v/>
      </c>
      <c r="G651" t="str">
        <f>IF($J651="","",SUMIFS('Hours Log'!$E:$E,'Hours Log'!$A:$A,"&gt;="&amp;$J651,'Hours Log'!$A:$A,"&lt;"&amp;$J651+7))</f>
        <v/>
      </c>
      <c r="J651" t="str">
        <f>IF(COUNT('Hours Log'!$A$4:$A$5000)=0,"",IF(MIN('Hours Log'!$A$4:$A$5000)+7*(ROW()-10)&gt;MAX('Hours Log'!$A$4:$A$5000),"",MIN('Hours Log'!$A$4:$A$5000)+7*(ROW()-10)))</f>
        <v/>
      </c>
    </row>
    <row r="652" spans="1:10" x14ac:dyDescent="0.25">
      <c r="A652" t="str">
        <f>IF($J652="","",YEAR($J652-WEEKDAY($J652,2)+4)&amp;"-W"&amp;TEXT(_xludf.ISOWEEKNUM($J652),"00"))</f>
        <v/>
      </c>
      <c r="B652"/>
      <c r="C652" t="str">
        <f>IF($J652="","",SUMIFS('Hours Log'!$C:$C,'Hours Log'!$A:$A,"&gt;="&amp;$J652,'Hours Log'!$A:$A,"&lt;"&amp;$J652+7)+SUMIFS('Hours Log'!$D:$D,'Hours Log'!$A:$A,"&gt;="&amp;$J652,'Hours Log'!$A:$A,"&lt;"&amp;$J652+7))</f>
        <v/>
      </c>
      <c r="D652" t="str">
        <f>IF($J652="","",SUMIFS('Hours Log'!$D:$D,'Hours Log'!$A:$A,"&gt;="&amp;$J652,'Hours Log'!$A:$A,"&lt;"&amp;$J652+7))</f>
        <v/>
      </c>
      <c r="E652" t="str">
        <f t="shared" si="20"/>
        <v/>
      </c>
      <c r="F652" t="str">
        <f t="shared" si="21"/>
        <v/>
      </c>
      <c r="G652" t="str">
        <f>IF($J652="","",SUMIFS('Hours Log'!$E:$E,'Hours Log'!$A:$A,"&gt;="&amp;$J652,'Hours Log'!$A:$A,"&lt;"&amp;$J652+7))</f>
        <v/>
      </c>
      <c r="J652" t="str">
        <f>IF(COUNT('Hours Log'!$A$4:$A$5000)=0,"",IF(MIN('Hours Log'!$A$4:$A$5000)+7*(ROW()-10)&gt;MAX('Hours Log'!$A$4:$A$5000),"",MIN('Hours Log'!$A$4:$A$5000)+7*(ROW()-10)))</f>
        <v/>
      </c>
    </row>
    <row r="653" spans="1:10" x14ac:dyDescent="0.25">
      <c r="A653" t="str">
        <f>IF($J653="","",YEAR($J653-WEEKDAY($J653,2)+4)&amp;"-W"&amp;TEXT(_xludf.ISOWEEKNUM($J653),"00"))</f>
        <v/>
      </c>
      <c r="B653"/>
      <c r="C653" t="str">
        <f>IF($J653="","",SUMIFS('Hours Log'!$C:$C,'Hours Log'!$A:$A,"&gt;="&amp;$J653,'Hours Log'!$A:$A,"&lt;"&amp;$J653+7)+SUMIFS('Hours Log'!$D:$D,'Hours Log'!$A:$A,"&gt;="&amp;$J653,'Hours Log'!$A:$A,"&lt;"&amp;$J653+7))</f>
        <v/>
      </c>
      <c r="D653" t="str">
        <f>IF($J653="","",SUMIFS('Hours Log'!$D:$D,'Hours Log'!$A:$A,"&gt;="&amp;$J653,'Hours Log'!$A:$A,"&lt;"&amp;$J653+7))</f>
        <v/>
      </c>
      <c r="E653" t="str">
        <f t="shared" si="20"/>
        <v/>
      </c>
      <c r="F653" t="str">
        <f t="shared" si="21"/>
        <v/>
      </c>
      <c r="G653" t="str">
        <f>IF($J653="","",SUMIFS('Hours Log'!$E:$E,'Hours Log'!$A:$A,"&gt;="&amp;$J653,'Hours Log'!$A:$A,"&lt;"&amp;$J653+7))</f>
        <v/>
      </c>
      <c r="J653" t="str">
        <f>IF(COUNT('Hours Log'!$A$4:$A$5000)=0,"",IF(MIN('Hours Log'!$A$4:$A$5000)+7*(ROW()-10)&gt;MAX('Hours Log'!$A$4:$A$5000),"",MIN('Hours Log'!$A$4:$A$5000)+7*(ROW()-10)))</f>
        <v/>
      </c>
    </row>
    <row r="654" spans="1:10" x14ac:dyDescent="0.25">
      <c r="A654" t="str">
        <f>IF($J654="","",YEAR($J654-WEEKDAY($J654,2)+4)&amp;"-W"&amp;TEXT(_xludf.ISOWEEKNUM($J654),"00"))</f>
        <v/>
      </c>
      <c r="B654"/>
      <c r="C654" t="str">
        <f>IF($J654="","",SUMIFS('Hours Log'!$C:$C,'Hours Log'!$A:$A,"&gt;="&amp;$J654,'Hours Log'!$A:$A,"&lt;"&amp;$J654+7)+SUMIFS('Hours Log'!$D:$D,'Hours Log'!$A:$A,"&gt;="&amp;$J654,'Hours Log'!$A:$A,"&lt;"&amp;$J654+7))</f>
        <v/>
      </c>
      <c r="D654" t="str">
        <f>IF($J654="","",SUMIFS('Hours Log'!$D:$D,'Hours Log'!$A:$A,"&gt;="&amp;$J654,'Hours Log'!$A:$A,"&lt;"&amp;$J654+7))</f>
        <v/>
      </c>
      <c r="E654" t="str">
        <f t="shared" si="20"/>
        <v/>
      </c>
      <c r="F654" t="str">
        <f t="shared" si="21"/>
        <v/>
      </c>
      <c r="G654" t="str">
        <f>IF($J654="","",SUMIFS('Hours Log'!$E:$E,'Hours Log'!$A:$A,"&gt;="&amp;$J654,'Hours Log'!$A:$A,"&lt;"&amp;$J654+7))</f>
        <v/>
      </c>
      <c r="J654" t="str">
        <f>IF(COUNT('Hours Log'!$A$4:$A$5000)=0,"",IF(MIN('Hours Log'!$A$4:$A$5000)+7*(ROW()-10)&gt;MAX('Hours Log'!$A$4:$A$5000),"",MIN('Hours Log'!$A$4:$A$5000)+7*(ROW()-10)))</f>
        <v/>
      </c>
    </row>
    <row r="655" spans="1:10" x14ac:dyDescent="0.25">
      <c r="A655" t="str">
        <f>IF($J655="","",YEAR($J655-WEEKDAY($J655,2)+4)&amp;"-W"&amp;TEXT(_xludf.ISOWEEKNUM($J655),"00"))</f>
        <v/>
      </c>
      <c r="B655"/>
      <c r="C655" t="str">
        <f>IF($J655="","",SUMIFS('Hours Log'!$C:$C,'Hours Log'!$A:$A,"&gt;="&amp;$J655,'Hours Log'!$A:$A,"&lt;"&amp;$J655+7)+SUMIFS('Hours Log'!$D:$D,'Hours Log'!$A:$A,"&gt;="&amp;$J655,'Hours Log'!$A:$A,"&lt;"&amp;$J655+7))</f>
        <v/>
      </c>
      <c r="D655" t="str">
        <f>IF($J655="","",SUMIFS('Hours Log'!$D:$D,'Hours Log'!$A:$A,"&gt;="&amp;$J655,'Hours Log'!$A:$A,"&lt;"&amp;$J655+7))</f>
        <v/>
      </c>
      <c r="E655" t="str">
        <f t="shared" si="20"/>
        <v/>
      </c>
      <c r="F655" t="str">
        <f t="shared" si="21"/>
        <v/>
      </c>
      <c r="G655" t="str">
        <f>IF($J655="","",SUMIFS('Hours Log'!$E:$E,'Hours Log'!$A:$A,"&gt;="&amp;$J655,'Hours Log'!$A:$A,"&lt;"&amp;$J655+7))</f>
        <v/>
      </c>
      <c r="J655" t="str">
        <f>IF(COUNT('Hours Log'!$A$4:$A$5000)=0,"",IF(MIN('Hours Log'!$A$4:$A$5000)+7*(ROW()-10)&gt;MAX('Hours Log'!$A$4:$A$5000),"",MIN('Hours Log'!$A$4:$A$5000)+7*(ROW()-10)))</f>
        <v/>
      </c>
    </row>
    <row r="656" spans="1:10" x14ac:dyDescent="0.25">
      <c r="A656" t="str">
        <f>IF($J656="","",YEAR($J656-WEEKDAY($J656,2)+4)&amp;"-W"&amp;TEXT(_xludf.ISOWEEKNUM($J656),"00"))</f>
        <v/>
      </c>
      <c r="B656"/>
      <c r="C656" t="str">
        <f>IF($J656="","",SUMIFS('Hours Log'!$C:$C,'Hours Log'!$A:$A,"&gt;="&amp;$J656,'Hours Log'!$A:$A,"&lt;"&amp;$J656+7)+SUMIFS('Hours Log'!$D:$D,'Hours Log'!$A:$A,"&gt;="&amp;$J656,'Hours Log'!$A:$A,"&lt;"&amp;$J656+7))</f>
        <v/>
      </c>
      <c r="D656" t="str">
        <f>IF($J656="","",SUMIFS('Hours Log'!$D:$D,'Hours Log'!$A:$A,"&gt;="&amp;$J656,'Hours Log'!$A:$A,"&lt;"&amp;$J656+7))</f>
        <v/>
      </c>
      <c r="E656" t="str">
        <f t="shared" si="20"/>
        <v/>
      </c>
      <c r="F656" t="str">
        <f t="shared" si="21"/>
        <v/>
      </c>
      <c r="G656" t="str">
        <f>IF($J656="","",SUMIFS('Hours Log'!$E:$E,'Hours Log'!$A:$A,"&gt;="&amp;$J656,'Hours Log'!$A:$A,"&lt;"&amp;$J656+7))</f>
        <v/>
      </c>
      <c r="J656" t="str">
        <f>IF(COUNT('Hours Log'!$A$4:$A$5000)=0,"",IF(MIN('Hours Log'!$A$4:$A$5000)+7*(ROW()-10)&gt;MAX('Hours Log'!$A$4:$A$5000),"",MIN('Hours Log'!$A$4:$A$5000)+7*(ROW()-10)))</f>
        <v/>
      </c>
    </row>
    <row r="657" spans="1:10" x14ac:dyDescent="0.25">
      <c r="A657" t="str">
        <f>IF($J657="","",YEAR($J657-WEEKDAY($J657,2)+4)&amp;"-W"&amp;TEXT(_xludf.ISOWEEKNUM($J657),"00"))</f>
        <v/>
      </c>
      <c r="B657"/>
      <c r="C657" t="str">
        <f>IF($J657="","",SUMIFS('Hours Log'!$C:$C,'Hours Log'!$A:$A,"&gt;="&amp;$J657,'Hours Log'!$A:$A,"&lt;"&amp;$J657+7)+SUMIFS('Hours Log'!$D:$D,'Hours Log'!$A:$A,"&gt;="&amp;$J657,'Hours Log'!$A:$A,"&lt;"&amp;$J657+7))</f>
        <v/>
      </c>
      <c r="D657" t="str">
        <f>IF($J657="","",SUMIFS('Hours Log'!$D:$D,'Hours Log'!$A:$A,"&gt;="&amp;$J657,'Hours Log'!$A:$A,"&lt;"&amp;$J657+7))</f>
        <v/>
      </c>
      <c r="E657" t="str">
        <f t="shared" si="20"/>
        <v/>
      </c>
      <c r="F657" t="str">
        <f t="shared" si="21"/>
        <v/>
      </c>
      <c r="G657" t="str">
        <f>IF($J657="","",SUMIFS('Hours Log'!$E:$E,'Hours Log'!$A:$A,"&gt;="&amp;$J657,'Hours Log'!$A:$A,"&lt;"&amp;$J657+7))</f>
        <v/>
      </c>
      <c r="J657" t="str">
        <f>IF(COUNT('Hours Log'!$A$4:$A$5000)=0,"",IF(MIN('Hours Log'!$A$4:$A$5000)+7*(ROW()-10)&gt;MAX('Hours Log'!$A$4:$A$5000),"",MIN('Hours Log'!$A$4:$A$5000)+7*(ROW()-10)))</f>
        <v/>
      </c>
    </row>
    <row r="658" spans="1:10" x14ac:dyDescent="0.25">
      <c r="A658" t="str">
        <f>IF($J658="","",YEAR($J658-WEEKDAY($J658,2)+4)&amp;"-W"&amp;TEXT(_xludf.ISOWEEKNUM($J658),"00"))</f>
        <v/>
      </c>
      <c r="B658"/>
      <c r="C658" t="str">
        <f>IF($J658="","",SUMIFS('Hours Log'!$C:$C,'Hours Log'!$A:$A,"&gt;="&amp;$J658,'Hours Log'!$A:$A,"&lt;"&amp;$J658+7)+SUMIFS('Hours Log'!$D:$D,'Hours Log'!$A:$A,"&gt;="&amp;$J658,'Hours Log'!$A:$A,"&lt;"&amp;$J658+7))</f>
        <v/>
      </c>
      <c r="D658" t="str">
        <f>IF($J658="","",SUMIFS('Hours Log'!$D:$D,'Hours Log'!$A:$A,"&gt;="&amp;$J658,'Hours Log'!$A:$A,"&lt;"&amp;$J658+7))</f>
        <v/>
      </c>
      <c r="E658" t="str">
        <f t="shared" si="20"/>
        <v/>
      </c>
      <c r="F658" t="str">
        <f t="shared" si="21"/>
        <v/>
      </c>
      <c r="G658" t="str">
        <f>IF($J658="","",SUMIFS('Hours Log'!$E:$E,'Hours Log'!$A:$A,"&gt;="&amp;$J658,'Hours Log'!$A:$A,"&lt;"&amp;$J658+7))</f>
        <v/>
      </c>
      <c r="J658" t="str">
        <f>IF(COUNT('Hours Log'!$A$4:$A$5000)=0,"",IF(MIN('Hours Log'!$A$4:$A$5000)+7*(ROW()-10)&gt;MAX('Hours Log'!$A$4:$A$5000),"",MIN('Hours Log'!$A$4:$A$5000)+7*(ROW()-10)))</f>
        <v/>
      </c>
    </row>
    <row r="659" spans="1:10" x14ac:dyDescent="0.25">
      <c r="A659" t="str">
        <f>IF($J659="","",YEAR($J659-WEEKDAY($J659,2)+4)&amp;"-W"&amp;TEXT(_xludf.ISOWEEKNUM($J659),"00"))</f>
        <v/>
      </c>
      <c r="B659"/>
      <c r="C659" t="str">
        <f>IF($J659="","",SUMIFS('Hours Log'!$C:$C,'Hours Log'!$A:$A,"&gt;="&amp;$J659,'Hours Log'!$A:$A,"&lt;"&amp;$J659+7)+SUMIFS('Hours Log'!$D:$D,'Hours Log'!$A:$A,"&gt;="&amp;$J659,'Hours Log'!$A:$A,"&lt;"&amp;$J659+7))</f>
        <v/>
      </c>
      <c r="D659" t="str">
        <f>IF($J659="","",SUMIFS('Hours Log'!$D:$D,'Hours Log'!$A:$A,"&gt;="&amp;$J659,'Hours Log'!$A:$A,"&lt;"&amp;$J659+7))</f>
        <v/>
      </c>
      <c r="E659" t="str">
        <f t="shared" si="20"/>
        <v/>
      </c>
      <c r="F659" t="str">
        <f t="shared" si="21"/>
        <v/>
      </c>
      <c r="G659" t="str">
        <f>IF($J659="","",SUMIFS('Hours Log'!$E:$E,'Hours Log'!$A:$A,"&gt;="&amp;$J659,'Hours Log'!$A:$A,"&lt;"&amp;$J659+7))</f>
        <v/>
      </c>
      <c r="J659" t="str">
        <f>IF(COUNT('Hours Log'!$A$4:$A$5000)=0,"",IF(MIN('Hours Log'!$A$4:$A$5000)+7*(ROW()-10)&gt;MAX('Hours Log'!$A$4:$A$5000),"",MIN('Hours Log'!$A$4:$A$5000)+7*(ROW()-10)))</f>
        <v/>
      </c>
    </row>
    <row r="660" spans="1:10" x14ac:dyDescent="0.25">
      <c r="A660" t="str">
        <f>IF($J660="","",YEAR($J660-WEEKDAY($J660,2)+4)&amp;"-W"&amp;TEXT(_xludf.ISOWEEKNUM($J660),"00"))</f>
        <v/>
      </c>
      <c r="B660"/>
      <c r="C660" t="str">
        <f>IF($J660="","",SUMIFS('Hours Log'!$C:$C,'Hours Log'!$A:$A,"&gt;="&amp;$J660,'Hours Log'!$A:$A,"&lt;"&amp;$J660+7)+SUMIFS('Hours Log'!$D:$D,'Hours Log'!$A:$A,"&gt;="&amp;$J660,'Hours Log'!$A:$A,"&lt;"&amp;$J660+7))</f>
        <v/>
      </c>
      <c r="D660" t="str">
        <f>IF($J660="","",SUMIFS('Hours Log'!$D:$D,'Hours Log'!$A:$A,"&gt;="&amp;$J660,'Hours Log'!$A:$A,"&lt;"&amp;$J660+7))</f>
        <v/>
      </c>
      <c r="E660" t="str">
        <f t="shared" si="20"/>
        <v/>
      </c>
      <c r="F660" t="str">
        <f t="shared" si="21"/>
        <v/>
      </c>
      <c r="G660" t="str">
        <f>IF($J660="","",SUMIFS('Hours Log'!$E:$E,'Hours Log'!$A:$A,"&gt;="&amp;$J660,'Hours Log'!$A:$A,"&lt;"&amp;$J660+7))</f>
        <v/>
      </c>
      <c r="J660" t="str">
        <f>IF(COUNT('Hours Log'!$A$4:$A$5000)=0,"",IF(MIN('Hours Log'!$A$4:$A$5000)+7*(ROW()-10)&gt;MAX('Hours Log'!$A$4:$A$5000),"",MIN('Hours Log'!$A$4:$A$5000)+7*(ROW()-10)))</f>
        <v/>
      </c>
    </row>
    <row r="661" spans="1:10" x14ac:dyDescent="0.25">
      <c r="A661" t="str">
        <f>IF($J661="","",YEAR($J661-WEEKDAY($J661,2)+4)&amp;"-W"&amp;TEXT(_xludf.ISOWEEKNUM($J661),"00"))</f>
        <v/>
      </c>
      <c r="B661"/>
      <c r="C661" t="str">
        <f>IF($J661="","",SUMIFS('Hours Log'!$C:$C,'Hours Log'!$A:$A,"&gt;="&amp;$J661,'Hours Log'!$A:$A,"&lt;"&amp;$J661+7)+SUMIFS('Hours Log'!$D:$D,'Hours Log'!$A:$A,"&gt;="&amp;$J661,'Hours Log'!$A:$A,"&lt;"&amp;$J661+7))</f>
        <v/>
      </c>
      <c r="D661" t="str">
        <f>IF($J661="","",SUMIFS('Hours Log'!$D:$D,'Hours Log'!$A:$A,"&gt;="&amp;$J661,'Hours Log'!$A:$A,"&lt;"&amp;$J661+7))</f>
        <v/>
      </c>
      <c r="E661" t="str">
        <f t="shared" si="20"/>
        <v/>
      </c>
      <c r="F661" t="str">
        <f t="shared" si="21"/>
        <v/>
      </c>
      <c r="G661" t="str">
        <f>IF($J661="","",SUMIFS('Hours Log'!$E:$E,'Hours Log'!$A:$A,"&gt;="&amp;$J661,'Hours Log'!$A:$A,"&lt;"&amp;$J661+7))</f>
        <v/>
      </c>
      <c r="J661" t="str">
        <f>IF(COUNT('Hours Log'!$A$4:$A$5000)=0,"",IF(MIN('Hours Log'!$A$4:$A$5000)+7*(ROW()-10)&gt;MAX('Hours Log'!$A$4:$A$5000),"",MIN('Hours Log'!$A$4:$A$5000)+7*(ROW()-10)))</f>
        <v/>
      </c>
    </row>
    <row r="662" spans="1:10" x14ac:dyDescent="0.25">
      <c r="A662" t="str">
        <f>IF($J662="","",YEAR($J662-WEEKDAY($J662,2)+4)&amp;"-W"&amp;TEXT(_xludf.ISOWEEKNUM($J662),"00"))</f>
        <v/>
      </c>
      <c r="B662"/>
      <c r="C662" t="str">
        <f>IF($J662="","",SUMIFS('Hours Log'!$C:$C,'Hours Log'!$A:$A,"&gt;="&amp;$J662,'Hours Log'!$A:$A,"&lt;"&amp;$J662+7)+SUMIFS('Hours Log'!$D:$D,'Hours Log'!$A:$A,"&gt;="&amp;$J662,'Hours Log'!$A:$A,"&lt;"&amp;$J662+7))</f>
        <v/>
      </c>
      <c r="D662" t="str">
        <f>IF($J662="","",SUMIFS('Hours Log'!$D:$D,'Hours Log'!$A:$A,"&gt;="&amp;$J662,'Hours Log'!$A:$A,"&lt;"&amp;$J662+7))</f>
        <v/>
      </c>
      <c r="E662" t="str">
        <f t="shared" si="20"/>
        <v/>
      </c>
      <c r="F662" t="str">
        <f t="shared" si="21"/>
        <v/>
      </c>
      <c r="G662" t="str">
        <f>IF($J662="","",SUMIFS('Hours Log'!$E:$E,'Hours Log'!$A:$A,"&gt;="&amp;$J662,'Hours Log'!$A:$A,"&lt;"&amp;$J662+7))</f>
        <v/>
      </c>
      <c r="J662" t="str">
        <f>IF(COUNT('Hours Log'!$A$4:$A$5000)=0,"",IF(MIN('Hours Log'!$A$4:$A$5000)+7*(ROW()-10)&gt;MAX('Hours Log'!$A$4:$A$5000),"",MIN('Hours Log'!$A$4:$A$5000)+7*(ROW()-10)))</f>
        <v/>
      </c>
    </row>
    <row r="663" spans="1:10" x14ac:dyDescent="0.25">
      <c r="A663" t="str">
        <f>IF($J663="","",YEAR($J663-WEEKDAY($J663,2)+4)&amp;"-W"&amp;TEXT(_xludf.ISOWEEKNUM($J663),"00"))</f>
        <v/>
      </c>
      <c r="B663"/>
      <c r="C663" t="str">
        <f>IF($J663="","",SUMIFS('Hours Log'!$C:$C,'Hours Log'!$A:$A,"&gt;="&amp;$J663,'Hours Log'!$A:$A,"&lt;"&amp;$J663+7)+SUMIFS('Hours Log'!$D:$D,'Hours Log'!$A:$A,"&gt;="&amp;$J663,'Hours Log'!$A:$A,"&lt;"&amp;$J663+7))</f>
        <v/>
      </c>
      <c r="D663" t="str">
        <f>IF($J663="","",SUMIFS('Hours Log'!$D:$D,'Hours Log'!$A:$A,"&gt;="&amp;$J663,'Hours Log'!$A:$A,"&lt;"&amp;$J663+7))</f>
        <v/>
      </c>
      <c r="E663" t="str">
        <f t="shared" si="20"/>
        <v/>
      </c>
      <c r="F663" t="str">
        <f t="shared" si="21"/>
        <v/>
      </c>
      <c r="G663" t="str">
        <f>IF($J663="","",SUMIFS('Hours Log'!$E:$E,'Hours Log'!$A:$A,"&gt;="&amp;$J663,'Hours Log'!$A:$A,"&lt;"&amp;$J663+7))</f>
        <v/>
      </c>
      <c r="J663" t="str">
        <f>IF(COUNT('Hours Log'!$A$4:$A$5000)=0,"",IF(MIN('Hours Log'!$A$4:$A$5000)+7*(ROW()-10)&gt;MAX('Hours Log'!$A$4:$A$5000),"",MIN('Hours Log'!$A$4:$A$5000)+7*(ROW()-10)))</f>
        <v/>
      </c>
    </row>
    <row r="664" spans="1:10" x14ac:dyDescent="0.25">
      <c r="A664" t="str">
        <f>IF($J664="","",YEAR($J664-WEEKDAY($J664,2)+4)&amp;"-W"&amp;TEXT(_xludf.ISOWEEKNUM($J664),"00"))</f>
        <v/>
      </c>
      <c r="B664"/>
      <c r="C664" t="str">
        <f>IF($J664="","",SUMIFS('Hours Log'!$C:$C,'Hours Log'!$A:$A,"&gt;="&amp;$J664,'Hours Log'!$A:$A,"&lt;"&amp;$J664+7)+SUMIFS('Hours Log'!$D:$D,'Hours Log'!$A:$A,"&gt;="&amp;$J664,'Hours Log'!$A:$A,"&lt;"&amp;$J664+7))</f>
        <v/>
      </c>
      <c r="D664" t="str">
        <f>IF($J664="","",SUMIFS('Hours Log'!$D:$D,'Hours Log'!$A:$A,"&gt;="&amp;$J664,'Hours Log'!$A:$A,"&lt;"&amp;$J664+7))</f>
        <v/>
      </c>
      <c r="E664" t="str">
        <f t="shared" si="20"/>
        <v/>
      </c>
      <c r="F664" t="str">
        <f t="shared" si="21"/>
        <v/>
      </c>
      <c r="G664" t="str">
        <f>IF($J664="","",SUMIFS('Hours Log'!$E:$E,'Hours Log'!$A:$A,"&gt;="&amp;$J664,'Hours Log'!$A:$A,"&lt;"&amp;$J664+7))</f>
        <v/>
      </c>
      <c r="J664" t="str">
        <f>IF(COUNT('Hours Log'!$A$4:$A$5000)=0,"",IF(MIN('Hours Log'!$A$4:$A$5000)+7*(ROW()-10)&gt;MAX('Hours Log'!$A$4:$A$5000),"",MIN('Hours Log'!$A$4:$A$5000)+7*(ROW()-10)))</f>
        <v/>
      </c>
    </row>
    <row r="665" spans="1:10" x14ac:dyDescent="0.25">
      <c r="A665" t="str">
        <f>IF($J665="","",YEAR($J665-WEEKDAY($J665,2)+4)&amp;"-W"&amp;TEXT(_xludf.ISOWEEKNUM($J665),"00"))</f>
        <v/>
      </c>
      <c r="B665"/>
      <c r="C665" t="str">
        <f>IF($J665="","",SUMIFS('Hours Log'!$C:$C,'Hours Log'!$A:$A,"&gt;="&amp;$J665,'Hours Log'!$A:$A,"&lt;"&amp;$J665+7)+SUMIFS('Hours Log'!$D:$D,'Hours Log'!$A:$A,"&gt;="&amp;$J665,'Hours Log'!$A:$A,"&lt;"&amp;$J665+7))</f>
        <v/>
      </c>
      <c r="D665" t="str">
        <f>IF($J665="","",SUMIFS('Hours Log'!$D:$D,'Hours Log'!$A:$A,"&gt;="&amp;$J665,'Hours Log'!$A:$A,"&lt;"&amp;$J665+7))</f>
        <v/>
      </c>
      <c r="E665" t="str">
        <f t="shared" si="20"/>
        <v/>
      </c>
      <c r="F665" t="str">
        <f t="shared" si="21"/>
        <v/>
      </c>
      <c r="G665" t="str">
        <f>IF($J665="","",SUMIFS('Hours Log'!$E:$E,'Hours Log'!$A:$A,"&gt;="&amp;$J665,'Hours Log'!$A:$A,"&lt;"&amp;$J665+7))</f>
        <v/>
      </c>
      <c r="J665" t="str">
        <f>IF(COUNT('Hours Log'!$A$4:$A$5000)=0,"",IF(MIN('Hours Log'!$A$4:$A$5000)+7*(ROW()-10)&gt;MAX('Hours Log'!$A$4:$A$5000),"",MIN('Hours Log'!$A$4:$A$5000)+7*(ROW()-10)))</f>
        <v/>
      </c>
    </row>
    <row r="666" spans="1:10" x14ac:dyDescent="0.25">
      <c r="A666" t="str">
        <f>IF($J666="","",YEAR($J666-WEEKDAY($J666,2)+4)&amp;"-W"&amp;TEXT(_xludf.ISOWEEKNUM($J666),"00"))</f>
        <v/>
      </c>
      <c r="B666"/>
      <c r="C666" t="str">
        <f>IF($J666="","",SUMIFS('Hours Log'!$C:$C,'Hours Log'!$A:$A,"&gt;="&amp;$J666,'Hours Log'!$A:$A,"&lt;"&amp;$J666+7)+SUMIFS('Hours Log'!$D:$D,'Hours Log'!$A:$A,"&gt;="&amp;$J666,'Hours Log'!$A:$A,"&lt;"&amp;$J666+7))</f>
        <v/>
      </c>
      <c r="D666" t="str">
        <f>IF($J666="","",SUMIFS('Hours Log'!$D:$D,'Hours Log'!$A:$A,"&gt;="&amp;$J666,'Hours Log'!$A:$A,"&lt;"&amp;$J666+7))</f>
        <v/>
      </c>
      <c r="E666" t="str">
        <f t="shared" si="20"/>
        <v/>
      </c>
      <c r="F666" t="str">
        <f t="shared" si="21"/>
        <v/>
      </c>
      <c r="G666" t="str">
        <f>IF($J666="","",SUMIFS('Hours Log'!$E:$E,'Hours Log'!$A:$A,"&gt;="&amp;$J666,'Hours Log'!$A:$A,"&lt;"&amp;$J666+7))</f>
        <v/>
      </c>
      <c r="J666" t="str">
        <f>IF(COUNT('Hours Log'!$A$4:$A$5000)=0,"",IF(MIN('Hours Log'!$A$4:$A$5000)+7*(ROW()-10)&gt;MAX('Hours Log'!$A$4:$A$5000),"",MIN('Hours Log'!$A$4:$A$5000)+7*(ROW()-10)))</f>
        <v/>
      </c>
    </row>
    <row r="667" spans="1:10" x14ac:dyDescent="0.25">
      <c r="A667" t="str">
        <f>IF($J667="","",YEAR($J667-WEEKDAY($J667,2)+4)&amp;"-W"&amp;TEXT(_xludf.ISOWEEKNUM($J667),"00"))</f>
        <v/>
      </c>
      <c r="B667"/>
      <c r="C667" t="str">
        <f>IF($J667="","",SUMIFS('Hours Log'!$C:$C,'Hours Log'!$A:$A,"&gt;="&amp;$J667,'Hours Log'!$A:$A,"&lt;"&amp;$J667+7)+SUMIFS('Hours Log'!$D:$D,'Hours Log'!$A:$A,"&gt;="&amp;$J667,'Hours Log'!$A:$A,"&lt;"&amp;$J667+7))</f>
        <v/>
      </c>
      <c r="D667" t="str">
        <f>IF($J667="","",SUMIFS('Hours Log'!$D:$D,'Hours Log'!$A:$A,"&gt;="&amp;$J667,'Hours Log'!$A:$A,"&lt;"&amp;$J667+7))</f>
        <v/>
      </c>
      <c r="E667" t="str">
        <f t="shared" si="20"/>
        <v/>
      </c>
      <c r="F667" t="str">
        <f t="shared" si="21"/>
        <v/>
      </c>
      <c r="G667" t="str">
        <f>IF($J667="","",SUMIFS('Hours Log'!$E:$E,'Hours Log'!$A:$A,"&gt;="&amp;$J667,'Hours Log'!$A:$A,"&lt;"&amp;$J667+7))</f>
        <v/>
      </c>
      <c r="J667" t="str">
        <f>IF(COUNT('Hours Log'!$A$4:$A$5000)=0,"",IF(MIN('Hours Log'!$A$4:$A$5000)+7*(ROW()-10)&gt;MAX('Hours Log'!$A$4:$A$5000),"",MIN('Hours Log'!$A$4:$A$5000)+7*(ROW()-10)))</f>
        <v/>
      </c>
    </row>
    <row r="668" spans="1:10" x14ac:dyDescent="0.25">
      <c r="A668" t="str">
        <f>IF($J668="","",YEAR($J668-WEEKDAY($J668,2)+4)&amp;"-W"&amp;TEXT(_xludf.ISOWEEKNUM($J668),"00"))</f>
        <v/>
      </c>
      <c r="B668"/>
      <c r="C668" t="str">
        <f>IF($J668="","",SUMIFS('Hours Log'!$C:$C,'Hours Log'!$A:$A,"&gt;="&amp;$J668,'Hours Log'!$A:$A,"&lt;"&amp;$J668+7)+SUMIFS('Hours Log'!$D:$D,'Hours Log'!$A:$A,"&gt;="&amp;$J668,'Hours Log'!$A:$A,"&lt;"&amp;$J668+7))</f>
        <v/>
      </c>
      <c r="D668" t="str">
        <f>IF($J668="","",SUMIFS('Hours Log'!$D:$D,'Hours Log'!$A:$A,"&gt;="&amp;$J668,'Hours Log'!$A:$A,"&lt;"&amp;$J668+7))</f>
        <v/>
      </c>
      <c r="E668" t="str">
        <f t="shared" si="20"/>
        <v/>
      </c>
      <c r="F668" t="str">
        <f t="shared" si="21"/>
        <v/>
      </c>
      <c r="G668" t="str">
        <f>IF($J668="","",SUMIFS('Hours Log'!$E:$E,'Hours Log'!$A:$A,"&gt;="&amp;$J668,'Hours Log'!$A:$A,"&lt;"&amp;$J668+7))</f>
        <v/>
      </c>
      <c r="J668" t="str">
        <f>IF(COUNT('Hours Log'!$A$4:$A$5000)=0,"",IF(MIN('Hours Log'!$A$4:$A$5000)+7*(ROW()-10)&gt;MAX('Hours Log'!$A$4:$A$5000),"",MIN('Hours Log'!$A$4:$A$5000)+7*(ROW()-10)))</f>
        <v/>
      </c>
    </row>
    <row r="669" spans="1:10" x14ac:dyDescent="0.25">
      <c r="A669" t="str">
        <f>IF($J669="","",YEAR($J669-WEEKDAY($J669,2)+4)&amp;"-W"&amp;TEXT(_xludf.ISOWEEKNUM($J669),"00"))</f>
        <v/>
      </c>
      <c r="B669"/>
      <c r="C669" t="str">
        <f>IF($J669="","",SUMIFS('Hours Log'!$C:$C,'Hours Log'!$A:$A,"&gt;="&amp;$J669,'Hours Log'!$A:$A,"&lt;"&amp;$J669+7)+SUMIFS('Hours Log'!$D:$D,'Hours Log'!$A:$A,"&gt;="&amp;$J669,'Hours Log'!$A:$A,"&lt;"&amp;$J669+7))</f>
        <v/>
      </c>
      <c r="D669" t="str">
        <f>IF($J669="","",SUMIFS('Hours Log'!$D:$D,'Hours Log'!$A:$A,"&gt;="&amp;$J669,'Hours Log'!$A:$A,"&lt;"&amp;$J669+7))</f>
        <v/>
      </c>
      <c r="E669" t="str">
        <f t="shared" si="20"/>
        <v/>
      </c>
      <c r="F669" t="str">
        <f t="shared" si="21"/>
        <v/>
      </c>
      <c r="G669" t="str">
        <f>IF($J669="","",SUMIFS('Hours Log'!$E:$E,'Hours Log'!$A:$A,"&gt;="&amp;$J669,'Hours Log'!$A:$A,"&lt;"&amp;$J669+7))</f>
        <v/>
      </c>
      <c r="J669" t="str">
        <f>IF(COUNT('Hours Log'!$A$4:$A$5000)=0,"",IF(MIN('Hours Log'!$A$4:$A$5000)+7*(ROW()-10)&gt;MAX('Hours Log'!$A$4:$A$5000),"",MIN('Hours Log'!$A$4:$A$5000)+7*(ROW()-10)))</f>
        <v/>
      </c>
    </row>
    <row r="670" spans="1:10" x14ac:dyDescent="0.25">
      <c r="A670" t="str">
        <f>IF($J670="","",YEAR($J670-WEEKDAY($J670,2)+4)&amp;"-W"&amp;TEXT(_xludf.ISOWEEKNUM($J670),"00"))</f>
        <v/>
      </c>
      <c r="B670"/>
      <c r="C670" t="str">
        <f>IF($J670="","",SUMIFS('Hours Log'!$C:$C,'Hours Log'!$A:$A,"&gt;="&amp;$J670,'Hours Log'!$A:$A,"&lt;"&amp;$J670+7)+SUMIFS('Hours Log'!$D:$D,'Hours Log'!$A:$A,"&gt;="&amp;$J670,'Hours Log'!$A:$A,"&lt;"&amp;$J670+7))</f>
        <v/>
      </c>
      <c r="D670" t="str">
        <f>IF($J670="","",SUMIFS('Hours Log'!$D:$D,'Hours Log'!$A:$A,"&gt;="&amp;$J670,'Hours Log'!$A:$A,"&lt;"&amp;$J670+7))</f>
        <v/>
      </c>
      <c r="E670" t="str">
        <f t="shared" si="20"/>
        <v/>
      </c>
      <c r="F670" t="str">
        <f t="shared" si="21"/>
        <v/>
      </c>
      <c r="G670" t="str">
        <f>IF($J670="","",SUMIFS('Hours Log'!$E:$E,'Hours Log'!$A:$A,"&gt;="&amp;$J670,'Hours Log'!$A:$A,"&lt;"&amp;$J670+7))</f>
        <v/>
      </c>
      <c r="J670" t="str">
        <f>IF(COUNT('Hours Log'!$A$4:$A$5000)=0,"",IF(MIN('Hours Log'!$A$4:$A$5000)+7*(ROW()-10)&gt;MAX('Hours Log'!$A$4:$A$5000),"",MIN('Hours Log'!$A$4:$A$5000)+7*(ROW()-10)))</f>
        <v/>
      </c>
    </row>
    <row r="671" spans="1:10" x14ac:dyDescent="0.25">
      <c r="A671" t="str">
        <f>IF($J671="","",YEAR($J671-WEEKDAY($J671,2)+4)&amp;"-W"&amp;TEXT(_xludf.ISOWEEKNUM($J671),"00"))</f>
        <v/>
      </c>
      <c r="B671"/>
      <c r="C671" t="str">
        <f>IF($J671="","",SUMIFS('Hours Log'!$C:$C,'Hours Log'!$A:$A,"&gt;="&amp;$J671,'Hours Log'!$A:$A,"&lt;"&amp;$J671+7)+SUMIFS('Hours Log'!$D:$D,'Hours Log'!$A:$A,"&gt;="&amp;$J671,'Hours Log'!$A:$A,"&lt;"&amp;$J671+7))</f>
        <v/>
      </c>
      <c r="D671" t="str">
        <f>IF($J671="","",SUMIFS('Hours Log'!$D:$D,'Hours Log'!$A:$A,"&gt;="&amp;$J671,'Hours Log'!$A:$A,"&lt;"&amp;$J671+7))</f>
        <v/>
      </c>
      <c r="E671" t="str">
        <f t="shared" si="20"/>
        <v/>
      </c>
      <c r="F671" t="str">
        <f t="shared" si="21"/>
        <v/>
      </c>
      <c r="G671" t="str">
        <f>IF($J671="","",SUMIFS('Hours Log'!$E:$E,'Hours Log'!$A:$A,"&gt;="&amp;$J671,'Hours Log'!$A:$A,"&lt;"&amp;$J671+7))</f>
        <v/>
      </c>
      <c r="J671" t="str">
        <f>IF(COUNT('Hours Log'!$A$4:$A$5000)=0,"",IF(MIN('Hours Log'!$A$4:$A$5000)+7*(ROW()-10)&gt;MAX('Hours Log'!$A$4:$A$5000),"",MIN('Hours Log'!$A$4:$A$5000)+7*(ROW()-10)))</f>
        <v/>
      </c>
    </row>
    <row r="672" spans="1:10" x14ac:dyDescent="0.25">
      <c r="A672" t="str">
        <f>IF($J672="","",YEAR($J672-WEEKDAY($J672,2)+4)&amp;"-W"&amp;TEXT(_xludf.ISOWEEKNUM($J672),"00"))</f>
        <v/>
      </c>
      <c r="B672"/>
      <c r="C672" t="str">
        <f>IF($J672="","",SUMIFS('Hours Log'!$C:$C,'Hours Log'!$A:$A,"&gt;="&amp;$J672,'Hours Log'!$A:$A,"&lt;"&amp;$J672+7)+SUMIFS('Hours Log'!$D:$D,'Hours Log'!$A:$A,"&gt;="&amp;$J672,'Hours Log'!$A:$A,"&lt;"&amp;$J672+7))</f>
        <v/>
      </c>
      <c r="D672" t="str">
        <f>IF($J672="","",SUMIFS('Hours Log'!$D:$D,'Hours Log'!$A:$A,"&gt;="&amp;$J672,'Hours Log'!$A:$A,"&lt;"&amp;$J672+7))</f>
        <v/>
      </c>
      <c r="E672" t="str">
        <f t="shared" si="20"/>
        <v/>
      </c>
      <c r="F672" t="str">
        <f t="shared" si="21"/>
        <v/>
      </c>
      <c r="G672" t="str">
        <f>IF($J672="","",SUMIFS('Hours Log'!$E:$E,'Hours Log'!$A:$A,"&gt;="&amp;$J672,'Hours Log'!$A:$A,"&lt;"&amp;$J672+7))</f>
        <v/>
      </c>
      <c r="J672" t="str">
        <f>IF(COUNT('Hours Log'!$A$4:$A$5000)=0,"",IF(MIN('Hours Log'!$A$4:$A$5000)+7*(ROW()-10)&gt;MAX('Hours Log'!$A$4:$A$5000),"",MIN('Hours Log'!$A$4:$A$5000)+7*(ROW()-10)))</f>
        <v/>
      </c>
    </row>
    <row r="673" spans="1:10" x14ac:dyDescent="0.25">
      <c r="A673" t="str">
        <f>IF($J673="","",YEAR($J673-WEEKDAY($J673,2)+4)&amp;"-W"&amp;TEXT(_xludf.ISOWEEKNUM($J673),"00"))</f>
        <v/>
      </c>
      <c r="B673"/>
      <c r="C673" t="str">
        <f>IF($J673="","",SUMIFS('Hours Log'!$C:$C,'Hours Log'!$A:$A,"&gt;="&amp;$J673,'Hours Log'!$A:$A,"&lt;"&amp;$J673+7)+SUMIFS('Hours Log'!$D:$D,'Hours Log'!$A:$A,"&gt;="&amp;$J673,'Hours Log'!$A:$A,"&lt;"&amp;$J673+7))</f>
        <v/>
      </c>
      <c r="D673" t="str">
        <f>IF($J673="","",SUMIFS('Hours Log'!$D:$D,'Hours Log'!$A:$A,"&gt;="&amp;$J673,'Hours Log'!$A:$A,"&lt;"&amp;$J673+7))</f>
        <v/>
      </c>
      <c r="E673" t="str">
        <f t="shared" si="20"/>
        <v/>
      </c>
      <c r="F673" t="str">
        <f t="shared" si="21"/>
        <v/>
      </c>
      <c r="G673" t="str">
        <f>IF($J673="","",SUMIFS('Hours Log'!$E:$E,'Hours Log'!$A:$A,"&gt;="&amp;$J673,'Hours Log'!$A:$A,"&lt;"&amp;$J673+7))</f>
        <v/>
      </c>
      <c r="J673" t="str">
        <f>IF(COUNT('Hours Log'!$A$4:$A$5000)=0,"",IF(MIN('Hours Log'!$A$4:$A$5000)+7*(ROW()-10)&gt;MAX('Hours Log'!$A$4:$A$5000),"",MIN('Hours Log'!$A$4:$A$5000)+7*(ROW()-10)))</f>
        <v/>
      </c>
    </row>
    <row r="674" spans="1:10" x14ac:dyDescent="0.25">
      <c r="A674" t="str">
        <f>IF($J674="","",YEAR($J674-WEEKDAY($J674,2)+4)&amp;"-W"&amp;TEXT(_xludf.ISOWEEKNUM($J674),"00"))</f>
        <v/>
      </c>
      <c r="B674"/>
      <c r="C674" t="str">
        <f>IF($J674="","",SUMIFS('Hours Log'!$C:$C,'Hours Log'!$A:$A,"&gt;="&amp;$J674,'Hours Log'!$A:$A,"&lt;"&amp;$J674+7)+SUMIFS('Hours Log'!$D:$D,'Hours Log'!$A:$A,"&gt;="&amp;$J674,'Hours Log'!$A:$A,"&lt;"&amp;$J674+7))</f>
        <v/>
      </c>
      <c r="D674" t="str">
        <f>IF($J674="","",SUMIFS('Hours Log'!$D:$D,'Hours Log'!$A:$A,"&gt;="&amp;$J674,'Hours Log'!$A:$A,"&lt;"&amp;$J674+7))</f>
        <v/>
      </c>
      <c r="E674" t="str">
        <f t="shared" si="20"/>
        <v/>
      </c>
      <c r="F674" t="str">
        <f t="shared" si="21"/>
        <v/>
      </c>
      <c r="G674" t="str">
        <f>IF($J674="","",SUMIFS('Hours Log'!$E:$E,'Hours Log'!$A:$A,"&gt;="&amp;$J674,'Hours Log'!$A:$A,"&lt;"&amp;$J674+7))</f>
        <v/>
      </c>
      <c r="J674" t="str">
        <f>IF(COUNT('Hours Log'!$A$4:$A$5000)=0,"",IF(MIN('Hours Log'!$A$4:$A$5000)+7*(ROW()-10)&gt;MAX('Hours Log'!$A$4:$A$5000),"",MIN('Hours Log'!$A$4:$A$5000)+7*(ROW()-10)))</f>
        <v/>
      </c>
    </row>
    <row r="675" spans="1:10" x14ac:dyDescent="0.25">
      <c r="A675" t="str">
        <f>IF($J675="","",YEAR($J675-WEEKDAY($J675,2)+4)&amp;"-W"&amp;TEXT(_xludf.ISOWEEKNUM($J675),"00"))</f>
        <v/>
      </c>
      <c r="B675"/>
      <c r="C675" t="str">
        <f>IF($J675="","",SUMIFS('Hours Log'!$C:$C,'Hours Log'!$A:$A,"&gt;="&amp;$J675,'Hours Log'!$A:$A,"&lt;"&amp;$J675+7)+SUMIFS('Hours Log'!$D:$D,'Hours Log'!$A:$A,"&gt;="&amp;$J675,'Hours Log'!$A:$A,"&lt;"&amp;$J675+7))</f>
        <v/>
      </c>
      <c r="D675" t="str">
        <f>IF($J675="","",SUMIFS('Hours Log'!$D:$D,'Hours Log'!$A:$A,"&gt;="&amp;$J675,'Hours Log'!$A:$A,"&lt;"&amp;$J675+7))</f>
        <v/>
      </c>
      <c r="E675" t="str">
        <f t="shared" si="20"/>
        <v/>
      </c>
      <c r="F675" t="str">
        <f t="shared" si="21"/>
        <v/>
      </c>
      <c r="G675" t="str">
        <f>IF($J675="","",SUMIFS('Hours Log'!$E:$E,'Hours Log'!$A:$A,"&gt;="&amp;$J675,'Hours Log'!$A:$A,"&lt;"&amp;$J675+7))</f>
        <v/>
      </c>
      <c r="J675" t="str">
        <f>IF(COUNT('Hours Log'!$A$4:$A$5000)=0,"",IF(MIN('Hours Log'!$A$4:$A$5000)+7*(ROW()-10)&gt;MAX('Hours Log'!$A$4:$A$5000),"",MIN('Hours Log'!$A$4:$A$5000)+7*(ROW()-10)))</f>
        <v/>
      </c>
    </row>
    <row r="676" spans="1:10" x14ac:dyDescent="0.25">
      <c r="A676" t="str">
        <f>IF($J676="","",YEAR($J676-WEEKDAY($J676,2)+4)&amp;"-W"&amp;TEXT(_xludf.ISOWEEKNUM($J676),"00"))</f>
        <v/>
      </c>
      <c r="B676"/>
      <c r="C676" t="str">
        <f>IF($J676="","",SUMIFS('Hours Log'!$C:$C,'Hours Log'!$A:$A,"&gt;="&amp;$J676,'Hours Log'!$A:$A,"&lt;"&amp;$J676+7)+SUMIFS('Hours Log'!$D:$D,'Hours Log'!$A:$A,"&gt;="&amp;$J676,'Hours Log'!$A:$A,"&lt;"&amp;$J676+7))</f>
        <v/>
      </c>
      <c r="D676" t="str">
        <f>IF($J676="","",SUMIFS('Hours Log'!$D:$D,'Hours Log'!$A:$A,"&gt;="&amp;$J676,'Hours Log'!$A:$A,"&lt;"&amp;$J676+7))</f>
        <v/>
      </c>
      <c r="E676" t="str">
        <f t="shared" si="20"/>
        <v/>
      </c>
      <c r="F676" t="str">
        <f t="shared" si="21"/>
        <v/>
      </c>
      <c r="G676" t="str">
        <f>IF($J676="","",SUMIFS('Hours Log'!$E:$E,'Hours Log'!$A:$A,"&gt;="&amp;$J676,'Hours Log'!$A:$A,"&lt;"&amp;$J676+7))</f>
        <v/>
      </c>
      <c r="J676" t="str">
        <f>IF(COUNT('Hours Log'!$A$4:$A$5000)=0,"",IF(MIN('Hours Log'!$A$4:$A$5000)+7*(ROW()-10)&gt;MAX('Hours Log'!$A$4:$A$5000),"",MIN('Hours Log'!$A$4:$A$5000)+7*(ROW()-10)))</f>
        <v/>
      </c>
    </row>
    <row r="677" spans="1:10" x14ac:dyDescent="0.25">
      <c r="A677" t="str">
        <f>IF($J677="","",YEAR($J677-WEEKDAY($J677,2)+4)&amp;"-W"&amp;TEXT(_xludf.ISOWEEKNUM($J677),"00"))</f>
        <v/>
      </c>
      <c r="B677"/>
      <c r="C677" t="str">
        <f>IF($J677="","",SUMIFS('Hours Log'!$C:$C,'Hours Log'!$A:$A,"&gt;="&amp;$J677,'Hours Log'!$A:$A,"&lt;"&amp;$J677+7)+SUMIFS('Hours Log'!$D:$D,'Hours Log'!$A:$A,"&gt;="&amp;$J677,'Hours Log'!$A:$A,"&lt;"&amp;$J677+7))</f>
        <v/>
      </c>
      <c r="D677" t="str">
        <f>IF($J677="","",SUMIFS('Hours Log'!$D:$D,'Hours Log'!$A:$A,"&gt;="&amp;$J677,'Hours Log'!$A:$A,"&lt;"&amp;$J677+7))</f>
        <v/>
      </c>
      <c r="E677" t="str">
        <f t="shared" si="20"/>
        <v/>
      </c>
      <c r="F677" t="str">
        <f t="shared" si="21"/>
        <v/>
      </c>
      <c r="G677" t="str">
        <f>IF($J677="","",SUMIFS('Hours Log'!$E:$E,'Hours Log'!$A:$A,"&gt;="&amp;$J677,'Hours Log'!$A:$A,"&lt;"&amp;$J677+7))</f>
        <v/>
      </c>
      <c r="J677" t="str">
        <f>IF(COUNT('Hours Log'!$A$4:$A$5000)=0,"",IF(MIN('Hours Log'!$A$4:$A$5000)+7*(ROW()-10)&gt;MAX('Hours Log'!$A$4:$A$5000),"",MIN('Hours Log'!$A$4:$A$5000)+7*(ROW()-10)))</f>
        <v/>
      </c>
    </row>
    <row r="678" spans="1:10" x14ac:dyDescent="0.25">
      <c r="A678" t="str">
        <f>IF($J678="","",YEAR($J678-WEEKDAY($J678,2)+4)&amp;"-W"&amp;TEXT(_xludf.ISOWEEKNUM($J678),"00"))</f>
        <v/>
      </c>
      <c r="B678"/>
      <c r="C678" t="str">
        <f>IF($J678="","",SUMIFS('Hours Log'!$C:$C,'Hours Log'!$A:$A,"&gt;="&amp;$J678,'Hours Log'!$A:$A,"&lt;"&amp;$J678+7)+SUMIFS('Hours Log'!$D:$D,'Hours Log'!$A:$A,"&gt;="&amp;$J678,'Hours Log'!$A:$A,"&lt;"&amp;$J678+7))</f>
        <v/>
      </c>
      <c r="D678" t="str">
        <f>IF($J678="","",SUMIFS('Hours Log'!$D:$D,'Hours Log'!$A:$A,"&gt;="&amp;$J678,'Hours Log'!$A:$A,"&lt;"&amp;$J678+7))</f>
        <v/>
      </c>
      <c r="E678" t="str">
        <f t="shared" si="20"/>
        <v/>
      </c>
      <c r="F678" t="str">
        <f t="shared" si="21"/>
        <v/>
      </c>
      <c r="G678" t="str">
        <f>IF($J678="","",SUMIFS('Hours Log'!$E:$E,'Hours Log'!$A:$A,"&gt;="&amp;$J678,'Hours Log'!$A:$A,"&lt;"&amp;$J678+7))</f>
        <v/>
      </c>
      <c r="J678" t="str">
        <f>IF(COUNT('Hours Log'!$A$4:$A$5000)=0,"",IF(MIN('Hours Log'!$A$4:$A$5000)+7*(ROW()-10)&gt;MAX('Hours Log'!$A$4:$A$5000),"",MIN('Hours Log'!$A$4:$A$5000)+7*(ROW()-10)))</f>
        <v/>
      </c>
    </row>
    <row r="679" spans="1:10" x14ac:dyDescent="0.25">
      <c r="A679" t="str">
        <f>IF($J679="","",YEAR($J679-WEEKDAY($J679,2)+4)&amp;"-W"&amp;TEXT(_xludf.ISOWEEKNUM($J679),"00"))</f>
        <v/>
      </c>
      <c r="B679"/>
      <c r="C679" t="str">
        <f>IF($J679="","",SUMIFS('Hours Log'!$C:$C,'Hours Log'!$A:$A,"&gt;="&amp;$J679,'Hours Log'!$A:$A,"&lt;"&amp;$J679+7)+SUMIFS('Hours Log'!$D:$D,'Hours Log'!$A:$A,"&gt;="&amp;$J679,'Hours Log'!$A:$A,"&lt;"&amp;$J679+7))</f>
        <v/>
      </c>
      <c r="D679" t="str">
        <f>IF($J679="","",SUMIFS('Hours Log'!$D:$D,'Hours Log'!$A:$A,"&gt;="&amp;$J679,'Hours Log'!$A:$A,"&lt;"&amp;$J679+7))</f>
        <v/>
      </c>
      <c r="E679" t="str">
        <f t="shared" si="20"/>
        <v/>
      </c>
      <c r="F679" t="str">
        <f t="shared" si="21"/>
        <v/>
      </c>
      <c r="G679" t="str">
        <f>IF($J679="","",SUMIFS('Hours Log'!$E:$E,'Hours Log'!$A:$A,"&gt;="&amp;$J679,'Hours Log'!$A:$A,"&lt;"&amp;$J679+7))</f>
        <v/>
      </c>
      <c r="J679" t="str">
        <f>IF(COUNT('Hours Log'!$A$4:$A$5000)=0,"",IF(MIN('Hours Log'!$A$4:$A$5000)+7*(ROW()-10)&gt;MAX('Hours Log'!$A$4:$A$5000),"",MIN('Hours Log'!$A$4:$A$5000)+7*(ROW()-10)))</f>
        <v/>
      </c>
    </row>
    <row r="680" spans="1:10" x14ac:dyDescent="0.25">
      <c r="A680" t="str">
        <f>IF($J680="","",YEAR($J680-WEEKDAY($J680,2)+4)&amp;"-W"&amp;TEXT(_xludf.ISOWEEKNUM($J680),"00"))</f>
        <v/>
      </c>
      <c r="B680"/>
      <c r="C680" t="str">
        <f>IF($J680="","",SUMIFS('Hours Log'!$C:$C,'Hours Log'!$A:$A,"&gt;="&amp;$J680,'Hours Log'!$A:$A,"&lt;"&amp;$J680+7)+SUMIFS('Hours Log'!$D:$D,'Hours Log'!$A:$A,"&gt;="&amp;$J680,'Hours Log'!$A:$A,"&lt;"&amp;$J680+7))</f>
        <v/>
      </c>
      <c r="D680" t="str">
        <f>IF($J680="","",SUMIFS('Hours Log'!$D:$D,'Hours Log'!$A:$A,"&gt;="&amp;$J680,'Hours Log'!$A:$A,"&lt;"&amp;$J680+7))</f>
        <v/>
      </c>
      <c r="E680" t="str">
        <f t="shared" si="20"/>
        <v/>
      </c>
      <c r="F680" t="str">
        <f t="shared" si="21"/>
        <v/>
      </c>
      <c r="G680" t="str">
        <f>IF($J680="","",SUMIFS('Hours Log'!$E:$E,'Hours Log'!$A:$A,"&gt;="&amp;$J680,'Hours Log'!$A:$A,"&lt;"&amp;$J680+7))</f>
        <v/>
      </c>
      <c r="J680" t="str">
        <f>IF(COUNT('Hours Log'!$A$4:$A$5000)=0,"",IF(MIN('Hours Log'!$A$4:$A$5000)+7*(ROW()-10)&gt;MAX('Hours Log'!$A$4:$A$5000),"",MIN('Hours Log'!$A$4:$A$5000)+7*(ROW()-10)))</f>
        <v/>
      </c>
    </row>
    <row r="681" spans="1:10" x14ac:dyDescent="0.25">
      <c r="A681" t="str">
        <f>IF($J681="","",YEAR($J681-WEEKDAY($J681,2)+4)&amp;"-W"&amp;TEXT(_xludf.ISOWEEKNUM($J681),"00"))</f>
        <v/>
      </c>
      <c r="B681"/>
      <c r="C681" t="str">
        <f>IF($J681="","",SUMIFS('Hours Log'!$C:$C,'Hours Log'!$A:$A,"&gt;="&amp;$J681,'Hours Log'!$A:$A,"&lt;"&amp;$J681+7)+SUMIFS('Hours Log'!$D:$D,'Hours Log'!$A:$A,"&gt;="&amp;$J681,'Hours Log'!$A:$A,"&lt;"&amp;$J681+7))</f>
        <v/>
      </c>
      <c r="D681" t="str">
        <f>IF($J681="","",SUMIFS('Hours Log'!$D:$D,'Hours Log'!$A:$A,"&gt;="&amp;$J681,'Hours Log'!$A:$A,"&lt;"&amp;$J681+7))</f>
        <v/>
      </c>
      <c r="E681" t="str">
        <f t="shared" si="20"/>
        <v/>
      </c>
      <c r="F681" t="str">
        <f t="shared" si="21"/>
        <v/>
      </c>
      <c r="G681" t="str">
        <f>IF($J681="","",SUMIFS('Hours Log'!$E:$E,'Hours Log'!$A:$A,"&gt;="&amp;$J681,'Hours Log'!$A:$A,"&lt;"&amp;$J681+7))</f>
        <v/>
      </c>
      <c r="J681" t="str">
        <f>IF(COUNT('Hours Log'!$A$4:$A$5000)=0,"",IF(MIN('Hours Log'!$A$4:$A$5000)+7*(ROW()-10)&gt;MAX('Hours Log'!$A$4:$A$5000),"",MIN('Hours Log'!$A$4:$A$5000)+7*(ROW()-10)))</f>
        <v/>
      </c>
    </row>
    <row r="682" spans="1:10" x14ac:dyDescent="0.25">
      <c r="A682" t="str">
        <f>IF($J682="","",YEAR($J682-WEEKDAY($J682,2)+4)&amp;"-W"&amp;TEXT(_xludf.ISOWEEKNUM($J682),"00"))</f>
        <v/>
      </c>
      <c r="B682"/>
      <c r="C682" t="str">
        <f>IF($J682="","",SUMIFS('Hours Log'!$C:$C,'Hours Log'!$A:$A,"&gt;="&amp;$J682,'Hours Log'!$A:$A,"&lt;"&amp;$J682+7)+SUMIFS('Hours Log'!$D:$D,'Hours Log'!$A:$A,"&gt;="&amp;$J682,'Hours Log'!$A:$A,"&lt;"&amp;$J682+7))</f>
        <v/>
      </c>
      <c r="D682" t="str">
        <f>IF($J682="","",SUMIFS('Hours Log'!$D:$D,'Hours Log'!$A:$A,"&gt;="&amp;$J682,'Hours Log'!$A:$A,"&lt;"&amp;$J682+7))</f>
        <v/>
      </c>
      <c r="E682" t="str">
        <f t="shared" si="20"/>
        <v/>
      </c>
      <c r="F682" t="str">
        <f t="shared" si="21"/>
        <v/>
      </c>
      <c r="G682" t="str">
        <f>IF($J682="","",SUMIFS('Hours Log'!$E:$E,'Hours Log'!$A:$A,"&gt;="&amp;$J682,'Hours Log'!$A:$A,"&lt;"&amp;$J682+7))</f>
        <v/>
      </c>
      <c r="J682" t="str">
        <f>IF(COUNT('Hours Log'!$A$4:$A$5000)=0,"",IF(MIN('Hours Log'!$A$4:$A$5000)+7*(ROW()-10)&gt;MAX('Hours Log'!$A$4:$A$5000),"",MIN('Hours Log'!$A$4:$A$5000)+7*(ROW()-10)))</f>
        <v/>
      </c>
    </row>
    <row r="683" spans="1:10" x14ac:dyDescent="0.25">
      <c r="A683" t="str">
        <f>IF($J683="","",YEAR($J683-WEEKDAY($J683,2)+4)&amp;"-W"&amp;TEXT(_xludf.ISOWEEKNUM($J683),"00"))</f>
        <v/>
      </c>
      <c r="B683"/>
      <c r="C683" t="str">
        <f>IF($J683="","",SUMIFS('Hours Log'!$C:$C,'Hours Log'!$A:$A,"&gt;="&amp;$J683,'Hours Log'!$A:$A,"&lt;"&amp;$J683+7)+SUMIFS('Hours Log'!$D:$D,'Hours Log'!$A:$A,"&gt;="&amp;$J683,'Hours Log'!$A:$A,"&lt;"&amp;$J683+7))</f>
        <v/>
      </c>
      <c r="D683" t="str">
        <f>IF($J683="","",SUMIFS('Hours Log'!$D:$D,'Hours Log'!$A:$A,"&gt;="&amp;$J683,'Hours Log'!$A:$A,"&lt;"&amp;$J683+7))</f>
        <v/>
      </c>
      <c r="E683" t="str">
        <f t="shared" si="20"/>
        <v/>
      </c>
      <c r="F683" t="str">
        <f t="shared" si="21"/>
        <v/>
      </c>
      <c r="G683" t="str">
        <f>IF($J683="","",SUMIFS('Hours Log'!$E:$E,'Hours Log'!$A:$A,"&gt;="&amp;$J683,'Hours Log'!$A:$A,"&lt;"&amp;$J683+7))</f>
        <v/>
      </c>
      <c r="J683" t="str">
        <f>IF(COUNT('Hours Log'!$A$4:$A$5000)=0,"",IF(MIN('Hours Log'!$A$4:$A$5000)+7*(ROW()-10)&gt;MAX('Hours Log'!$A$4:$A$5000),"",MIN('Hours Log'!$A$4:$A$5000)+7*(ROW()-10)))</f>
        <v/>
      </c>
    </row>
    <row r="684" spans="1:10" x14ac:dyDescent="0.25">
      <c r="A684" t="str">
        <f>IF($J684="","",YEAR($J684-WEEKDAY($J684,2)+4)&amp;"-W"&amp;TEXT(_xludf.ISOWEEKNUM($J684),"00"))</f>
        <v/>
      </c>
      <c r="B684"/>
      <c r="C684" t="str">
        <f>IF($J684="","",SUMIFS('Hours Log'!$C:$C,'Hours Log'!$A:$A,"&gt;="&amp;$J684,'Hours Log'!$A:$A,"&lt;"&amp;$J684+7)+SUMIFS('Hours Log'!$D:$D,'Hours Log'!$A:$A,"&gt;="&amp;$J684,'Hours Log'!$A:$A,"&lt;"&amp;$J684+7))</f>
        <v/>
      </c>
      <c r="D684" t="str">
        <f>IF($J684="","",SUMIFS('Hours Log'!$D:$D,'Hours Log'!$A:$A,"&gt;="&amp;$J684,'Hours Log'!$A:$A,"&lt;"&amp;$J684+7))</f>
        <v/>
      </c>
      <c r="E684" t="str">
        <f t="shared" si="20"/>
        <v/>
      </c>
      <c r="F684" t="str">
        <f t="shared" si="21"/>
        <v/>
      </c>
      <c r="G684" t="str">
        <f>IF($J684="","",SUMIFS('Hours Log'!$E:$E,'Hours Log'!$A:$A,"&gt;="&amp;$J684,'Hours Log'!$A:$A,"&lt;"&amp;$J684+7))</f>
        <v/>
      </c>
      <c r="J684" t="str">
        <f>IF(COUNT('Hours Log'!$A$4:$A$5000)=0,"",IF(MIN('Hours Log'!$A$4:$A$5000)+7*(ROW()-10)&gt;MAX('Hours Log'!$A$4:$A$5000),"",MIN('Hours Log'!$A$4:$A$5000)+7*(ROW()-10)))</f>
        <v/>
      </c>
    </row>
    <row r="685" spans="1:10" x14ac:dyDescent="0.25">
      <c r="A685" t="str">
        <f>IF($J685="","",YEAR($J685-WEEKDAY($J685,2)+4)&amp;"-W"&amp;TEXT(_xludf.ISOWEEKNUM($J685),"00"))</f>
        <v/>
      </c>
      <c r="B685"/>
      <c r="C685" t="str">
        <f>IF($J685="","",SUMIFS('Hours Log'!$C:$C,'Hours Log'!$A:$A,"&gt;="&amp;$J685,'Hours Log'!$A:$A,"&lt;"&amp;$J685+7)+SUMIFS('Hours Log'!$D:$D,'Hours Log'!$A:$A,"&gt;="&amp;$J685,'Hours Log'!$A:$A,"&lt;"&amp;$J685+7))</f>
        <v/>
      </c>
      <c r="D685" t="str">
        <f>IF($J685="","",SUMIFS('Hours Log'!$D:$D,'Hours Log'!$A:$A,"&gt;="&amp;$J685,'Hours Log'!$A:$A,"&lt;"&amp;$J685+7))</f>
        <v/>
      </c>
      <c r="E685" t="str">
        <f t="shared" si="20"/>
        <v/>
      </c>
      <c r="F685" t="str">
        <f t="shared" si="21"/>
        <v/>
      </c>
      <c r="G685" t="str">
        <f>IF($J685="","",SUMIFS('Hours Log'!$E:$E,'Hours Log'!$A:$A,"&gt;="&amp;$J685,'Hours Log'!$A:$A,"&lt;"&amp;$J685+7))</f>
        <v/>
      </c>
      <c r="J685" t="str">
        <f>IF(COUNT('Hours Log'!$A$4:$A$5000)=0,"",IF(MIN('Hours Log'!$A$4:$A$5000)+7*(ROW()-10)&gt;MAX('Hours Log'!$A$4:$A$5000),"",MIN('Hours Log'!$A$4:$A$5000)+7*(ROW()-10)))</f>
        <v/>
      </c>
    </row>
    <row r="686" spans="1:10" x14ac:dyDescent="0.25">
      <c r="A686" t="str">
        <f>IF($J686="","",YEAR($J686-WEEKDAY($J686,2)+4)&amp;"-W"&amp;TEXT(_xludf.ISOWEEKNUM($J686),"00"))</f>
        <v/>
      </c>
      <c r="B686"/>
      <c r="C686" t="str">
        <f>IF($J686="","",SUMIFS('Hours Log'!$C:$C,'Hours Log'!$A:$A,"&gt;="&amp;$J686,'Hours Log'!$A:$A,"&lt;"&amp;$J686+7)+SUMIFS('Hours Log'!$D:$D,'Hours Log'!$A:$A,"&gt;="&amp;$J686,'Hours Log'!$A:$A,"&lt;"&amp;$J686+7))</f>
        <v/>
      </c>
      <c r="D686" t="str">
        <f>IF($J686="","",SUMIFS('Hours Log'!$D:$D,'Hours Log'!$A:$A,"&gt;="&amp;$J686,'Hours Log'!$A:$A,"&lt;"&amp;$J686+7))</f>
        <v/>
      </c>
      <c r="E686" t="str">
        <f t="shared" si="20"/>
        <v/>
      </c>
      <c r="F686" t="str">
        <f t="shared" si="21"/>
        <v/>
      </c>
      <c r="G686" t="str">
        <f>IF($J686="","",SUMIFS('Hours Log'!$E:$E,'Hours Log'!$A:$A,"&gt;="&amp;$J686,'Hours Log'!$A:$A,"&lt;"&amp;$J686+7))</f>
        <v/>
      </c>
      <c r="J686" t="str">
        <f>IF(COUNT('Hours Log'!$A$4:$A$5000)=0,"",IF(MIN('Hours Log'!$A$4:$A$5000)+7*(ROW()-10)&gt;MAX('Hours Log'!$A$4:$A$5000),"",MIN('Hours Log'!$A$4:$A$5000)+7*(ROW()-10)))</f>
        <v/>
      </c>
    </row>
    <row r="687" spans="1:10" x14ac:dyDescent="0.25">
      <c r="A687" t="str">
        <f>IF($J687="","",YEAR($J687-WEEKDAY($J687,2)+4)&amp;"-W"&amp;TEXT(_xludf.ISOWEEKNUM($J687),"00"))</f>
        <v/>
      </c>
      <c r="B687"/>
      <c r="C687" t="str">
        <f>IF($J687="","",SUMIFS('Hours Log'!$C:$C,'Hours Log'!$A:$A,"&gt;="&amp;$J687,'Hours Log'!$A:$A,"&lt;"&amp;$J687+7)+SUMIFS('Hours Log'!$D:$D,'Hours Log'!$A:$A,"&gt;="&amp;$J687,'Hours Log'!$A:$A,"&lt;"&amp;$J687+7))</f>
        <v/>
      </c>
      <c r="D687" t="str">
        <f>IF($J687="","",SUMIFS('Hours Log'!$D:$D,'Hours Log'!$A:$A,"&gt;="&amp;$J687,'Hours Log'!$A:$A,"&lt;"&amp;$J687+7))</f>
        <v/>
      </c>
      <c r="E687" t="str">
        <f t="shared" si="20"/>
        <v/>
      </c>
      <c r="F687" t="str">
        <f t="shared" si="21"/>
        <v/>
      </c>
      <c r="G687" t="str">
        <f>IF($J687="","",SUMIFS('Hours Log'!$E:$E,'Hours Log'!$A:$A,"&gt;="&amp;$J687,'Hours Log'!$A:$A,"&lt;"&amp;$J687+7))</f>
        <v/>
      </c>
      <c r="J687" t="str">
        <f>IF(COUNT('Hours Log'!$A$4:$A$5000)=0,"",IF(MIN('Hours Log'!$A$4:$A$5000)+7*(ROW()-10)&gt;MAX('Hours Log'!$A$4:$A$5000),"",MIN('Hours Log'!$A$4:$A$5000)+7*(ROW()-10)))</f>
        <v/>
      </c>
    </row>
    <row r="688" spans="1:10" x14ac:dyDescent="0.25">
      <c r="A688" t="str">
        <f>IF($J688="","",YEAR($J688-WEEKDAY($J688,2)+4)&amp;"-W"&amp;TEXT(_xludf.ISOWEEKNUM($J688),"00"))</f>
        <v/>
      </c>
      <c r="B688"/>
      <c r="C688" t="str">
        <f>IF($J688="","",SUMIFS('Hours Log'!$C:$C,'Hours Log'!$A:$A,"&gt;="&amp;$J688,'Hours Log'!$A:$A,"&lt;"&amp;$J688+7)+SUMIFS('Hours Log'!$D:$D,'Hours Log'!$A:$A,"&gt;="&amp;$J688,'Hours Log'!$A:$A,"&lt;"&amp;$J688+7))</f>
        <v/>
      </c>
      <c r="D688" t="str">
        <f>IF($J688="","",SUMIFS('Hours Log'!$D:$D,'Hours Log'!$A:$A,"&gt;="&amp;$J688,'Hours Log'!$A:$A,"&lt;"&amp;$J688+7))</f>
        <v/>
      </c>
      <c r="E688" t="str">
        <f t="shared" si="20"/>
        <v/>
      </c>
      <c r="F688" t="str">
        <f t="shared" si="21"/>
        <v/>
      </c>
      <c r="G688" t="str">
        <f>IF($J688="","",SUMIFS('Hours Log'!$E:$E,'Hours Log'!$A:$A,"&gt;="&amp;$J688,'Hours Log'!$A:$A,"&lt;"&amp;$J688+7))</f>
        <v/>
      </c>
      <c r="J688" t="str">
        <f>IF(COUNT('Hours Log'!$A$4:$A$5000)=0,"",IF(MIN('Hours Log'!$A$4:$A$5000)+7*(ROW()-10)&gt;MAX('Hours Log'!$A$4:$A$5000),"",MIN('Hours Log'!$A$4:$A$5000)+7*(ROW()-10)))</f>
        <v/>
      </c>
    </row>
    <row r="689" spans="1:10" x14ac:dyDescent="0.25">
      <c r="A689" t="str">
        <f>IF($J689="","",YEAR($J689-WEEKDAY($J689,2)+4)&amp;"-W"&amp;TEXT(_xludf.ISOWEEKNUM($J689),"00"))</f>
        <v/>
      </c>
      <c r="B689"/>
      <c r="C689" t="str">
        <f>IF($J689="","",SUMIFS('Hours Log'!$C:$C,'Hours Log'!$A:$A,"&gt;="&amp;$J689,'Hours Log'!$A:$A,"&lt;"&amp;$J689+7)+SUMIFS('Hours Log'!$D:$D,'Hours Log'!$A:$A,"&gt;="&amp;$J689,'Hours Log'!$A:$A,"&lt;"&amp;$J689+7))</f>
        <v/>
      </c>
      <c r="D689" t="str">
        <f>IF($J689="","",SUMIFS('Hours Log'!$D:$D,'Hours Log'!$A:$A,"&gt;="&amp;$J689,'Hours Log'!$A:$A,"&lt;"&amp;$J689+7))</f>
        <v/>
      </c>
      <c r="E689" t="str">
        <f t="shared" si="20"/>
        <v/>
      </c>
      <c r="F689" t="str">
        <f t="shared" si="21"/>
        <v/>
      </c>
      <c r="G689" t="str">
        <f>IF($J689="","",SUMIFS('Hours Log'!$E:$E,'Hours Log'!$A:$A,"&gt;="&amp;$J689,'Hours Log'!$A:$A,"&lt;"&amp;$J689+7))</f>
        <v/>
      </c>
      <c r="J689" t="str">
        <f>IF(COUNT('Hours Log'!$A$4:$A$5000)=0,"",IF(MIN('Hours Log'!$A$4:$A$5000)+7*(ROW()-10)&gt;MAX('Hours Log'!$A$4:$A$5000),"",MIN('Hours Log'!$A$4:$A$5000)+7*(ROW()-10)))</f>
        <v/>
      </c>
    </row>
    <row r="690" spans="1:10" x14ac:dyDescent="0.25">
      <c r="A690" t="str">
        <f>IF($J690="","",YEAR($J690-WEEKDAY($J690,2)+4)&amp;"-W"&amp;TEXT(_xludf.ISOWEEKNUM($J690),"00"))</f>
        <v/>
      </c>
      <c r="B690"/>
      <c r="C690" t="str">
        <f>IF($J690="","",SUMIFS('Hours Log'!$C:$C,'Hours Log'!$A:$A,"&gt;="&amp;$J690,'Hours Log'!$A:$A,"&lt;"&amp;$J690+7)+SUMIFS('Hours Log'!$D:$D,'Hours Log'!$A:$A,"&gt;="&amp;$J690,'Hours Log'!$A:$A,"&lt;"&amp;$J690+7))</f>
        <v/>
      </c>
      <c r="D690" t="str">
        <f>IF($J690="","",SUMIFS('Hours Log'!$D:$D,'Hours Log'!$A:$A,"&gt;="&amp;$J690,'Hours Log'!$A:$A,"&lt;"&amp;$J690+7))</f>
        <v/>
      </c>
      <c r="E690" t="str">
        <f t="shared" si="20"/>
        <v/>
      </c>
      <c r="F690" t="str">
        <f t="shared" si="21"/>
        <v/>
      </c>
      <c r="G690" t="str">
        <f>IF($J690="","",SUMIFS('Hours Log'!$E:$E,'Hours Log'!$A:$A,"&gt;="&amp;$J690,'Hours Log'!$A:$A,"&lt;"&amp;$J690+7))</f>
        <v/>
      </c>
      <c r="J690" t="str">
        <f>IF(COUNT('Hours Log'!$A$4:$A$5000)=0,"",IF(MIN('Hours Log'!$A$4:$A$5000)+7*(ROW()-10)&gt;MAX('Hours Log'!$A$4:$A$5000),"",MIN('Hours Log'!$A$4:$A$5000)+7*(ROW()-10)))</f>
        <v/>
      </c>
    </row>
    <row r="691" spans="1:10" x14ac:dyDescent="0.25">
      <c r="A691" t="str">
        <f>IF($J691="","",YEAR($J691-WEEKDAY($J691,2)+4)&amp;"-W"&amp;TEXT(_xludf.ISOWEEKNUM($J691),"00"))</f>
        <v/>
      </c>
      <c r="B691"/>
      <c r="C691" t="str">
        <f>IF($J691="","",SUMIFS('Hours Log'!$C:$C,'Hours Log'!$A:$A,"&gt;="&amp;$J691,'Hours Log'!$A:$A,"&lt;"&amp;$J691+7)+SUMIFS('Hours Log'!$D:$D,'Hours Log'!$A:$A,"&gt;="&amp;$J691,'Hours Log'!$A:$A,"&lt;"&amp;$J691+7))</f>
        <v/>
      </c>
      <c r="D691" t="str">
        <f>IF($J691="","",SUMIFS('Hours Log'!$D:$D,'Hours Log'!$A:$A,"&gt;="&amp;$J691,'Hours Log'!$A:$A,"&lt;"&amp;$J691+7))</f>
        <v/>
      </c>
      <c r="E691" t="str">
        <f t="shared" si="20"/>
        <v/>
      </c>
      <c r="F691" t="str">
        <f t="shared" si="21"/>
        <v/>
      </c>
      <c r="G691" t="str">
        <f>IF($J691="","",SUMIFS('Hours Log'!$E:$E,'Hours Log'!$A:$A,"&gt;="&amp;$J691,'Hours Log'!$A:$A,"&lt;"&amp;$J691+7))</f>
        <v/>
      </c>
      <c r="J691" t="str">
        <f>IF(COUNT('Hours Log'!$A$4:$A$5000)=0,"",IF(MIN('Hours Log'!$A$4:$A$5000)+7*(ROW()-10)&gt;MAX('Hours Log'!$A$4:$A$5000),"",MIN('Hours Log'!$A$4:$A$5000)+7*(ROW()-10)))</f>
        <v/>
      </c>
    </row>
    <row r="692" spans="1:10" x14ac:dyDescent="0.25">
      <c r="A692" t="str">
        <f>IF($J692="","",YEAR($J692-WEEKDAY($J692,2)+4)&amp;"-W"&amp;TEXT(_xludf.ISOWEEKNUM($J692),"00"))</f>
        <v/>
      </c>
      <c r="B692"/>
      <c r="C692" t="str">
        <f>IF($J692="","",SUMIFS('Hours Log'!$C:$C,'Hours Log'!$A:$A,"&gt;="&amp;$J692,'Hours Log'!$A:$A,"&lt;"&amp;$J692+7)+SUMIFS('Hours Log'!$D:$D,'Hours Log'!$A:$A,"&gt;="&amp;$J692,'Hours Log'!$A:$A,"&lt;"&amp;$J692+7))</f>
        <v/>
      </c>
      <c r="D692" t="str">
        <f>IF($J692="","",SUMIFS('Hours Log'!$D:$D,'Hours Log'!$A:$A,"&gt;="&amp;$J692,'Hours Log'!$A:$A,"&lt;"&amp;$J692+7))</f>
        <v/>
      </c>
      <c r="E692" t="str">
        <f t="shared" si="20"/>
        <v/>
      </c>
      <c r="F692" t="str">
        <f t="shared" si="21"/>
        <v/>
      </c>
      <c r="G692" t="str">
        <f>IF($J692="","",SUMIFS('Hours Log'!$E:$E,'Hours Log'!$A:$A,"&gt;="&amp;$J692,'Hours Log'!$A:$A,"&lt;"&amp;$J692+7))</f>
        <v/>
      </c>
      <c r="J692" t="str">
        <f>IF(COUNT('Hours Log'!$A$4:$A$5000)=0,"",IF(MIN('Hours Log'!$A$4:$A$5000)+7*(ROW()-10)&gt;MAX('Hours Log'!$A$4:$A$5000),"",MIN('Hours Log'!$A$4:$A$5000)+7*(ROW()-10)))</f>
        <v/>
      </c>
    </row>
    <row r="693" spans="1:10" x14ac:dyDescent="0.25">
      <c r="A693" t="str">
        <f>IF($J693="","",YEAR($J693-WEEKDAY($J693,2)+4)&amp;"-W"&amp;TEXT(_xludf.ISOWEEKNUM($J693),"00"))</f>
        <v/>
      </c>
      <c r="B693"/>
      <c r="C693" t="str">
        <f>IF($J693="","",SUMIFS('Hours Log'!$C:$C,'Hours Log'!$A:$A,"&gt;="&amp;$J693,'Hours Log'!$A:$A,"&lt;"&amp;$J693+7)+SUMIFS('Hours Log'!$D:$D,'Hours Log'!$A:$A,"&gt;="&amp;$J693,'Hours Log'!$A:$A,"&lt;"&amp;$J693+7))</f>
        <v/>
      </c>
      <c r="D693" t="str">
        <f>IF($J693="","",SUMIFS('Hours Log'!$D:$D,'Hours Log'!$A:$A,"&gt;="&amp;$J693,'Hours Log'!$A:$A,"&lt;"&amp;$J693+7))</f>
        <v/>
      </c>
      <c r="E693" t="str">
        <f t="shared" si="20"/>
        <v/>
      </c>
      <c r="F693" t="str">
        <f t="shared" si="21"/>
        <v/>
      </c>
      <c r="G693" t="str">
        <f>IF($J693="","",SUMIFS('Hours Log'!$E:$E,'Hours Log'!$A:$A,"&gt;="&amp;$J693,'Hours Log'!$A:$A,"&lt;"&amp;$J693+7))</f>
        <v/>
      </c>
      <c r="J693" t="str">
        <f>IF(COUNT('Hours Log'!$A$4:$A$5000)=0,"",IF(MIN('Hours Log'!$A$4:$A$5000)+7*(ROW()-10)&gt;MAX('Hours Log'!$A$4:$A$5000),"",MIN('Hours Log'!$A$4:$A$5000)+7*(ROW()-10)))</f>
        <v/>
      </c>
    </row>
    <row r="694" spans="1:10" x14ac:dyDescent="0.25">
      <c r="A694" t="str">
        <f>IF($J694="","",YEAR($J694-WEEKDAY($J694,2)+4)&amp;"-W"&amp;TEXT(_xludf.ISOWEEKNUM($J694),"00"))</f>
        <v/>
      </c>
      <c r="B694"/>
      <c r="C694" t="str">
        <f>IF($J694="","",SUMIFS('Hours Log'!$C:$C,'Hours Log'!$A:$A,"&gt;="&amp;$J694,'Hours Log'!$A:$A,"&lt;"&amp;$J694+7)+SUMIFS('Hours Log'!$D:$D,'Hours Log'!$A:$A,"&gt;="&amp;$J694,'Hours Log'!$A:$A,"&lt;"&amp;$J694+7))</f>
        <v/>
      </c>
      <c r="D694" t="str">
        <f>IF($J694="","",SUMIFS('Hours Log'!$D:$D,'Hours Log'!$A:$A,"&gt;="&amp;$J694,'Hours Log'!$A:$A,"&lt;"&amp;$J694+7))</f>
        <v/>
      </c>
      <c r="E694" t="str">
        <f t="shared" si="20"/>
        <v/>
      </c>
      <c r="F694" t="str">
        <f t="shared" si="21"/>
        <v/>
      </c>
      <c r="G694" t="str">
        <f>IF($J694="","",SUMIFS('Hours Log'!$E:$E,'Hours Log'!$A:$A,"&gt;="&amp;$J694,'Hours Log'!$A:$A,"&lt;"&amp;$J694+7))</f>
        <v/>
      </c>
      <c r="J694" t="str">
        <f>IF(COUNT('Hours Log'!$A$4:$A$5000)=0,"",IF(MIN('Hours Log'!$A$4:$A$5000)+7*(ROW()-10)&gt;MAX('Hours Log'!$A$4:$A$5000),"",MIN('Hours Log'!$A$4:$A$5000)+7*(ROW()-10)))</f>
        <v/>
      </c>
    </row>
    <row r="695" spans="1:10" x14ac:dyDescent="0.25">
      <c r="A695" t="str">
        <f>IF($J695="","",YEAR($J695-WEEKDAY($J695,2)+4)&amp;"-W"&amp;TEXT(_xludf.ISOWEEKNUM($J695),"00"))</f>
        <v/>
      </c>
      <c r="B695"/>
      <c r="C695" t="str">
        <f>IF($J695="","",SUMIFS('Hours Log'!$C:$C,'Hours Log'!$A:$A,"&gt;="&amp;$J695,'Hours Log'!$A:$A,"&lt;"&amp;$J695+7)+SUMIFS('Hours Log'!$D:$D,'Hours Log'!$A:$A,"&gt;="&amp;$J695,'Hours Log'!$A:$A,"&lt;"&amp;$J695+7))</f>
        <v/>
      </c>
      <c r="D695" t="str">
        <f>IF($J695="","",SUMIFS('Hours Log'!$D:$D,'Hours Log'!$A:$A,"&gt;="&amp;$J695,'Hours Log'!$A:$A,"&lt;"&amp;$J695+7))</f>
        <v/>
      </c>
      <c r="E695" t="str">
        <f t="shared" si="20"/>
        <v/>
      </c>
      <c r="F695" t="str">
        <f t="shared" si="21"/>
        <v/>
      </c>
      <c r="G695" t="str">
        <f>IF($J695="","",SUMIFS('Hours Log'!$E:$E,'Hours Log'!$A:$A,"&gt;="&amp;$J695,'Hours Log'!$A:$A,"&lt;"&amp;$J695+7))</f>
        <v/>
      </c>
      <c r="J695" t="str">
        <f>IF(COUNT('Hours Log'!$A$4:$A$5000)=0,"",IF(MIN('Hours Log'!$A$4:$A$5000)+7*(ROW()-10)&gt;MAX('Hours Log'!$A$4:$A$5000),"",MIN('Hours Log'!$A$4:$A$5000)+7*(ROW()-10)))</f>
        <v/>
      </c>
    </row>
    <row r="696" spans="1:10" x14ac:dyDescent="0.25">
      <c r="A696" t="str">
        <f>IF($J696="","",YEAR($J696-WEEKDAY($J696,2)+4)&amp;"-W"&amp;TEXT(_xludf.ISOWEEKNUM($J696),"00"))</f>
        <v/>
      </c>
      <c r="B696"/>
      <c r="C696" t="str">
        <f>IF($J696="","",SUMIFS('Hours Log'!$C:$C,'Hours Log'!$A:$A,"&gt;="&amp;$J696,'Hours Log'!$A:$A,"&lt;"&amp;$J696+7)+SUMIFS('Hours Log'!$D:$D,'Hours Log'!$A:$A,"&gt;="&amp;$J696,'Hours Log'!$A:$A,"&lt;"&amp;$J696+7))</f>
        <v/>
      </c>
      <c r="D696" t="str">
        <f>IF($J696="","",SUMIFS('Hours Log'!$D:$D,'Hours Log'!$A:$A,"&gt;="&amp;$J696,'Hours Log'!$A:$A,"&lt;"&amp;$J696+7))</f>
        <v/>
      </c>
      <c r="E696" t="str">
        <f t="shared" si="20"/>
        <v/>
      </c>
      <c r="F696" t="str">
        <f t="shared" si="21"/>
        <v/>
      </c>
      <c r="G696" t="str">
        <f>IF($J696="","",SUMIFS('Hours Log'!$E:$E,'Hours Log'!$A:$A,"&gt;="&amp;$J696,'Hours Log'!$A:$A,"&lt;"&amp;$J696+7))</f>
        <v/>
      </c>
      <c r="J696" t="str">
        <f>IF(COUNT('Hours Log'!$A$4:$A$5000)=0,"",IF(MIN('Hours Log'!$A$4:$A$5000)+7*(ROW()-10)&gt;MAX('Hours Log'!$A$4:$A$5000),"",MIN('Hours Log'!$A$4:$A$5000)+7*(ROW()-10)))</f>
        <v/>
      </c>
    </row>
    <row r="697" spans="1:10" x14ac:dyDescent="0.25">
      <c r="A697" t="str">
        <f>IF($J697="","",YEAR($J697-WEEKDAY($J697,2)+4)&amp;"-W"&amp;TEXT(_xludf.ISOWEEKNUM($J697),"00"))</f>
        <v/>
      </c>
      <c r="B697"/>
      <c r="C697" t="str">
        <f>IF($J697="","",SUMIFS('Hours Log'!$C:$C,'Hours Log'!$A:$A,"&gt;="&amp;$J697,'Hours Log'!$A:$A,"&lt;"&amp;$J697+7)+SUMIFS('Hours Log'!$D:$D,'Hours Log'!$A:$A,"&gt;="&amp;$J697,'Hours Log'!$A:$A,"&lt;"&amp;$J697+7))</f>
        <v/>
      </c>
      <c r="D697" t="str">
        <f>IF($J697="","",SUMIFS('Hours Log'!$D:$D,'Hours Log'!$A:$A,"&gt;="&amp;$J697,'Hours Log'!$A:$A,"&lt;"&amp;$J697+7))</f>
        <v/>
      </c>
      <c r="E697" t="str">
        <f t="shared" si="20"/>
        <v/>
      </c>
      <c r="F697" t="str">
        <f t="shared" si="21"/>
        <v/>
      </c>
      <c r="G697" t="str">
        <f>IF($J697="","",SUMIFS('Hours Log'!$E:$E,'Hours Log'!$A:$A,"&gt;="&amp;$J697,'Hours Log'!$A:$A,"&lt;"&amp;$J697+7))</f>
        <v/>
      </c>
      <c r="J697" t="str">
        <f>IF(COUNT('Hours Log'!$A$4:$A$5000)=0,"",IF(MIN('Hours Log'!$A$4:$A$5000)+7*(ROW()-10)&gt;MAX('Hours Log'!$A$4:$A$5000),"",MIN('Hours Log'!$A$4:$A$5000)+7*(ROW()-10)))</f>
        <v/>
      </c>
    </row>
    <row r="698" spans="1:10" x14ac:dyDescent="0.25">
      <c r="A698" t="str">
        <f>IF($J698="","",YEAR($J698-WEEKDAY($J698,2)+4)&amp;"-W"&amp;TEXT(_xludf.ISOWEEKNUM($J698),"00"))</f>
        <v/>
      </c>
      <c r="B698"/>
      <c r="C698" t="str">
        <f>IF($J698="","",SUMIFS('Hours Log'!$C:$C,'Hours Log'!$A:$A,"&gt;="&amp;$J698,'Hours Log'!$A:$A,"&lt;"&amp;$J698+7)+SUMIFS('Hours Log'!$D:$D,'Hours Log'!$A:$A,"&gt;="&amp;$J698,'Hours Log'!$A:$A,"&lt;"&amp;$J698+7))</f>
        <v/>
      </c>
      <c r="D698" t="str">
        <f>IF($J698="","",SUMIFS('Hours Log'!$D:$D,'Hours Log'!$A:$A,"&gt;="&amp;$J698,'Hours Log'!$A:$A,"&lt;"&amp;$J698+7))</f>
        <v/>
      </c>
      <c r="E698" t="str">
        <f t="shared" si="20"/>
        <v/>
      </c>
      <c r="F698" t="str">
        <f t="shared" si="21"/>
        <v/>
      </c>
      <c r="G698" t="str">
        <f>IF($J698="","",SUMIFS('Hours Log'!$E:$E,'Hours Log'!$A:$A,"&gt;="&amp;$J698,'Hours Log'!$A:$A,"&lt;"&amp;$J698+7))</f>
        <v/>
      </c>
      <c r="J698" t="str">
        <f>IF(COUNT('Hours Log'!$A$4:$A$5000)=0,"",IF(MIN('Hours Log'!$A$4:$A$5000)+7*(ROW()-10)&gt;MAX('Hours Log'!$A$4:$A$5000),"",MIN('Hours Log'!$A$4:$A$5000)+7*(ROW()-10)))</f>
        <v/>
      </c>
    </row>
    <row r="699" spans="1:10" x14ac:dyDescent="0.25">
      <c r="A699" t="str">
        <f>IF($J699="","",YEAR($J699-WEEKDAY($J699,2)+4)&amp;"-W"&amp;TEXT(_xludf.ISOWEEKNUM($J699),"00"))</f>
        <v/>
      </c>
      <c r="B699"/>
      <c r="C699" t="str">
        <f>IF($J699="","",SUMIFS('Hours Log'!$C:$C,'Hours Log'!$A:$A,"&gt;="&amp;$J699,'Hours Log'!$A:$A,"&lt;"&amp;$J699+7)+SUMIFS('Hours Log'!$D:$D,'Hours Log'!$A:$A,"&gt;="&amp;$J699,'Hours Log'!$A:$A,"&lt;"&amp;$J699+7))</f>
        <v/>
      </c>
      <c r="D699" t="str">
        <f>IF($J699="","",SUMIFS('Hours Log'!$D:$D,'Hours Log'!$A:$A,"&gt;="&amp;$J699,'Hours Log'!$A:$A,"&lt;"&amp;$J699+7))</f>
        <v/>
      </c>
      <c r="E699" t="str">
        <f t="shared" si="20"/>
        <v/>
      </c>
      <c r="F699" t="str">
        <f t="shared" si="21"/>
        <v/>
      </c>
      <c r="G699" t="str">
        <f>IF($J699="","",SUMIFS('Hours Log'!$E:$E,'Hours Log'!$A:$A,"&gt;="&amp;$J699,'Hours Log'!$A:$A,"&lt;"&amp;$J699+7))</f>
        <v/>
      </c>
      <c r="J699" t="str">
        <f>IF(COUNT('Hours Log'!$A$4:$A$5000)=0,"",IF(MIN('Hours Log'!$A$4:$A$5000)+7*(ROW()-10)&gt;MAX('Hours Log'!$A$4:$A$5000),"",MIN('Hours Log'!$A$4:$A$5000)+7*(ROW()-10)))</f>
        <v/>
      </c>
    </row>
    <row r="700" spans="1:10" x14ac:dyDescent="0.25">
      <c r="A700" t="str">
        <f>IF($J700="","",YEAR($J700-WEEKDAY($J700,2)+4)&amp;"-W"&amp;TEXT(_xludf.ISOWEEKNUM($J700),"00"))</f>
        <v/>
      </c>
      <c r="B700"/>
      <c r="C700" t="str">
        <f>IF($J700="","",SUMIFS('Hours Log'!$C:$C,'Hours Log'!$A:$A,"&gt;="&amp;$J700,'Hours Log'!$A:$A,"&lt;"&amp;$J700+7)+SUMIFS('Hours Log'!$D:$D,'Hours Log'!$A:$A,"&gt;="&amp;$J700,'Hours Log'!$A:$A,"&lt;"&amp;$J700+7))</f>
        <v/>
      </c>
      <c r="D700" t="str">
        <f>IF($J700="","",SUMIFS('Hours Log'!$D:$D,'Hours Log'!$A:$A,"&gt;="&amp;$J700,'Hours Log'!$A:$A,"&lt;"&amp;$J700+7))</f>
        <v/>
      </c>
      <c r="E700" t="str">
        <f t="shared" si="20"/>
        <v/>
      </c>
      <c r="F700" t="str">
        <f t="shared" si="21"/>
        <v/>
      </c>
      <c r="G700" t="str">
        <f>IF($J700="","",SUMIFS('Hours Log'!$E:$E,'Hours Log'!$A:$A,"&gt;="&amp;$J700,'Hours Log'!$A:$A,"&lt;"&amp;$J700+7))</f>
        <v/>
      </c>
      <c r="J700" t="str">
        <f>IF(COUNT('Hours Log'!$A$4:$A$5000)=0,"",IF(MIN('Hours Log'!$A$4:$A$5000)+7*(ROW()-10)&gt;MAX('Hours Log'!$A$4:$A$5000),"",MIN('Hours Log'!$A$4:$A$5000)+7*(ROW()-10)))</f>
        <v/>
      </c>
    </row>
    <row r="701" spans="1:10" x14ac:dyDescent="0.25">
      <c r="A701" t="str">
        <f>IF($J701="","",YEAR($J701-WEEKDAY($J701,2)+4)&amp;"-W"&amp;TEXT(_xludf.ISOWEEKNUM($J701),"00"))</f>
        <v/>
      </c>
      <c r="B701"/>
      <c r="C701" t="str">
        <f>IF($J701="","",SUMIFS('Hours Log'!$C:$C,'Hours Log'!$A:$A,"&gt;="&amp;$J701,'Hours Log'!$A:$A,"&lt;"&amp;$J701+7)+SUMIFS('Hours Log'!$D:$D,'Hours Log'!$A:$A,"&gt;="&amp;$J701,'Hours Log'!$A:$A,"&lt;"&amp;$J701+7))</f>
        <v/>
      </c>
      <c r="D701" t="str">
        <f>IF($J701="","",SUMIFS('Hours Log'!$D:$D,'Hours Log'!$A:$A,"&gt;="&amp;$J701,'Hours Log'!$A:$A,"&lt;"&amp;$J701+7))</f>
        <v/>
      </c>
      <c r="E701" t="str">
        <f t="shared" si="20"/>
        <v/>
      </c>
      <c r="F701" t="str">
        <f t="shared" si="21"/>
        <v/>
      </c>
      <c r="G701" t="str">
        <f>IF($J701="","",SUMIFS('Hours Log'!$E:$E,'Hours Log'!$A:$A,"&gt;="&amp;$J701,'Hours Log'!$A:$A,"&lt;"&amp;$J701+7))</f>
        <v/>
      </c>
      <c r="J701" t="str">
        <f>IF(COUNT('Hours Log'!$A$4:$A$5000)=0,"",IF(MIN('Hours Log'!$A$4:$A$5000)+7*(ROW()-10)&gt;MAX('Hours Log'!$A$4:$A$5000),"",MIN('Hours Log'!$A$4:$A$5000)+7*(ROW()-10)))</f>
        <v/>
      </c>
    </row>
    <row r="702" spans="1:10" x14ac:dyDescent="0.25">
      <c r="A702" t="str">
        <f>IF($J702="","",YEAR($J702-WEEKDAY($J702,2)+4)&amp;"-W"&amp;TEXT(_xludf.ISOWEEKNUM($J702),"00"))</f>
        <v/>
      </c>
      <c r="B702"/>
      <c r="C702" t="str">
        <f>IF($J702="","",SUMIFS('Hours Log'!$C:$C,'Hours Log'!$A:$A,"&gt;="&amp;$J702,'Hours Log'!$A:$A,"&lt;"&amp;$J702+7)+SUMIFS('Hours Log'!$D:$D,'Hours Log'!$A:$A,"&gt;="&amp;$J702,'Hours Log'!$A:$A,"&lt;"&amp;$J702+7))</f>
        <v/>
      </c>
      <c r="D702" t="str">
        <f>IF($J702="","",SUMIFS('Hours Log'!$D:$D,'Hours Log'!$A:$A,"&gt;="&amp;$J702,'Hours Log'!$A:$A,"&lt;"&amp;$J702+7))</f>
        <v/>
      </c>
      <c r="E702" t="str">
        <f t="shared" si="20"/>
        <v/>
      </c>
      <c r="F702" t="str">
        <f t="shared" si="21"/>
        <v/>
      </c>
      <c r="G702" t="str">
        <f>IF($J702="","",SUMIFS('Hours Log'!$E:$E,'Hours Log'!$A:$A,"&gt;="&amp;$J702,'Hours Log'!$A:$A,"&lt;"&amp;$J702+7))</f>
        <v/>
      </c>
      <c r="J702" t="str">
        <f>IF(COUNT('Hours Log'!$A$4:$A$5000)=0,"",IF(MIN('Hours Log'!$A$4:$A$5000)+7*(ROW()-10)&gt;MAX('Hours Log'!$A$4:$A$5000),"",MIN('Hours Log'!$A$4:$A$5000)+7*(ROW()-10)))</f>
        <v/>
      </c>
    </row>
    <row r="703" spans="1:10" x14ac:dyDescent="0.25">
      <c r="A703" t="str">
        <f>IF($J703="","",YEAR($J703-WEEKDAY($J703,2)+4)&amp;"-W"&amp;TEXT(_xludf.ISOWEEKNUM($J703),"00"))</f>
        <v/>
      </c>
      <c r="B703"/>
      <c r="C703" t="str">
        <f>IF($J703="","",SUMIFS('Hours Log'!$C:$C,'Hours Log'!$A:$A,"&gt;="&amp;$J703,'Hours Log'!$A:$A,"&lt;"&amp;$J703+7)+SUMIFS('Hours Log'!$D:$D,'Hours Log'!$A:$A,"&gt;="&amp;$J703,'Hours Log'!$A:$A,"&lt;"&amp;$J703+7))</f>
        <v/>
      </c>
      <c r="D703" t="str">
        <f>IF($J703="","",SUMIFS('Hours Log'!$D:$D,'Hours Log'!$A:$A,"&gt;="&amp;$J703,'Hours Log'!$A:$A,"&lt;"&amp;$J703+7))</f>
        <v/>
      </c>
      <c r="E703" t="str">
        <f t="shared" si="20"/>
        <v/>
      </c>
      <c r="F703" t="str">
        <f t="shared" si="21"/>
        <v/>
      </c>
      <c r="G703" t="str">
        <f>IF($J703="","",SUMIFS('Hours Log'!$E:$E,'Hours Log'!$A:$A,"&gt;="&amp;$J703,'Hours Log'!$A:$A,"&lt;"&amp;$J703+7))</f>
        <v/>
      </c>
      <c r="J703" t="str">
        <f>IF(COUNT('Hours Log'!$A$4:$A$5000)=0,"",IF(MIN('Hours Log'!$A$4:$A$5000)+7*(ROW()-10)&gt;MAX('Hours Log'!$A$4:$A$5000),"",MIN('Hours Log'!$A$4:$A$5000)+7*(ROW()-10)))</f>
        <v/>
      </c>
    </row>
    <row r="704" spans="1:10" x14ac:dyDescent="0.25">
      <c r="A704" t="str">
        <f>IF($J704="","",YEAR($J704-WEEKDAY($J704,2)+4)&amp;"-W"&amp;TEXT(_xludf.ISOWEEKNUM($J704),"00"))</f>
        <v/>
      </c>
      <c r="B704"/>
      <c r="C704" t="str">
        <f>IF($J704="","",SUMIFS('Hours Log'!$C:$C,'Hours Log'!$A:$A,"&gt;="&amp;$J704,'Hours Log'!$A:$A,"&lt;"&amp;$J704+7)+SUMIFS('Hours Log'!$D:$D,'Hours Log'!$A:$A,"&gt;="&amp;$J704,'Hours Log'!$A:$A,"&lt;"&amp;$J704+7))</f>
        <v/>
      </c>
      <c r="D704" t="str">
        <f>IF($J704="","",SUMIFS('Hours Log'!$D:$D,'Hours Log'!$A:$A,"&gt;="&amp;$J704,'Hours Log'!$A:$A,"&lt;"&amp;$J704+7))</f>
        <v/>
      </c>
      <c r="E704" t="str">
        <f t="shared" si="20"/>
        <v/>
      </c>
      <c r="F704" t="str">
        <f t="shared" si="21"/>
        <v/>
      </c>
      <c r="G704" t="str">
        <f>IF($J704="","",SUMIFS('Hours Log'!$E:$E,'Hours Log'!$A:$A,"&gt;="&amp;$J704,'Hours Log'!$A:$A,"&lt;"&amp;$J704+7))</f>
        <v/>
      </c>
      <c r="J704" t="str">
        <f>IF(COUNT('Hours Log'!$A$4:$A$5000)=0,"",IF(MIN('Hours Log'!$A$4:$A$5000)+7*(ROW()-10)&gt;MAX('Hours Log'!$A$4:$A$5000),"",MIN('Hours Log'!$A$4:$A$5000)+7*(ROW()-10)))</f>
        <v/>
      </c>
    </row>
    <row r="705" spans="1:10" x14ac:dyDescent="0.25">
      <c r="A705" t="str">
        <f>IF($J705="","",YEAR($J705-WEEKDAY($J705,2)+4)&amp;"-W"&amp;TEXT(_xludf.ISOWEEKNUM($J705),"00"))</f>
        <v/>
      </c>
      <c r="B705"/>
      <c r="C705" t="str">
        <f>IF($J705="","",SUMIFS('Hours Log'!$C:$C,'Hours Log'!$A:$A,"&gt;="&amp;$J705,'Hours Log'!$A:$A,"&lt;"&amp;$J705+7)+SUMIFS('Hours Log'!$D:$D,'Hours Log'!$A:$A,"&gt;="&amp;$J705,'Hours Log'!$A:$A,"&lt;"&amp;$J705+7))</f>
        <v/>
      </c>
      <c r="D705" t="str">
        <f>IF($J705="","",SUMIFS('Hours Log'!$D:$D,'Hours Log'!$A:$A,"&gt;="&amp;$J705,'Hours Log'!$A:$A,"&lt;"&amp;$J705+7))</f>
        <v/>
      </c>
      <c r="E705" t="str">
        <f t="shared" si="20"/>
        <v/>
      </c>
      <c r="F705" t="str">
        <f t="shared" si="21"/>
        <v/>
      </c>
      <c r="G705" t="str">
        <f>IF($J705="","",SUMIFS('Hours Log'!$E:$E,'Hours Log'!$A:$A,"&gt;="&amp;$J705,'Hours Log'!$A:$A,"&lt;"&amp;$J705+7))</f>
        <v/>
      </c>
      <c r="J705" t="str">
        <f>IF(COUNT('Hours Log'!$A$4:$A$5000)=0,"",IF(MIN('Hours Log'!$A$4:$A$5000)+7*(ROW()-10)&gt;MAX('Hours Log'!$A$4:$A$5000),"",MIN('Hours Log'!$A$4:$A$5000)+7*(ROW()-10)))</f>
        <v/>
      </c>
    </row>
    <row r="706" spans="1:10" x14ac:dyDescent="0.25">
      <c r="A706" t="str">
        <f>IF($J706="","",YEAR($J706-WEEKDAY($J706,2)+4)&amp;"-W"&amp;TEXT(_xludf.ISOWEEKNUM($J706),"00"))</f>
        <v/>
      </c>
      <c r="B706"/>
      <c r="C706" t="str">
        <f>IF($J706="","",SUMIFS('Hours Log'!$C:$C,'Hours Log'!$A:$A,"&gt;="&amp;$J706,'Hours Log'!$A:$A,"&lt;"&amp;$J706+7)+SUMIFS('Hours Log'!$D:$D,'Hours Log'!$A:$A,"&gt;="&amp;$J706,'Hours Log'!$A:$A,"&lt;"&amp;$J706+7))</f>
        <v/>
      </c>
      <c r="D706" t="str">
        <f>IF($J706="","",SUMIFS('Hours Log'!$D:$D,'Hours Log'!$A:$A,"&gt;="&amp;$J706,'Hours Log'!$A:$A,"&lt;"&amp;$J706+7))</f>
        <v/>
      </c>
      <c r="E706" t="str">
        <f t="shared" si="20"/>
        <v/>
      </c>
      <c r="F706" t="str">
        <f t="shared" si="21"/>
        <v/>
      </c>
      <c r="G706" t="str">
        <f>IF($J706="","",SUMIFS('Hours Log'!$E:$E,'Hours Log'!$A:$A,"&gt;="&amp;$J706,'Hours Log'!$A:$A,"&lt;"&amp;$J706+7))</f>
        <v/>
      </c>
      <c r="J706" t="str">
        <f>IF(COUNT('Hours Log'!$A$4:$A$5000)=0,"",IF(MIN('Hours Log'!$A$4:$A$5000)+7*(ROW()-10)&gt;MAX('Hours Log'!$A$4:$A$5000),"",MIN('Hours Log'!$A$4:$A$5000)+7*(ROW()-10)))</f>
        <v/>
      </c>
    </row>
    <row r="707" spans="1:10" x14ac:dyDescent="0.25">
      <c r="A707" t="str">
        <f>IF($J707="","",YEAR($J707-WEEKDAY($J707,2)+4)&amp;"-W"&amp;TEXT(_xludf.ISOWEEKNUM($J707),"00"))</f>
        <v/>
      </c>
      <c r="B707"/>
      <c r="C707" t="str">
        <f>IF($J707="","",SUMIFS('Hours Log'!$C:$C,'Hours Log'!$A:$A,"&gt;="&amp;$J707,'Hours Log'!$A:$A,"&lt;"&amp;$J707+7)+SUMIFS('Hours Log'!$D:$D,'Hours Log'!$A:$A,"&gt;="&amp;$J707,'Hours Log'!$A:$A,"&lt;"&amp;$J707+7))</f>
        <v/>
      </c>
      <c r="D707" t="str">
        <f>IF($J707="","",SUMIFS('Hours Log'!$D:$D,'Hours Log'!$A:$A,"&gt;="&amp;$J707,'Hours Log'!$A:$A,"&lt;"&amp;$J707+7))</f>
        <v/>
      </c>
      <c r="E707" t="str">
        <f t="shared" si="20"/>
        <v/>
      </c>
      <c r="F707" t="str">
        <f t="shared" si="21"/>
        <v/>
      </c>
      <c r="G707" t="str">
        <f>IF($J707="","",SUMIFS('Hours Log'!$E:$E,'Hours Log'!$A:$A,"&gt;="&amp;$J707,'Hours Log'!$A:$A,"&lt;"&amp;$J707+7))</f>
        <v/>
      </c>
      <c r="J707" t="str">
        <f>IF(COUNT('Hours Log'!$A$4:$A$5000)=0,"",IF(MIN('Hours Log'!$A$4:$A$5000)+7*(ROW()-10)&gt;MAX('Hours Log'!$A$4:$A$5000),"",MIN('Hours Log'!$A$4:$A$5000)+7*(ROW()-10)))</f>
        <v/>
      </c>
    </row>
    <row r="708" spans="1:10" x14ac:dyDescent="0.25">
      <c r="A708" t="str">
        <f>IF($J708="","",YEAR($J708-WEEKDAY($J708,2)+4)&amp;"-W"&amp;TEXT(_xludf.ISOWEEKNUM($J708),"00"))</f>
        <v/>
      </c>
      <c r="B708"/>
      <c r="C708" t="str">
        <f>IF($J708="","",SUMIFS('Hours Log'!$C:$C,'Hours Log'!$A:$A,"&gt;="&amp;$J708,'Hours Log'!$A:$A,"&lt;"&amp;$J708+7)+SUMIFS('Hours Log'!$D:$D,'Hours Log'!$A:$A,"&gt;="&amp;$J708,'Hours Log'!$A:$A,"&lt;"&amp;$J708+7))</f>
        <v/>
      </c>
      <c r="D708" t="str">
        <f>IF($J708="","",SUMIFS('Hours Log'!$D:$D,'Hours Log'!$A:$A,"&gt;="&amp;$J708,'Hours Log'!$A:$A,"&lt;"&amp;$J708+7))</f>
        <v/>
      </c>
      <c r="E708" t="str">
        <f t="shared" si="20"/>
        <v/>
      </c>
      <c r="F708" t="str">
        <f t="shared" si="21"/>
        <v/>
      </c>
      <c r="G708" t="str">
        <f>IF($J708="","",SUMIFS('Hours Log'!$E:$E,'Hours Log'!$A:$A,"&gt;="&amp;$J708,'Hours Log'!$A:$A,"&lt;"&amp;$J708+7))</f>
        <v/>
      </c>
      <c r="J708" t="str">
        <f>IF(COUNT('Hours Log'!$A$4:$A$5000)=0,"",IF(MIN('Hours Log'!$A$4:$A$5000)+7*(ROW()-10)&gt;MAX('Hours Log'!$A$4:$A$5000),"",MIN('Hours Log'!$A$4:$A$5000)+7*(ROW()-10)))</f>
        <v/>
      </c>
    </row>
    <row r="709" spans="1:10" x14ac:dyDescent="0.25">
      <c r="A709" t="str">
        <f>IF($J709="","",YEAR($J709-WEEKDAY($J709,2)+4)&amp;"-W"&amp;TEXT(_xludf.ISOWEEKNUM($J709),"00"))</f>
        <v/>
      </c>
      <c r="B709"/>
      <c r="C709" t="str">
        <f>IF($J709="","",SUMIFS('Hours Log'!$C:$C,'Hours Log'!$A:$A,"&gt;="&amp;$J709,'Hours Log'!$A:$A,"&lt;"&amp;$J709+7)+SUMIFS('Hours Log'!$D:$D,'Hours Log'!$A:$A,"&gt;="&amp;$J709,'Hours Log'!$A:$A,"&lt;"&amp;$J709+7))</f>
        <v/>
      </c>
      <c r="D709" t="str">
        <f>IF($J709="","",SUMIFS('Hours Log'!$D:$D,'Hours Log'!$A:$A,"&gt;="&amp;$J709,'Hours Log'!$A:$A,"&lt;"&amp;$J709+7))</f>
        <v/>
      </c>
      <c r="E709" t="str">
        <f t="shared" si="20"/>
        <v/>
      </c>
      <c r="F709" t="str">
        <f t="shared" si="21"/>
        <v/>
      </c>
      <c r="G709" t="str">
        <f>IF($J709="","",SUMIFS('Hours Log'!$E:$E,'Hours Log'!$A:$A,"&gt;="&amp;$J709,'Hours Log'!$A:$A,"&lt;"&amp;$J709+7))</f>
        <v/>
      </c>
      <c r="J709" t="str">
        <f>IF(COUNT('Hours Log'!$A$4:$A$5000)=0,"",IF(MIN('Hours Log'!$A$4:$A$5000)+7*(ROW()-10)&gt;MAX('Hours Log'!$A$4:$A$5000),"",MIN('Hours Log'!$A$4:$A$5000)+7*(ROW()-10)))</f>
        <v/>
      </c>
    </row>
    <row r="710" spans="1:10" x14ac:dyDescent="0.25">
      <c r="A710" t="str">
        <f>IF($J710="","",YEAR($J710-WEEKDAY($J710,2)+4)&amp;"-W"&amp;TEXT(_xludf.ISOWEEKNUM($J710),"00"))</f>
        <v/>
      </c>
      <c r="B710"/>
      <c r="C710" t="str">
        <f>IF($J710="","",SUMIFS('Hours Log'!$C:$C,'Hours Log'!$A:$A,"&gt;="&amp;$J710,'Hours Log'!$A:$A,"&lt;"&amp;$J710+7)+SUMIFS('Hours Log'!$D:$D,'Hours Log'!$A:$A,"&gt;="&amp;$J710,'Hours Log'!$A:$A,"&lt;"&amp;$J710+7))</f>
        <v/>
      </c>
      <c r="D710" t="str">
        <f>IF($J710="","",SUMIFS('Hours Log'!$D:$D,'Hours Log'!$A:$A,"&gt;="&amp;$J710,'Hours Log'!$A:$A,"&lt;"&amp;$J710+7))</f>
        <v/>
      </c>
      <c r="E710" t="str">
        <f t="shared" si="20"/>
        <v/>
      </c>
      <c r="F710" t="str">
        <f t="shared" si="21"/>
        <v/>
      </c>
      <c r="G710" t="str">
        <f>IF($J710="","",SUMIFS('Hours Log'!$E:$E,'Hours Log'!$A:$A,"&gt;="&amp;$J710,'Hours Log'!$A:$A,"&lt;"&amp;$J710+7))</f>
        <v/>
      </c>
      <c r="J710" t="str">
        <f>IF(COUNT('Hours Log'!$A$4:$A$5000)=0,"",IF(MIN('Hours Log'!$A$4:$A$5000)+7*(ROW()-10)&gt;MAX('Hours Log'!$A$4:$A$5000),"",MIN('Hours Log'!$A$4:$A$5000)+7*(ROW()-10)))</f>
        <v/>
      </c>
    </row>
    <row r="711" spans="1:10" x14ac:dyDescent="0.25">
      <c r="A711" t="str">
        <f>IF($J711="","",YEAR($J711-WEEKDAY($J711,2)+4)&amp;"-W"&amp;TEXT(_xludf.ISOWEEKNUM($J711),"00"))</f>
        <v/>
      </c>
      <c r="B711"/>
      <c r="C711" t="str">
        <f>IF($J711="","",SUMIFS('Hours Log'!$C:$C,'Hours Log'!$A:$A,"&gt;="&amp;$J711,'Hours Log'!$A:$A,"&lt;"&amp;$J711+7)+SUMIFS('Hours Log'!$D:$D,'Hours Log'!$A:$A,"&gt;="&amp;$J711,'Hours Log'!$A:$A,"&lt;"&amp;$J711+7))</f>
        <v/>
      </c>
      <c r="D711" t="str">
        <f>IF($J711="","",SUMIFS('Hours Log'!$D:$D,'Hours Log'!$A:$A,"&gt;="&amp;$J711,'Hours Log'!$A:$A,"&lt;"&amp;$J711+7))</f>
        <v/>
      </c>
      <c r="E711" t="str">
        <f t="shared" si="20"/>
        <v/>
      </c>
      <c r="F711" t="str">
        <f t="shared" si="21"/>
        <v/>
      </c>
      <c r="G711" t="str">
        <f>IF($J711="","",SUMIFS('Hours Log'!$E:$E,'Hours Log'!$A:$A,"&gt;="&amp;$J711,'Hours Log'!$A:$A,"&lt;"&amp;$J711+7))</f>
        <v/>
      </c>
      <c r="J711" t="str">
        <f>IF(COUNT('Hours Log'!$A$4:$A$5000)=0,"",IF(MIN('Hours Log'!$A$4:$A$5000)+7*(ROW()-10)&gt;MAX('Hours Log'!$A$4:$A$5000),"",MIN('Hours Log'!$A$4:$A$5000)+7*(ROW()-10)))</f>
        <v/>
      </c>
    </row>
    <row r="712" spans="1:10" x14ac:dyDescent="0.25">
      <c r="A712" t="str">
        <f>IF($J712="","",YEAR($J712-WEEKDAY($J712,2)+4)&amp;"-W"&amp;TEXT(_xludf.ISOWEEKNUM($J712),"00"))</f>
        <v/>
      </c>
      <c r="B712"/>
      <c r="C712" t="str">
        <f>IF($J712="","",SUMIFS('Hours Log'!$C:$C,'Hours Log'!$A:$A,"&gt;="&amp;$J712,'Hours Log'!$A:$A,"&lt;"&amp;$J712+7)+SUMIFS('Hours Log'!$D:$D,'Hours Log'!$A:$A,"&gt;="&amp;$J712,'Hours Log'!$A:$A,"&lt;"&amp;$J712+7))</f>
        <v/>
      </c>
      <c r="D712" t="str">
        <f>IF($J712="","",SUMIFS('Hours Log'!$D:$D,'Hours Log'!$A:$A,"&gt;="&amp;$J712,'Hours Log'!$A:$A,"&lt;"&amp;$J712+7))</f>
        <v/>
      </c>
      <c r="E712" t="str">
        <f t="shared" si="20"/>
        <v/>
      </c>
      <c r="F712" t="str">
        <f t="shared" si="21"/>
        <v/>
      </c>
      <c r="G712" t="str">
        <f>IF($J712="","",SUMIFS('Hours Log'!$E:$E,'Hours Log'!$A:$A,"&gt;="&amp;$J712,'Hours Log'!$A:$A,"&lt;"&amp;$J712+7))</f>
        <v/>
      </c>
      <c r="J712" t="str">
        <f>IF(COUNT('Hours Log'!$A$4:$A$5000)=0,"",IF(MIN('Hours Log'!$A$4:$A$5000)+7*(ROW()-10)&gt;MAX('Hours Log'!$A$4:$A$5000),"",MIN('Hours Log'!$A$4:$A$5000)+7*(ROW()-10)))</f>
        <v/>
      </c>
    </row>
    <row r="713" spans="1:10" x14ac:dyDescent="0.25">
      <c r="A713" t="str">
        <f>IF($J713="","",YEAR($J713-WEEKDAY($J713,2)+4)&amp;"-W"&amp;TEXT(_xludf.ISOWEEKNUM($J713),"00"))</f>
        <v/>
      </c>
      <c r="B713"/>
      <c r="C713" t="str">
        <f>IF($J713="","",SUMIFS('Hours Log'!$C:$C,'Hours Log'!$A:$A,"&gt;="&amp;$J713,'Hours Log'!$A:$A,"&lt;"&amp;$J713+7)+SUMIFS('Hours Log'!$D:$D,'Hours Log'!$A:$A,"&gt;="&amp;$J713,'Hours Log'!$A:$A,"&lt;"&amp;$J713+7))</f>
        <v/>
      </c>
      <c r="D713" t="str">
        <f>IF($J713="","",SUMIFS('Hours Log'!$D:$D,'Hours Log'!$A:$A,"&gt;="&amp;$J713,'Hours Log'!$A:$A,"&lt;"&amp;$J713+7))</f>
        <v/>
      </c>
      <c r="E713" t="str">
        <f t="shared" si="20"/>
        <v/>
      </c>
      <c r="F713" t="str">
        <f t="shared" si="21"/>
        <v/>
      </c>
      <c r="G713" t="str">
        <f>IF($J713="","",SUMIFS('Hours Log'!$E:$E,'Hours Log'!$A:$A,"&gt;="&amp;$J713,'Hours Log'!$A:$A,"&lt;"&amp;$J713+7))</f>
        <v/>
      </c>
      <c r="J713" t="str">
        <f>IF(COUNT('Hours Log'!$A$4:$A$5000)=0,"",IF(MIN('Hours Log'!$A$4:$A$5000)+7*(ROW()-10)&gt;MAX('Hours Log'!$A$4:$A$5000),"",MIN('Hours Log'!$A$4:$A$5000)+7*(ROW()-10)))</f>
        <v/>
      </c>
    </row>
    <row r="714" spans="1:10" x14ac:dyDescent="0.25">
      <c r="A714" t="str">
        <f>IF($J714="","",YEAR($J714-WEEKDAY($J714,2)+4)&amp;"-W"&amp;TEXT(_xludf.ISOWEEKNUM($J714),"00"))</f>
        <v/>
      </c>
      <c r="B714"/>
      <c r="C714" t="str">
        <f>IF($J714="","",SUMIFS('Hours Log'!$C:$C,'Hours Log'!$A:$A,"&gt;="&amp;$J714,'Hours Log'!$A:$A,"&lt;"&amp;$J714+7)+SUMIFS('Hours Log'!$D:$D,'Hours Log'!$A:$A,"&gt;="&amp;$J714,'Hours Log'!$A:$A,"&lt;"&amp;$J714+7))</f>
        <v/>
      </c>
      <c r="D714" t="str">
        <f>IF($J714="","",SUMIFS('Hours Log'!$D:$D,'Hours Log'!$A:$A,"&gt;="&amp;$J714,'Hours Log'!$A:$A,"&lt;"&amp;$J714+7))</f>
        <v/>
      </c>
      <c r="E714" t="str">
        <f t="shared" ref="E714:E777" si="22">IF($J714="","",IFERROR(C714/(B714*40),0))</f>
        <v/>
      </c>
      <c r="F714" t="str">
        <f t="shared" ref="F714:F777" si="23">IF($J714="","",0)</f>
        <v/>
      </c>
      <c r="G714" t="str">
        <f>IF($J714="","",SUMIFS('Hours Log'!$E:$E,'Hours Log'!$A:$A,"&gt;="&amp;$J714,'Hours Log'!$A:$A,"&lt;"&amp;$J714+7))</f>
        <v/>
      </c>
      <c r="J714" t="str">
        <f>IF(COUNT('Hours Log'!$A$4:$A$5000)=0,"",IF(MIN('Hours Log'!$A$4:$A$5000)+7*(ROW()-10)&gt;MAX('Hours Log'!$A$4:$A$5000),"",MIN('Hours Log'!$A$4:$A$5000)+7*(ROW()-10)))</f>
        <v/>
      </c>
    </row>
    <row r="715" spans="1:10" x14ac:dyDescent="0.25">
      <c r="A715" t="str">
        <f>IF($J715="","",YEAR($J715-WEEKDAY($J715,2)+4)&amp;"-W"&amp;TEXT(_xludf.ISOWEEKNUM($J715),"00"))</f>
        <v/>
      </c>
      <c r="B715"/>
      <c r="C715" t="str">
        <f>IF($J715="","",SUMIFS('Hours Log'!$C:$C,'Hours Log'!$A:$A,"&gt;="&amp;$J715,'Hours Log'!$A:$A,"&lt;"&amp;$J715+7)+SUMIFS('Hours Log'!$D:$D,'Hours Log'!$A:$A,"&gt;="&amp;$J715,'Hours Log'!$A:$A,"&lt;"&amp;$J715+7))</f>
        <v/>
      </c>
      <c r="D715" t="str">
        <f>IF($J715="","",SUMIFS('Hours Log'!$D:$D,'Hours Log'!$A:$A,"&gt;="&amp;$J715,'Hours Log'!$A:$A,"&lt;"&amp;$J715+7))</f>
        <v/>
      </c>
      <c r="E715" t="str">
        <f t="shared" si="22"/>
        <v/>
      </c>
      <c r="F715" t="str">
        <f t="shared" si="23"/>
        <v/>
      </c>
      <c r="G715" t="str">
        <f>IF($J715="","",SUMIFS('Hours Log'!$E:$E,'Hours Log'!$A:$A,"&gt;="&amp;$J715,'Hours Log'!$A:$A,"&lt;"&amp;$J715+7))</f>
        <v/>
      </c>
      <c r="J715" t="str">
        <f>IF(COUNT('Hours Log'!$A$4:$A$5000)=0,"",IF(MIN('Hours Log'!$A$4:$A$5000)+7*(ROW()-10)&gt;MAX('Hours Log'!$A$4:$A$5000),"",MIN('Hours Log'!$A$4:$A$5000)+7*(ROW()-10)))</f>
        <v/>
      </c>
    </row>
    <row r="716" spans="1:10" x14ac:dyDescent="0.25">
      <c r="A716" t="str">
        <f>IF($J716="","",YEAR($J716-WEEKDAY($J716,2)+4)&amp;"-W"&amp;TEXT(_xludf.ISOWEEKNUM($J716),"00"))</f>
        <v/>
      </c>
      <c r="B716"/>
      <c r="C716" t="str">
        <f>IF($J716="","",SUMIFS('Hours Log'!$C:$C,'Hours Log'!$A:$A,"&gt;="&amp;$J716,'Hours Log'!$A:$A,"&lt;"&amp;$J716+7)+SUMIFS('Hours Log'!$D:$D,'Hours Log'!$A:$A,"&gt;="&amp;$J716,'Hours Log'!$A:$A,"&lt;"&amp;$J716+7))</f>
        <v/>
      </c>
      <c r="D716" t="str">
        <f>IF($J716="","",SUMIFS('Hours Log'!$D:$D,'Hours Log'!$A:$A,"&gt;="&amp;$J716,'Hours Log'!$A:$A,"&lt;"&amp;$J716+7))</f>
        <v/>
      </c>
      <c r="E716" t="str">
        <f t="shared" si="22"/>
        <v/>
      </c>
      <c r="F716" t="str">
        <f t="shared" si="23"/>
        <v/>
      </c>
      <c r="G716" t="str">
        <f>IF($J716="","",SUMIFS('Hours Log'!$E:$E,'Hours Log'!$A:$A,"&gt;="&amp;$J716,'Hours Log'!$A:$A,"&lt;"&amp;$J716+7))</f>
        <v/>
      </c>
      <c r="J716" t="str">
        <f>IF(COUNT('Hours Log'!$A$4:$A$5000)=0,"",IF(MIN('Hours Log'!$A$4:$A$5000)+7*(ROW()-10)&gt;MAX('Hours Log'!$A$4:$A$5000),"",MIN('Hours Log'!$A$4:$A$5000)+7*(ROW()-10)))</f>
        <v/>
      </c>
    </row>
    <row r="717" spans="1:10" x14ac:dyDescent="0.25">
      <c r="A717" t="str">
        <f>IF($J717="","",YEAR($J717-WEEKDAY($J717,2)+4)&amp;"-W"&amp;TEXT(_xludf.ISOWEEKNUM($J717),"00"))</f>
        <v/>
      </c>
      <c r="B717"/>
      <c r="C717" t="str">
        <f>IF($J717="","",SUMIFS('Hours Log'!$C:$C,'Hours Log'!$A:$A,"&gt;="&amp;$J717,'Hours Log'!$A:$A,"&lt;"&amp;$J717+7)+SUMIFS('Hours Log'!$D:$D,'Hours Log'!$A:$A,"&gt;="&amp;$J717,'Hours Log'!$A:$A,"&lt;"&amp;$J717+7))</f>
        <v/>
      </c>
      <c r="D717" t="str">
        <f>IF($J717="","",SUMIFS('Hours Log'!$D:$D,'Hours Log'!$A:$A,"&gt;="&amp;$J717,'Hours Log'!$A:$A,"&lt;"&amp;$J717+7))</f>
        <v/>
      </c>
      <c r="E717" t="str">
        <f t="shared" si="22"/>
        <v/>
      </c>
      <c r="F717" t="str">
        <f t="shared" si="23"/>
        <v/>
      </c>
      <c r="G717" t="str">
        <f>IF($J717="","",SUMIFS('Hours Log'!$E:$E,'Hours Log'!$A:$A,"&gt;="&amp;$J717,'Hours Log'!$A:$A,"&lt;"&amp;$J717+7))</f>
        <v/>
      </c>
      <c r="J717" t="str">
        <f>IF(COUNT('Hours Log'!$A$4:$A$5000)=0,"",IF(MIN('Hours Log'!$A$4:$A$5000)+7*(ROW()-10)&gt;MAX('Hours Log'!$A$4:$A$5000),"",MIN('Hours Log'!$A$4:$A$5000)+7*(ROW()-10)))</f>
        <v/>
      </c>
    </row>
    <row r="718" spans="1:10" x14ac:dyDescent="0.25">
      <c r="A718" t="str">
        <f>IF($J718="","",YEAR($J718-WEEKDAY($J718,2)+4)&amp;"-W"&amp;TEXT(_xludf.ISOWEEKNUM($J718),"00"))</f>
        <v/>
      </c>
      <c r="B718"/>
      <c r="C718" t="str">
        <f>IF($J718="","",SUMIFS('Hours Log'!$C:$C,'Hours Log'!$A:$A,"&gt;="&amp;$J718,'Hours Log'!$A:$A,"&lt;"&amp;$J718+7)+SUMIFS('Hours Log'!$D:$D,'Hours Log'!$A:$A,"&gt;="&amp;$J718,'Hours Log'!$A:$A,"&lt;"&amp;$J718+7))</f>
        <v/>
      </c>
      <c r="D718" t="str">
        <f>IF($J718="","",SUMIFS('Hours Log'!$D:$D,'Hours Log'!$A:$A,"&gt;="&amp;$J718,'Hours Log'!$A:$A,"&lt;"&amp;$J718+7))</f>
        <v/>
      </c>
      <c r="E718" t="str">
        <f t="shared" si="22"/>
        <v/>
      </c>
      <c r="F718" t="str">
        <f t="shared" si="23"/>
        <v/>
      </c>
      <c r="G718" t="str">
        <f>IF($J718="","",SUMIFS('Hours Log'!$E:$E,'Hours Log'!$A:$A,"&gt;="&amp;$J718,'Hours Log'!$A:$A,"&lt;"&amp;$J718+7))</f>
        <v/>
      </c>
      <c r="J718" t="str">
        <f>IF(COUNT('Hours Log'!$A$4:$A$5000)=0,"",IF(MIN('Hours Log'!$A$4:$A$5000)+7*(ROW()-10)&gt;MAX('Hours Log'!$A$4:$A$5000),"",MIN('Hours Log'!$A$4:$A$5000)+7*(ROW()-10)))</f>
        <v/>
      </c>
    </row>
    <row r="719" spans="1:10" x14ac:dyDescent="0.25">
      <c r="A719" t="str">
        <f>IF($J719="","",YEAR($J719-WEEKDAY($J719,2)+4)&amp;"-W"&amp;TEXT(_xludf.ISOWEEKNUM($J719),"00"))</f>
        <v/>
      </c>
      <c r="B719"/>
      <c r="C719" t="str">
        <f>IF($J719="","",SUMIFS('Hours Log'!$C:$C,'Hours Log'!$A:$A,"&gt;="&amp;$J719,'Hours Log'!$A:$A,"&lt;"&amp;$J719+7)+SUMIFS('Hours Log'!$D:$D,'Hours Log'!$A:$A,"&gt;="&amp;$J719,'Hours Log'!$A:$A,"&lt;"&amp;$J719+7))</f>
        <v/>
      </c>
      <c r="D719" t="str">
        <f>IF($J719="","",SUMIFS('Hours Log'!$D:$D,'Hours Log'!$A:$A,"&gt;="&amp;$J719,'Hours Log'!$A:$A,"&lt;"&amp;$J719+7))</f>
        <v/>
      </c>
      <c r="E719" t="str">
        <f t="shared" si="22"/>
        <v/>
      </c>
      <c r="F719" t="str">
        <f t="shared" si="23"/>
        <v/>
      </c>
      <c r="G719" t="str">
        <f>IF($J719="","",SUMIFS('Hours Log'!$E:$E,'Hours Log'!$A:$A,"&gt;="&amp;$J719,'Hours Log'!$A:$A,"&lt;"&amp;$J719+7))</f>
        <v/>
      </c>
      <c r="J719" t="str">
        <f>IF(COUNT('Hours Log'!$A$4:$A$5000)=0,"",IF(MIN('Hours Log'!$A$4:$A$5000)+7*(ROW()-10)&gt;MAX('Hours Log'!$A$4:$A$5000),"",MIN('Hours Log'!$A$4:$A$5000)+7*(ROW()-10)))</f>
        <v/>
      </c>
    </row>
    <row r="720" spans="1:10" x14ac:dyDescent="0.25">
      <c r="A720" t="str">
        <f>IF($J720="","",YEAR($J720-WEEKDAY($J720,2)+4)&amp;"-W"&amp;TEXT(_xludf.ISOWEEKNUM($J720),"00"))</f>
        <v/>
      </c>
      <c r="B720"/>
      <c r="C720" t="str">
        <f>IF($J720="","",SUMIFS('Hours Log'!$C:$C,'Hours Log'!$A:$A,"&gt;="&amp;$J720,'Hours Log'!$A:$A,"&lt;"&amp;$J720+7)+SUMIFS('Hours Log'!$D:$D,'Hours Log'!$A:$A,"&gt;="&amp;$J720,'Hours Log'!$A:$A,"&lt;"&amp;$J720+7))</f>
        <v/>
      </c>
      <c r="D720" t="str">
        <f>IF($J720="","",SUMIFS('Hours Log'!$D:$D,'Hours Log'!$A:$A,"&gt;="&amp;$J720,'Hours Log'!$A:$A,"&lt;"&amp;$J720+7))</f>
        <v/>
      </c>
      <c r="E720" t="str">
        <f t="shared" si="22"/>
        <v/>
      </c>
      <c r="F720" t="str">
        <f t="shared" si="23"/>
        <v/>
      </c>
      <c r="G720" t="str">
        <f>IF($J720="","",SUMIFS('Hours Log'!$E:$E,'Hours Log'!$A:$A,"&gt;="&amp;$J720,'Hours Log'!$A:$A,"&lt;"&amp;$J720+7))</f>
        <v/>
      </c>
      <c r="J720" t="str">
        <f>IF(COUNT('Hours Log'!$A$4:$A$5000)=0,"",IF(MIN('Hours Log'!$A$4:$A$5000)+7*(ROW()-10)&gt;MAX('Hours Log'!$A$4:$A$5000),"",MIN('Hours Log'!$A$4:$A$5000)+7*(ROW()-10)))</f>
        <v/>
      </c>
    </row>
    <row r="721" spans="1:10" x14ac:dyDescent="0.25">
      <c r="A721" t="str">
        <f>IF($J721="","",YEAR($J721-WEEKDAY($J721,2)+4)&amp;"-W"&amp;TEXT(_xludf.ISOWEEKNUM($J721),"00"))</f>
        <v/>
      </c>
      <c r="B721"/>
      <c r="C721" t="str">
        <f>IF($J721="","",SUMIFS('Hours Log'!$C:$C,'Hours Log'!$A:$A,"&gt;="&amp;$J721,'Hours Log'!$A:$A,"&lt;"&amp;$J721+7)+SUMIFS('Hours Log'!$D:$D,'Hours Log'!$A:$A,"&gt;="&amp;$J721,'Hours Log'!$A:$A,"&lt;"&amp;$J721+7))</f>
        <v/>
      </c>
      <c r="D721" t="str">
        <f>IF($J721="","",SUMIFS('Hours Log'!$D:$D,'Hours Log'!$A:$A,"&gt;="&amp;$J721,'Hours Log'!$A:$A,"&lt;"&amp;$J721+7))</f>
        <v/>
      </c>
      <c r="E721" t="str">
        <f t="shared" si="22"/>
        <v/>
      </c>
      <c r="F721" t="str">
        <f t="shared" si="23"/>
        <v/>
      </c>
      <c r="G721" t="str">
        <f>IF($J721="","",SUMIFS('Hours Log'!$E:$E,'Hours Log'!$A:$A,"&gt;="&amp;$J721,'Hours Log'!$A:$A,"&lt;"&amp;$J721+7))</f>
        <v/>
      </c>
      <c r="J721" t="str">
        <f>IF(COUNT('Hours Log'!$A$4:$A$5000)=0,"",IF(MIN('Hours Log'!$A$4:$A$5000)+7*(ROW()-10)&gt;MAX('Hours Log'!$A$4:$A$5000),"",MIN('Hours Log'!$A$4:$A$5000)+7*(ROW()-10)))</f>
        <v/>
      </c>
    </row>
    <row r="722" spans="1:10" x14ac:dyDescent="0.25">
      <c r="A722" t="str">
        <f>IF($J722="","",YEAR($J722-WEEKDAY($J722,2)+4)&amp;"-W"&amp;TEXT(_xludf.ISOWEEKNUM($J722),"00"))</f>
        <v/>
      </c>
      <c r="B722"/>
      <c r="C722" t="str">
        <f>IF($J722="","",SUMIFS('Hours Log'!$C:$C,'Hours Log'!$A:$A,"&gt;="&amp;$J722,'Hours Log'!$A:$A,"&lt;"&amp;$J722+7)+SUMIFS('Hours Log'!$D:$D,'Hours Log'!$A:$A,"&gt;="&amp;$J722,'Hours Log'!$A:$A,"&lt;"&amp;$J722+7))</f>
        <v/>
      </c>
      <c r="D722" t="str">
        <f>IF($J722="","",SUMIFS('Hours Log'!$D:$D,'Hours Log'!$A:$A,"&gt;="&amp;$J722,'Hours Log'!$A:$A,"&lt;"&amp;$J722+7))</f>
        <v/>
      </c>
      <c r="E722" t="str">
        <f t="shared" si="22"/>
        <v/>
      </c>
      <c r="F722" t="str">
        <f t="shared" si="23"/>
        <v/>
      </c>
      <c r="G722" t="str">
        <f>IF($J722="","",SUMIFS('Hours Log'!$E:$E,'Hours Log'!$A:$A,"&gt;="&amp;$J722,'Hours Log'!$A:$A,"&lt;"&amp;$J722+7))</f>
        <v/>
      </c>
      <c r="J722" t="str">
        <f>IF(COUNT('Hours Log'!$A$4:$A$5000)=0,"",IF(MIN('Hours Log'!$A$4:$A$5000)+7*(ROW()-10)&gt;MAX('Hours Log'!$A$4:$A$5000),"",MIN('Hours Log'!$A$4:$A$5000)+7*(ROW()-10)))</f>
        <v/>
      </c>
    </row>
    <row r="723" spans="1:10" x14ac:dyDescent="0.25">
      <c r="A723" t="str">
        <f>IF($J723="","",YEAR($J723-WEEKDAY($J723,2)+4)&amp;"-W"&amp;TEXT(_xludf.ISOWEEKNUM($J723),"00"))</f>
        <v/>
      </c>
      <c r="B723"/>
      <c r="C723" t="str">
        <f>IF($J723="","",SUMIFS('Hours Log'!$C:$C,'Hours Log'!$A:$A,"&gt;="&amp;$J723,'Hours Log'!$A:$A,"&lt;"&amp;$J723+7)+SUMIFS('Hours Log'!$D:$D,'Hours Log'!$A:$A,"&gt;="&amp;$J723,'Hours Log'!$A:$A,"&lt;"&amp;$J723+7))</f>
        <v/>
      </c>
      <c r="D723" t="str">
        <f>IF($J723="","",SUMIFS('Hours Log'!$D:$D,'Hours Log'!$A:$A,"&gt;="&amp;$J723,'Hours Log'!$A:$A,"&lt;"&amp;$J723+7))</f>
        <v/>
      </c>
      <c r="E723" t="str">
        <f t="shared" si="22"/>
        <v/>
      </c>
      <c r="F723" t="str">
        <f t="shared" si="23"/>
        <v/>
      </c>
      <c r="G723" t="str">
        <f>IF($J723="","",SUMIFS('Hours Log'!$E:$E,'Hours Log'!$A:$A,"&gt;="&amp;$J723,'Hours Log'!$A:$A,"&lt;"&amp;$J723+7))</f>
        <v/>
      </c>
      <c r="J723" t="str">
        <f>IF(COUNT('Hours Log'!$A$4:$A$5000)=0,"",IF(MIN('Hours Log'!$A$4:$A$5000)+7*(ROW()-10)&gt;MAX('Hours Log'!$A$4:$A$5000),"",MIN('Hours Log'!$A$4:$A$5000)+7*(ROW()-10)))</f>
        <v/>
      </c>
    </row>
    <row r="724" spans="1:10" x14ac:dyDescent="0.25">
      <c r="A724" t="str">
        <f>IF($J724="","",YEAR($J724-WEEKDAY($J724,2)+4)&amp;"-W"&amp;TEXT(_xludf.ISOWEEKNUM($J724),"00"))</f>
        <v/>
      </c>
      <c r="B724"/>
      <c r="C724" t="str">
        <f>IF($J724="","",SUMIFS('Hours Log'!$C:$C,'Hours Log'!$A:$A,"&gt;="&amp;$J724,'Hours Log'!$A:$A,"&lt;"&amp;$J724+7)+SUMIFS('Hours Log'!$D:$D,'Hours Log'!$A:$A,"&gt;="&amp;$J724,'Hours Log'!$A:$A,"&lt;"&amp;$J724+7))</f>
        <v/>
      </c>
      <c r="D724" t="str">
        <f>IF($J724="","",SUMIFS('Hours Log'!$D:$D,'Hours Log'!$A:$A,"&gt;="&amp;$J724,'Hours Log'!$A:$A,"&lt;"&amp;$J724+7))</f>
        <v/>
      </c>
      <c r="E724" t="str">
        <f t="shared" si="22"/>
        <v/>
      </c>
      <c r="F724" t="str">
        <f t="shared" si="23"/>
        <v/>
      </c>
      <c r="G724" t="str">
        <f>IF($J724="","",SUMIFS('Hours Log'!$E:$E,'Hours Log'!$A:$A,"&gt;="&amp;$J724,'Hours Log'!$A:$A,"&lt;"&amp;$J724+7))</f>
        <v/>
      </c>
      <c r="J724" t="str">
        <f>IF(COUNT('Hours Log'!$A$4:$A$5000)=0,"",IF(MIN('Hours Log'!$A$4:$A$5000)+7*(ROW()-10)&gt;MAX('Hours Log'!$A$4:$A$5000),"",MIN('Hours Log'!$A$4:$A$5000)+7*(ROW()-10)))</f>
        <v/>
      </c>
    </row>
    <row r="725" spans="1:10" x14ac:dyDescent="0.25">
      <c r="A725" t="str">
        <f>IF($J725="","",YEAR($J725-WEEKDAY($J725,2)+4)&amp;"-W"&amp;TEXT(_xludf.ISOWEEKNUM($J725),"00"))</f>
        <v/>
      </c>
      <c r="B725"/>
      <c r="C725" t="str">
        <f>IF($J725="","",SUMIFS('Hours Log'!$C:$C,'Hours Log'!$A:$A,"&gt;="&amp;$J725,'Hours Log'!$A:$A,"&lt;"&amp;$J725+7)+SUMIFS('Hours Log'!$D:$D,'Hours Log'!$A:$A,"&gt;="&amp;$J725,'Hours Log'!$A:$A,"&lt;"&amp;$J725+7))</f>
        <v/>
      </c>
      <c r="D725" t="str">
        <f>IF($J725="","",SUMIFS('Hours Log'!$D:$D,'Hours Log'!$A:$A,"&gt;="&amp;$J725,'Hours Log'!$A:$A,"&lt;"&amp;$J725+7))</f>
        <v/>
      </c>
      <c r="E725" t="str">
        <f t="shared" si="22"/>
        <v/>
      </c>
      <c r="F725" t="str">
        <f t="shared" si="23"/>
        <v/>
      </c>
      <c r="G725" t="str">
        <f>IF($J725="","",SUMIFS('Hours Log'!$E:$E,'Hours Log'!$A:$A,"&gt;="&amp;$J725,'Hours Log'!$A:$A,"&lt;"&amp;$J725+7))</f>
        <v/>
      </c>
      <c r="J725" t="str">
        <f>IF(COUNT('Hours Log'!$A$4:$A$5000)=0,"",IF(MIN('Hours Log'!$A$4:$A$5000)+7*(ROW()-10)&gt;MAX('Hours Log'!$A$4:$A$5000),"",MIN('Hours Log'!$A$4:$A$5000)+7*(ROW()-10)))</f>
        <v/>
      </c>
    </row>
    <row r="726" spans="1:10" x14ac:dyDescent="0.25">
      <c r="A726" t="str">
        <f>IF($J726="","",YEAR($J726-WEEKDAY($J726,2)+4)&amp;"-W"&amp;TEXT(_xludf.ISOWEEKNUM($J726),"00"))</f>
        <v/>
      </c>
      <c r="B726"/>
      <c r="C726" t="str">
        <f>IF($J726="","",SUMIFS('Hours Log'!$C:$C,'Hours Log'!$A:$A,"&gt;="&amp;$J726,'Hours Log'!$A:$A,"&lt;"&amp;$J726+7)+SUMIFS('Hours Log'!$D:$D,'Hours Log'!$A:$A,"&gt;="&amp;$J726,'Hours Log'!$A:$A,"&lt;"&amp;$J726+7))</f>
        <v/>
      </c>
      <c r="D726" t="str">
        <f>IF($J726="","",SUMIFS('Hours Log'!$D:$D,'Hours Log'!$A:$A,"&gt;="&amp;$J726,'Hours Log'!$A:$A,"&lt;"&amp;$J726+7))</f>
        <v/>
      </c>
      <c r="E726" t="str">
        <f t="shared" si="22"/>
        <v/>
      </c>
      <c r="F726" t="str">
        <f t="shared" si="23"/>
        <v/>
      </c>
      <c r="G726" t="str">
        <f>IF($J726="","",SUMIFS('Hours Log'!$E:$E,'Hours Log'!$A:$A,"&gt;="&amp;$J726,'Hours Log'!$A:$A,"&lt;"&amp;$J726+7))</f>
        <v/>
      </c>
      <c r="J726" t="str">
        <f>IF(COUNT('Hours Log'!$A$4:$A$5000)=0,"",IF(MIN('Hours Log'!$A$4:$A$5000)+7*(ROW()-10)&gt;MAX('Hours Log'!$A$4:$A$5000),"",MIN('Hours Log'!$A$4:$A$5000)+7*(ROW()-10)))</f>
        <v/>
      </c>
    </row>
    <row r="727" spans="1:10" x14ac:dyDescent="0.25">
      <c r="A727" t="str">
        <f>IF($J727="","",YEAR($J727-WEEKDAY($J727,2)+4)&amp;"-W"&amp;TEXT(_xludf.ISOWEEKNUM($J727),"00"))</f>
        <v/>
      </c>
      <c r="B727"/>
      <c r="C727" t="str">
        <f>IF($J727="","",SUMIFS('Hours Log'!$C:$C,'Hours Log'!$A:$A,"&gt;="&amp;$J727,'Hours Log'!$A:$A,"&lt;"&amp;$J727+7)+SUMIFS('Hours Log'!$D:$D,'Hours Log'!$A:$A,"&gt;="&amp;$J727,'Hours Log'!$A:$A,"&lt;"&amp;$J727+7))</f>
        <v/>
      </c>
      <c r="D727" t="str">
        <f>IF($J727="","",SUMIFS('Hours Log'!$D:$D,'Hours Log'!$A:$A,"&gt;="&amp;$J727,'Hours Log'!$A:$A,"&lt;"&amp;$J727+7))</f>
        <v/>
      </c>
      <c r="E727" t="str">
        <f t="shared" si="22"/>
        <v/>
      </c>
      <c r="F727" t="str">
        <f t="shared" si="23"/>
        <v/>
      </c>
      <c r="G727" t="str">
        <f>IF($J727="","",SUMIFS('Hours Log'!$E:$E,'Hours Log'!$A:$A,"&gt;="&amp;$J727,'Hours Log'!$A:$A,"&lt;"&amp;$J727+7))</f>
        <v/>
      </c>
      <c r="J727" t="str">
        <f>IF(COUNT('Hours Log'!$A$4:$A$5000)=0,"",IF(MIN('Hours Log'!$A$4:$A$5000)+7*(ROW()-10)&gt;MAX('Hours Log'!$A$4:$A$5000),"",MIN('Hours Log'!$A$4:$A$5000)+7*(ROW()-10)))</f>
        <v/>
      </c>
    </row>
    <row r="728" spans="1:10" x14ac:dyDescent="0.25">
      <c r="A728" t="str">
        <f>IF($J728="","",YEAR($J728-WEEKDAY($J728,2)+4)&amp;"-W"&amp;TEXT(_xludf.ISOWEEKNUM($J728),"00"))</f>
        <v/>
      </c>
      <c r="B728"/>
      <c r="C728" t="str">
        <f>IF($J728="","",SUMIFS('Hours Log'!$C:$C,'Hours Log'!$A:$A,"&gt;="&amp;$J728,'Hours Log'!$A:$A,"&lt;"&amp;$J728+7)+SUMIFS('Hours Log'!$D:$D,'Hours Log'!$A:$A,"&gt;="&amp;$J728,'Hours Log'!$A:$A,"&lt;"&amp;$J728+7))</f>
        <v/>
      </c>
      <c r="D728" t="str">
        <f>IF($J728="","",SUMIFS('Hours Log'!$D:$D,'Hours Log'!$A:$A,"&gt;="&amp;$J728,'Hours Log'!$A:$A,"&lt;"&amp;$J728+7))</f>
        <v/>
      </c>
      <c r="E728" t="str">
        <f t="shared" si="22"/>
        <v/>
      </c>
      <c r="F728" t="str">
        <f t="shared" si="23"/>
        <v/>
      </c>
      <c r="G728" t="str">
        <f>IF($J728="","",SUMIFS('Hours Log'!$E:$E,'Hours Log'!$A:$A,"&gt;="&amp;$J728,'Hours Log'!$A:$A,"&lt;"&amp;$J728+7))</f>
        <v/>
      </c>
      <c r="J728" t="str">
        <f>IF(COUNT('Hours Log'!$A$4:$A$5000)=0,"",IF(MIN('Hours Log'!$A$4:$A$5000)+7*(ROW()-10)&gt;MAX('Hours Log'!$A$4:$A$5000),"",MIN('Hours Log'!$A$4:$A$5000)+7*(ROW()-10)))</f>
        <v/>
      </c>
    </row>
    <row r="729" spans="1:10" x14ac:dyDescent="0.25">
      <c r="A729" t="str">
        <f>IF($J729="","",YEAR($J729-WEEKDAY($J729,2)+4)&amp;"-W"&amp;TEXT(_xludf.ISOWEEKNUM($J729),"00"))</f>
        <v/>
      </c>
      <c r="B729"/>
      <c r="C729" t="str">
        <f>IF($J729="","",SUMIFS('Hours Log'!$C:$C,'Hours Log'!$A:$A,"&gt;="&amp;$J729,'Hours Log'!$A:$A,"&lt;"&amp;$J729+7)+SUMIFS('Hours Log'!$D:$D,'Hours Log'!$A:$A,"&gt;="&amp;$J729,'Hours Log'!$A:$A,"&lt;"&amp;$J729+7))</f>
        <v/>
      </c>
      <c r="D729" t="str">
        <f>IF($J729="","",SUMIFS('Hours Log'!$D:$D,'Hours Log'!$A:$A,"&gt;="&amp;$J729,'Hours Log'!$A:$A,"&lt;"&amp;$J729+7))</f>
        <v/>
      </c>
      <c r="E729" t="str">
        <f t="shared" si="22"/>
        <v/>
      </c>
      <c r="F729" t="str">
        <f t="shared" si="23"/>
        <v/>
      </c>
      <c r="G729" t="str">
        <f>IF($J729="","",SUMIFS('Hours Log'!$E:$E,'Hours Log'!$A:$A,"&gt;="&amp;$J729,'Hours Log'!$A:$A,"&lt;"&amp;$J729+7))</f>
        <v/>
      </c>
      <c r="J729" t="str">
        <f>IF(COUNT('Hours Log'!$A$4:$A$5000)=0,"",IF(MIN('Hours Log'!$A$4:$A$5000)+7*(ROW()-10)&gt;MAX('Hours Log'!$A$4:$A$5000),"",MIN('Hours Log'!$A$4:$A$5000)+7*(ROW()-10)))</f>
        <v/>
      </c>
    </row>
    <row r="730" spans="1:10" x14ac:dyDescent="0.25">
      <c r="A730" t="str">
        <f>IF($J730="","",YEAR($J730-WEEKDAY($J730,2)+4)&amp;"-W"&amp;TEXT(_xludf.ISOWEEKNUM($J730),"00"))</f>
        <v/>
      </c>
      <c r="B730"/>
      <c r="C730" t="str">
        <f>IF($J730="","",SUMIFS('Hours Log'!$C:$C,'Hours Log'!$A:$A,"&gt;="&amp;$J730,'Hours Log'!$A:$A,"&lt;"&amp;$J730+7)+SUMIFS('Hours Log'!$D:$D,'Hours Log'!$A:$A,"&gt;="&amp;$J730,'Hours Log'!$A:$A,"&lt;"&amp;$J730+7))</f>
        <v/>
      </c>
      <c r="D730" t="str">
        <f>IF($J730="","",SUMIFS('Hours Log'!$D:$D,'Hours Log'!$A:$A,"&gt;="&amp;$J730,'Hours Log'!$A:$A,"&lt;"&amp;$J730+7))</f>
        <v/>
      </c>
      <c r="E730" t="str">
        <f t="shared" si="22"/>
        <v/>
      </c>
      <c r="F730" t="str">
        <f t="shared" si="23"/>
        <v/>
      </c>
      <c r="G730" t="str">
        <f>IF($J730="","",SUMIFS('Hours Log'!$E:$E,'Hours Log'!$A:$A,"&gt;="&amp;$J730,'Hours Log'!$A:$A,"&lt;"&amp;$J730+7))</f>
        <v/>
      </c>
      <c r="J730" t="str">
        <f>IF(COUNT('Hours Log'!$A$4:$A$5000)=0,"",IF(MIN('Hours Log'!$A$4:$A$5000)+7*(ROW()-10)&gt;MAX('Hours Log'!$A$4:$A$5000),"",MIN('Hours Log'!$A$4:$A$5000)+7*(ROW()-10)))</f>
        <v/>
      </c>
    </row>
    <row r="731" spans="1:10" x14ac:dyDescent="0.25">
      <c r="A731" t="str">
        <f>IF($J731="","",YEAR($J731-WEEKDAY($J731,2)+4)&amp;"-W"&amp;TEXT(_xludf.ISOWEEKNUM($J731),"00"))</f>
        <v/>
      </c>
      <c r="B731"/>
      <c r="C731" t="str">
        <f>IF($J731="","",SUMIFS('Hours Log'!$C:$C,'Hours Log'!$A:$A,"&gt;="&amp;$J731,'Hours Log'!$A:$A,"&lt;"&amp;$J731+7)+SUMIFS('Hours Log'!$D:$D,'Hours Log'!$A:$A,"&gt;="&amp;$J731,'Hours Log'!$A:$A,"&lt;"&amp;$J731+7))</f>
        <v/>
      </c>
      <c r="D731" t="str">
        <f>IF($J731="","",SUMIFS('Hours Log'!$D:$D,'Hours Log'!$A:$A,"&gt;="&amp;$J731,'Hours Log'!$A:$A,"&lt;"&amp;$J731+7))</f>
        <v/>
      </c>
      <c r="E731" t="str">
        <f t="shared" si="22"/>
        <v/>
      </c>
      <c r="F731" t="str">
        <f t="shared" si="23"/>
        <v/>
      </c>
      <c r="G731" t="str">
        <f>IF($J731="","",SUMIFS('Hours Log'!$E:$E,'Hours Log'!$A:$A,"&gt;="&amp;$J731,'Hours Log'!$A:$A,"&lt;"&amp;$J731+7))</f>
        <v/>
      </c>
      <c r="J731" t="str">
        <f>IF(COUNT('Hours Log'!$A$4:$A$5000)=0,"",IF(MIN('Hours Log'!$A$4:$A$5000)+7*(ROW()-10)&gt;MAX('Hours Log'!$A$4:$A$5000),"",MIN('Hours Log'!$A$4:$A$5000)+7*(ROW()-10)))</f>
        <v/>
      </c>
    </row>
    <row r="732" spans="1:10" x14ac:dyDescent="0.25">
      <c r="A732" t="str">
        <f>IF($J732="","",YEAR($J732-WEEKDAY($J732,2)+4)&amp;"-W"&amp;TEXT(_xludf.ISOWEEKNUM($J732),"00"))</f>
        <v/>
      </c>
      <c r="B732"/>
      <c r="C732" t="str">
        <f>IF($J732="","",SUMIFS('Hours Log'!$C:$C,'Hours Log'!$A:$A,"&gt;="&amp;$J732,'Hours Log'!$A:$A,"&lt;"&amp;$J732+7)+SUMIFS('Hours Log'!$D:$D,'Hours Log'!$A:$A,"&gt;="&amp;$J732,'Hours Log'!$A:$A,"&lt;"&amp;$J732+7))</f>
        <v/>
      </c>
      <c r="D732" t="str">
        <f>IF($J732="","",SUMIFS('Hours Log'!$D:$D,'Hours Log'!$A:$A,"&gt;="&amp;$J732,'Hours Log'!$A:$A,"&lt;"&amp;$J732+7))</f>
        <v/>
      </c>
      <c r="E732" t="str">
        <f t="shared" si="22"/>
        <v/>
      </c>
      <c r="F732" t="str">
        <f t="shared" si="23"/>
        <v/>
      </c>
      <c r="G732" t="str">
        <f>IF($J732="","",SUMIFS('Hours Log'!$E:$E,'Hours Log'!$A:$A,"&gt;="&amp;$J732,'Hours Log'!$A:$A,"&lt;"&amp;$J732+7))</f>
        <v/>
      </c>
      <c r="J732" t="str">
        <f>IF(COUNT('Hours Log'!$A$4:$A$5000)=0,"",IF(MIN('Hours Log'!$A$4:$A$5000)+7*(ROW()-10)&gt;MAX('Hours Log'!$A$4:$A$5000),"",MIN('Hours Log'!$A$4:$A$5000)+7*(ROW()-10)))</f>
        <v/>
      </c>
    </row>
    <row r="733" spans="1:10" x14ac:dyDescent="0.25">
      <c r="A733" t="str">
        <f>IF($J733="","",YEAR($J733-WEEKDAY($J733,2)+4)&amp;"-W"&amp;TEXT(_xludf.ISOWEEKNUM($J733),"00"))</f>
        <v/>
      </c>
      <c r="B733"/>
      <c r="C733" t="str">
        <f>IF($J733="","",SUMIFS('Hours Log'!$C:$C,'Hours Log'!$A:$A,"&gt;="&amp;$J733,'Hours Log'!$A:$A,"&lt;"&amp;$J733+7)+SUMIFS('Hours Log'!$D:$D,'Hours Log'!$A:$A,"&gt;="&amp;$J733,'Hours Log'!$A:$A,"&lt;"&amp;$J733+7))</f>
        <v/>
      </c>
      <c r="D733" t="str">
        <f>IF($J733="","",SUMIFS('Hours Log'!$D:$D,'Hours Log'!$A:$A,"&gt;="&amp;$J733,'Hours Log'!$A:$A,"&lt;"&amp;$J733+7))</f>
        <v/>
      </c>
      <c r="E733" t="str">
        <f t="shared" si="22"/>
        <v/>
      </c>
      <c r="F733" t="str">
        <f t="shared" si="23"/>
        <v/>
      </c>
      <c r="G733" t="str">
        <f>IF($J733="","",SUMIFS('Hours Log'!$E:$E,'Hours Log'!$A:$A,"&gt;="&amp;$J733,'Hours Log'!$A:$A,"&lt;"&amp;$J733+7))</f>
        <v/>
      </c>
      <c r="J733" t="str">
        <f>IF(COUNT('Hours Log'!$A$4:$A$5000)=0,"",IF(MIN('Hours Log'!$A$4:$A$5000)+7*(ROW()-10)&gt;MAX('Hours Log'!$A$4:$A$5000),"",MIN('Hours Log'!$A$4:$A$5000)+7*(ROW()-10)))</f>
        <v/>
      </c>
    </row>
    <row r="734" spans="1:10" x14ac:dyDescent="0.25">
      <c r="A734" t="str">
        <f>IF($J734="","",YEAR($J734-WEEKDAY($J734,2)+4)&amp;"-W"&amp;TEXT(_xludf.ISOWEEKNUM($J734),"00"))</f>
        <v/>
      </c>
      <c r="B734"/>
      <c r="C734" t="str">
        <f>IF($J734="","",SUMIFS('Hours Log'!$C:$C,'Hours Log'!$A:$A,"&gt;="&amp;$J734,'Hours Log'!$A:$A,"&lt;"&amp;$J734+7)+SUMIFS('Hours Log'!$D:$D,'Hours Log'!$A:$A,"&gt;="&amp;$J734,'Hours Log'!$A:$A,"&lt;"&amp;$J734+7))</f>
        <v/>
      </c>
      <c r="D734" t="str">
        <f>IF($J734="","",SUMIFS('Hours Log'!$D:$D,'Hours Log'!$A:$A,"&gt;="&amp;$J734,'Hours Log'!$A:$A,"&lt;"&amp;$J734+7))</f>
        <v/>
      </c>
      <c r="E734" t="str">
        <f t="shared" si="22"/>
        <v/>
      </c>
      <c r="F734" t="str">
        <f t="shared" si="23"/>
        <v/>
      </c>
      <c r="G734" t="str">
        <f>IF($J734="","",SUMIFS('Hours Log'!$E:$E,'Hours Log'!$A:$A,"&gt;="&amp;$J734,'Hours Log'!$A:$A,"&lt;"&amp;$J734+7))</f>
        <v/>
      </c>
      <c r="J734" t="str">
        <f>IF(COUNT('Hours Log'!$A$4:$A$5000)=0,"",IF(MIN('Hours Log'!$A$4:$A$5000)+7*(ROW()-10)&gt;MAX('Hours Log'!$A$4:$A$5000),"",MIN('Hours Log'!$A$4:$A$5000)+7*(ROW()-10)))</f>
        <v/>
      </c>
    </row>
    <row r="735" spans="1:10" x14ac:dyDescent="0.25">
      <c r="A735" t="str">
        <f>IF($J735="","",YEAR($J735-WEEKDAY($J735,2)+4)&amp;"-W"&amp;TEXT(_xludf.ISOWEEKNUM($J735),"00"))</f>
        <v/>
      </c>
      <c r="B735"/>
      <c r="C735" t="str">
        <f>IF($J735="","",SUMIFS('Hours Log'!$C:$C,'Hours Log'!$A:$A,"&gt;="&amp;$J735,'Hours Log'!$A:$A,"&lt;"&amp;$J735+7)+SUMIFS('Hours Log'!$D:$D,'Hours Log'!$A:$A,"&gt;="&amp;$J735,'Hours Log'!$A:$A,"&lt;"&amp;$J735+7))</f>
        <v/>
      </c>
      <c r="D735" t="str">
        <f>IF($J735="","",SUMIFS('Hours Log'!$D:$D,'Hours Log'!$A:$A,"&gt;="&amp;$J735,'Hours Log'!$A:$A,"&lt;"&amp;$J735+7))</f>
        <v/>
      </c>
      <c r="E735" t="str">
        <f t="shared" si="22"/>
        <v/>
      </c>
      <c r="F735" t="str">
        <f t="shared" si="23"/>
        <v/>
      </c>
      <c r="G735" t="str">
        <f>IF($J735="","",SUMIFS('Hours Log'!$E:$E,'Hours Log'!$A:$A,"&gt;="&amp;$J735,'Hours Log'!$A:$A,"&lt;"&amp;$J735+7))</f>
        <v/>
      </c>
      <c r="J735" t="str">
        <f>IF(COUNT('Hours Log'!$A$4:$A$5000)=0,"",IF(MIN('Hours Log'!$A$4:$A$5000)+7*(ROW()-10)&gt;MAX('Hours Log'!$A$4:$A$5000),"",MIN('Hours Log'!$A$4:$A$5000)+7*(ROW()-10)))</f>
        <v/>
      </c>
    </row>
    <row r="736" spans="1:10" x14ac:dyDescent="0.25">
      <c r="A736" t="str">
        <f>IF($J736="","",YEAR($J736-WEEKDAY($J736,2)+4)&amp;"-W"&amp;TEXT(_xludf.ISOWEEKNUM($J736),"00"))</f>
        <v/>
      </c>
      <c r="B736"/>
      <c r="C736" t="str">
        <f>IF($J736="","",SUMIFS('Hours Log'!$C:$C,'Hours Log'!$A:$A,"&gt;="&amp;$J736,'Hours Log'!$A:$A,"&lt;"&amp;$J736+7)+SUMIFS('Hours Log'!$D:$D,'Hours Log'!$A:$A,"&gt;="&amp;$J736,'Hours Log'!$A:$A,"&lt;"&amp;$J736+7))</f>
        <v/>
      </c>
      <c r="D736" t="str">
        <f>IF($J736="","",SUMIFS('Hours Log'!$D:$D,'Hours Log'!$A:$A,"&gt;="&amp;$J736,'Hours Log'!$A:$A,"&lt;"&amp;$J736+7))</f>
        <v/>
      </c>
      <c r="E736" t="str">
        <f t="shared" si="22"/>
        <v/>
      </c>
      <c r="F736" t="str">
        <f t="shared" si="23"/>
        <v/>
      </c>
      <c r="G736" t="str">
        <f>IF($J736="","",SUMIFS('Hours Log'!$E:$E,'Hours Log'!$A:$A,"&gt;="&amp;$J736,'Hours Log'!$A:$A,"&lt;"&amp;$J736+7))</f>
        <v/>
      </c>
      <c r="J736" t="str">
        <f>IF(COUNT('Hours Log'!$A$4:$A$5000)=0,"",IF(MIN('Hours Log'!$A$4:$A$5000)+7*(ROW()-10)&gt;MAX('Hours Log'!$A$4:$A$5000),"",MIN('Hours Log'!$A$4:$A$5000)+7*(ROW()-10)))</f>
        <v/>
      </c>
    </row>
    <row r="737" spans="1:10" x14ac:dyDescent="0.25">
      <c r="A737" t="str">
        <f>IF($J737="","",YEAR($J737-WEEKDAY($J737,2)+4)&amp;"-W"&amp;TEXT(_xludf.ISOWEEKNUM($J737),"00"))</f>
        <v/>
      </c>
      <c r="B737"/>
      <c r="C737" t="str">
        <f>IF($J737="","",SUMIFS('Hours Log'!$C:$C,'Hours Log'!$A:$A,"&gt;="&amp;$J737,'Hours Log'!$A:$A,"&lt;"&amp;$J737+7)+SUMIFS('Hours Log'!$D:$D,'Hours Log'!$A:$A,"&gt;="&amp;$J737,'Hours Log'!$A:$A,"&lt;"&amp;$J737+7))</f>
        <v/>
      </c>
      <c r="D737" t="str">
        <f>IF($J737="","",SUMIFS('Hours Log'!$D:$D,'Hours Log'!$A:$A,"&gt;="&amp;$J737,'Hours Log'!$A:$A,"&lt;"&amp;$J737+7))</f>
        <v/>
      </c>
      <c r="E737" t="str">
        <f t="shared" si="22"/>
        <v/>
      </c>
      <c r="F737" t="str">
        <f t="shared" si="23"/>
        <v/>
      </c>
      <c r="G737" t="str">
        <f>IF($J737="","",SUMIFS('Hours Log'!$E:$E,'Hours Log'!$A:$A,"&gt;="&amp;$J737,'Hours Log'!$A:$A,"&lt;"&amp;$J737+7))</f>
        <v/>
      </c>
      <c r="J737" t="str">
        <f>IF(COUNT('Hours Log'!$A$4:$A$5000)=0,"",IF(MIN('Hours Log'!$A$4:$A$5000)+7*(ROW()-10)&gt;MAX('Hours Log'!$A$4:$A$5000),"",MIN('Hours Log'!$A$4:$A$5000)+7*(ROW()-10)))</f>
        <v/>
      </c>
    </row>
    <row r="738" spans="1:10" x14ac:dyDescent="0.25">
      <c r="A738" t="str">
        <f>IF($J738="","",YEAR($J738-WEEKDAY($J738,2)+4)&amp;"-W"&amp;TEXT(_xludf.ISOWEEKNUM($J738),"00"))</f>
        <v/>
      </c>
      <c r="B738"/>
      <c r="C738" t="str">
        <f>IF($J738="","",SUMIFS('Hours Log'!$C:$C,'Hours Log'!$A:$A,"&gt;="&amp;$J738,'Hours Log'!$A:$A,"&lt;"&amp;$J738+7)+SUMIFS('Hours Log'!$D:$D,'Hours Log'!$A:$A,"&gt;="&amp;$J738,'Hours Log'!$A:$A,"&lt;"&amp;$J738+7))</f>
        <v/>
      </c>
      <c r="D738" t="str">
        <f>IF($J738="","",SUMIFS('Hours Log'!$D:$D,'Hours Log'!$A:$A,"&gt;="&amp;$J738,'Hours Log'!$A:$A,"&lt;"&amp;$J738+7))</f>
        <v/>
      </c>
      <c r="E738" t="str">
        <f t="shared" si="22"/>
        <v/>
      </c>
      <c r="F738" t="str">
        <f t="shared" si="23"/>
        <v/>
      </c>
      <c r="G738" t="str">
        <f>IF($J738="","",SUMIFS('Hours Log'!$E:$E,'Hours Log'!$A:$A,"&gt;="&amp;$J738,'Hours Log'!$A:$A,"&lt;"&amp;$J738+7))</f>
        <v/>
      </c>
      <c r="J738" t="str">
        <f>IF(COUNT('Hours Log'!$A$4:$A$5000)=0,"",IF(MIN('Hours Log'!$A$4:$A$5000)+7*(ROW()-10)&gt;MAX('Hours Log'!$A$4:$A$5000),"",MIN('Hours Log'!$A$4:$A$5000)+7*(ROW()-10)))</f>
        <v/>
      </c>
    </row>
    <row r="739" spans="1:10" x14ac:dyDescent="0.25">
      <c r="A739" t="str">
        <f>IF($J739="","",YEAR($J739-WEEKDAY($J739,2)+4)&amp;"-W"&amp;TEXT(_xludf.ISOWEEKNUM($J739),"00"))</f>
        <v/>
      </c>
      <c r="B739"/>
      <c r="C739" t="str">
        <f>IF($J739="","",SUMIFS('Hours Log'!$C:$C,'Hours Log'!$A:$A,"&gt;="&amp;$J739,'Hours Log'!$A:$A,"&lt;"&amp;$J739+7)+SUMIFS('Hours Log'!$D:$D,'Hours Log'!$A:$A,"&gt;="&amp;$J739,'Hours Log'!$A:$A,"&lt;"&amp;$J739+7))</f>
        <v/>
      </c>
      <c r="D739" t="str">
        <f>IF($J739="","",SUMIFS('Hours Log'!$D:$D,'Hours Log'!$A:$A,"&gt;="&amp;$J739,'Hours Log'!$A:$A,"&lt;"&amp;$J739+7))</f>
        <v/>
      </c>
      <c r="E739" t="str">
        <f t="shared" si="22"/>
        <v/>
      </c>
      <c r="F739" t="str">
        <f t="shared" si="23"/>
        <v/>
      </c>
      <c r="G739" t="str">
        <f>IF($J739="","",SUMIFS('Hours Log'!$E:$E,'Hours Log'!$A:$A,"&gt;="&amp;$J739,'Hours Log'!$A:$A,"&lt;"&amp;$J739+7))</f>
        <v/>
      </c>
      <c r="J739" t="str">
        <f>IF(COUNT('Hours Log'!$A$4:$A$5000)=0,"",IF(MIN('Hours Log'!$A$4:$A$5000)+7*(ROW()-10)&gt;MAX('Hours Log'!$A$4:$A$5000),"",MIN('Hours Log'!$A$4:$A$5000)+7*(ROW()-10)))</f>
        <v/>
      </c>
    </row>
    <row r="740" spans="1:10" x14ac:dyDescent="0.25">
      <c r="A740" t="str">
        <f>IF($J740="","",YEAR($J740-WEEKDAY($J740,2)+4)&amp;"-W"&amp;TEXT(_xludf.ISOWEEKNUM($J740),"00"))</f>
        <v/>
      </c>
      <c r="B740"/>
      <c r="C740" t="str">
        <f>IF($J740="","",SUMIFS('Hours Log'!$C:$C,'Hours Log'!$A:$A,"&gt;="&amp;$J740,'Hours Log'!$A:$A,"&lt;"&amp;$J740+7)+SUMIFS('Hours Log'!$D:$D,'Hours Log'!$A:$A,"&gt;="&amp;$J740,'Hours Log'!$A:$A,"&lt;"&amp;$J740+7))</f>
        <v/>
      </c>
      <c r="D740" t="str">
        <f>IF($J740="","",SUMIFS('Hours Log'!$D:$D,'Hours Log'!$A:$A,"&gt;="&amp;$J740,'Hours Log'!$A:$A,"&lt;"&amp;$J740+7))</f>
        <v/>
      </c>
      <c r="E740" t="str">
        <f t="shared" si="22"/>
        <v/>
      </c>
      <c r="F740" t="str">
        <f t="shared" si="23"/>
        <v/>
      </c>
      <c r="G740" t="str">
        <f>IF($J740="","",SUMIFS('Hours Log'!$E:$E,'Hours Log'!$A:$A,"&gt;="&amp;$J740,'Hours Log'!$A:$A,"&lt;"&amp;$J740+7))</f>
        <v/>
      </c>
      <c r="J740" t="str">
        <f>IF(COUNT('Hours Log'!$A$4:$A$5000)=0,"",IF(MIN('Hours Log'!$A$4:$A$5000)+7*(ROW()-10)&gt;MAX('Hours Log'!$A$4:$A$5000),"",MIN('Hours Log'!$A$4:$A$5000)+7*(ROW()-10)))</f>
        <v/>
      </c>
    </row>
    <row r="741" spans="1:10" x14ac:dyDescent="0.25">
      <c r="A741" t="str">
        <f>IF($J741="","",YEAR($J741-WEEKDAY($J741,2)+4)&amp;"-W"&amp;TEXT(_xludf.ISOWEEKNUM($J741),"00"))</f>
        <v/>
      </c>
      <c r="B741"/>
      <c r="C741" t="str">
        <f>IF($J741="","",SUMIFS('Hours Log'!$C:$C,'Hours Log'!$A:$A,"&gt;="&amp;$J741,'Hours Log'!$A:$A,"&lt;"&amp;$J741+7)+SUMIFS('Hours Log'!$D:$D,'Hours Log'!$A:$A,"&gt;="&amp;$J741,'Hours Log'!$A:$A,"&lt;"&amp;$J741+7))</f>
        <v/>
      </c>
      <c r="D741" t="str">
        <f>IF($J741="","",SUMIFS('Hours Log'!$D:$D,'Hours Log'!$A:$A,"&gt;="&amp;$J741,'Hours Log'!$A:$A,"&lt;"&amp;$J741+7))</f>
        <v/>
      </c>
      <c r="E741" t="str">
        <f t="shared" si="22"/>
        <v/>
      </c>
      <c r="F741" t="str">
        <f t="shared" si="23"/>
        <v/>
      </c>
      <c r="G741" t="str">
        <f>IF($J741="","",SUMIFS('Hours Log'!$E:$E,'Hours Log'!$A:$A,"&gt;="&amp;$J741,'Hours Log'!$A:$A,"&lt;"&amp;$J741+7))</f>
        <v/>
      </c>
      <c r="J741" t="str">
        <f>IF(COUNT('Hours Log'!$A$4:$A$5000)=0,"",IF(MIN('Hours Log'!$A$4:$A$5000)+7*(ROW()-10)&gt;MAX('Hours Log'!$A$4:$A$5000),"",MIN('Hours Log'!$A$4:$A$5000)+7*(ROW()-10)))</f>
        <v/>
      </c>
    </row>
    <row r="742" spans="1:10" x14ac:dyDescent="0.25">
      <c r="A742" t="str">
        <f>IF($J742="","",YEAR($J742-WEEKDAY($J742,2)+4)&amp;"-W"&amp;TEXT(_xludf.ISOWEEKNUM($J742),"00"))</f>
        <v/>
      </c>
      <c r="B742"/>
      <c r="C742" t="str">
        <f>IF($J742="","",SUMIFS('Hours Log'!$C:$C,'Hours Log'!$A:$A,"&gt;="&amp;$J742,'Hours Log'!$A:$A,"&lt;"&amp;$J742+7)+SUMIFS('Hours Log'!$D:$D,'Hours Log'!$A:$A,"&gt;="&amp;$J742,'Hours Log'!$A:$A,"&lt;"&amp;$J742+7))</f>
        <v/>
      </c>
      <c r="D742" t="str">
        <f>IF($J742="","",SUMIFS('Hours Log'!$D:$D,'Hours Log'!$A:$A,"&gt;="&amp;$J742,'Hours Log'!$A:$A,"&lt;"&amp;$J742+7))</f>
        <v/>
      </c>
      <c r="E742" t="str">
        <f t="shared" si="22"/>
        <v/>
      </c>
      <c r="F742" t="str">
        <f t="shared" si="23"/>
        <v/>
      </c>
      <c r="G742" t="str">
        <f>IF($J742="","",SUMIFS('Hours Log'!$E:$E,'Hours Log'!$A:$A,"&gt;="&amp;$J742,'Hours Log'!$A:$A,"&lt;"&amp;$J742+7))</f>
        <v/>
      </c>
      <c r="J742" t="str">
        <f>IF(COUNT('Hours Log'!$A$4:$A$5000)=0,"",IF(MIN('Hours Log'!$A$4:$A$5000)+7*(ROW()-10)&gt;MAX('Hours Log'!$A$4:$A$5000),"",MIN('Hours Log'!$A$4:$A$5000)+7*(ROW()-10)))</f>
        <v/>
      </c>
    </row>
    <row r="743" spans="1:10" x14ac:dyDescent="0.25">
      <c r="A743" t="str">
        <f>IF($J743="","",YEAR($J743-WEEKDAY($J743,2)+4)&amp;"-W"&amp;TEXT(_xludf.ISOWEEKNUM($J743),"00"))</f>
        <v/>
      </c>
      <c r="B743"/>
      <c r="C743" t="str">
        <f>IF($J743="","",SUMIFS('Hours Log'!$C:$C,'Hours Log'!$A:$A,"&gt;="&amp;$J743,'Hours Log'!$A:$A,"&lt;"&amp;$J743+7)+SUMIFS('Hours Log'!$D:$D,'Hours Log'!$A:$A,"&gt;="&amp;$J743,'Hours Log'!$A:$A,"&lt;"&amp;$J743+7))</f>
        <v/>
      </c>
      <c r="D743" t="str">
        <f>IF($J743="","",SUMIFS('Hours Log'!$D:$D,'Hours Log'!$A:$A,"&gt;="&amp;$J743,'Hours Log'!$A:$A,"&lt;"&amp;$J743+7))</f>
        <v/>
      </c>
      <c r="E743" t="str">
        <f t="shared" si="22"/>
        <v/>
      </c>
      <c r="F743" t="str">
        <f t="shared" si="23"/>
        <v/>
      </c>
      <c r="G743" t="str">
        <f>IF($J743="","",SUMIFS('Hours Log'!$E:$E,'Hours Log'!$A:$A,"&gt;="&amp;$J743,'Hours Log'!$A:$A,"&lt;"&amp;$J743+7))</f>
        <v/>
      </c>
      <c r="J743" t="str">
        <f>IF(COUNT('Hours Log'!$A$4:$A$5000)=0,"",IF(MIN('Hours Log'!$A$4:$A$5000)+7*(ROW()-10)&gt;MAX('Hours Log'!$A$4:$A$5000),"",MIN('Hours Log'!$A$4:$A$5000)+7*(ROW()-10)))</f>
        <v/>
      </c>
    </row>
    <row r="744" spans="1:10" x14ac:dyDescent="0.25">
      <c r="A744" t="str">
        <f>IF($J744="","",YEAR($J744-WEEKDAY($J744,2)+4)&amp;"-W"&amp;TEXT(_xludf.ISOWEEKNUM($J744),"00"))</f>
        <v/>
      </c>
      <c r="B744"/>
      <c r="C744" t="str">
        <f>IF($J744="","",SUMIFS('Hours Log'!$C:$C,'Hours Log'!$A:$A,"&gt;="&amp;$J744,'Hours Log'!$A:$A,"&lt;"&amp;$J744+7)+SUMIFS('Hours Log'!$D:$D,'Hours Log'!$A:$A,"&gt;="&amp;$J744,'Hours Log'!$A:$A,"&lt;"&amp;$J744+7))</f>
        <v/>
      </c>
      <c r="D744" t="str">
        <f>IF($J744="","",SUMIFS('Hours Log'!$D:$D,'Hours Log'!$A:$A,"&gt;="&amp;$J744,'Hours Log'!$A:$A,"&lt;"&amp;$J744+7))</f>
        <v/>
      </c>
      <c r="E744" t="str">
        <f t="shared" si="22"/>
        <v/>
      </c>
      <c r="F744" t="str">
        <f t="shared" si="23"/>
        <v/>
      </c>
      <c r="G744" t="str">
        <f>IF($J744="","",SUMIFS('Hours Log'!$E:$E,'Hours Log'!$A:$A,"&gt;="&amp;$J744,'Hours Log'!$A:$A,"&lt;"&amp;$J744+7))</f>
        <v/>
      </c>
      <c r="J744" t="str">
        <f>IF(COUNT('Hours Log'!$A$4:$A$5000)=0,"",IF(MIN('Hours Log'!$A$4:$A$5000)+7*(ROW()-10)&gt;MAX('Hours Log'!$A$4:$A$5000),"",MIN('Hours Log'!$A$4:$A$5000)+7*(ROW()-10)))</f>
        <v/>
      </c>
    </row>
    <row r="745" spans="1:10" x14ac:dyDescent="0.25">
      <c r="A745" t="str">
        <f>IF($J745="","",YEAR($J745-WEEKDAY($J745,2)+4)&amp;"-W"&amp;TEXT(_xludf.ISOWEEKNUM($J745),"00"))</f>
        <v/>
      </c>
      <c r="B745"/>
      <c r="C745" t="str">
        <f>IF($J745="","",SUMIFS('Hours Log'!$C:$C,'Hours Log'!$A:$A,"&gt;="&amp;$J745,'Hours Log'!$A:$A,"&lt;"&amp;$J745+7)+SUMIFS('Hours Log'!$D:$D,'Hours Log'!$A:$A,"&gt;="&amp;$J745,'Hours Log'!$A:$A,"&lt;"&amp;$J745+7))</f>
        <v/>
      </c>
      <c r="D745" t="str">
        <f>IF($J745="","",SUMIFS('Hours Log'!$D:$D,'Hours Log'!$A:$A,"&gt;="&amp;$J745,'Hours Log'!$A:$A,"&lt;"&amp;$J745+7))</f>
        <v/>
      </c>
      <c r="E745" t="str">
        <f t="shared" si="22"/>
        <v/>
      </c>
      <c r="F745" t="str">
        <f t="shared" si="23"/>
        <v/>
      </c>
      <c r="G745" t="str">
        <f>IF($J745="","",SUMIFS('Hours Log'!$E:$E,'Hours Log'!$A:$A,"&gt;="&amp;$J745,'Hours Log'!$A:$A,"&lt;"&amp;$J745+7))</f>
        <v/>
      </c>
      <c r="J745" t="str">
        <f>IF(COUNT('Hours Log'!$A$4:$A$5000)=0,"",IF(MIN('Hours Log'!$A$4:$A$5000)+7*(ROW()-10)&gt;MAX('Hours Log'!$A$4:$A$5000),"",MIN('Hours Log'!$A$4:$A$5000)+7*(ROW()-10)))</f>
        <v/>
      </c>
    </row>
    <row r="746" spans="1:10" x14ac:dyDescent="0.25">
      <c r="A746" t="str">
        <f>IF($J746="","",YEAR($J746-WEEKDAY($J746,2)+4)&amp;"-W"&amp;TEXT(_xludf.ISOWEEKNUM($J746),"00"))</f>
        <v/>
      </c>
      <c r="B746"/>
      <c r="C746" t="str">
        <f>IF($J746="","",SUMIFS('Hours Log'!$C:$C,'Hours Log'!$A:$A,"&gt;="&amp;$J746,'Hours Log'!$A:$A,"&lt;"&amp;$J746+7)+SUMIFS('Hours Log'!$D:$D,'Hours Log'!$A:$A,"&gt;="&amp;$J746,'Hours Log'!$A:$A,"&lt;"&amp;$J746+7))</f>
        <v/>
      </c>
      <c r="D746" t="str">
        <f>IF($J746="","",SUMIFS('Hours Log'!$D:$D,'Hours Log'!$A:$A,"&gt;="&amp;$J746,'Hours Log'!$A:$A,"&lt;"&amp;$J746+7))</f>
        <v/>
      </c>
      <c r="E746" t="str">
        <f t="shared" si="22"/>
        <v/>
      </c>
      <c r="F746" t="str">
        <f t="shared" si="23"/>
        <v/>
      </c>
      <c r="G746" t="str">
        <f>IF($J746="","",SUMIFS('Hours Log'!$E:$E,'Hours Log'!$A:$A,"&gt;="&amp;$J746,'Hours Log'!$A:$A,"&lt;"&amp;$J746+7))</f>
        <v/>
      </c>
      <c r="J746" t="str">
        <f>IF(COUNT('Hours Log'!$A$4:$A$5000)=0,"",IF(MIN('Hours Log'!$A$4:$A$5000)+7*(ROW()-10)&gt;MAX('Hours Log'!$A$4:$A$5000),"",MIN('Hours Log'!$A$4:$A$5000)+7*(ROW()-10)))</f>
        <v/>
      </c>
    </row>
    <row r="747" spans="1:10" x14ac:dyDescent="0.25">
      <c r="A747" t="str">
        <f>IF($J747="","",YEAR($J747-WEEKDAY($J747,2)+4)&amp;"-W"&amp;TEXT(_xludf.ISOWEEKNUM($J747),"00"))</f>
        <v/>
      </c>
      <c r="B747"/>
      <c r="C747" t="str">
        <f>IF($J747="","",SUMIFS('Hours Log'!$C:$C,'Hours Log'!$A:$A,"&gt;="&amp;$J747,'Hours Log'!$A:$A,"&lt;"&amp;$J747+7)+SUMIFS('Hours Log'!$D:$D,'Hours Log'!$A:$A,"&gt;="&amp;$J747,'Hours Log'!$A:$A,"&lt;"&amp;$J747+7))</f>
        <v/>
      </c>
      <c r="D747" t="str">
        <f>IF($J747="","",SUMIFS('Hours Log'!$D:$D,'Hours Log'!$A:$A,"&gt;="&amp;$J747,'Hours Log'!$A:$A,"&lt;"&amp;$J747+7))</f>
        <v/>
      </c>
      <c r="E747" t="str">
        <f t="shared" si="22"/>
        <v/>
      </c>
      <c r="F747" t="str">
        <f t="shared" si="23"/>
        <v/>
      </c>
      <c r="G747" t="str">
        <f>IF($J747="","",SUMIFS('Hours Log'!$E:$E,'Hours Log'!$A:$A,"&gt;="&amp;$J747,'Hours Log'!$A:$A,"&lt;"&amp;$J747+7))</f>
        <v/>
      </c>
      <c r="J747" t="str">
        <f>IF(COUNT('Hours Log'!$A$4:$A$5000)=0,"",IF(MIN('Hours Log'!$A$4:$A$5000)+7*(ROW()-10)&gt;MAX('Hours Log'!$A$4:$A$5000),"",MIN('Hours Log'!$A$4:$A$5000)+7*(ROW()-10)))</f>
        <v/>
      </c>
    </row>
    <row r="748" spans="1:10" x14ac:dyDescent="0.25">
      <c r="A748" t="str">
        <f>IF($J748="","",YEAR($J748-WEEKDAY($J748,2)+4)&amp;"-W"&amp;TEXT(_xludf.ISOWEEKNUM($J748),"00"))</f>
        <v/>
      </c>
      <c r="B748"/>
      <c r="C748" t="str">
        <f>IF($J748="","",SUMIFS('Hours Log'!$C:$C,'Hours Log'!$A:$A,"&gt;="&amp;$J748,'Hours Log'!$A:$A,"&lt;"&amp;$J748+7)+SUMIFS('Hours Log'!$D:$D,'Hours Log'!$A:$A,"&gt;="&amp;$J748,'Hours Log'!$A:$A,"&lt;"&amp;$J748+7))</f>
        <v/>
      </c>
      <c r="D748" t="str">
        <f>IF($J748="","",SUMIFS('Hours Log'!$D:$D,'Hours Log'!$A:$A,"&gt;="&amp;$J748,'Hours Log'!$A:$A,"&lt;"&amp;$J748+7))</f>
        <v/>
      </c>
      <c r="E748" t="str">
        <f t="shared" si="22"/>
        <v/>
      </c>
      <c r="F748" t="str">
        <f t="shared" si="23"/>
        <v/>
      </c>
      <c r="G748" t="str">
        <f>IF($J748="","",SUMIFS('Hours Log'!$E:$E,'Hours Log'!$A:$A,"&gt;="&amp;$J748,'Hours Log'!$A:$A,"&lt;"&amp;$J748+7))</f>
        <v/>
      </c>
      <c r="J748" t="str">
        <f>IF(COUNT('Hours Log'!$A$4:$A$5000)=0,"",IF(MIN('Hours Log'!$A$4:$A$5000)+7*(ROW()-10)&gt;MAX('Hours Log'!$A$4:$A$5000),"",MIN('Hours Log'!$A$4:$A$5000)+7*(ROW()-10)))</f>
        <v/>
      </c>
    </row>
    <row r="749" spans="1:10" x14ac:dyDescent="0.25">
      <c r="A749" t="str">
        <f>IF($J749="","",YEAR($J749-WEEKDAY($J749,2)+4)&amp;"-W"&amp;TEXT(_xludf.ISOWEEKNUM($J749),"00"))</f>
        <v/>
      </c>
      <c r="B749"/>
      <c r="C749" t="str">
        <f>IF($J749="","",SUMIFS('Hours Log'!$C:$C,'Hours Log'!$A:$A,"&gt;="&amp;$J749,'Hours Log'!$A:$A,"&lt;"&amp;$J749+7)+SUMIFS('Hours Log'!$D:$D,'Hours Log'!$A:$A,"&gt;="&amp;$J749,'Hours Log'!$A:$A,"&lt;"&amp;$J749+7))</f>
        <v/>
      </c>
      <c r="D749" t="str">
        <f>IF($J749="","",SUMIFS('Hours Log'!$D:$D,'Hours Log'!$A:$A,"&gt;="&amp;$J749,'Hours Log'!$A:$A,"&lt;"&amp;$J749+7))</f>
        <v/>
      </c>
      <c r="E749" t="str">
        <f t="shared" si="22"/>
        <v/>
      </c>
      <c r="F749" t="str">
        <f t="shared" si="23"/>
        <v/>
      </c>
      <c r="G749" t="str">
        <f>IF($J749="","",SUMIFS('Hours Log'!$E:$E,'Hours Log'!$A:$A,"&gt;="&amp;$J749,'Hours Log'!$A:$A,"&lt;"&amp;$J749+7))</f>
        <v/>
      </c>
      <c r="J749" t="str">
        <f>IF(COUNT('Hours Log'!$A$4:$A$5000)=0,"",IF(MIN('Hours Log'!$A$4:$A$5000)+7*(ROW()-10)&gt;MAX('Hours Log'!$A$4:$A$5000),"",MIN('Hours Log'!$A$4:$A$5000)+7*(ROW()-10)))</f>
        <v/>
      </c>
    </row>
    <row r="750" spans="1:10" x14ac:dyDescent="0.25">
      <c r="A750" t="str">
        <f>IF($J750="","",YEAR($J750-WEEKDAY($J750,2)+4)&amp;"-W"&amp;TEXT(_xludf.ISOWEEKNUM($J750),"00"))</f>
        <v/>
      </c>
      <c r="B750"/>
      <c r="C750" t="str">
        <f>IF($J750="","",SUMIFS('Hours Log'!$C:$C,'Hours Log'!$A:$A,"&gt;="&amp;$J750,'Hours Log'!$A:$A,"&lt;"&amp;$J750+7)+SUMIFS('Hours Log'!$D:$D,'Hours Log'!$A:$A,"&gt;="&amp;$J750,'Hours Log'!$A:$A,"&lt;"&amp;$J750+7))</f>
        <v/>
      </c>
      <c r="D750" t="str">
        <f>IF($J750="","",SUMIFS('Hours Log'!$D:$D,'Hours Log'!$A:$A,"&gt;="&amp;$J750,'Hours Log'!$A:$A,"&lt;"&amp;$J750+7))</f>
        <v/>
      </c>
      <c r="E750" t="str">
        <f t="shared" si="22"/>
        <v/>
      </c>
      <c r="F750" t="str">
        <f t="shared" si="23"/>
        <v/>
      </c>
      <c r="G750" t="str">
        <f>IF($J750="","",SUMIFS('Hours Log'!$E:$E,'Hours Log'!$A:$A,"&gt;="&amp;$J750,'Hours Log'!$A:$A,"&lt;"&amp;$J750+7))</f>
        <v/>
      </c>
      <c r="J750" t="str">
        <f>IF(COUNT('Hours Log'!$A$4:$A$5000)=0,"",IF(MIN('Hours Log'!$A$4:$A$5000)+7*(ROW()-10)&gt;MAX('Hours Log'!$A$4:$A$5000),"",MIN('Hours Log'!$A$4:$A$5000)+7*(ROW()-10)))</f>
        <v/>
      </c>
    </row>
    <row r="751" spans="1:10" x14ac:dyDescent="0.25">
      <c r="A751" t="str">
        <f>IF($J751="","",YEAR($J751-WEEKDAY($J751,2)+4)&amp;"-W"&amp;TEXT(_xludf.ISOWEEKNUM($J751),"00"))</f>
        <v/>
      </c>
      <c r="B751"/>
      <c r="C751" t="str">
        <f>IF($J751="","",SUMIFS('Hours Log'!$C:$C,'Hours Log'!$A:$A,"&gt;="&amp;$J751,'Hours Log'!$A:$A,"&lt;"&amp;$J751+7)+SUMIFS('Hours Log'!$D:$D,'Hours Log'!$A:$A,"&gt;="&amp;$J751,'Hours Log'!$A:$A,"&lt;"&amp;$J751+7))</f>
        <v/>
      </c>
      <c r="D751" t="str">
        <f>IF($J751="","",SUMIFS('Hours Log'!$D:$D,'Hours Log'!$A:$A,"&gt;="&amp;$J751,'Hours Log'!$A:$A,"&lt;"&amp;$J751+7))</f>
        <v/>
      </c>
      <c r="E751" t="str">
        <f t="shared" si="22"/>
        <v/>
      </c>
      <c r="F751" t="str">
        <f t="shared" si="23"/>
        <v/>
      </c>
      <c r="G751" t="str">
        <f>IF($J751="","",SUMIFS('Hours Log'!$E:$E,'Hours Log'!$A:$A,"&gt;="&amp;$J751,'Hours Log'!$A:$A,"&lt;"&amp;$J751+7))</f>
        <v/>
      </c>
      <c r="J751" t="str">
        <f>IF(COUNT('Hours Log'!$A$4:$A$5000)=0,"",IF(MIN('Hours Log'!$A$4:$A$5000)+7*(ROW()-10)&gt;MAX('Hours Log'!$A$4:$A$5000),"",MIN('Hours Log'!$A$4:$A$5000)+7*(ROW()-10)))</f>
        <v/>
      </c>
    </row>
    <row r="752" spans="1:10" x14ac:dyDescent="0.25">
      <c r="A752" t="str">
        <f>IF($J752="","",YEAR($J752-WEEKDAY($J752,2)+4)&amp;"-W"&amp;TEXT(_xludf.ISOWEEKNUM($J752),"00"))</f>
        <v/>
      </c>
      <c r="B752"/>
      <c r="C752" t="str">
        <f>IF($J752="","",SUMIFS('Hours Log'!$C:$C,'Hours Log'!$A:$A,"&gt;="&amp;$J752,'Hours Log'!$A:$A,"&lt;"&amp;$J752+7)+SUMIFS('Hours Log'!$D:$D,'Hours Log'!$A:$A,"&gt;="&amp;$J752,'Hours Log'!$A:$A,"&lt;"&amp;$J752+7))</f>
        <v/>
      </c>
      <c r="D752" t="str">
        <f>IF($J752="","",SUMIFS('Hours Log'!$D:$D,'Hours Log'!$A:$A,"&gt;="&amp;$J752,'Hours Log'!$A:$A,"&lt;"&amp;$J752+7))</f>
        <v/>
      </c>
      <c r="E752" t="str">
        <f t="shared" si="22"/>
        <v/>
      </c>
      <c r="F752" t="str">
        <f t="shared" si="23"/>
        <v/>
      </c>
      <c r="G752" t="str">
        <f>IF($J752="","",SUMIFS('Hours Log'!$E:$E,'Hours Log'!$A:$A,"&gt;="&amp;$J752,'Hours Log'!$A:$A,"&lt;"&amp;$J752+7))</f>
        <v/>
      </c>
      <c r="J752" t="str">
        <f>IF(COUNT('Hours Log'!$A$4:$A$5000)=0,"",IF(MIN('Hours Log'!$A$4:$A$5000)+7*(ROW()-10)&gt;MAX('Hours Log'!$A$4:$A$5000),"",MIN('Hours Log'!$A$4:$A$5000)+7*(ROW()-10)))</f>
        <v/>
      </c>
    </row>
    <row r="753" spans="1:10" x14ac:dyDescent="0.25">
      <c r="A753" t="str">
        <f>IF($J753="","",YEAR($J753-WEEKDAY($J753,2)+4)&amp;"-W"&amp;TEXT(_xludf.ISOWEEKNUM($J753),"00"))</f>
        <v/>
      </c>
      <c r="B753"/>
      <c r="C753" t="str">
        <f>IF($J753="","",SUMIFS('Hours Log'!$C:$C,'Hours Log'!$A:$A,"&gt;="&amp;$J753,'Hours Log'!$A:$A,"&lt;"&amp;$J753+7)+SUMIFS('Hours Log'!$D:$D,'Hours Log'!$A:$A,"&gt;="&amp;$J753,'Hours Log'!$A:$A,"&lt;"&amp;$J753+7))</f>
        <v/>
      </c>
      <c r="D753" t="str">
        <f>IF($J753="","",SUMIFS('Hours Log'!$D:$D,'Hours Log'!$A:$A,"&gt;="&amp;$J753,'Hours Log'!$A:$A,"&lt;"&amp;$J753+7))</f>
        <v/>
      </c>
      <c r="E753" t="str">
        <f t="shared" si="22"/>
        <v/>
      </c>
      <c r="F753" t="str">
        <f t="shared" si="23"/>
        <v/>
      </c>
      <c r="G753" t="str">
        <f>IF($J753="","",SUMIFS('Hours Log'!$E:$E,'Hours Log'!$A:$A,"&gt;="&amp;$J753,'Hours Log'!$A:$A,"&lt;"&amp;$J753+7))</f>
        <v/>
      </c>
      <c r="J753" t="str">
        <f>IF(COUNT('Hours Log'!$A$4:$A$5000)=0,"",IF(MIN('Hours Log'!$A$4:$A$5000)+7*(ROW()-10)&gt;MAX('Hours Log'!$A$4:$A$5000),"",MIN('Hours Log'!$A$4:$A$5000)+7*(ROW()-10)))</f>
        <v/>
      </c>
    </row>
    <row r="754" spans="1:10" x14ac:dyDescent="0.25">
      <c r="A754" t="str">
        <f>IF($J754="","",YEAR($J754-WEEKDAY($J754,2)+4)&amp;"-W"&amp;TEXT(_xludf.ISOWEEKNUM($J754),"00"))</f>
        <v/>
      </c>
      <c r="B754"/>
      <c r="C754" t="str">
        <f>IF($J754="","",SUMIFS('Hours Log'!$C:$C,'Hours Log'!$A:$A,"&gt;="&amp;$J754,'Hours Log'!$A:$A,"&lt;"&amp;$J754+7)+SUMIFS('Hours Log'!$D:$D,'Hours Log'!$A:$A,"&gt;="&amp;$J754,'Hours Log'!$A:$A,"&lt;"&amp;$J754+7))</f>
        <v/>
      </c>
      <c r="D754" t="str">
        <f>IF($J754="","",SUMIFS('Hours Log'!$D:$D,'Hours Log'!$A:$A,"&gt;="&amp;$J754,'Hours Log'!$A:$A,"&lt;"&amp;$J754+7))</f>
        <v/>
      </c>
      <c r="E754" t="str">
        <f t="shared" si="22"/>
        <v/>
      </c>
      <c r="F754" t="str">
        <f t="shared" si="23"/>
        <v/>
      </c>
      <c r="G754" t="str">
        <f>IF($J754="","",SUMIFS('Hours Log'!$E:$E,'Hours Log'!$A:$A,"&gt;="&amp;$J754,'Hours Log'!$A:$A,"&lt;"&amp;$J754+7))</f>
        <v/>
      </c>
      <c r="J754" t="str">
        <f>IF(COUNT('Hours Log'!$A$4:$A$5000)=0,"",IF(MIN('Hours Log'!$A$4:$A$5000)+7*(ROW()-10)&gt;MAX('Hours Log'!$A$4:$A$5000),"",MIN('Hours Log'!$A$4:$A$5000)+7*(ROW()-10)))</f>
        <v/>
      </c>
    </row>
    <row r="755" spans="1:10" x14ac:dyDescent="0.25">
      <c r="A755" t="str">
        <f>IF($J755="","",YEAR($J755-WEEKDAY($J755,2)+4)&amp;"-W"&amp;TEXT(_xludf.ISOWEEKNUM($J755),"00"))</f>
        <v/>
      </c>
      <c r="B755"/>
      <c r="C755" t="str">
        <f>IF($J755="","",SUMIFS('Hours Log'!$C:$C,'Hours Log'!$A:$A,"&gt;="&amp;$J755,'Hours Log'!$A:$A,"&lt;"&amp;$J755+7)+SUMIFS('Hours Log'!$D:$D,'Hours Log'!$A:$A,"&gt;="&amp;$J755,'Hours Log'!$A:$A,"&lt;"&amp;$J755+7))</f>
        <v/>
      </c>
      <c r="D755" t="str">
        <f>IF($J755="","",SUMIFS('Hours Log'!$D:$D,'Hours Log'!$A:$A,"&gt;="&amp;$J755,'Hours Log'!$A:$A,"&lt;"&amp;$J755+7))</f>
        <v/>
      </c>
      <c r="E755" t="str">
        <f t="shared" si="22"/>
        <v/>
      </c>
      <c r="F755" t="str">
        <f t="shared" si="23"/>
        <v/>
      </c>
      <c r="G755" t="str">
        <f>IF($J755="","",SUMIFS('Hours Log'!$E:$E,'Hours Log'!$A:$A,"&gt;="&amp;$J755,'Hours Log'!$A:$A,"&lt;"&amp;$J755+7))</f>
        <v/>
      </c>
      <c r="J755" t="str">
        <f>IF(COUNT('Hours Log'!$A$4:$A$5000)=0,"",IF(MIN('Hours Log'!$A$4:$A$5000)+7*(ROW()-10)&gt;MAX('Hours Log'!$A$4:$A$5000),"",MIN('Hours Log'!$A$4:$A$5000)+7*(ROW()-10)))</f>
        <v/>
      </c>
    </row>
    <row r="756" spans="1:10" x14ac:dyDescent="0.25">
      <c r="A756" t="str">
        <f>IF($J756="","",YEAR($J756-WEEKDAY($J756,2)+4)&amp;"-W"&amp;TEXT(_xludf.ISOWEEKNUM($J756),"00"))</f>
        <v/>
      </c>
      <c r="B756"/>
      <c r="C756" t="str">
        <f>IF($J756="","",SUMIFS('Hours Log'!$C:$C,'Hours Log'!$A:$A,"&gt;="&amp;$J756,'Hours Log'!$A:$A,"&lt;"&amp;$J756+7)+SUMIFS('Hours Log'!$D:$D,'Hours Log'!$A:$A,"&gt;="&amp;$J756,'Hours Log'!$A:$A,"&lt;"&amp;$J756+7))</f>
        <v/>
      </c>
      <c r="D756" t="str">
        <f>IF($J756="","",SUMIFS('Hours Log'!$D:$D,'Hours Log'!$A:$A,"&gt;="&amp;$J756,'Hours Log'!$A:$A,"&lt;"&amp;$J756+7))</f>
        <v/>
      </c>
      <c r="E756" t="str">
        <f t="shared" si="22"/>
        <v/>
      </c>
      <c r="F756" t="str">
        <f t="shared" si="23"/>
        <v/>
      </c>
      <c r="G756" t="str">
        <f>IF($J756="","",SUMIFS('Hours Log'!$E:$E,'Hours Log'!$A:$A,"&gt;="&amp;$J756,'Hours Log'!$A:$A,"&lt;"&amp;$J756+7))</f>
        <v/>
      </c>
      <c r="J756" t="str">
        <f>IF(COUNT('Hours Log'!$A$4:$A$5000)=0,"",IF(MIN('Hours Log'!$A$4:$A$5000)+7*(ROW()-10)&gt;MAX('Hours Log'!$A$4:$A$5000),"",MIN('Hours Log'!$A$4:$A$5000)+7*(ROW()-10)))</f>
        <v/>
      </c>
    </row>
    <row r="757" spans="1:10" x14ac:dyDescent="0.25">
      <c r="A757" t="str">
        <f>IF($J757="","",YEAR($J757-WEEKDAY($J757,2)+4)&amp;"-W"&amp;TEXT(_xludf.ISOWEEKNUM($J757),"00"))</f>
        <v/>
      </c>
      <c r="B757"/>
      <c r="C757" t="str">
        <f>IF($J757="","",SUMIFS('Hours Log'!$C:$C,'Hours Log'!$A:$A,"&gt;="&amp;$J757,'Hours Log'!$A:$A,"&lt;"&amp;$J757+7)+SUMIFS('Hours Log'!$D:$D,'Hours Log'!$A:$A,"&gt;="&amp;$J757,'Hours Log'!$A:$A,"&lt;"&amp;$J757+7))</f>
        <v/>
      </c>
      <c r="D757" t="str">
        <f>IF($J757="","",SUMIFS('Hours Log'!$D:$D,'Hours Log'!$A:$A,"&gt;="&amp;$J757,'Hours Log'!$A:$A,"&lt;"&amp;$J757+7))</f>
        <v/>
      </c>
      <c r="E757" t="str">
        <f t="shared" si="22"/>
        <v/>
      </c>
      <c r="F757" t="str">
        <f t="shared" si="23"/>
        <v/>
      </c>
      <c r="G757" t="str">
        <f>IF($J757="","",SUMIFS('Hours Log'!$E:$E,'Hours Log'!$A:$A,"&gt;="&amp;$J757,'Hours Log'!$A:$A,"&lt;"&amp;$J757+7))</f>
        <v/>
      </c>
      <c r="J757" t="str">
        <f>IF(COUNT('Hours Log'!$A$4:$A$5000)=0,"",IF(MIN('Hours Log'!$A$4:$A$5000)+7*(ROW()-10)&gt;MAX('Hours Log'!$A$4:$A$5000),"",MIN('Hours Log'!$A$4:$A$5000)+7*(ROW()-10)))</f>
        <v/>
      </c>
    </row>
    <row r="758" spans="1:10" x14ac:dyDescent="0.25">
      <c r="A758" t="str">
        <f>IF($J758="","",YEAR($J758-WEEKDAY($J758,2)+4)&amp;"-W"&amp;TEXT(_xludf.ISOWEEKNUM($J758),"00"))</f>
        <v/>
      </c>
      <c r="B758"/>
      <c r="C758" t="str">
        <f>IF($J758="","",SUMIFS('Hours Log'!$C:$C,'Hours Log'!$A:$A,"&gt;="&amp;$J758,'Hours Log'!$A:$A,"&lt;"&amp;$J758+7)+SUMIFS('Hours Log'!$D:$D,'Hours Log'!$A:$A,"&gt;="&amp;$J758,'Hours Log'!$A:$A,"&lt;"&amp;$J758+7))</f>
        <v/>
      </c>
      <c r="D758" t="str">
        <f>IF($J758="","",SUMIFS('Hours Log'!$D:$D,'Hours Log'!$A:$A,"&gt;="&amp;$J758,'Hours Log'!$A:$A,"&lt;"&amp;$J758+7))</f>
        <v/>
      </c>
      <c r="E758" t="str">
        <f t="shared" si="22"/>
        <v/>
      </c>
      <c r="F758" t="str">
        <f t="shared" si="23"/>
        <v/>
      </c>
      <c r="G758" t="str">
        <f>IF($J758="","",SUMIFS('Hours Log'!$E:$E,'Hours Log'!$A:$A,"&gt;="&amp;$J758,'Hours Log'!$A:$A,"&lt;"&amp;$J758+7))</f>
        <v/>
      </c>
      <c r="J758" t="str">
        <f>IF(COUNT('Hours Log'!$A$4:$A$5000)=0,"",IF(MIN('Hours Log'!$A$4:$A$5000)+7*(ROW()-10)&gt;MAX('Hours Log'!$A$4:$A$5000),"",MIN('Hours Log'!$A$4:$A$5000)+7*(ROW()-10)))</f>
        <v/>
      </c>
    </row>
    <row r="759" spans="1:10" x14ac:dyDescent="0.25">
      <c r="A759" t="str">
        <f>IF($J759="","",YEAR($J759-WEEKDAY($J759,2)+4)&amp;"-W"&amp;TEXT(_xludf.ISOWEEKNUM($J759),"00"))</f>
        <v/>
      </c>
      <c r="B759"/>
      <c r="C759" t="str">
        <f>IF($J759="","",SUMIFS('Hours Log'!$C:$C,'Hours Log'!$A:$A,"&gt;="&amp;$J759,'Hours Log'!$A:$A,"&lt;"&amp;$J759+7)+SUMIFS('Hours Log'!$D:$D,'Hours Log'!$A:$A,"&gt;="&amp;$J759,'Hours Log'!$A:$A,"&lt;"&amp;$J759+7))</f>
        <v/>
      </c>
      <c r="D759" t="str">
        <f>IF($J759="","",SUMIFS('Hours Log'!$D:$D,'Hours Log'!$A:$A,"&gt;="&amp;$J759,'Hours Log'!$A:$A,"&lt;"&amp;$J759+7))</f>
        <v/>
      </c>
      <c r="E759" t="str">
        <f t="shared" si="22"/>
        <v/>
      </c>
      <c r="F759" t="str">
        <f t="shared" si="23"/>
        <v/>
      </c>
      <c r="G759" t="str">
        <f>IF($J759="","",SUMIFS('Hours Log'!$E:$E,'Hours Log'!$A:$A,"&gt;="&amp;$J759,'Hours Log'!$A:$A,"&lt;"&amp;$J759+7))</f>
        <v/>
      </c>
      <c r="J759" t="str">
        <f>IF(COUNT('Hours Log'!$A$4:$A$5000)=0,"",IF(MIN('Hours Log'!$A$4:$A$5000)+7*(ROW()-10)&gt;MAX('Hours Log'!$A$4:$A$5000),"",MIN('Hours Log'!$A$4:$A$5000)+7*(ROW()-10)))</f>
        <v/>
      </c>
    </row>
    <row r="760" spans="1:10" x14ac:dyDescent="0.25">
      <c r="A760" t="str">
        <f>IF($J760="","",YEAR($J760-WEEKDAY($J760,2)+4)&amp;"-W"&amp;TEXT(_xludf.ISOWEEKNUM($J760),"00"))</f>
        <v/>
      </c>
      <c r="B760"/>
      <c r="C760" t="str">
        <f>IF($J760="","",SUMIFS('Hours Log'!$C:$C,'Hours Log'!$A:$A,"&gt;="&amp;$J760,'Hours Log'!$A:$A,"&lt;"&amp;$J760+7)+SUMIFS('Hours Log'!$D:$D,'Hours Log'!$A:$A,"&gt;="&amp;$J760,'Hours Log'!$A:$A,"&lt;"&amp;$J760+7))</f>
        <v/>
      </c>
      <c r="D760" t="str">
        <f>IF($J760="","",SUMIFS('Hours Log'!$D:$D,'Hours Log'!$A:$A,"&gt;="&amp;$J760,'Hours Log'!$A:$A,"&lt;"&amp;$J760+7))</f>
        <v/>
      </c>
      <c r="E760" t="str">
        <f t="shared" si="22"/>
        <v/>
      </c>
      <c r="F760" t="str">
        <f t="shared" si="23"/>
        <v/>
      </c>
      <c r="G760" t="str">
        <f>IF($J760="","",SUMIFS('Hours Log'!$E:$E,'Hours Log'!$A:$A,"&gt;="&amp;$J760,'Hours Log'!$A:$A,"&lt;"&amp;$J760+7))</f>
        <v/>
      </c>
      <c r="J760" t="str">
        <f>IF(COUNT('Hours Log'!$A$4:$A$5000)=0,"",IF(MIN('Hours Log'!$A$4:$A$5000)+7*(ROW()-10)&gt;MAX('Hours Log'!$A$4:$A$5000),"",MIN('Hours Log'!$A$4:$A$5000)+7*(ROW()-10)))</f>
        <v/>
      </c>
    </row>
    <row r="761" spans="1:10" x14ac:dyDescent="0.25">
      <c r="A761" t="str">
        <f>IF($J761="","",YEAR($J761-WEEKDAY($J761,2)+4)&amp;"-W"&amp;TEXT(_xludf.ISOWEEKNUM($J761),"00"))</f>
        <v/>
      </c>
      <c r="B761"/>
      <c r="C761" t="str">
        <f>IF($J761="","",SUMIFS('Hours Log'!$C:$C,'Hours Log'!$A:$A,"&gt;="&amp;$J761,'Hours Log'!$A:$A,"&lt;"&amp;$J761+7)+SUMIFS('Hours Log'!$D:$D,'Hours Log'!$A:$A,"&gt;="&amp;$J761,'Hours Log'!$A:$A,"&lt;"&amp;$J761+7))</f>
        <v/>
      </c>
      <c r="D761" t="str">
        <f>IF($J761="","",SUMIFS('Hours Log'!$D:$D,'Hours Log'!$A:$A,"&gt;="&amp;$J761,'Hours Log'!$A:$A,"&lt;"&amp;$J761+7))</f>
        <v/>
      </c>
      <c r="E761" t="str">
        <f t="shared" si="22"/>
        <v/>
      </c>
      <c r="F761" t="str">
        <f t="shared" si="23"/>
        <v/>
      </c>
      <c r="G761" t="str">
        <f>IF($J761="","",SUMIFS('Hours Log'!$E:$E,'Hours Log'!$A:$A,"&gt;="&amp;$J761,'Hours Log'!$A:$A,"&lt;"&amp;$J761+7))</f>
        <v/>
      </c>
      <c r="J761" t="str">
        <f>IF(COUNT('Hours Log'!$A$4:$A$5000)=0,"",IF(MIN('Hours Log'!$A$4:$A$5000)+7*(ROW()-10)&gt;MAX('Hours Log'!$A$4:$A$5000),"",MIN('Hours Log'!$A$4:$A$5000)+7*(ROW()-10)))</f>
        <v/>
      </c>
    </row>
    <row r="762" spans="1:10" x14ac:dyDescent="0.25">
      <c r="A762" t="str">
        <f>IF($J762="","",YEAR($J762-WEEKDAY($J762,2)+4)&amp;"-W"&amp;TEXT(_xludf.ISOWEEKNUM($J762),"00"))</f>
        <v/>
      </c>
      <c r="B762"/>
      <c r="C762" t="str">
        <f>IF($J762="","",SUMIFS('Hours Log'!$C:$C,'Hours Log'!$A:$A,"&gt;="&amp;$J762,'Hours Log'!$A:$A,"&lt;"&amp;$J762+7)+SUMIFS('Hours Log'!$D:$D,'Hours Log'!$A:$A,"&gt;="&amp;$J762,'Hours Log'!$A:$A,"&lt;"&amp;$J762+7))</f>
        <v/>
      </c>
      <c r="D762" t="str">
        <f>IF($J762="","",SUMIFS('Hours Log'!$D:$D,'Hours Log'!$A:$A,"&gt;="&amp;$J762,'Hours Log'!$A:$A,"&lt;"&amp;$J762+7))</f>
        <v/>
      </c>
      <c r="E762" t="str">
        <f t="shared" si="22"/>
        <v/>
      </c>
      <c r="F762" t="str">
        <f t="shared" si="23"/>
        <v/>
      </c>
      <c r="G762" t="str">
        <f>IF($J762="","",SUMIFS('Hours Log'!$E:$E,'Hours Log'!$A:$A,"&gt;="&amp;$J762,'Hours Log'!$A:$A,"&lt;"&amp;$J762+7))</f>
        <v/>
      </c>
      <c r="J762" t="str">
        <f>IF(COUNT('Hours Log'!$A$4:$A$5000)=0,"",IF(MIN('Hours Log'!$A$4:$A$5000)+7*(ROW()-10)&gt;MAX('Hours Log'!$A$4:$A$5000),"",MIN('Hours Log'!$A$4:$A$5000)+7*(ROW()-10)))</f>
        <v/>
      </c>
    </row>
    <row r="763" spans="1:10" x14ac:dyDescent="0.25">
      <c r="A763" t="str">
        <f>IF($J763="","",YEAR($J763-WEEKDAY($J763,2)+4)&amp;"-W"&amp;TEXT(_xludf.ISOWEEKNUM($J763),"00"))</f>
        <v/>
      </c>
      <c r="B763"/>
      <c r="C763" t="str">
        <f>IF($J763="","",SUMIFS('Hours Log'!$C:$C,'Hours Log'!$A:$A,"&gt;="&amp;$J763,'Hours Log'!$A:$A,"&lt;"&amp;$J763+7)+SUMIFS('Hours Log'!$D:$D,'Hours Log'!$A:$A,"&gt;="&amp;$J763,'Hours Log'!$A:$A,"&lt;"&amp;$J763+7))</f>
        <v/>
      </c>
      <c r="D763" t="str">
        <f>IF($J763="","",SUMIFS('Hours Log'!$D:$D,'Hours Log'!$A:$A,"&gt;="&amp;$J763,'Hours Log'!$A:$A,"&lt;"&amp;$J763+7))</f>
        <v/>
      </c>
      <c r="E763" t="str">
        <f t="shared" si="22"/>
        <v/>
      </c>
      <c r="F763" t="str">
        <f t="shared" si="23"/>
        <v/>
      </c>
      <c r="G763" t="str">
        <f>IF($J763="","",SUMIFS('Hours Log'!$E:$E,'Hours Log'!$A:$A,"&gt;="&amp;$J763,'Hours Log'!$A:$A,"&lt;"&amp;$J763+7))</f>
        <v/>
      </c>
      <c r="J763" t="str">
        <f>IF(COUNT('Hours Log'!$A$4:$A$5000)=0,"",IF(MIN('Hours Log'!$A$4:$A$5000)+7*(ROW()-10)&gt;MAX('Hours Log'!$A$4:$A$5000),"",MIN('Hours Log'!$A$4:$A$5000)+7*(ROW()-10)))</f>
        <v/>
      </c>
    </row>
    <row r="764" spans="1:10" x14ac:dyDescent="0.25">
      <c r="A764" t="str">
        <f>IF($J764="","",YEAR($J764-WEEKDAY($J764,2)+4)&amp;"-W"&amp;TEXT(_xludf.ISOWEEKNUM($J764),"00"))</f>
        <v/>
      </c>
      <c r="B764"/>
      <c r="C764" t="str">
        <f>IF($J764="","",SUMIFS('Hours Log'!$C:$C,'Hours Log'!$A:$A,"&gt;="&amp;$J764,'Hours Log'!$A:$A,"&lt;"&amp;$J764+7)+SUMIFS('Hours Log'!$D:$D,'Hours Log'!$A:$A,"&gt;="&amp;$J764,'Hours Log'!$A:$A,"&lt;"&amp;$J764+7))</f>
        <v/>
      </c>
      <c r="D764" t="str">
        <f>IF($J764="","",SUMIFS('Hours Log'!$D:$D,'Hours Log'!$A:$A,"&gt;="&amp;$J764,'Hours Log'!$A:$A,"&lt;"&amp;$J764+7))</f>
        <v/>
      </c>
      <c r="E764" t="str">
        <f t="shared" si="22"/>
        <v/>
      </c>
      <c r="F764" t="str">
        <f t="shared" si="23"/>
        <v/>
      </c>
      <c r="G764" t="str">
        <f>IF($J764="","",SUMIFS('Hours Log'!$E:$E,'Hours Log'!$A:$A,"&gt;="&amp;$J764,'Hours Log'!$A:$A,"&lt;"&amp;$J764+7))</f>
        <v/>
      </c>
      <c r="J764" t="str">
        <f>IF(COUNT('Hours Log'!$A$4:$A$5000)=0,"",IF(MIN('Hours Log'!$A$4:$A$5000)+7*(ROW()-10)&gt;MAX('Hours Log'!$A$4:$A$5000),"",MIN('Hours Log'!$A$4:$A$5000)+7*(ROW()-10)))</f>
        <v/>
      </c>
    </row>
    <row r="765" spans="1:10" x14ac:dyDescent="0.25">
      <c r="A765" t="str">
        <f>IF($J765="","",YEAR($J765-WEEKDAY($J765,2)+4)&amp;"-W"&amp;TEXT(_xludf.ISOWEEKNUM($J765),"00"))</f>
        <v/>
      </c>
      <c r="B765"/>
      <c r="C765" t="str">
        <f>IF($J765="","",SUMIFS('Hours Log'!$C:$C,'Hours Log'!$A:$A,"&gt;="&amp;$J765,'Hours Log'!$A:$A,"&lt;"&amp;$J765+7)+SUMIFS('Hours Log'!$D:$D,'Hours Log'!$A:$A,"&gt;="&amp;$J765,'Hours Log'!$A:$A,"&lt;"&amp;$J765+7))</f>
        <v/>
      </c>
      <c r="D765" t="str">
        <f>IF($J765="","",SUMIFS('Hours Log'!$D:$D,'Hours Log'!$A:$A,"&gt;="&amp;$J765,'Hours Log'!$A:$A,"&lt;"&amp;$J765+7))</f>
        <v/>
      </c>
      <c r="E765" t="str">
        <f t="shared" si="22"/>
        <v/>
      </c>
      <c r="F765" t="str">
        <f t="shared" si="23"/>
        <v/>
      </c>
      <c r="G765" t="str">
        <f>IF($J765="","",SUMIFS('Hours Log'!$E:$E,'Hours Log'!$A:$A,"&gt;="&amp;$J765,'Hours Log'!$A:$A,"&lt;"&amp;$J765+7))</f>
        <v/>
      </c>
      <c r="J765" t="str">
        <f>IF(COUNT('Hours Log'!$A$4:$A$5000)=0,"",IF(MIN('Hours Log'!$A$4:$A$5000)+7*(ROW()-10)&gt;MAX('Hours Log'!$A$4:$A$5000),"",MIN('Hours Log'!$A$4:$A$5000)+7*(ROW()-10)))</f>
        <v/>
      </c>
    </row>
    <row r="766" spans="1:10" x14ac:dyDescent="0.25">
      <c r="A766" t="str">
        <f>IF($J766="","",YEAR($J766-WEEKDAY($J766,2)+4)&amp;"-W"&amp;TEXT(_xludf.ISOWEEKNUM($J766),"00"))</f>
        <v/>
      </c>
      <c r="B766"/>
      <c r="C766" t="str">
        <f>IF($J766="","",SUMIFS('Hours Log'!$C:$C,'Hours Log'!$A:$A,"&gt;="&amp;$J766,'Hours Log'!$A:$A,"&lt;"&amp;$J766+7)+SUMIFS('Hours Log'!$D:$D,'Hours Log'!$A:$A,"&gt;="&amp;$J766,'Hours Log'!$A:$A,"&lt;"&amp;$J766+7))</f>
        <v/>
      </c>
      <c r="D766" t="str">
        <f>IF($J766="","",SUMIFS('Hours Log'!$D:$D,'Hours Log'!$A:$A,"&gt;="&amp;$J766,'Hours Log'!$A:$A,"&lt;"&amp;$J766+7))</f>
        <v/>
      </c>
      <c r="E766" t="str">
        <f t="shared" si="22"/>
        <v/>
      </c>
      <c r="F766" t="str">
        <f t="shared" si="23"/>
        <v/>
      </c>
      <c r="G766" t="str">
        <f>IF($J766="","",SUMIFS('Hours Log'!$E:$E,'Hours Log'!$A:$A,"&gt;="&amp;$J766,'Hours Log'!$A:$A,"&lt;"&amp;$J766+7))</f>
        <v/>
      </c>
      <c r="J766" t="str">
        <f>IF(COUNT('Hours Log'!$A$4:$A$5000)=0,"",IF(MIN('Hours Log'!$A$4:$A$5000)+7*(ROW()-10)&gt;MAX('Hours Log'!$A$4:$A$5000),"",MIN('Hours Log'!$A$4:$A$5000)+7*(ROW()-10)))</f>
        <v/>
      </c>
    </row>
    <row r="767" spans="1:10" x14ac:dyDescent="0.25">
      <c r="A767" t="str">
        <f>IF($J767="","",YEAR($J767-WEEKDAY($J767,2)+4)&amp;"-W"&amp;TEXT(_xludf.ISOWEEKNUM($J767),"00"))</f>
        <v/>
      </c>
      <c r="B767"/>
      <c r="C767" t="str">
        <f>IF($J767="","",SUMIFS('Hours Log'!$C:$C,'Hours Log'!$A:$A,"&gt;="&amp;$J767,'Hours Log'!$A:$A,"&lt;"&amp;$J767+7)+SUMIFS('Hours Log'!$D:$D,'Hours Log'!$A:$A,"&gt;="&amp;$J767,'Hours Log'!$A:$A,"&lt;"&amp;$J767+7))</f>
        <v/>
      </c>
      <c r="D767" t="str">
        <f>IF($J767="","",SUMIFS('Hours Log'!$D:$D,'Hours Log'!$A:$A,"&gt;="&amp;$J767,'Hours Log'!$A:$A,"&lt;"&amp;$J767+7))</f>
        <v/>
      </c>
      <c r="E767" t="str">
        <f t="shared" si="22"/>
        <v/>
      </c>
      <c r="F767" t="str">
        <f t="shared" si="23"/>
        <v/>
      </c>
      <c r="G767" t="str">
        <f>IF($J767="","",SUMIFS('Hours Log'!$E:$E,'Hours Log'!$A:$A,"&gt;="&amp;$J767,'Hours Log'!$A:$A,"&lt;"&amp;$J767+7))</f>
        <v/>
      </c>
      <c r="J767" t="str">
        <f>IF(COUNT('Hours Log'!$A$4:$A$5000)=0,"",IF(MIN('Hours Log'!$A$4:$A$5000)+7*(ROW()-10)&gt;MAX('Hours Log'!$A$4:$A$5000),"",MIN('Hours Log'!$A$4:$A$5000)+7*(ROW()-10)))</f>
        <v/>
      </c>
    </row>
    <row r="768" spans="1:10" x14ac:dyDescent="0.25">
      <c r="A768" t="str">
        <f>IF($J768="","",YEAR($J768-WEEKDAY($J768,2)+4)&amp;"-W"&amp;TEXT(_xludf.ISOWEEKNUM($J768),"00"))</f>
        <v/>
      </c>
      <c r="B768"/>
      <c r="C768" t="str">
        <f>IF($J768="","",SUMIFS('Hours Log'!$C:$C,'Hours Log'!$A:$A,"&gt;="&amp;$J768,'Hours Log'!$A:$A,"&lt;"&amp;$J768+7)+SUMIFS('Hours Log'!$D:$D,'Hours Log'!$A:$A,"&gt;="&amp;$J768,'Hours Log'!$A:$A,"&lt;"&amp;$J768+7))</f>
        <v/>
      </c>
      <c r="D768" t="str">
        <f>IF($J768="","",SUMIFS('Hours Log'!$D:$D,'Hours Log'!$A:$A,"&gt;="&amp;$J768,'Hours Log'!$A:$A,"&lt;"&amp;$J768+7))</f>
        <v/>
      </c>
      <c r="E768" t="str">
        <f t="shared" si="22"/>
        <v/>
      </c>
      <c r="F768" t="str">
        <f t="shared" si="23"/>
        <v/>
      </c>
      <c r="G768" t="str">
        <f>IF($J768="","",SUMIFS('Hours Log'!$E:$E,'Hours Log'!$A:$A,"&gt;="&amp;$J768,'Hours Log'!$A:$A,"&lt;"&amp;$J768+7))</f>
        <v/>
      </c>
      <c r="J768" t="str">
        <f>IF(COUNT('Hours Log'!$A$4:$A$5000)=0,"",IF(MIN('Hours Log'!$A$4:$A$5000)+7*(ROW()-10)&gt;MAX('Hours Log'!$A$4:$A$5000),"",MIN('Hours Log'!$A$4:$A$5000)+7*(ROW()-10)))</f>
        <v/>
      </c>
    </row>
    <row r="769" spans="1:10" x14ac:dyDescent="0.25">
      <c r="A769" t="str">
        <f>IF($J769="","",YEAR($J769-WEEKDAY($J769,2)+4)&amp;"-W"&amp;TEXT(_xludf.ISOWEEKNUM($J769),"00"))</f>
        <v/>
      </c>
      <c r="B769"/>
      <c r="C769" t="str">
        <f>IF($J769="","",SUMIFS('Hours Log'!$C:$C,'Hours Log'!$A:$A,"&gt;="&amp;$J769,'Hours Log'!$A:$A,"&lt;"&amp;$J769+7)+SUMIFS('Hours Log'!$D:$D,'Hours Log'!$A:$A,"&gt;="&amp;$J769,'Hours Log'!$A:$A,"&lt;"&amp;$J769+7))</f>
        <v/>
      </c>
      <c r="D769" t="str">
        <f>IF($J769="","",SUMIFS('Hours Log'!$D:$D,'Hours Log'!$A:$A,"&gt;="&amp;$J769,'Hours Log'!$A:$A,"&lt;"&amp;$J769+7))</f>
        <v/>
      </c>
      <c r="E769" t="str">
        <f t="shared" si="22"/>
        <v/>
      </c>
      <c r="F769" t="str">
        <f t="shared" si="23"/>
        <v/>
      </c>
      <c r="G769" t="str">
        <f>IF($J769="","",SUMIFS('Hours Log'!$E:$E,'Hours Log'!$A:$A,"&gt;="&amp;$J769,'Hours Log'!$A:$A,"&lt;"&amp;$J769+7))</f>
        <v/>
      </c>
      <c r="J769" t="str">
        <f>IF(COUNT('Hours Log'!$A$4:$A$5000)=0,"",IF(MIN('Hours Log'!$A$4:$A$5000)+7*(ROW()-10)&gt;MAX('Hours Log'!$A$4:$A$5000),"",MIN('Hours Log'!$A$4:$A$5000)+7*(ROW()-10)))</f>
        <v/>
      </c>
    </row>
    <row r="770" spans="1:10" x14ac:dyDescent="0.25">
      <c r="A770" t="str">
        <f>IF($J770="","",YEAR($J770-WEEKDAY($J770,2)+4)&amp;"-W"&amp;TEXT(_xludf.ISOWEEKNUM($J770),"00"))</f>
        <v/>
      </c>
      <c r="B770"/>
      <c r="C770" t="str">
        <f>IF($J770="","",SUMIFS('Hours Log'!$C:$C,'Hours Log'!$A:$A,"&gt;="&amp;$J770,'Hours Log'!$A:$A,"&lt;"&amp;$J770+7)+SUMIFS('Hours Log'!$D:$D,'Hours Log'!$A:$A,"&gt;="&amp;$J770,'Hours Log'!$A:$A,"&lt;"&amp;$J770+7))</f>
        <v/>
      </c>
      <c r="D770" t="str">
        <f>IF($J770="","",SUMIFS('Hours Log'!$D:$D,'Hours Log'!$A:$A,"&gt;="&amp;$J770,'Hours Log'!$A:$A,"&lt;"&amp;$J770+7))</f>
        <v/>
      </c>
      <c r="E770" t="str">
        <f t="shared" si="22"/>
        <v/>
      </c>
      <c r="F770" t="str">
        <f t="shared" si="23"/>
        <v/>
      </c>
      <c r="G770" t="str">
        <f>IF($J770="","",SUMIFS('Hours Log'!$E:$E,'Hours Log'!$A:$A,"&gt;="&amp;$J770,'Hours Log'!$A:$A,"&lt;"&amp;$J770+7))</f>
        <v/>
      </c>
      <c r="J770" t="str">
        <f>IF(COUNT('Hours Log'!$A$4:$A$5000)=0,"",IF(MIN('Hours Log'!$A$4:$A$5000)+7*(ROW()-10)&gt;MAX('Hours Log'!$A$4:$A$5000),"",MIN('Hours Log'!$A$4:$A$5000)+7*(ROW()-10)))</f>
        <v/>
      </c>
    </row>
    <row r="771" spans="1:10" x14ac:dyDescent="0.25">
      <c r="A771" t="str">
        <f>IF($J771="","",YEAR($J771-WEEKDAY($J771,2)+4)&amp;"-W"&amp;TEXT(_xludf.ISOWEEKNUM($J771),"00"))</f>
        <v/>
      </c>
      <c r="B771"/>
      <c r="C771" t="str">
        <f>IF($J771="","",SUMIFS('Hours Log'!$C:$C,'Hours Log'!$A:$A,"&gt;="&amp;$J771,'Hours Log'!$A:$A,"&lt;"&amp;$J771+7)+SUMIFS('Hours Log'!$D:$D,'Hours Log'!$A:$A,"&gt;="&amp;$J771,'Hours Log'!$A:$A,"&lt;"&amp;$J771+7))</f>
        <v/>
      </c>
      <c r="D771" t="str">
        <f>IF($J771="","",SUMIFS('Hours Log'!$D:$D,'Hours Log'!$A:$A,"&gt;="&amp;$J771,'Hours Log'!$A:$A,"&lt;"&amp;$J771+7))</f>
        <v/>
      </c>
      <c r="E771" t="str">
        <f t="shared" si="22"/>
        <v/>
      </c>
      <c r="F771" t="str">
        <f t="shared" si="23"/>
        <v/>
      </c>
      <c r="G771" t="str">
        <f>IF($J771="","",SUMIFS('Hours Log'!$E:$E,'Hours Log'!$A:$A,"&gt;="&amp;$J771,'Hours Log'!$A:$A,"&lt;"&amp;$J771+7))</f>
        <v/>
      </c>
      <c r="J771" t="str">
        <f>IF(COUNT('Hours Log'!$A$4:$A$5000)=0,"",IF(MIN('Hours Log'!$A$4:$A$5000)+7*(ROW()-10)&gt;MAX('Hours Log'!$A$4:$A$5000),"",MIN('Hours Log'!$A$4:$A$5000)+7*(ROW()-10)))</f>
        <v/>
      </c>
    </row>
    <row r="772" spans="1:10" x14ac:dyDescent="0.25">
      <c r="A772" t="str">
        <f>IF($J772="","",YEAR($J772-WEEKDAY($J772,2)+4)&amp;"-W"&amp;TEXT(_xludf.ISOWEEKNUM($J772),"00"))</f>
        <v/>
      </c>
      <c r="B772"/>
      <c r="C772" t="str">
        <f>IF($J772="","",SUMIFS('Hours Log'!$C:$C,'Hours Log'!$A:$A,"&gt;="&amp;$J772,'Hours Log'!$A:$A,"&lt;"&amp;$J772+7)+SUMIFS('Hours Log'!$D:$D,'Hours Log'!$A:$A,"&gt;="&amp;$J772,'Hours Log'!$A:$A,"&lt;"&amp;$J772+7))</f>
        <v/>
      </c>
      <c r="D772" t="str">
        <f>IF($J772="","",SUMIFS('Hours Log'!$D:$D,'Hours Log'!$A:$A,"&gt;="&amp;$J772,'Hours Log'!$A:$A,"&lt;"&amp;$J772+7))</f>
        <v/>
      </c>
      <c r="E772" t="str">
        <f t="shared" si="22"/>
        <v/>
      </c>
      <c r="F772" t="str">
        <f t="shared" si="23"/>
        <v/>
      </c>
      <c r="G772" t="str">
        <f>IF($J772="","",SUMIFS('Hours Log'!$E:$E,'Hours Log'!$A:$A,"&gt;="&amp;$J772,'Hours Log'!$A:$A,"&lt;"&amp;$J772+7))</f>
        <v/>
      </c>
      <c r="J772" t="str">
        <f>IF(COUNT('Hours Log'!$A$4:$A$5000)=0,"",IF(MIN('Hours Log'!$A$4:$A$5000)+7*(ROW()-10)&gt;MAX('Hours Log'!$A$4:$A$5000),"",MIN('Hours Log'!$A$4:$A$5000)+7*(ROW()-10)))</f>
        <v/>
      </c>
    </row>
    <row r="773" spans="1:10" x14ac:dyDescent="0.25">
      <c r="A773" t="str">
        <f>IF($J773="","",YEAR($J773-WEEKDAY($J773,2)+4)&amp;"-W"&amp;TEXT(_xludf.ISOWEEKNUM($J773),"00"))</f>
        <v/>
      </c>
      <c r="B773"/>
      <c r="C773" t="str">
        <f>IF($J773="","",SUMIFS('Hours Log'!$C:$C,'Hours Log'!$A:$A,"&gt;="&amp;$J773,'Hours Log'!$A:$A,"&lt;"&amp;$J773+7)+SUMIFS('Hours Log'!$D:$D,'Hours Log'!$A:$A,"&gt;="&amp;$J773,'Hours Log'!$A:$A,"&lt;"&amp;$J773+7))</f>
        <v/>
      </c>
      <c r="D773" t="str">
        <f>IF($J773="","",SUMIFS('Hours Log'!$D:$D,'Hours Log'!$A:$A,"&gt;="&amp;$J773,'Hours Log'!$A:$A,"&lt;"&amp;$J773+7))</f>
        <v/>
      </c>
      <c r="E773" t="str">
        <f t="shared" si="22"/>
        <v/>
      </c>
      <c r="F773" t="str">
        <f t="shared" si="23"/>
        <v/>
      </c>
      <c r="G773" t="str">
        <f>IF($J773="","",SUMIFS('Hours Log'!$E:$E,'Hours Log'!$A:$A,"&gt;="&amp;$J773,'Hours Log'!$A:$A,"&lt;"&amp;$J773+7))</f>
        <v/>
      </c>
      <c r="J773" t="str">
        <f>IF(COUNT('Hours Log'!$A$4:$A$5000)=0,"",IF(MIN('Hours Log'!$A$4:$A$5000)+7*(ROW()-10)&gt;MAX('Hours Log'!$A$4:$A$5000),"",MIN('Hours Log'!$A$4:$A$5000)+7*(ROW()-10)))</f>
        <v/>
      </c>
    </row>
    <row r="774" spans="1:10" x14ac:dyDescent="0.25">
      <c r="A774" t="str">
        <f>IF($J774="","",YEAR($J774-WEEKDAY($J774,2)+4)&amp;"-W"&amp;TEXT(_xludf.ISOWEEKNUM($J774),"00"))</f>
        <v/>
      </c>
      <c r="B774"/>
      <c r="C774" t="str">
        <f>IF($J774="","",SUMIFS('Hours Log'!$C:$C,'Hours Log'!$A:$A,"&gt;="&amp;$J774,'Hours Log'!$A:$A,"&lt;"&amp;$J774+7)+SUMIFS('Hours Log'!$D:$D,'Hours Log'!$A:$A,"&gt;="&amp;$J774,'Hours Log'!$A:$A,"&lt;"&amp;$J774+7))</f>
        <v/>
      </c>
      <c r="D774" t="str">
        <f>IF($J774="","",SUMIFS('Hours Log'!$D:$D,'Hours Log'!$A:$A,"&gt;="&amp;$J774,'Hours Log'!$A:$A,"&lt;"&amp;$J774+7))</f>
        <v/>
      </c>
      <c r="E774" t="str">
        <f t="shared" si="22"/>
        <v/>
      </c>
      <c r="F774" t="str">
        <f t="shared" si="23"/>
        <v/>
      </c>
      <c r="G774" t="str">
        <f>IF($J774="","",SUMIFS('Hours Log'!$E:$E,'Hours Log'!$A:$A,"&gt;="&amp;$J774,'Hours Log'!$A:$A,"&lt;"&amp;$J774+7))</f>
        <v/>
      </c>
      <c r="J774" t="str">
        <f>IF(COUNT('Hours Log'!$A$4:$A$5000)=0,"",IF(MIN('Hours Log'!$A$4:$A$5000)+7*(ROW()-10)&gt;MAX('Hours Log'!$A$4:$A$5000),"",MIN('Hours Log'!$A$4:$A$5000)+7*(ROW()-10)))</f>
        <v/>
      </c>
    </row>
    <row r="775" spans="1:10" x14ac:dyDescent="0.25">
      <c r="A775" t="str">
        <f>IF($J775="","",YEAR($J775-WEEKDAY($J775,2)+4)&amp;"-W"&amp;TEXT(_xludf.ISOWEEKNUM($J775),"00"))</f>
        <v/>
      </c>
      <c r="B775"/>
      <c r="C775" t="str">
        <f>IF($J775="","",SUMIFS('Hours Log'!$C:$C,'Hours Log'!$A:$A,"&gt;="&amp;$J775,'Hours Log'!$A:$A,"&lt;"&amp;$J775+7)+SUMIFS('Hours Log'!$D:$D,'Hours Log'!$A:$A,"&gt;="&amp;$J775,'Hours Log'!$A:$A,"&lt;"&amp;$J775+7))</f>
        <v/>
      </c>
      <c r="D775" t="str">
        <f>IF($J775="","",SUMIFS('Hours Log'!$D:$D,'Hours Log'!$A:$A,"&gt;="&amp;$J775,'Hours Log'!$A:$A,"&lt;"&amp;$J775+7))</f>
        <v/>
      </c>
      <c r="E775" t="str">
        <f t="shared" si="22"/>
        <v/>
      </c>
      <c r="F775" t="str">
        <f t="shared" si="23"/>
        <v/>
      </c>
      <c r="G775" t="str">
        <f>IF($J775="","",SUMIFS('Hours Log'!$E:$E,'Hours Log'!$A:$A,"&gt;="&amp;$J775,'Hours Log'!$A:$A,"&lt;"&amp;$J775+7))</f>
        <v/>
      </c>
      <c r="J775" t="str">
        <f>IF(COUNT('Hours Log'!$A$4:$A$5000)=0,"",IF(MIN('Hours Log'!$A$4:$A$5000)+7*(ROW()-10)&gt;MAX('Hours Log'!$A$4:$A$5000),"",MIN('Hours Log'!$A$4:$A$5000)+7*(ROW()-10)))</f>
        <v/>
      </c>
    </row>
    <row r="776" spans="1:10" x14ac:dyDescent="0.25">
      <c r="A776" t="str">
        <f>IF($J776="","",YEAR($J776-WEEKDAY($J776,2)+4)&amp;"-W"&amp;TEXT(_xludf.ISOWEEKNUM($J776),"00"))</f>
        <v/>
      </c>
      <c r="B776"/>
      <c r="C776" t="str">
        <f>IF($J776="","",SUMIFS('Hours Log'!$C:$C,'Hours Log'!$A:$A,"&gt;="&amp;$J776,'Hours Log'!$A:$A,"&lt;"&amp;$J776+7)+SUMIFS('Hours Log'!$D:$D,'Hours Log'!$A:$A,"&gt;="&amp;$J776,'Hours Log'!$A:$A,"&lt;"&amp;$J776+7))</f>
        <v/>
      </c>
      <c r="D776" t="str">
        <f>IF($J776="","",SUMIFS('Hours Log'!$D:$D,'Hours Log'!$A:$A,"&gt;="&amp;$J776,'Hours Log'!$A:$A,"&lt;"&amp;$J776+7))</f>
        <v/>
      </c>
      <c r="E776" t="str">
        <f t="shared" si="22"/>
        <v/>
      </c>
      <c r="F776" t="str">
        <f t="shared" si="23"/>
        <v/>
      </c>
      <c r="G776" t="str">
        <f>IF($J776="","",SUMIFS('Hours Log'!$E:$E,'Hours Log'!$A:$A,"&gt;="&amp;$J776,'Hours Log'!$A:$A,"&lt;"&amp;$J776+7))</f>
        <v/>
      </c>
      <c r="J776" t="str">
        <f>IF(COUNT('Hours Log'!$A$4:$A$5000)=0,"",IF(MIN('Hours Log'!$A$4:$A$5000)+7*(ROW()-10)&gt;MAX('Hours Log'!$A$4:$A$5000),"",MIN('Hours Log'!$A$4:$A$5000)+7*(ROW()-10)))</f>
        <v/>
      </c>
    </row>
    <row r="777" spans="1:10" x14ac:dyDescent="0.25">
      <c r="A777" t="str">
        <f>IF($J777="","",YEAR($J777-WEEKDAY($J777,2)+4)&amp;"-W"&amp;TEXT(_xludf.ISOWEEKNUM($J777),"00"))</f>
        <v/>
      </c>
      <c r="B777"/>
      <c r="C777" t="str">
        <f>IF($J777="","",SUMIFS('Hours Log'!$C:$C,'Hours Log'!$A:$A,"&gt;="&amp;$J777,'Hours Log'!$A:$A,"&lt;"&amp;$J777+7)+SUMIFS('Hours Log'!$D:$D,'Hours Log'!$A:$A,"&gt;="&amp;$J777,'Hours Log'!$A:$A,"&lt;"&amp;$J777+7))</f>
        <v/>
      </c>
      <c r="D777" t="str">
        <f>IF($J777="","",SUMIFS('Hours Log'!$D:$D,'Hours Log'!$A:$A,"&gt;="&amp;$J777,'Hours Log'!$A:$A,"&lt;"&amp;$J777+7))</f>
        <v/>
      </c>
      <c r="E777" t="str">
        <f t="shared" si="22"/>
        <v/>
      </c>
      <c r="F777" t="str">
        <f t="shared" si="23"/>
        <v/>
      </c>
      <c r="G777" t="str">
        <f>IF($J777="","",SUMIFS('Hours Log'!$E:$E,'Hours Log'!$A:$A,"&gt;="&amp;$J777,'Hours Log'!$A:$A,"&lt;"&amp;$J777+7))</f>
        <v/>
      </c>
      <c r="J777" t="str">
        <f>IF(COUNT('Hours Log'!$A$4:$A$5000)=0,"",IF(MIN('Hours Log'!$A$4:$A$5000)+7*(ROW()-10)&gt;MAX('Hours Log'!$A$4:$A$5000),"",MIN('Hours Log'!$A$4:$A$5000)+7*(ROW()-10)))</f>
        <v/>
      </c>
    </row>
    <row r="778" spans="1:10" x14ac:dyDescent="0.25">
      <c r="A778" t="str">
        <f>IF($J778="","",YEAR($J778-WEEKDAY($J778,2)+4)&amp;"-W"&amp;TEXT(_xludf.ISOWEEKNUM($J778),"00"))</f>
        <v/>
      </c>
      <c r="B778"/>
      <c r="C778" t="str">
        <f>IF($J778="","",SUMIFS('Hours Log'!$C:$C,'Hours Log'!$A:$A,"&gt;="&amp;$J778,'Hours Log'!$A:$A,"&lt;"&amp;$J778+7)+SUMIFS('Hours Log'!$D:$D,'Hours Log'!$A:$A,"&gt;="&amp;$J778,'Hours Log'!$A:$A,"&lt;"&amp;$J778+7))</f>
        <v/>
      </c>
      <c r="D778" t="str">
        <f>IF($J778="","",SUMIFS('Hours Log'!$D:$D,'Hours Log'!$A:$A,"&gt;="&amp;$J778,'Hours Log'!$A:$A,"&lt;"&amp;$J778+7))</f>
        <v/>
      </c>
      <c r="E778" t="str">
        <f t="shared" ref="E778:E841" si="24">IF($J778="","",IFERROR(C778/(B778*40),0))</f>
        <v/>
      </c>
      <c r="F778" t="str">
        <f t="shared" ref="F778:F841" si="25">IF($J778="","",0)</f>
        <v/>
      </c>
      <c r="G778" t="str">
        <f>IF($J778="","",SUMIFS('Hours Log'!$E:$E,'Hours Log'!$A:$A,"&gt;="&amp;$J778,'Hours Log'!$A:$A,"&lt;"&amp;$J778+7))</f>
        <v/>
      </c>
      <c r="J778" t="str">
        <f>IF(COUNT('Hours Log'!$A$4:$A$5000)=0,"",IF(MIN('Hours Log'!$A$4:$A$5000)+7*(ROW()-10)&gt;MAX('Hours Log'!$A$4:$A$5000),"",MIN('Hours Log'!$A$4:$A$5000)+7*(ROW()-10)))</f>
        <v/>
      </c>
    </row>
    <row r="779" spans="1:10" x14ac:dyDescent="0.25">
      <c r="A779" t="str">
        <f>IF($J779="","",YEAR($J779-WEEKDAY($J779,2)+4)&amp;"-W"&amp;TEXT(_xludf.ISOWEEKNUM($J779),"00"))</f>
        <v/>
      </c>
      <c r="B779"/>
      <c r="C779" t="str">
        <f>IF($J779="","",SUMIFS('Hours Log'!$C:$C,'Hours Log'!$A:$A,"&gt;="&amp;$J779,'Hours Log'!$A:$A,"&lt;"&amp;$J779+7)+SUMIFS('Hours Log'!$D:$D,'Hours Log'!$A:$A,"&gt;="&amp;$J779,'Hours Log'!$A:$A,"&lt;"&amp;$J779+7))</f>
        <v/>
      </c>
      <c r="D779" t="str">
        <f>IF($J779="","",SUMIFS('Hours Log'!$D:$D,'Hours Log'!$A:$A,"&gt;="&amp;$J779,'Hours Log'!$A:$A,"&lt;"&amp;$J779+7))</f>
        <v/>
      </c>
      <c r="E779" t="str">
        <f t="shared" si="24"/>
        <v/>
      </c>
      <c r="F779" t="str">
        <f t="shared" si="25"/>
        <v/>
      </c>
      <c r="G779" t="str">
        <f>IF($J779="","",SUMIFS('Hours Log'!$E:$E,'Hours Log'!$A:$A,"&gt;="&amp;$J779,'Hours Log'!$A:$A,"&lt;"&amp;$J779+7))</f>
        <v/>
      </c>
      <c r="J779" t="str">
        <f>IF(COUNT('Hours Log'!$A$4:$A$5000)=0,"",IF(MIN('Hours Log'!$A$4:$A$5000)+7*(ROW()-10)&gt;MAX('Hours Log'!$A$4:$A$5000),"",MIN('Hours Log'!$A$4:$A$5000)+7*(ROW()-10)))</f>
        <v/>
      </c>
    </row>
    <row r="780" spans="1:10" x14ac:dyDescent="0.25">
      <c r="A780" t="str">
        <f>IF($J780="","",YEAR($J780-WEEKDAY($J780,2)+4)&amp;"-W"&amp;TEXT(_xludf.ISOWEEKNUM($J780),"00"))</f>
        <v/>
      </c>
      <c r="B780"/>
      <c r="C780" t="str">
        <f>IF($J780="","",SUMIFS('Hours Log'!$C:$C,'Hours Log'!$A:$A,"&gt;="&amp;$J780,'Hours Log'!$A:$A,"&lt;"&amp;$J780+7)+SUMIFS('Hours Log'!$D:$D,'Hours Log'!$A:$A,"&gt;="&amp;$J780,'Hours Log'!$A:$A,"&lt;"&amp;$J780+7))</f>
        <v/>
      </c>
      <c r="D780" t="str">
        <f>IF($J780="","",SUMIFS('Hours Log'!$D:$D,'Hours Log'!$A:$A,"&gt;="&amp;$J780,'Hours Log'!$A:$A,"&lt;"&amp;$J780+7))</f>
        <v/>
      </c>
      <c r="E780" t="str">
        <f t="shared" si="24"/>
        <v/>
      </c>
      <c r="F780" t="str">
        <f t="shared" si="25"/>
        <v/>
      </c>
      <c r="G780" t="str">
        <f>IF($J780="","",SUMIFS('Hours Log'!$E:$E,'Hours Log'!$A:$A,"&gt;="&amp;$J780,'Hours Log'!$A:$A,"&lt;"&amp;$J780+7))</f>
        <v/>
      </c>
      <c r="J780" t="str">
        <f>IF(COUNT('Hours Log'!$A$4:$A$5000)=0,"",IF(MIN('Hours Log'!$A$4:$A$5000)+7*(ROW()-10)&gt;MAX('Hours Log'!$A$4:$A$5000),"",MIN('Hours Log'!$A$4:$A$5000)+7*(ROW()-10)))</f>
        <v/>
      </c>
    </row>
    <row r="781" spans="1:10" x14ac:dyDescent="0.25">
      <c r="A781" t="str">
        <f>IF($J781="","",YEAR($J781-WEEKDAY($J781,2)+4)&amp;"-W"&amp;TEXT(_xludf.ISOWEEKNUM($J781),"00"))</f>
        <v/>
      </c>
      <c r="B781"/>
      <c r="C781" t="str">
        <f>IF($J781="","",SUMIFS('Hours Log'!$C:$C,'Hours Log'!$A:$A,"&gt;="&amp;$J781,'Hours Log'!$A:$A,"&lt;"&amp;$J781+7)+SUMIFS('Hours Log'!$D:$D,'Hours Log'!$A:$A,"&gt;="&amp;$J781,'Hours Log'!$A:$A,"&lt;"&amp;$J781+7))</f>
        <v/>
      </c>
      <c r="D781" t="str">
        <f>IF($J781="","",SUMIFS('Hours Log'!$D:$D,'Hours Log'!$A:$A,"&gt;="&amp;$J781,'Hours Log'!$A:$A,"&lt;"&amp;$J781+7))</f>
        <v/>
      </c>
      <c r="E781" t="str">
        <f t="shared" si="24"/>
        <v/>
      </c>
      <c r="F781" t="str">
        <f t="shared" si="25"/>
        <v/>
      </c>
      <c r="G781" t="str">
        <f>IF($J781="","",SUMIFS('Hours Log'!$E:$E,'Hours Log'!$A:$A,"&gt;="&amp;$J781,'Hours Log'!$A:$A,"&lt;"&amp;$J781+7))</f>
        <v/>
      </c>
      <c r="J781" t="str">
        <f>IF(COUNT('Hours Log'!$A$4:$A$5000)=0,"",IF(MIN('Hours Log'!$A$4:$A$5000)+7*(ROW()-10)&gt;MAX('Hours Log'!$A$4:$A$5000),"",MIN('Hours Log'!$A$4:$A$5000)+7*(ROW()-10)))</f>
        <v/>
      </c>
    </row>
    <row r="782" spans="1:10" x14ac:dyDescent="0.25">
      <c r="A782" t="str">
        <f>IF($J782="","",YEAR($J782-WEEKDAY($J782,2)+4)&amp;"-W"&amp;TEXT(_xludf.ISOWEEKNUM($J782),"00"))</f>
        <v/>
      </c>
      <c r="B782"/>
      <c r="C782" t="str">
        <f>IF($J782="","",SUMIFS('Hours Log'!$C:$C,'Hours Log'!$A:$A,"&gt;="&amp;$J782,'Hours Log'!$A:$A,"&lt;"&amp;$J782+7)+SUMIFS('Hours Log'!$D:$D,'Hours Log'!$A:$A,"&gt;="&amp;$J782,'Hours Log'!$A:$A,"&lt;"&amp;$J782+7))</f>
        <v/>
      </c>
      <c r="D782" t="str">
        <f>IF($J782="","",SUMIFS('Hours Log'!$D:$D,'Hours Log'!$A:$A,"&gt;="&amp;$J782,'Hours Log'!$A:$A,"&lt;"&amp;$J782+7))</f>
        <v/>
      </c>
      <c r="E782" t="str">
        <f t="shared" si="24"/>
        <v/>
      </c>
      <c r="F782" t="str">
        <f t="shared" si="25"/>
        <v/>
      </c>
      <c r="G782" t="str">
        <f>IF($J782="","",SUMIFS('Hours Log'!$E:$E,'Hours Log'!$A:$A,"&gt;="&amp;$J782,'Hours Log'!$A:$A,"&lt;"&amp;$J782+7))</f>
        <v/>
      </c>
      <c r="J782" t="str">
        <f>IF(COUNT('Hours Log'!$A$4:$A$5000)=0,"",IF(MIN('Hours Log'!$A$4:$A$5000)+7*(ROW()-10)&gt;MAX('Hours Log'!$A$4:$A$5000),"",MIN('Hours Log'!$A$4:$A$5000)+7*(ROW()-10)))</f>
        <v/>
      </c>
    </row>
    <row r="783" spans="1:10" x14ac:dyDescent="0.25">
      <c r="A783" t="str">
        <f>IF($J783="","",YEAR($J783-WEEKDAY($J783,2)+4)&amp;"-W"&amp;TEXT(_xludf.ISOWEEKNUM($J783),"00"))</f>
        <v/>
      </c>
      <c r="B783"/>
      <c r="C783" t="str">
        <f>IF($J783="","",SUMIFS('Hours Log'!$C:$C,'Hours Log'!$A:$A,"&gt;="&amp;$J783,'Hours Log'!$A:$A,"&lt;"&amp;$J783+7)+SUMIFS('Hours Log'!$D:$D,'Hours Log'!$A:$A,"&gt;="&amp;$J783,'Hours Log'!$A:$A,"&lt;"&amp;$J783+7))</f>
        <v/>
      </c>
      <c r="D783" t="str">
        <f>IF($J783="","",SUMIFS('Hours Log'!$D:$D,'Hours Log'!$A:$A,"&gt;="&amp;$J783,'Hours Log'!$A:$A,"&lt;"&amp;$J783+7))</f>
        <v/>
      </c>
      <c r="E783" t="str">
        <f t="shared" si="24"/>
        <v/>
      </c>
      <c r="F783" t="str">
        <f t="shared" si="25"/>
        <v/>
      </c>
      <c r="G783" t="str">
        <f>IF($J783="","",SUMIFS('Hours Log'!$E:$E,'Hours Log'!$A:$A,"&gt;="&amp;$J783,'Hours Log'!$A:$A,"&lt;"&amp;$J783+7))</f>
        <v/>
      </c>
      <c r="J783" t="str">
        <f>IF(COUNT('Hours Log'!$A$4:$A$5000)=0,"",IF(MIN('Hours Log'!$A$4:$A$5000)+7*(ROW()-10)&gt;MAX('Hours Log'!$A$4:$A$5000),"",MIN('Hours Log'!$A$4:$A$5000)+7*(ROW()-10)))</f>
        <v/>
      </c>
    </row>
    <row r="784" spans="1:10" x14ac:dyDescent="0.25">
      <c r="A784" t="str">
        <f>IF($J784="","",YEAR($J784-WEEKDAY($J784,2)+4)&amp;"-W"&amp;TEXT(_xludf.ISOWEEKNUM($J784),"00"))</f>
        <v/>
      </c>
      <c r="B784"/>
      <c r="C784" t="str">
        <f>IF($J784="","",SUMIFS('Hours Log'!$C:$C,'Hours Log'!$A:$A,"&gt;="&amp;$J784,'Hours Log'!$A:$A,"&lt;"&amp;$J784+7)+SUMIFS('Hours Log'!$D:$D,'Hours Log'!$A:$A,"&gt;="&amp;$J784,'Hours Log'!$A:$A,"&lt;"&amp;$J784+7))</f>
        <v/>
      </c>
      <c r="D784" t="str">
        <f>IF($J784="","",SUMIFS('Hours Log'!$D:$D,'Hours Log'!$A:$A,"&gt;="&amp;$J784,'Hours Log'!$A:$A,"&lt;"&amp;$J784+7))</f>
        <v/>
      </c>
      <c r="E784" t="str">
        <f t="shared" si="24"/>
        <v/>
      </c>
      <c r="F784" t="str">
        <f t="shared" si="25"/>
        <v/>
      </c>
      <c r="G784" t="str">
        <f>IF($J784="","",SUMIFS('Hours Log'!$E:$E,'Hours Log'!$A:$A,"&gt;="&amp;$J784,'Hours Log'!$A:$A,"&lt;"&amp;$J784+7))</f>
        <v/>
      </c>
      <c r="J784" t="str">
        <f>IF(COUNT('Hours Log'!$A$4:$A$5000)=0,"",IF(MIN('Hours Log'!$A$4:$A$5000)+7*(ROW()-10)&gt;MAX('Hours Log'!$A$4:$A$5000),"",MIN('Hours Log'!$A$4:$A$5000)+7*(ROW()-10)))</f>
        <v/>
      </c>
    </row>
    <row r="785" spans="1:10" x14ac:dyDescent="0.25">
      <c r="A785" t="str">
        <f>IF($J785="","",YEAR($J785-WEEKDAY($J785,2)+4)&amp;"-W"&amp;TEXT(_xludf.ISOWEEKNUM($J785),"00"))</f>
        <v/>
      </c>
      <c r="B785"/>
      <c r="C785" t="str">
        <f>IF($J785="","",SUMIFS('Hours Log'!$C:$C,'Hours Log'!$A:$A,"&gt;="&amp;$J785,'Hours Log'!$A:$A,"&lt;"&amp;$J785+7)+SUMIFS('Hours Log'!$D:$D,'Hours Log'!$A:$A,"&gt;="&amp;$J785,'Hours Log'!$A:$A,"&lt;"&amp;$J785+7))</f>
        <v/>
      </c>
      <c r="D785" t="str">
        <f>IF($J785="","",SUMIFS('Hours Log'!$D:$D,'Hours Log'!$A:$A,"&gt;="&amp;$J785,'Hours Log'!$A:$A,"&lt;"&amp;$J785+7))</f>
        <v/>
      </c>
      <c r="E785" t="str">
        <f t="shared" si="24"/>
        <v/>
      </c>
      <c r="F785" t="str">
        <f t="shared" si="25"/>
        <v/>
      </c>
      <c r="G785" t="str">
        <f>IF($J785="","",SUMIFS('Hours Log'!$E:$E,'Hours Log'!$A:$A,"&gt;="&amp;$J785,'Hours Log'!$A:$A,"&lt;"&amp;$J785+7))</f>
        <v/>
      </c>
      <c r="J785" t="str">
        <f>IF(COUNT('Hours Log'!$A$4:$A$5000)=0,"",IF(MIN('Hours Log'!$A$4:$A$5000)+7*(ROW()-10)&gt;MAX('Hours Log'!$A$4:$A$5000),"",MIN('Hours Log'!$A$4:$A$5000)+7*(ROW()-10)))</f>
        <v/>
      </c>
    </row>
    <row r="786" spans="1:10" x14ac:dyDescent="0.25">
      <c r="A786" t="str">
        <f>IF($J786="","",YEAR($J786-WEEKDAY($J786,2)+4)&amp;"-W"&amp;TEXT(_xludf.ISOWEEKNUM($J786),"00"))</f>
        <v/>
      </c>
      <c r="B786"/>
      <c r="C786" t="str">
        <f>IF($J786="","",SUMIFS('Hours Log'!$C:$C,'Hours Log'!$A:$A,"&gt;="&amp;$J786,'Hours Log'!$A:$A,"&lt;"&amp;$J786+7)+SUMIFS('Hours Log'!$D:$D,'Hours Log'!$A:$A,"&gt;="&amp;$J786,'Hours Log'!$A:$A,"&lt;"&amp;$J786+7))</f>
        <v/>
      </c>
      <c r="D786" t="str">
        <f>IF($J786="","",SUMIFS('Hours Log'!$D:$D,'Hours Log'!$A:$A,"&gt;="&amp;$J786,'Hours Log'!$A:$A,"&lt;"&amp;$J786+7))</f>
        <v/>
      </c>
      <c r="E786" t="str">
        <f t="shared" si="24"/>
        <v/>
      </c>
      <c r="F786" t="str">
        <f t="shared" si="25"/>
        <v/>
      </c>
      <c r="G786" t="str">
        <f>IF($J786="","",SUMIFS('Hours Log'!$E:$E,'Hours Log'!$A:$A,"&gt;="&amp;$J786,'Hours Log'!$A:$A,"&lt;"&amp;$J786+7))</f>
        <v/>
      </c>
      <c r="J786" t="str">
        <f>IF(COUNT('Hours Log'!$A$4:$A$5000)=0,"",IF(MIN('Hours Log'!$A$4:$A$5000)+7*(ROW()-10)&gt;MAX('Hours Log'!$A$4:$A$5000),"",MIN('Hours Log'!$A$4:$A$5000)+7*(ROW()-10)))</f>
        <v/>
      </c>
    </row>
    <row r="787" spans="1:10" x14ac:dyDescent="0.25">
      <c r="A787" t="str">
        <f>IF($J787="","",YEAR($J787-WEEKDAY($J787,2)+4)&amp;"-W"&amp;TEXT(_xludf.ISOWEEKNUM($J787),"00"))</f>
        <v/>
      </c>
      <c r="B787"/>
      <c r="C787" t="str">
        <f>IF($J787="","",SUMIFS('Hours Log'!$C:$C,'Hours Log'!$A:$A,"&gt;="&amp;$J787,'Hours Log'!$A:$A,"&lt;"&amp;$J787+7)+SUMIFS('Hours Log'!$D:$D,'Hours Log'!$A:$A,"&gt;="&amp;$J787,'Hours Log'!$A:$A,"&lt;"&amp;$J787+7))</f>
        <v/>
      </c>
      <c r="D787" t="str">
        <f>IF($J787="","",SUMIFS('Hours Log'!$D:$D,'Hours Log'!$A:$A,"&gt;="&amp;$J787,'Hours Log'!$A:$A,"&lt;"&amp;$J787+7))</f>
        <v/>
      </c>
      <c r="E787" t="str">
        <f t="shared" si="24"/>
        <v/>
      </c>
      <c r="F787" t="str">
        <f t="shared" si="25"/>
        <v/>
      </c>
      <c r="G787" t="str">
        <f>IF($J787="","",SUMIFS('Hours Log'!$E:$E,'Hours Log'!$A:$A,"&gt;="&amp;$J787,'Hours Log'!$A:$A,"&lt;"&amp;$J787+7))</f>
        <v/>
      </c>
      <c r="J787" t="str">
        <f>IF(COUNT('Hours Log'!$A$4:$A$5000)=0,"",IF(MIN('Hours Log'!$A$4:$A$5000)+7*(ROW()-10)&gt;MAX('Hours Log'!$A$4:$A$5000),"",MIN('Hours Log'!$A$4:$A$5000)+7*(ROW()-10)))</f>
        <v/>
      </c>
    </row>
    <row r="788" spans="1:10" x14ac:dyDescent="0.25">
      <c r="A788" t="str">
        <f>IF($J788="","",YEAR($J788-WEEKDAY($J788,2)+4)&amp;"-W"&amp;TEXT(_xludf.ISOWEEKNUM($J788),"00"))</f>
        <v/>
      </c>
      <c r="B788"/>
      <c r="C788" t="str">
        <f>IF($J788="","",SUMIFS('Hours Log'!$C:$C,'Hours Log'!$A:$A,"&gt;="&amp;$J788,'Hours Log'!$A:$A,"&lt;"&amp;$J788+7)+SUMIFS('Hours Log'!$D:$D,'Hours Log'!$A:$A,"&gt;="&amp;$J788,'Hours Log'!$A:$A,"&lt;"&amp;$J788+7))</f>
        <v/>
      </c>
      <c r="D788" t="str">
        <f>IF($J788="","",SUMIFS('Hours Log'!$D:$D,'Hours Log'!$A:$A,"&gt;="&amp;$J788,'Hours Log'!$A:$A,"&lt;"&amp;$J788+7))</f>
        <v/>
      </c>
      <c r="E788" t="str">
        <f t="shared" si="24"/>
        <v/>
      </c>
      <c r="F788" t="str">
        <f t="shared" si="25"/>
        <v/>
      </c>
      <c r="G788" t="str">
        <f>IF($J788="","",SUMIFS('Hours Log'!$E:$E,'Hours Log'!$A:$A,"&gt;="&amp;$J788,'Hours Log'!$A:$A,"&lt;"&amp;$J788+7))</f>
        <v/>
      </c>
      <c r="J788" t="str">
        <f>IF(COUNT('Hours Log'!$A$4:$A$5000)=0,"",IF(MIN('Hours Log'!$A$4:$A$5000)+7*(ROW()-10)&gt;MAX('Hours Log'!$A$4:$A$5000),"",MIN('Hours Log'!$A$4:$A$5000)+7*(ROW()-10)))</f>
        <v/>
      </c>
    </row>
    <row r="789" spans="1:10" x14ac:dyDescent="0.25">
      <c r="A789" t="str">
        <f>IF($J789="","",YEAR($J789-WEEKDAY($J789,2)+4)&amp;"-W"&amp;TEXT(_xludf.ISOWEEKNUM($J789),"00"))</f>
        <v/>
      </c>
      <c r="B789"/>
      <c r="C789" t="str">
        <f>IF($J789="","",SUMIFS('Hours Log'!$C:$C,'Hours Log'!$A:$A,"&gt;="&amp;$J789,'Hours Log'!$A:$A,"&lt;"&amp;$J789+7)+SUMIFS('Hours Log'!$D:$D,'Hours Log'!$A:$A,"&gt;="&amp;$J789,'Hours Log'!$A:$A,"&lt;"&amp;$J789+7))</f>
        <v/>
      </c>
      <c r="D789" t="str">
        <f>IF($J789="","",SUMIFS('Hours Log'!$D:$D,'Hours Log'!$A:$A,"&gt;="&amp;$J789,'Hours Log'!$A:$A,"&lt;"&amp;$J789+7))</f>
        <v/>
      </c>
      <c r="E789" t="str">
        <f t="shared" si="24"/>
        <v/>
      </c>
      <c r="F789" t="str">
        <f t="shared" si="25"/>
        <v/>
      </c>
      <c r="G789" t="str">
        <f>IF($J789="","",SUMIFS('Hours Log'!$E:$E,'Hours Log'!$A:$A,"&gt;="&amp;$J789,'Hours Log'!$A:$A,"&lt;"&amp;$J789+7))</f>
        <v/>
      </c>
      <c r="J789" t="str">
        <f>IF(COUNT('Hours Log'!$A$4:$A$5000)=0,"",IF(MIN('Hours Log'!$A$4:$A$5000)+7*(ROW()-10)&gt;MAX('Hours Log'!$A$4:$A$5000),"",MIN('Hours Log'!$A$4:$A$5000)+7*(ROW()-10)))</f>
        <v/>
      </c>
    </row>
    <row r="790" spans="1:10" x14ac:dyDescent="0.25">
      <c r="A790" t="str">
        <f>IF($J790="","",YEAR($J790-WEEKDAY($J790,2)+4)&amp;"-W"&amp;TEXT(_xludf.ISOWEEKNUM($J790),"00"))</f>
        <v/>
      </c>
      <c r="B790"/>
      <c r="C790" t="str">
        <f>IF($J790="","",SUMIFS('Hours Log'!$C:$C,'Hours Log'!$A:$A,"&gt;="&amp;$J790,'Hours Log'!$A:$A,"&lt;"&amp;$J790+7)+SUMIFS('Hours Log'!$D:$D,'Hours Log'!$A:$A,"&gt;="&amp;$J790,'Hours Log'!$A:$A,"&lt;"&amp;$J790+7))</f>
        <v/>
      </c>
      <c r="D790" t="str">
        <f>IF($J790="","",SUMIFS('Hours Log'!$D:$D,'Hours Log'!$A:$A,"&gt;="&amp;$J790,'Hours Log'!$A:$A,"&lt;"&amp;$J790+7))</f>
        <v/>
      </c>
      <c r="E790" t="str">
        <f t="shared" si="24"/>
        <v/>
      </c>
      <c r="F790" t="str">
        <f t="shared" si="25"/>
        <v/>
      </c>
      <c r="G790" t="str">
        <f>IF($J790="","",SUMIFS('Hours Log'!$E:$E,'Hours Log'!$A:$A,"&gt;="&amp;$J790,'Hours Log'!$A:$A,"&lt;"&amp;$J790+7))</f>
        <v/>
      </c>
      <c r="J790" t="str">
        <f>IF(COUNT('Hours Log'!$A$4:$A$5000)=0,"",IF(MIN('Hours Log'!$A$4:$A$5000)+7*(ROW()-10)&gt;MAX('Hours Log'!$A$4:$A$5000),"",MIN('Hours Log'!$A$4:$A$5000)+7*(ROW()-10)))</f>
        <v/>
      </c>
    </row>
    <row r="791" spans="1:10" x14ac:dyDescent="0.25">
      <c r="A791" t="str">
        <f>IF($J791="","",YEAR($J791-WEEKDAY($J791,2)+4)&amp;"-W"&amp;TEXT(_xludf.ISOWEEKNUM($J791),"00"))</f>
        <v/>
      </c>
      <c r="B791"/>
      <c r="C791" t="str">
        <f>IF($J791="","",SUMIFS('Hours Log'!$C:$C,'Hours Log'!$A:$A,"&gt;="&amp;$J791,'Hours Log'!$A:$A,"&lt;"&amp;$J791+7)+SUMIFS('Hours Log'!$D:$D,'Hours Log'!$A:$A,"&gt;="&amp;$J791,'Hours Log'!$A:$A,"&lt;"&amp;$J791+7))</f>
        <v/>
      </c>
      <c r="D791" t="str">
        <f>IF($J791="","",SUMIFS('Hours Log'!$D:$D,'Hours Log'!$A:$A,"&gt;="&amp;$J791,'Hours Log'!$A:$A,"&lt;"&amp;$J791+7))</f>
        <v/>
      </c>
      <c r="E791" t="str">
        <f t="shared" si="24"/>
        <v/>
      </c>
      <c r="F791" t="str">
        <f t="shared" si="25"/>
        <v/>
      </c>
      <c r="G791" t="str">
        <f>IF($J791="","",SUMIFS('Hours Log'!$E:$E,'Hours Log'!$A:$A,"&gt;="&amp;$J791,'Hours Log'!$A:$A,"&lt;"&amp;$J791+7))</f>
        <v/>
      </c>
      <c r="J791" t="str">
        <f>IF(COUNT('Hours Log'!$A$4:$A$5000)=0,"",IF(MIN('Hours Log'!$A$4:$A$5000)+7*(ROW()-10)&gt;MAX('Hours Log'!$A$4:$A$5000),"",MIN('Hours Log'!$A$4:$A$5000)+7*(ROW()-10)))</f>
        <v/>
      </c>
    </row>
    <row r="792" spans="1:10" x14ac:dyDescent="0.25">
      <c r="A792" t="str">
        <f>IF($J792="","",YEAR($J792-WEEKDAY($J792,2)+4)&amp;"-W"&amp;TEXT(_xludf.ISOWEEKNUM($J792),"00"))</f>
        <v/>
      </c>
      <c r="B792"/>
      <c r="C792" t="str">
        <f>IF($J792="","",SUMIFS('Hours Log'!$C:$C,'Hours Log'!$A:$A,"&gt;="&amp;$J792,'Hours Log'!$A:$A,"&lt;"&amp;$J792+7)+SUMIFS('Hours Log'!$D:$D,'Hours Log'!$A:$A,"&gt;="&amp;$J792,'Hours Log'!$A:$A,"&lt;"&amp;$J792+7))</f>
        <v/>
      </c>
      <c r="D792" t="str">
        <f>IF($J792="","",SUMIFS('Hours Log'!$D:$D,'Hours Log'!$A:$A,"&gt;="&amp;$J792,'Hours Log'!$A:$A,"&lt;"&amp;$J792+7))</f>
        <v/>
      </c>
      <c r="E792" t="str">
        <f t="shared" si="24"/>
        <v/>
      </c>
      <c r="F792" t="str">
        <f t="shared" si="25"/>
        <v/>
      </c>
      <c r="G792" t="str">
        <f>IF($J792="","",SUMIFS('Hours Log'!$E:$E,'Hours Log'!$A:$A,"&gt;="&amp;$J792,'Hours Log'!$A:$A,"&lt;"&amp;$J792+7))</f>
        <v/>
      </c>
      <c r="J792" t="str">
        <f>IF(COUNT('Hours Log'!$A$4:$A$5000)=0,"",IF(MIN('Hours Log'!$A$4:$A$5000)+7*(ROW()-10)&gt;MAX('Hours Log'!$A$4:$A$5000),"",MIN('Hours Log'!$A$4:$A$5000)+7*(ROW()-10)))</f>
        <v/>
      </c>
    </row>
    <row r="793" spans="1:10" x14ac:dyDescent="0.25">
      <c r="A793" t="str">
        <f>IF($J793="","",YEAR($J793-WEEKDAY($J793,2)+4)&amp;"-W"&amp;TEXT(_xludf.ISOWEEKNUM($J793),"00"))</f>
        <v/>
      </c>
      <c r="B793"/>
      <c r="C793" t="str">
        <f>IF($J793="","",SUMIFS('Hours Log'!$C:$C,'Hours Log'!$A:$A,"&gt;="&amp;$J793,'Hours Log'!$A:$A,"&lt;"&amp;$J793+7)+SUMIFS('Hours Log'!$D:$D,'Hours Log'!$A:$A,"&gt;="&amp;$J793,'Hours Log'!$A:$A,"&lt;"&amp;$J793+7))</f>
        <v/>
      </c>
      <c r="D793" t="str">
        <f>IF($J793="","",SUMIFS('Hours Log'!$D:$D,'Hours Log'!$A:$A,"&gt;="&amp;$J793,'Hours Log'!$A:$A,"&lt;"&amp;$J793+7))</f>
        <v/>
      </c>
      <c r="E793" t="str">
        <f t="shared" si="24"/>
        <v/>
      </c>
      <c r="F793" t="str">
        <f t="shared" si="25"/>
        <v/>
      </c>
      <c r="G793" t="str">
        <f>IF($J793="","",SUMIFS('Hours Log'!$E:$E,'Hours Log'!$A:$A,"&gt;="&amp;$J793,'Hours Log'!$A:$A,"&lt;"&amp;$J793+7))</f>
        <v/>
      </c>
      <c r="J793" t="str">
        <f>IF(COUNT('Hours Log'!$A$4:$A$5000)=0,"",IF(MIN('Hours Log'!$A$4:$A$5000)+7*(ROW()-10)&gt;MAX('Hours Log'!$A$4:$A$5000),"",MIN('Hours Log'!$A$4:$A$5000)+7*(ROW()-10)))</f>
        <v/>
      </c>
    </row>
    <row r="794" spans="1:10" x14ac:dyDescent="0.25">
      <c r="A794" t="str">
        <f>IF($J794="","",YEAR($J794-WEEKDAY($J794,2)+4)&amp;"-W"&amp;TEXT(_xludf.ISOWEEKNUM($J794),"00"))</f>
        <v/>
      </c>
      <c r="B794"/>
      <c r="C794" t="str">
        <f>IF($J794="","",SUMIFS('Hours Log'!$C:$C,'Hours Log'!$A:$A,"&gt;="&amp;$J794,'Hours Log'!$A:$A,"&lt;"&amp;$J794+7)+SUMIFS('Hours Log'!$D:$D,'Hours Log'!$A:$A,"&gt;="&amp;$J794,'Hours Log'!$A:$A,"&lt;"&amp;$J794+7))</f>
        <v/>
      </c>
      <c r="D794" t="str">
        <f>IF($J794="","",SUMIFS('Hours Log'!$D:$D,'Hours Log'!$A:$A,"&gt;="&amp;$J794,'Hours Log'!$A:$A,"&lt;"&amp;$J794+7))</f>
        <v/>
      </c>
      <c r="E794" t="str">
        <f t="shared" si="24"/>
        <v/>
      </c>
      <c r="F794" t="str">
        <f t="shared" si="25"/>
        <v/>
      </c>
      <c r="G794" t="str">
        <f>IF($J794="","",SUMIFS('Hours Log'!$E:$E,'Hours Log'!$A:$A,"&gt;="&amp;$J794,'Hours Log'!$A:$A,"&lt;"&amp;$J794+7))</f>
        <v/>
      </c>
      <c r="J794" t="str">
        <f>IF(COUNT('Hours Log'!$A$4:$A$5000)=0,"",IF(MIN('Hours Log'!$A$4:$A$5000)+7*(ROW()-10)&gt;MAX('Hours Log'!$A$4:$A$5000),"",MIN('Hours Log'!$A$4:$A$5000)+7*(ROW()-10)))</f>
        <v/>
      </c>
    </row>
    <row r="795" spans="1:10" x14ac:dyDescent="0.25">
      <c r="A795" t="str">
        <f>IF($J795="","",YEAR($J795-WEEKDAY($J795,2)+4)&amp;"-W"&amp;TEXT(_xludf.ISOWEEKNUM($J795),"00"))</f>
        <v/>
      </c>
      <c r="B795"/>
      <c r="C795" t="str">
        <f>IF($J795="","",SUMIFS('Hours Log'!$C:$C,'Hours Log'!$A:$A,"&gt;="&amp;$J795,'Hours Log'!$A:$A,"&lt;"&amp;$J795+7)+SUMIFS('Hours Log'!$D:$D,'Hours Log'!$A:$A,"&gt;="&amp;$J795,'Hours Log'!$A:$A,"&lt;"&amp;$J795+7))</f>
        <v/>
      </c>
      <c r="D795" t="str">
        <f>IF($J795="","",SUMIFS('Hours Log'!$D:$D,'Hours Log'!$A:$A,"&gt;="&amp;$J795,'Hours Log'!$A:$A,"&lt;"&amp;$J795+7))</f>
        <v/>
      </c>
      <c r="E795" t="str">
        <f t="shared" si="24"/>
        <v/>
      </c>
      <c r="F795" t="str">
        <f t="shared" si="25"/>
        <v/>
      </c>
      <c r="G795" t="str">
        <f>IF($J795="","",SUMIFS('Hours Log'!$E:$E,'Hours Log'!$A:$A,"&gt;="&amp;$J795,'Hours Log'!$A:$A,"&lt;"&amp;$J795+7))</f>
        <v/>
      </c>
      <c r="J795" t="str">
        <f>IF(COUNT('Hours Log'!$A$4:$A$5000)=0,"",IF(MIN('Hours Log'!$A$4:$A$5000)+7*(ROW()-10)&gt;MAX('Hours Log'!$A$4:$A$5000),"",MIN('Hours Log'!$A$4:$A$5000)+7*(ROW()-10)))</f>
        <v/>
      </c>
    </row>
    <row r="796" spans="1:10" x14ac:dyDescent="0.25">
      <c r="A796" t="str">
        <f>IF($J796="","",YEAR($J796-WEEKDAY($J796,2)+4)&amp;"-W"&amp;TEXT(_xludf.ISOWEEKNUM($J796),"00"))</f>
        <v/>
      </c>
      <c r="B796"/>
      <c r="C796" t="str">
        <f>IF($J796="","",SUMIFS('Hours Log'!$C:$C,'Hours Log'!$A:$A,"&gt;="&amp;$J796,'Hours Log'!$A:$A,"&lt;"&amp;$J796+7)+SUMIFS('Hours Log'!$D:$D,'Hours Log'!$A:$A,"&gt;="&amp;$J796,'Hours Log'!$A:$A,"&lt;"&amp;$J796+7))</f>
        <v/>
      </c>
      <c r="D796" t="str">
        <f>IF($J796="","",SUMIFS('Hours Log'!$D:$D,'Hours Log'!$A:$A,"&gt;="&amp;$J796,'Hours Log'!$A:$A,"&lt;"&amp;$J796+7))</f>
        <v/>
      </c>
      <c r="E796" t="str">
        <f t="shared" si="24"/>
        <v/>
      </c>
      <c r="F796" t="str">
        <f t="shared" si="25"/>
        <v/>
      </c>
      <c r="G796" t="str">
        <f>IF($J796="","",SUMIFS('Hours Log'!$E:$E,'Hours Log'!$A:$A,"&gt;="&amp;$J796,'Hours Log'!$A:$A,"&lt;"&amp;$J796+7))</f>
        <v/>
      </c>
      <c r="J796" t="str">
        <f>IF(COUNT('Hours Log'!$A$4:$A$5000)=0,"",IF(MIN('Hours Log'!$A$4:$A$5000)+7*(ROW()-10)&gt;MAX('Hours Log'!$A$4:$A$5000),"",MIN('Hours Log'!$A$4:$A$5000)+7*(ROW()-10)))</f>
        <v/>
      </c>
    </row>
    <row r="797" spans="1:10" x14ac:dyDescent="0.25">
      <c r="A797" t="str">
        <f>IF($J797="","",YEAR($J797-WEEKDAY($J797,2)+4)&amp;"-W"&amp;TEXT(_xludf.ISOWEEKNUM($J797),"00"))</f>
        <v/>
      </c>
      <c r="B797"/>
      <c r="C797" t="str">
        <f>IF($J797="","",SUMIFS('Hours Log'!$C:$C,'Hours Log'!$A:$A,"&gt;="&amp;$J797,'Hours Log'!$A:$A,"&lt;"&amp;$J797+7)+SUMIFS('Hours Log'!$D:$D,'Hours Log'!$A:$A,"&gt;="&amp;$J797,'Hours Log'!$A:$A,"&lt;"&amp;$J797+7))</f>
        <v/>
      </c>
      <c r="D797" t="str">
        <f>IF($J797="","",SUMIFS('Hours Log'!$D:$D,'Hours Log'!$A:$A,"&gt;="&amp;$J797,'Hours Log'!$A:$A,"&lt;"&amp;$J797+7))</f>
        <v/>
      </c>
      <c r="E797" t="str">
        <f t="shared" si="24"/>
        <v/>
      </c>
      <c r="F797" t="str">
        <f t="shared" si="25"/>
        <v/>
      </c>
      <c r="G797" t="str">
        <f>IF($J797="","",SUMIFS('Hours Log'!$E:$E,'Hours Log'!$A:$A,"&gt;="&amp;$J797,'Hours Log'!$A:$A,"&lt;"&amp;$J797+7))</f>
        <v/>
      </c>
      <c r="J797" t="str">
        <f>IF(COUNT('Hours Log'!$A$4:$A$5000)=0,"",IF(MIN('Hours Log'!$A$4:$A$5000)+7*(ROW()-10)&gt;MAX('Hours Log'!$A$4:$A$5000),"",MIN('Hours Log'!$A$4:$A$5000)+7*(ROW()-10)))</f>
        <v/>
      </c>
    </row>
    <row r="798" spans="1:10" x14ac:dyDescent="0.25">
      <c r="A798" t="str">
        <f>IF($J798="","",YEAR($J798-WEEKDAY($J798,2)+4)&amp;"-W"&amp;TEXT(_xludf.ISOWEEKNUM($J798),"00"))</f>
        <v/>
      </c>
      <c r="B798"/>
      <c r="C798" t="str">
        <f>IF($J798="","",SUMIFS('Hours Log'!$C:$C,'Hours Log'!$A:$A,"&gt;="&amp;$J798,'Hours Log'!$A:$A,"&lt;"&amp;$J798+7)+SUMIFS('Hours Log'!$D:$D,'Hours Log'!$A:$A,"&gt;="&amp;$J798,'Hours Log'!$A:$A,"&lt;"&amp;$J798+7))</f>
        <v/>
      </c>
      <c r="D798" t="str">
        <f>IF($J798="","",SUMIFS('Hours Log'!$D:$D,'Hours Log'!$A:$A,"&gt;="&amp;$J798,'Hours Log'!$A:$A,"&lt;"&amp;$J798+7))</f>
        <v/>
      </c>
      <c r="E798" t="str">
        <f t="shared" si="24"/>
        <v/>
      </c>
      <c r="F798" t="str">
        <f t="shared" si="25"/>
        <v/>
      </c>
      <c r="G798" t="str">
        <f>IF($J798="","",SUMIFS('Hours Log'!$E:$E,'Hours Log'!$A:$A,"&gt;="&amp;$J798,'Hours Log'!$A:$A,"&lt;"&amp;$J798+7))</f>
        <v/>
      </c>
      <c r="J798" t="str">
        <f>IF(COUNT('Hours Log'!$A$4:$A$5000)=0,"",IF(MIN('Hours Log'!$A$4:$A$5000)+7*(ROW()-10)&gt;MAX('Hours Log'!$A$4:$A$5000),"",MIN('Hours Log'!$A$4:$A$5000)+7*(ROW()-10)))</f>
        <v/>
      </c>
    </row>
    <row r="799" spans="1:10" x14ac:dyDescent="0.25">
      <c r="A799" t="str">
        <f>IF($J799="","",YEAR($J799-WEEKDAY($J799,2)+4)&amp;"-W"&amp;TEXT(_xludf.ISOWEEKNUM($J799),"00"))</f>
        <v/>
      </c>
      <c r="B799"/>
      <c r="C799" t="str">
        <f>IF($J799="","",SUMIFS('Hours Log'!$C:$C,'Hours Log'!$A:$A,"&gt;="&amp;$J799,'Hours Log'!$A:$A,"&lt;"&amp;$J799+7)+SUMIFS('Hours Log'!$D:$D,'Hours Log'!$A:$A,"&gt;="&amp;$J799,'Hours Log'!$A:$A,"&lt;"&amp;$J799+7))</f>
        <v/>
      </c>
      <c r="D799" t="str">
        <f>IF($J799="","",SUMIFS('Hours Log'!$D:$D,'Hours Log'!$A:$A,"&gt;="&amp;$J799,'Hours Log'!$A:$A,"&lt;"&amp;$J799+7))</f>
        <v/>
      </c>
      <c r="E799" t="str">
        <f t="shared" si="24"/>
        <v/>
      </c>
      <c r="F799" t="str">
        <f t="shared" si="25"/>
        <v/>
      </c>
      <c r="G799" t="str">
        <f>IF($J799="","",SUMIFS('Hours Log'!$E:$E,'Hours Log'!$A:$A,"&gt;="&amp;$J799,'Hours Log'!$A:$A,"&lt;"&amp;$J799+7))</f>
        <v/>
      </c>
      <c r="J799" t="str">
        <f>IF(COUNT('Hours Log'!$A$4:$A$5000)=0,"",IF(MIN('Hours Log'!$A$4:$A$5000)+7*(ROW()-10)&gt;MAX('Hours Log'!$A$4:$A$5000),"",MIN('Hours Log'!$A$4:$A$5000)+7*(ROW()-10)))</f>
        <v/>
      </c>
    </row>
    <row r="800" spans="1:10" x14ac:dyDescent="0.25">
      <c r="A800" t="str">
        <f>IF($J800="","",YEAR($J800-WEEKDAY($J800,2)+4)&amp;"-W"&amp;TEXT(_xludf.ISOWEEKNUM($J800),"00"))</f>
        <v/>
      </c>
      <c r="B800"/>
      <c r="C800" t="str">
        <f>IF($J800="","",SUMIFS('Hours Log'!$C:$C,'Hours Log'!$A:$A,"&gt;="&amp;$J800,'Hours Log'!$A:$A,"&lt;"&amp;$J800+7)+SUMIFS('Hours Log'!$D:$D,'Hours Log'!$A:$A,"&gt;="&amp;$J800,'Hours Log'!$A:$A,"&lt;"&amp;$J800+7))</f>
        <v/>
      </c>
      <c r="D800" t="str">
        <f>IF($J800="","",SUMIFS('Hours Log'!$D:$D,'Hours Log'!$A:$A,"&gt;="&amp;$J800,'Hours Log'!$A:$A,"&lt;"&amp;$J800+7))</f>
        <v/>
      </c>
      <c r="E800" t="str">
        <f t="shared" si="24"/>
        <v/>
      </c>
      <c r="F800" t="str">
        <f t="shared" si="25"/>
        <v/>
      </c>
      <c r="G800" t="str">
        <f>IF($J800="","",SUMIFS('Hours Log'!$E:$E,'Hours Log'!$A:$A,"&gt;="&amp;$J800,'Hours Log'!$A:$A,"&lt;"&amp;$J800+7))</f>
        <v/>
      </c>
      <c r="J800" t="str">
        <f>IF(COUNT('Hours Log'!$A$4:$A$5000)=0,"",IF(MIN('Hours Log'!$A$4:$A$5000)+7*(ROW()-10)&gt;MAX('Hours Log'!$A$4:$A$5000),"",MIN('Hours Log'!$A$4:$A$5000)+7*(ROW()-10)))</f>
        <v/>
      </c>
    </row>
    <row r="801" spans="1:10" x14ac:dyDescent="0.25">
      <c r="A801" t="str">
        <f>IF($J801="","",YEAR($J801-WEEKDAY($J801,2)+4)&amp;"-W"&amp;TEXT(_xludf.ISOWEEKNUM($J801),"00"))</f>
        <v/>
      </c>
      <c r="B801"/>
      <c r="C801" t="str">
        <f>IF($J801="","",SUMIFS('Hours Log'!$C:$C,'Hours Log'!$A:$A,"&gt;="&amp;$J801,'Hours Log'!$A:$A,"&lt;"&amp;$J801+7)+SUMIFS('Hours Log'!$D:$D,'Hours Log'!$A:$A,"&gt;="&amp;$J801,'Hours Log'!$A:$A,"&lt;"&amp;$J801+7))</f>
        <v/>
      </c>
      <c r="D801" t="str">
        <f>IF($J801="","",SUMIFS('Hours Log'!$D:$D,'Hours Log'!$A:$A,"&gt;="&amp;$J801,'Hours Log'!$A:$A,"&lt;"&amp;$J801+7))</f>
        <v/>
      </c>
      <c r="E801" t="str">
        <f t="shared" si="24"/>
        <v/>
      </c>
      <c r="F801" t="str">
        <f t="shared" si="25"/>
        <v/>
      </c>
      <c r="G801" t="str">
        <f>IF($J801="","",SUMIFS('Hours Log'!$E:$E,'Hours Log'!$A:$A,"&gt;="&amp;$J801,'Hours Log'!$A:$A,"&lt;"&amp;$J801+7))</f>
        <v/>
      </c>
      <c r="J801" t="str">
        <f>IF(COUNT('Hours Log'!$A$4:$A$5000)=0,"",IF(MIN('Hours Log'!$A$4:$A$5000)+7*(ROW()-10)&gt;MAX('Hours Log'!$A$4:$A$5000),"",MIN('Hours Log'!$A$4:$A$5000)+7*(ROW()-10)))</f>
        <v/>
      </c>
    </row>
    <row r="802" spans="1:10" x14ac:dyDescent="0.25">
      <c r="A802" t="str">
        <f>IF($J802="","",YEAR($J802-WEEKDAY($J802,2)+4)&amp;"-W"&amp;TEXT(_xludf.ISOWEEKNUM($J802),"00"))</f>
        <v/>
      </c>
      <c r="B802"/>
      <c r="C802" t="str">
        <f>IF($J802="","",SUMIFS('Hours Log'!$C:$C,'Hours Log'!$A:$A,"&gt;="&amp;$J802,'Hours Log'!$A:$A,"&lt;"&amp;$J802+7)+SUMIFS('Hours Log'!$D:$D,'Hours Log'!$A:$A,"&gt;="&amp;$J802,'Hours Log'!$A:$A,"&lt;"&amp;$J802+7))</f>
        <v/>
      </c>
      <c r="D802" t="str">
        <f>IF($J802="","",SUMIFS('Hours Log'!$D:$D,'Hours Log'!$A:$A,"&gt;="&amp;$J802,'Hours Log'!$A:$A,"&lt;"&amp;$J802+7))</f>
        <v/>
      </c>
      <c r="E802" t="str">
        <f t="shared" si="24"/>
        <v/>
      </c>
      <c r="F802" t="str">
        <f t="shared" si="25"/>
        <v/>
      </c>
      <c r="G802" t="str">
        <f>IF($J802="","",SUMIFS('Hours Log'!$E:$E,'Hours Log'!$A:$A,"&gt;="&amp;$J802,'Hours Log'!$A:$A,"&lt;"&amp;$J802+7))</f>
        <v/>
      </c>
      <c r="J802" t="str">
        <f>IF(COUNT('Hours Log'!$A$4:$A$5000)=0,"",IF(MIN('Hours Log'!$A$4:$A$5000)+7*(ROW()-10)&gt;MAX('Hours Log'!$A$4:$A$5000),"",MIN('Hours Log'!$A$4:$A$5000)+7*(ROW()-10)))</f>
        <v/>
      </c>
    </row>
    <row r="803" spans="1:10" x14ac:dyDescent="0.25">
      <c r="A803" t="str">
        <f>IF($J803="","",YEAR($J803-WEEKDAY($J803,2)+4)&amp;"-W"&amp;TEXT(_xludf.ISOWEEKNUM($J803),"00"))</f>
        <v/>
      </c>
      <c r="B803"/>
      <c r="C803" t="str">
        <f>IF($J803="","",SUMIFS('Hours Log'!$C:$C,'Hours Log'!$A:$A,"&gt;="&amp;$J803,'Hours Log'!$A:$A,"&lt;"&amp;$J803+7)+SUMIFS('Hours Log'!$D:$D,'Hours Log'!$A:$A,"&gt;="&amp;$J803,'Hours Log'!$A:$A,"&lt;"&amp;$J803+7))</f>
        <v/>
      </c>
      <c r="D803" t="str">
        <f>IF($J803="","",SUMIFS('Hours Log'!$D:$D,'Hours Log'!$A:$A,"&gt;="&amp;$J803,'Hours Log'!$A:$A,"&lt;"&amp;$J803+7))</f>
        <v/>
      </c>
      <c r="E803" t="str">
        <f t="shared" si="24"/>
        <v/>
      </c>
      <c r="F803" t="str">
        <f t="shared" si="25"/>
        <v/>
      </c>
      <c r="G803" t="str">
        <f>IF($J803="","",SUMIFS('Hours Log'!$E:$E,'Hours Log'!$A:$A,"&gt;="&amp;$J803,'Hours Log'!$A:$A,"&lt;"&amp;$J803+7))</f>
        <v/>
      </c>
      <c r="J803" t="str">
        <f>IF(COUNT('Hours Log'!$A$4:$A$5000)=0,"",IF(MIN('Hours Log'!$A$4:$A$5000)+7*(ROW()-10)&gt;MAX('Hours Log'!$A$4:$A$5000),"",MIN('Hours Log'!$A$4:$A$5000)+7*(ROW()-10)))</f>
        <v/>
      </c>
    </row>
    <row r="804" spans="1:10" x14ac:dyDescent="0.25">
      <c r="A804" t="str">
        <f>IF($J804="","",YEAR($J804-WEEKDAY($J804,2)+4)&amp;"-W"&amp;TEXT(_xludf.ISOWEEKNUM($J804),"00"))</f>
        <v/>
      </c>
      <c r="B804"/>
      <c r="C804" t="str">
        <f>IF($J804="","",SUMIFS('Hours Log'!$C:$C,'Hours Log'!$A:$A,"&gt;="&amp;$J804,'Hours Log'!$A:$A,"&lt;"&amp;$J804+7)+SUMIFS('Hours Log'!$D:$D,'Hours Log'!$A:$A,"&gt;="&amp;$J804,'Hours Log'!$A:$A,"&lt;"&amp;$J804+7))</f>
        <v/>
      </c>
      <c r="D804" t="str">
        <f>IF($J804="","",SUMIFS('Hours Log'!$D:$D,'Hours Log'!$A:$A,"&gt;="&amp;$J804,'Hours Log'!$A:$A,"&lt;"&amp;$J804+7))</f>
        <v/>
      </c>
      <c r="E804" t="str">
        <f t="shared" si="24"/>
        <v/>
      </c>
      <c r="F804" t="str">
        <f t="shared" si="25"/>
        <v/>
      </c>
      <c r="G804" t="str">
        <f>IF($J804="","",SUMIFS('Hours Log'!$E:$E,'Hours Log'!$A:$A,"&gt;="&amp;$J804,'Hours Log'!$A:$A,"&lt;"&amp;$J804+7))</f>
        <v/>
      </c>
      <c r="J804" t="str">
        <f>IF(COUNT('Hours Log'!$A$4:$A$5000)=0,"",IF(MIN('Hours Log'!$A$4:$A$5000)+7*(ROW()-10)&gt;MAX('Hours Log'!$A$4:$A$5000),"",MIN('Hours Log'!$A$4:$A$5000)+7*(ROW()-10)))</f>
        <v/>
      </c>
    </row>
    <row r="805" spans="1:10" x14ac:dyDescent="0.25">
      <c r="A805" t="str">
        <f>IF($J805="","",YEAR($J805-WEEKDAY($J805,2)+4)&amp;"-W"&amp;TEXT(_xludf.ISOWEEKNUM($J805),"00"))</f>
        <v/>
      </c>
      <c r="B805"/>
      <c r="C805" t="str">
        <f>IF($J805="","",SUMIFS('Hours Log'!$C:$C,'Hours Log'!$A:$A,"&gt;="&amp;$J805,'Hours Log'!$A:$A,"&lt;"&amp;$J805+7)+SUMIFS('Hours Log'!$D:$D,'Hours Log'!$A:$A,"&gt;="&amp;$J805,'Hours Log'!$A:$A,"&lt;"&amp;$J805+7))</f>
        <v/>
      </c>
      <c r="D805" t="str">
        <f>IF($J805="","",SUMIFS('Hours Log'!$D:$D,'Hours Log'!$A:$A,"&gt;="&amp;$J805,'Hours Log'!$A:$A,"&lt;"&amp;$J805+7))</f>
        <v/>
      </c>
      <c r="E805" t="str">
        <f t="shared" si="24"/>
        <v/>
      </c>
      <c r="F805" t="str">
        <f t="shared" si="25"/>
        <v/>
      </c>
      <c r="G805" t="str">
        <f>IF($J805="","",SUMIFS('Hours Log'!$E:$E,'Hours Log'!$A:$A,"&gt;="&amp;$J805,'Hours Log'!$A:$A,"&lt;"&amp;$J805+7))</f>
        <v/>
      </c>
      <c r="J805" t="str">
        <f>IF(COUNT('Hours Log'!$A$4:$A$5000)=0,"",IF(MIN('Hours Log'!$A$4:$A$5000)+7*(ROW()-10)&gt;MAX('Hours Log'!$A$4:$A$5000),"",MIN('Hours Log'!$A$4:$A$5000)+7*(ROW()-10)))</f>
        <v/>
      </c>
    </row>
    <row r="806" spans="1:10" x14ac:dyDescent="0.25">
      <c r="A806" t="str">
        <f>IF($J806="","",YEAR($J806-WEEKDAY($J806,2)+4)&amp;"-W"&amp;TEXT(_xludf.ISOWEEKNUM($J806),"00"))</f>
        <v/>
      </c>
      <c r="B806"/>
      <c r="C806" t="str">
        <f>IF($J806="","",SUMIFS('Hours Log'!$C:$C,'Hours Log'!$A:$A,"&gt;="&amp;$J806,'Hours Log'!$A:$A,"&lt;"&amp;$J806+7)+SUMIFS('Hours Log'!$D:$D,'Hours Log'!$A:$A,"&gt;="&amp;$J806,'Hours Log'!$A:$A,"&lt;"&amp;$J806+7))</f>
        <v/>
      </c>
      <c r="D806" t="str">
        <f>IF($J806="","",SUMIFS('Hours Log'!$D:$D,'Hours Log'!$A:$A,"&gt;="&amp;$J806,'Hours Log'!$A:$A,"&lt;"&amp;$J806+7))</f>
        <v/>
      </c>
      <c r="E806" t="str">
        <f t="shared" si="24"/>
        <v/>
      </c>
      <c r="F806" t="str">
        <f t="shared" si="25"/>
        <v/>
      </c>
      <c r="G806" t="str">
        <f>IF($J806="","",SUMIFS('Hours Log'!$E:$E,'Hours Log'!$A:$A,"&gt;="&amp;$J806,'Hours Log'!$A:$A,"&lt;"&amp;$J806+7))</f>
        <v/>
      </c>
      <c r="J806" t="str">
        <f>IF(COUNT('Hours Log'!$A$4:$A$5000)=0,"",IF(MIN('Hours Log'!$A$4:$A$5000)+7*(ROW()-10)&gt;MAX('Hours Log'!$A$4:$A$5000),"",MIN('Hours Log'!$A$4:$A$5000)+7*(ROW()-10)))</f>
        <v/>
      </c>
    </row>
    <row r="807" spans="1:10" x14ac:dyDescent="0.25">
      <c r="A807" t="str">
        <f>IF($J807="","",YEAR($J807-WEEKDAY($J807,2)+4)&amp;"-W"&amp;TEXT(_xludf.ISOWEEKNUM($J807),"00"))</f>
        <v/>
      </c>
      <c r="B807"/>
      <c r="C807" t="str">
        <f>IF($J807="","",SUMIFS('Hours Log'!$C:$C,'Hours Log'!$A:$A,"&gt;="&amp;$J807,'Hours Log'!$A:$A,"&lt;"&amp;$J807+7)+SUMIFS('Hours Log'!$D:$D,'Hours Log'!$A:$A,"&gt;="&amp;$J807,'Hours Log'!$A:$A,"&lt;"&amp;$J807+7))</f>
        <v/>
      </c>
      <c r="D807" t="str">
        <f>IF($J807="","",SUMIFS('Hours Log'!$D:$D,'Hours Log'!$A:$A,"&gt;="&amp;$J807,'Hours Log'!$A:$A,"&lt;"&amp;$J807+7))</f>
        <v/>
      </c>
      <c r="E807" t="str">
        <f t="shared" si="24"/>
        <v/>
      </c>
      <c r="F807" t="str">
        <f t="shared" si="25"/>
        <v/>
      </c>
      <c r="G807" t="str">
        <f>IF($J807="","",SUMIFS('Hours Log'!$E:$E,'Hours Log'!$A:$A,"&gt;="&amp;$J807,'Hours Log'!$A:$A,"&lt;"&amp;$J807+7))</f>
        <v/>
      </c>
      <c r="J807" t="str">
        <f>IF(COUNT('Hours Log'!$A$4:$A$5000)=0,"",IF(MIN('Hours Log'!$A$4:$A$5000)+7*(ROW()-10)&gt;MAX('Hours Log'!$A$4:$A$5000),"",MIN('Hours Log'!$A$4:$A$5000)+7*(ROW()-10)))</f>
        <v/>
      </c>
    </row>
    <row r="808" spans="1:10" x14ac:dyDescent="0.25">
      <c r="A808" t="str">
        <f>IF($J808="","",YEAR($J808-WEEKDAY($J808,2)+4)&amp;"-W"&amp;TEXT(_xludf.ISOWEEKNUM($J808),"00"))</f>
        <v/>
      </c>
      <c r="B808"/>
      <c r="C808" t="str">
        <f>IF($J808="","",SUMIFS('Hours Log'!$C:$C,'Hours Log'!$A:$A,"&gt;="&amp;$J808,'Hours Log'!$A:$A,"&lt;"&amp;$J808+7)+SUMIFS('Hours Log'!$D:$D,'Hours Log'!$A:$A,"&gt;="&amp;$J808,'Hours Log'!$A:$A,"&lt;"&amp;$J808+7))</f>
        <v/>
      </c>
      <c r="D808" t="str">
        <f>IF($J808="","",SUMIFS('Hours Log'!$D:$D,'Hours Log'!$A:$A,"&gt;="&amp;$J808,'Hours Log'!$A:$A,"&lt;"&amp;$J808+7))</f>
        <v/>
      </c>
      <c r="E808" t="str">
        <f t="shared" si="24"/>
        <v/>
      </c>
      <c r="F808" t="str">
        <f t="shared" si="25"/>
        <v/>
      </c>
      <c r="G808" t="str">
        <f>IF($J808="","",SUMIFS('Hours Log'!$E:$E,'Hours Log'!$A:$A,"&gt;="&amp;$J808,'Hours Log'!$A:$A,"&lt;"&amp;$J808+7))</f>
        <v/>
      </c>
      <c r="J808" t="str">
        <f>IF(COUNT('Hours Log'!$A$4:$A$5000)=0,"",IF(MIN('Hours Log'!$A$4:$A$5000)+7*(ROW()-10)&gt;MAX('Hours Log'!$A$4:$A$5000),"",MIN('Hours Log'!$A$4:$A$5000)+7*(ROW()-10)))</f>
        <v/>
      </c>
    </row>
    <row r="809" spans="1:10" x14ac:dyDescent="0.25">
      <c r="A809" t="str">
        <f>IF($J809="","",YEAR($J809-WEEKDAY($J809,2)+4)&amp;"-W"&amp;TEXT(_xludf.ISOWEEKNUM($J809),"00"))</f>
        <v/>
      </c>
      <c r="B809"/>
      <c r="C809" t="str">
        <f>IF($J809="","",SUMIFS('Hours Log'!$C:$C,'Hours Log'!$A:$A,"&gt;="&amp;$J809,'Hours Log'!$A:$A,"&lt;"&amp;$J809+7)+SUMIFS('Hours Log'!$D:$D,'Hours Log'!$A:$A,"&gt;="&amp;$J809,'Hours Log'!$A:$A,"&lt;"&amp;$J809+7))</f>
        <v/>
      </c>
      <c r="D809" t="str">
        <f>IF($J809="","",SUMIFS('Hours Log'!$D:$D,'Hours Log'!$A:$A,"&gt;="&amp;$J809,'Hours Log'!$A:$A,"&lt;"&amp;$J809+7))</f>
        <v/>
      </c>
      <c r="E809" t="str">
        <f t="shared" si="24"/>
        <v/>
      </c>
      <c r="F809" t="str">
        <f t="shared" si="25"/>
        <v/>
      </c>
      <c r="G809" t="str">
        <f>IF($J809="","",SUMIFS('Hours Log'!$E:$E,'Hours Log'!$A:$A,"&gt;="&amp;$J809,'Hours Log'!$A:$A,"&lt;"&amp;$J809+7))</f>
        <v/>
      </c>
      <c r="J809" t="str">
        <f>IF(COUNT('Hours Log'!$A$4:$A$5000)=0,"",IF(MIN('Hours Log'!$A$4:$A$5000)+7*(ROW()-10)&gt;MAX('Hours Log'!$A$4:$A$5000),"",MIN('Hours Log'!$A$4:$A$5000)+7*(ROW()-10)))</f>
        <v/>
      </c>
    </row>
    <row r="810" spans="1:10" x14ac:dyDescent="0.25">
      <c r="A810" t="str">
        <f>IF($J810="","",YEAR($J810-WEEKDAY($J810,2)+4)&amp;"-W"&amp;TEXT(_xludf.ISOWEEKNUM($J810),"00"))</f>
        <v/>
      </c>
      <c r="B810"/>
      <c r="C810" t="str">
        <f>IF($J810="","",SUMIFS('Hours Log'!$C:$C,'Hours Log'!$A:$A,"&gt;="&amp;$J810,'Hours Log'!$A:$A,"&lt;"&amp;$J810+7)+SUMIFS('Hours Log'!$D:$D,'Hours Log'!$A:$A,"&gt;="&amp;$J810,'Hours Log'!$A:$A,"&lt;"&amp;$J810+7))</f>
        <v/>
      </c>
      <c r="D810" t="str">
        <f>IF($J810="","",SUMIFS('Hours Log'!$D:$D,'Hours Log'!$A:$A,"&gt;="&amp;$J810,'Hours Log'!$A:$A,"&lt;"&amp;$J810+7))</f>
        <v/>
      </c>
      <c r="E810" t="str">
        <f t="shared" si="24"/>
        <v/>
      </c>
      <c r="F810" t="str">
        <f t="shared" si="25"/>
        <v/>
      </c>
      <c r="G810" t="str">
        <f>IF($J810="","",SUMIFS('Hours Log'!$E:$E,'Hours Log'!$A:$A,"&gt;="&amp;$J810,'Hours Log'!$A:$A,"&lt;"&amp;$J810+7))</f>
        <v/>
      </c>
      <c r="J810" t="str">
        <f>IF(COUNT('Hours Log'!$A$4:$A$5000)=0,"",IF(MIN('Hours Log'!$A$4:$A$5000)+7*(ROW()-10)&gt;MAX('Hours Log'!$A$4:$A$5000),"",MIN('Hours Log'!$A$4:$A$5000)+7*(ROW()-10)))</f>
        <v/>
      </c>
    </row>
    <row r="811" spans="1:10" x14ac:dyDescent="0.25">
      <c r="A811" t="str">
        <f>IF($J811="","",YEAR($J811-WEEKDAY($J811,2)+4)&amp;"-W"&amp;TEXT(_xludf.ISOWEEKNUM($J811),"00"))</f>
        <v/>
      </c>
      <c r="B811"/>
      <c r="C811" t="str">
        <f>IF($J811="","",SUMIFS('Hours Log'!$C:$C,'Hours Log'!$A:$A,"&gt;="&amp;$J811,'Hours Log'!$A:$A,"&lt;"&amp;$J811+7)+SUMIFS('Hours Log'!$D:$D,'Hours Log'!$A:$A,"&gt;="&amp;$J811,'Hours Log'!$A:$A,"&lt;"&amp;$J811+7))</f>
        <v/>
      </c>
      <c r="D811" t="str">
        <f>IF($J811="","",SUMIFS('Hours Log'!$D:$D,'Hours Log'!$A:$A,"&gt;="&amp;$J811,'Hours Log'!$A:$A,"&lt;"&amp;$J811+7))</f>
        <v/>
      </c>
      <c r="E811" t="str">
        <f t="shared" si="24"/>
        <v/>
      </c>
      <c r="F811" t="str">
        <f t="shared" si="25"/>
        <v/>
      </c>
      <c r="G811" t="str">
        <f>IF($J811="","",SUMIFS('Hours Log'!$E:$E,'Hours Log'!$A:$A,"&gt;="&amp;$J811,'Hours Log'!$A:$A,"&lt;"&amp;$J811+7))</f>
        <v/>
      </c>
      <c r="J811" t="str">
        <f>IF(COUNT('Hours Log'!$A$4:$A$5000)=0,"",IF(MIN('Hours Log'!$A$4:$A$5000)+7*(ROW()-10)&gt;MAX('Hours Log'!$A$4:$A$5000),"",MIN('Hours Log'!$A$4:$A$5000)+7*(ROW()-10)))</f>
        <v/>
      </c>
    </row>
    <row r="812" spans="1:10" x14ac:dyDescent="0.25">
      <c r="A812" t="str">
        <f>IF($J812="","",YEAR($J812-WEEKDAY($J812,2)+4)&amp;"-W"&amp;TEXT(_xludf.ISOWEEKNUM($J812),"00"))</f>
        <v/>
      </c>
      <c r="B812"/>
      <c r="C812" t="str">
        <f>IF($J812="","",SUMIFS('Hours Log'!$C:$C,'Hours Log'!$A:$A,"&gt;="&amp;$J812,'Hours Log'!$A:$A,"&lt;"&amp;$J812+7)+SUMIFS('Hours Log'!$D:$D,'Hours Log'!$A:$A,"&gt;="&amp;$J812,'Hours Log'!$A:$A,"&lt;"&amp;$J812+7))</f>
        <v/>
      </c>
      <c r="D812" t="str">
        <f>IF($J812="","",SUMIFS('Hours Log'!$D:$D,'Hours Log'!$A:$A,"&gt;="&amp;$J812,'Hours Log'!$A:$A,"&lt;"&amp;$J812+7))</f>
        <v/>
      </c>
      <c r="E812" t="str">
        <f t="shared" si="24"/>
        <v/>
      </c>
      <c r="F812" t="str">
        <f t="shared" si="25"/>
        <v/>
      </c>
      <c r="G812" t="str">
        <f>IF($J812="","",SUMIFS('Hours Log'!$E:$E,'Hours Log'!$A:$A,"&gt;="&amp;$J812,'Hours Log'!$A:$A,"&lt;"&amp;$J812+7))</f>
        <v/>
      </c>
      <c r="J812" t="str">
        <f>IF(COUNT('Hours Log'!$A$4:$A$5000)=0,"",IF(MIN('Hours Log'!$A$4:$A$5000)+7*(ROW()-10)&gt;MAX('Hours Log'!$A$4:$A$5000),"",MIN('Hours Log'!$A$4:$A$5000)+7*(ROW()-10)))</f>
        <v/>
      </c>
    </row>
    <row r="813" spans="1:10" x14ac:dyDescent="0.25">
      <c r="A813" t="str">
        <f>IF($J813="","",YEAR($J813-WEEKDAY($J813,2)+4)&amp;"-W"&amp;TEXT(_xludf.ISOWEEKNUM($J813),"00"))</f>
        <v/>
      </c>
      <c r="B813"/>
      <c r="C813" t="str">
        <f>IF($J813="","",SUMIFS('Hours Log'!$C:$C,'Hours Log'!$A:$A,"&gt;="&amp;$J813,'Hours Log'!$A:$A,"&lt;"&amp;$J813+7)+SUMIFS('Hours Log'!$D:$D,'Hours Log'!$A:$A,"&gt;="&amp;$J813,'Hours Log'!$A:$A,"&lt;"&amp;$J813+7))</f>
        <v/>
      </c>
      <c r="D813" t="str">
        <f>IF($J813="","",SUMIFS('Hours Log'!$D:$D,'Hours Log'!$A:$A,"&gt;="&amp;$J813,'Hours Log'!$A:$A,"&lt;"&amp;$J813+7))</f>
        <v/>
      </c>
      <c r="E813" t="str">
        <f t="shared" si="24"/>
        <v/>
      </c>
      <c r="F813" t="str">
        <f t="shared" si="25"/>
        <v/>
      </c>
      <c r="G813" t="str">
        <f>IF($J813="","",SUMIFS('Hours Log'!$E:$E,'Hours Log'!$A:$A,"&gt;="&amp;$J813,'Hours Log'!$A:$A,"&lt;"&amp;$J813+7))</f>
        <v/>
      </c>
      <c r="J813" t="str">
        <f>IF(COUNT('Hours Log'!$A$4:$A$5000)=0,"",IF(MIN('Hours Log'!$A$4:$A$5000)+7*(ROW()-10)&gt;MAX('Hours Log'!$A$4:$A$5000),"",MIN('Hours Log'!$A$4:$A$5000)+7*(ROW()-10)))</f>
        <v/>
      </c>
    </row>
    <row r="814" spans="1:10" x14ac:dyDescent="0.25">
      <c r="A814" t="str">
        <f>IF($J814="","",YEAR($J814-WEEKDAY($J814,2)+4)&amp;"-W"&amp;TEXT(_xludf.ISOWEEKNUM($J814),"00"))</f>
        <v/>
      </c>
      <c r="B814"/>
      <c r="C814" t="str">
        <f>IF($J814="","",SUMIFS('Hours Log'!$C:$C,'Hours Log'!$A:$A,"&gt;="&amp;$J814,'Hours Log'!$A:$A,"&lt;"&amp;$J814+7)+SUMIFS('Hours Log'!$D:$D,'Hours Log'!$A:$A,"&gt;="&amp;$J814,'Hours Log'!$A:$A,"&lt;"&amp;$J814+7))</f>
        <v/>
      </c>
      <c r="D814" t="str">
        <f>IF($J814="","",SUMIFS('Hours Log'!$D:$D,'Hours Log'!$A:$A,"&gt;="&amp;$J814,'Hours Log'!$A:$A,"&lt;"&amp;$J814+7))</f>
        <v/>
      </c>
      <c r="E814" t="str">
        <f t="shared" si="24"/>
        <v/>
      </c>
      <c r="F814" t="str">
        <f t="shared" si="25"/>
        <v/>
      </c>
      <c r="G814" t="str">
        <f>IF($J814="","",SUMIFS('Hours Log'!$E:$E,'Hours Log'!$A:$A,"&gt;="&amp;$J814,'Hours Log'!$A:$A,"&lt;"&amp;$J814+7))</f>
        <v/>
      </c>
      <c r="J814" t="str">
        <f>IF(COUNT('Hours Log'!$A$4:$A$5000)=0,"",IF(MIN('Hours Log'!$A$4:$A$5000)+7*(ROW()-10)&gt;MAX('Hours Log'!$A$4:$A$5000),"",MIN('Hours Log'!$A$4:$A$5000)+7*(ROW()-10)))</f>
        <v/>
      </c>
    </row>
    <row r="815" spans="1:10" x14ac:dyDescent="0.25">
      <c r="A815" t="str">
        <f>IF($J815="","",YEAR($J815-WEEKDAY($J815,2)+4)&amp;"-W"&amp;TEXT(_xludf.ISOWEEKNUM($J815),"00"))</f>
        <v/>
      </c>
      <c r="B815"/>
      <c r="C815" t="str">
        <f>IF($J815="","",SUMIFS('Hours Log'!$C:$C,'Hours Log'!$A:$A,"&gt;="&amp;$J815,'Hours Log'!$A:$A,"&lt;"&amp;$J815+7)+SUMIFS('Hours Log'!$D:$D,'Hours Log'!$A:$A,"&gt;="&amp;$J815,'Hours Log'!$A:$A,"&lt;"&amp;$J815+7))</f>
        <v/>
      </c>
      <c r="D815" t="str">
        <f>IF($J815="","",SUMIFS('Hours Log'!$D:$D,'Hours Log'!$A:$A,"&gt;="&amp;$J815,'Hours Log'!$A:$A,"&lt;"&amp;$J815+7))</f>
        <v/>
      </c>
      <c r="E815" t="str">
        <f t="shared" si="24"/>
        <v/>
      </c>
      <c r="F815" t="str">
        <f t="shared" si="25"/>
        <v/>
      </c>
      <c r="G815" t="str">
        <f>IF($J815="","",SUMIFS('Hours Log'!$E:$E,'Hours Log'!$A:$A,"&gt;="&amp;$J815,'Hours Log'!$A:$A,"&lt;"&amp;$J815+7))</f>
        <v/>
      </c>
      <c r="J815" t="str">
        <f>IF(COUNT('Hours Log'!$A$4:$A$5000)=0,"",IF(MIN('Hours Log'!$A$4:$A$5000)+7*(ROW()-10)&gt;MAX('Hours Log'!$A$4:$A$5000),"",MIN('Hours Log'!$A$4:$A$5000)+7*(ROW()-10)))</f>
        <v/>
      </c>
    </row>
    <row r="816" spans="1:10" x14ac:dyDescent="0.25">
      <c r="A816" t="str">
        <f>IF($J816="","",YEAR($J816-WEEKDAY($J816,2)+4)&amp;"-W"&amp;TEXT(_xludf.ISOWEEKNUM($J816),"00"))</f>
        <v/>
      </c>
      <c r="B816"/>
      <c r="C816" t="str">
        <f>IF($J816="","",SUMIFS('Hours Log'!$C:$C,'Hours Log'!$A:$A,"&gt;="&amp;$J816,'Hours Log'!$A:$A,"&lt;"&amp;$J816+7)+SUMIFS('Hours Log'!$D:$D,'Hours Log'!$A:$A,"&gt;="&amp;$J816,'Hours Log'!$A:$A,"&lt;"&amp;$J816+7))</f>
        <v/>
      </c>
      <c r="D816" t="str">
        <f>IF($J816="","",SUMIFS('Hours Log'!$D:$D,'Hours Log'!$A:$A,"&gt;="&amp;$J816,'Hours Log'!$A:$A,"&lt;"&amp;$J816+7))</f>
        <v/>
      </c>
      <c r="E816" t="str">
        <f t="shared" si="24"/>
        <v/>
      </c>
      <c r="F816" t="str">
        <f t="shared" si="25"/>
        <v/>
      </c>
      <c r="G816" t="str">
        <f>IF($J816="","",SUMIFS('Hours Log'!$E:$E,'Hours Log'!$A:$A,"&gt;="&amp;$J816,'Hours Log'!$A:$A,"&lt;"&amp;$J816+7))</f>
        <v/>
      </c>
      <c r="J816" t="str">
        <f>IF(COUNT('Hours Log'!$A$4:$A$5000)=0,"",IF(MIN('Hours Log'!$A$4:$A$5000)+7*(ROW()-10)&gt;MAX('Hours Log'!$A$4:$A$5000),"",MIN('Hours Log'!$A$4:$A$5000)+7*(ROW()-10)))</f>
        <v/>
      </c>
    </row>
    <row r="817" spans="1:10" x14ac:dyDescent="0.25">
      <c r="A817" t="str">
        <f>IF($J817="","",YEAR($J817-WEEKDAY($J817,2)+4)&amp;"-W"&amp;TEXT(_xludf.ISOWEEKNUM($J817),"00"))</f>
        <v/>
      </c>
      <c r="B817"/>
      <c r="C817" t="str">
        <f>IF($J817="","",SUMIFS('Hours Log'!$C:$C,'Hours Log'!$A:$A,"&gt;="&amp;$J817,'Hours Log'!$A:$A,"&lt;"&amp;$J817+7)+SUMIFS('Hours Log'!$D:$D,'Hours Log'!$A:$A,"&gt;="&amp;$J817,'Hours Log'!$A:$A,"&lt;"&amp;$J817+7))</f>
        <v/>
      </c>
      <c r="D817" t="str">
        <f>IF($J817="","",SUMIFS('Hours Log'!$D:$D,'Hours Log'!$A:$A,"&gt;="&amp;$J817,'Hours Log'!$A:$A,"&lt;"&amp;$J817+7))</f>
        <v/>
      </c>
      <c r="E817" t="str">
        <f t="shared" si="24"/>
        <v/>
      </c>
      <c r="F817" t="str">
        <f t="shared" si="25"/>
        <v/>
      </c>
      <c r="G817" t="str">
        <f>IF($J817="","",SUMIFS('Hours Log'!$E:$E,'Hours Log'!$A:$A,"&gt;="&amp;$J817,'Hours Log'!$A:$A,"&lt;"&amp;$J817+7))</f>
        <v/>
      </c>
      <c r="J817" t="str">
        <f>IF(COUNT('Hours Log'!$A$4:$A$5000)=0,"",IF(MIN('Hours Log'!$A$4:$A$5000)+7*(ROW()-10)&gt;MAX('Hours Log'!$A$4:$A$5000),"",MIN('Hours Log'!$A$4:$A$5000)+7*(ROW()-10)))</f>
        <v/>
      </c>
    </row>
    <row r="818" spans="1:10" x14ac:dyDescent="0.25">
      <c r="A818" t="str">
        <f>IF($J818="","",YEAR($J818-WEEKDAY($J818,2)+4)&amp;"-W"&amp;TEXT(_xludf.ISOWEEKNUM($J818),"00"))</f>
        <v/>
      </c>
      <c r="B818"/>
      <c r="C818" t="str">
        <f>IF($J818="","",SUMIFS('Hours Log'!$C:$C,'Hours Log'!$A:$A,"&gt;="&amp;$J818,'Hours Log'!$A:$A,"&lt;"&amp;$J818+7)+SUMIFS('Hours Log'!$D:$D,'Hours Log'!$A:$A,"&gt;="&amp;$J818,'Hours Log'!$A:$A,"&lt;"&amp;$J818+7))</f>
        <v/>
      </c>
      <c r="D818" t="str">
        <f>IF($J818="","",SUMIFS('Hours Log'!$D:$D,'Hours Log'!$A:$A,"&gt;="&amp;$J818,'Hours Log'!$A:$A,"&lt;"&amp;$J818+7))</f>
        <v/>
      </c>
      <c r="E818" t="str">
        <f t="shared" si="24"/>
        <v/>
      </c>
      <c r="F818" t="str">
        <f t="shared" si="25"/>
        <v/>
      </c>
      <c r="G818" t="str">
        <f>IF($J818="","",SUMIFS('Hours Log'!$E:$E,'Hours Log'!$A:$A,"&gt;="&amp;$J818,'Hours Log'!$A:$A,"&lt;"&amp;$J818+7))</f>
        <v/>
      </c>
      <c r="J818" t="str">
        <f>IF(COUNT('Hours Log'!$A$4:$A$5000)=0,"",IF(MIN('Hours Log'!$A$4:$A$5000)+7*(ROW()-10)&gt;MAX('Hours Log'!$A$4:$A$5000),"",MIN('Hours Log'!$A$4:$A$5000)+7*(ROW()-10)))</f>
        <v/>
      </c>
    </row>
    <row r="819" spans="1:10" x14ac:dyDescent="0.25">
      <c r="A819" t="str">
        <f>IF($J819="","",YEAR($J819-WEEKDAY($J819,2)+4)&amp;"-W"&amp;TEXT(_xludf.ISOWEEKNUM($J819),"00"))</f>
        <v/>
      </c>
      <c r="B819"/>
      <c r="C819" t="str">
        <f>IF($J819="","",SUMIFS('Hours Log'!$C:$C,'Hours Log'!$A:$A,"&gt;="&amp;$J819,'Hours Log'!$A:$A,"&lt;"&amp;$J819+7)+SUMIFS('Hours Log'!$D:$D,'Hours Log'!$A:$A,"&gt;="&amp;$J819,'Hours Log'!$A:$A,"&lt;"&amp;$J819+7))</f>
        <v/>
      </c>
      <c r="D819" t="str">
        <f>IF($J819="","",SUMIFS('Hours Log'!$D:$D,'Hours Log'!$A:$A,"&gt;="&amp;$J819,'Hours Log'!$A:$A,"&lt;"&amp;$J819+7))</f>
        <v/>
      </c>
      <c r="E819" t="str">
        <f t="shared" si="24"/>
        <v/>
      </c>
      <c r="F819" t="str">
        <f t="shared" si="25"/>
        <v/>
      </c>
      <c r="G819" t="str">
        <f>IF($J819="","",SUMIFS('Hours Log'!$E:$E,'Hours Log'!$A:$A,"&gt;="&amp;$J819,'Hours Log'!$A:$A,"&lt;"&amp;$J819+7))</f>
        <v/>
      </c>
      <c r="J819" t="str">
        <f>IF(COUNT('Hours Log'!$A$4:$A$5000)=0,"",IF(MIN('Hours Log'!$A$4:$A$5000)+7*(ROW()-10)&gt;MAX('Hours Log'!$A$4:$A$5000),"",MIN('Hours Log'!$A$4:$A$5000)+7*(ROW()-10)))</f>
        <v/>
      </c>
    </row>
    <row r="820" spans="1:10" x14ac:dyDescent="0.25">
      <c r="A820" t="str">
        <f>IF($J820="","",YEAR($J820-WEEKDAY($J820,2)+4)&amp;"-W"&amp;TEXT(_xludf.ISOWEEKNUM($J820),"00"))</f>
        <v/>
      </c>
      <c r="B820"/>
      <c r="C820" t="str">
        <f>IF($J820="","",SUMIFS('Hours Log'!$C:$C,'Hours Log'!$A:$A,"&gt;="&amp;$J820,'Hours Log'!$A:$A,"&lt;"&amp;$J820+7)+SUMIFS('Hours Log'!$D:$D,'Hours Log'!$A:$A,"&gt;="&amp;$J820,'Hours Log'!$A:$A,"&lt;"&amp;$J820+7))</f>
        <v/>
      </c>
      <c r="D820" t="str">
        <f>IF($J820="","",SUMIFS('Hours Log'!$D:$D,'Hours Log'!$A:$A,"&gt;="&amp;$J820,'Hours Log'!$A:$A,"&lt;"&amp;$J820+7))</f>
        <v/>
      </c>
      <c r="E820" t="str">
        <f t="shared" si="24"/>
        <v/>
      </c>
      <c r="F820" t="str">
        <f t="shared" si="25"/>
        <v/>
      </c>
      <c r="G820" t="str">
        <f>IF($J820="","",SUMIFS('Hours Log'!$E:$E,'Hours Log'!$A:$A,"&gt;="&amp;$J820,'Hours Log'!$A:$A,"&lt;"&amp;$J820+7))</f>
        <v/>
      </c>
      <c r="J820" t="str">
        <f>IF(COUNT('Hours Log'!$A$4:$A$5000)=0,"",IF(MIN('Hours Log'!$A$4:$A$5000)+7*(ROW()-10)&gt;MAX('Hours Log'!$A$4:$A$5000),"",MIN('Hours Log'!$A$4:$A$5000)+7*(ROW()-10)))</f>
        <v/>
      </c>
    </row>
    <row r="821" spans="1:10" x14ac:dyDescent="0.25">
      <c r="A821" t="str">
        <f>IF($J821="","",YEAR($J821-WEEKDAY($J821,2)+4)&amp;"-W"&amp;TEXT(_xludf.ISOWEEKNUM($J821),"00"))</f>
        <v/>
      </c>
      <c r="B821"/>
      <c r="C821" t="str">
        <f>IF($J821="","",SUMIFS('Hours Log'!$C:$C,'Hours Log'!$A:$A,"&gt;="&amp;$J821,'Hours Log'!$A:$A,"&lt;"&amp;$J821+7)+SUMIFS('Hours Log'!$D:$D,'Hours Log'!$A:$A,"&gt;="&amp;$J821,'Hours Log'!$A:$A,"&lt;"&amp;$J821+7))</f>
        <v/>
      </c>
      <c r="D821" t="str">
        <f>IF($J821="","",SUMIFS('Hours Log'!$D:$D,'Hours Log'!$A:$A,"&gt;="&amp;$J821,'Hours Log'!$A:$A,"&lt;"&amp;$J821+7))</f>
        <v/>
      </c>
      <c r="E821" t="str">
        <f t="shared" si="24"/>
        <v/>
      </c>
      <c r="F821" t="str">
        <f t="shared" si="25"/>
        <v/>
      </c>
      <c r="G821" t="str">
        <f>IF($J821="","",SUMIFS('Hours Log'!$E:$E,'Hours Log'!$A:$A,"&gt;="&amp;$J821,'Hours Log'!$A:$A,"&lt;"&amp;$J821+7))</f>
        <v/>
      </c>
      <c r="J821" t="str">
        <f>IF(COUNT('Hours Log'!$A$4:$A$5000)=0,"",IF(MIN('Hours Log'!$A$4:$A$5000)+7*(ROW()-10)&gt;MAX('Hours Log'!$A$4:$A$5000),"",MIN('Hours Log'!$A$4:$A$5000)+7*(ROW()-10)))</f>
        <v/>
      </c>
    </row>
    <row r="822" spans="1:10" x14ac:dyDescent="0.25">
      <c r="A822" t="str">
        <f>IF($J822="","",YEAR($J822-WEEKDAY($J822,2)+4)&amp;"-W"&amp;TEXT(_xludf.ISOWEEKNUM($J822),"00"))</f>
        <v/>
      </c>
      <c r="B822"/>
      <c r="C822" t="str">
        <f>IF($J822="","",SUMIFS('Hours Log'!$C:$C,'Hours Log'!$A:$A,"&gt;="&amp;$J822,'Hours Log'!$A:$A,"&lt;"&amp;$J822+7)+SUMIFS('Hours Log'!$D:$D,'Hours Log'!$A:$A,"&gt;="&amp;$J822,'Hours Log'!$A:$A,"&lt;"&amp;$J822+7))</f>
        <v/>
      </c>
      <c r="D822" t="str">
        <f>IF($J822="","",SUMIFS('Hours Log'!$D:$D,'Hours Log'!$A:$A,"&gt;="&amp;$J822,'Hours Log'!$A:$A,"&lt;"&amp;$J822+7))</f>
        <v/>
      </c>
      <c r="E822" t="str">
        <f t="shared" si="24"/>
        <v/>
      </c>
      <c r="F822" t="str">
        <f t="shared" si="25"/>
        <v/>
      </c>
      <c r="G822" t="str">
        <f>IF($J822="","",SUMIFS('Hours Log'!$E:$E,'Hours Log'!$A:$A,"&gt;="&amp;$J822,'Hours Log'!$A:$A,"&lt;"&amp;$J822+7))</f>
        <v/>
      </c>
      <c r="J822" t="str">
        <f>IF(COUNT('Hours Log'!$A$4:$A$5000)=0,"",IF(MIN('Hours Log'!$A$4:$A$5000)+7*(ROW()-10)&gt;MAX('Hours Log'!$A$4:$A$5000),"",MIN('Hours Log'!$A$4:$A$5000)+7*(ROW()-10)))</f>
        <v/>
      </c>
    </row>
    <row r="823" spans="1:10" x14ac:dyDescent="0.25">
      <c r="A823" t="str">
        <f>IF($J823="","",YEAR($J823-WEEKDAY($J823,2)+4)&amp;"-W"&amp;TEXT(_xludf.ISOWEEKNUM($J823),"00"))</f>
        <v/>
      </c>
      <c r="B823"/>
      <c r="C823" t="str">
        <f>IF($J823="","",SUMIFS('Hours Log'!$C:$C,'Hours Log'!$A:$A,"&gt;="&amp;$J823,'Hours Log'!$A:$A,"&lt;"&amp;$J823+7)+SUMIFS('Hours Log'!$D:$D,'Hours Log'!$A:$A,"&gt;="&amp;$J823,'Hours Log'!$A:$A,"&lt;"&amp;$J823+7))</f>
        <v/>
      </c>
      <c r="D823" t="str">
        <f>IF($J823="","",SUMIFS('Hours Log'!$D:$D,'Hours Log'!$A:$A,"&gt;="&amp;$J823,'Hours Log'!$A:$A,"&lt;"&amp;$J823+7))</f>
        <v/>
      </c>
      <c r="E823" t="str">
        <f t="shared" si="24"/>
        <v/>
      </c>
      <c r="F823" t="str">
        <f t="shared" si="25"/>
        <v/>
      </c>
      <c r="G823" t="str">
        <f>IF($J823="","",SUMIFS('Hours Log'!$E:$E,'Hours Log'!$A:$A,"&gt;="&amp;$J823,'Hours Log'!$A:$A,"&lt;"&amp;$J823+7))</f>
        <v/>
      </c>
      <c r="J823" t="str">
        <f>IF(COUNT('Hours Log'!$A$4:$A$5000)=0,"",IF(MIN('Hours Log'!$A$4:$A$5000)+7*(ROW()-10)&gt;MAX('Hours Log'!$A$4:$A$5000),"",MIN('Hours Log'!$A$4:$A$5000)+7*(ROW()-10)))</f>
        <v/>
      </c>
    </row>
    <row r="824" spans="1:10" x14ac:dyDescent="0.25">
      <c r="A824" t="str">
        <f>IF($J824="","",YEAR($J824-WEEKDAY($J824,2)+4)&amp;"-W"&amp;TEXT(_xludf.ISOWEEKNUM($J824),"00"))</f>
        <v/>
      </c>
      <c r="B824"/>
      <c r="C824" t="str">
        <f>IF($J824="","",SUMIFS('Hours Log'!$C:$C,'Hours Log'!$A:$A,"&gt;="&amp;$J824,'Hours Log'!$A:$A,"&lt;"&amp;$J824+7)+SUMIFS('Hours Log'!$D:$D,'Hours Log'!$A:$A,"&gt;="&amp;$J824,'Hours Log'!$A:$A,"&lt;"&amp;$J824+7))</f>
        <v/>
      </c>
      <c r="D824" t="str">
        <f>IF($J824="","",SUMIFS('Hours Log'!$D:$D,'Hours Log'!$A:$A,"&gt;="&amp;$J824,'Hours Log'!$A:$A,"&lt;"&amp;$J824+7))</f>
        <v/>
      </c>
      <c r="E824" t="str">
        <f t="shared" si="24"/>
        <v/>
      </c>
      <c r="F824" t="str">
        <f t="shared" si="25"/>
        <v/>
      </c>
      <c r="G824" t="str">
        <f>IF($J824="","",SUMIFS('Hours Log'!$E:$E,'Hours Log'!$A:$A,"&gt;="&amp;$J824,'Hours Log'!$A:$A,"&lt;"&amp;$J824+7))</f>
        <v/>
      </c>
      <c r="J824" t="str">
        <f>IF(COUNT('Hours Log'!$A$4:$A$5000)=0,"",IF(MIN('Hours Log'!$A$4:$A$5000)+7*(ROW()-10)&gt;MAX('Hours Log'!$A$4:$A$5000),"",MIN('Hours Log'!$A$4:$A$5000)+7*(ROW()-10)))</f>
        <v/>
      </c>
    </row>
    <row r="825" spans="1:10" x14ac:dyDescent="0.25">
      <c r="A825" t="str">
        <f>IF($J825="","",YEAR($J825-WEEKDAY($J825,2)+4)&amp;"-W"&amp;TEXT(_xludf.ISOWEEKNUM($J825),"00"))</f>
        <v/>
      </c>
      <c r="B825"/>
      <c r="C825" t="str">
        <f>IF($J825="","",SUMIFS('Hours Log'!$C:$C,'Hours Log'!$A:$A,"&gt;="&amp;$J825,'Hours Log'!$A:$A,"&lt;"&amp;$J825+7)+SUMIFS('Hours Log'!$D:$D,'Hours Log'!$A:$A,"&gt;="&amp;$J825,'Hours Log'!$A:$A,"&lt;"&amp;$J825+7))</f>
        <v/>
      </c>
      <c r="D825" t="str">
        <f>IF($J825="","",SUMIFS('Hours Log'!$D:$D,'Hours Log'!$A:$A,"&gt;="&amp;$J825,'Hours Log'!$A:$A,"&lt;"&amp;$J825+7))</f>
        <v/>
      </c>
      <c r="E825" t="str">
        <f t="shared" si="24"/>
        <v/>
      </c>
      <c r="F825" t="str">
        <f t="shared" si="25"/>
        <v/>
      </c>
      <c r="G825" t="str">
        <f>IF($J825="","",SUMIFS('Hours Log'!$E:$E,'Hours Log'!$A:$A,"&gt;="&amp;$J825,'Hours Log'!$A:$A,"&lt;"&amp;$J825+7))</f>
        <v/>
      </c>
      <c r="J825" t="str">
        <f>IF(COUNT('Hours Log'!$A$4:$A$5000)=0,"",IF(MIN('Hours Log'!$A$4:$A$5000)+7*(ROW()-10)&gt;MAX('Hours Log'!$A$4:$A$5000),"",MIN('Hours Log'!$A$4:$A$5000)+7*(ROW()-10)))</f>
        <v/>
      </c>
    </row>
    <row r="826" spans="1:10" x14ac:dyDescent="0.25">
      <c r="A826" t="str">
        <f>IF($J826="","",YEAR($J826-WEEKDAY($J826,2)+4)&amp;"-W"&amp;TEXT(_xludf.ISOWEEKNUM($J826),"00"))</f>
        <v/>
      </c>
      <c r="B826"/>
      <c r="C826" t="str">
        <f>IF($J826="","",SUMIFS('Hours Log'!$C:$C,'Hours Log'!$A:$A,"&gt;="&amp;$J826,'Hours Log'!$A:$A,"&lt;"&amp;$J826+7)+SUMIFS('Hours Log'!$D:$D,'Hours Log'!$A:$A,"&gt;="&amp;$J826,'Hours Log'!$A:$A,"&lt;"&amp;$J826+7))</f>
        <v/>
      </c>
      <c r="D826" t="str">
        <f>IF($J826="","",SUMIFS('Hours Log'!$D:$D,'Hours Log'!$A:$A,"&gt;="&amp;$J826,'Hours Log'!$A:$A,"&lt;"&amp;$J826+7))</f>
        <v/>
      </c>
      <c r="E826" t="str">
        <f t="shared" si="24"/>
        <v/>
      </c>
      <c r="F826" t="str">
        <f t="shared" si="25"/>
        <v/>
      </c>
      <c r="G826" t="str">
        <f>IF($J826="","",SUMIFS('Hours Log'!$E:$E,'Hours Log'!$A:$A,"&gt;="&amp;$J826,'Hours Log'!$A:$A,"&lt;"&amp;$J826+7))</f>
        <v/>
      </c>
      <c r="J826" t="str">
        <f>IF(COUNT('Hours Log'!$A$4:$A$5000)=0,"",IF(MIN('Hours Log'!$A$4:$A$5000)+7*(ROW()-10)&gt;MAX('Hours Log'!$A$4:$A$5000),"",MIN('Hours Log'!$A$4:$A$5000)+7*(ROW()-10)))</f>
        <v/>
      </c>
    </row>
    <row r="827" spans="1:10" x14ac:dyDescent="0.25">
      <c r="A827" t="str">
        <f>IF($J827="","",YEAR($J827-WEEKDAY($J827,2)+4)&amp;"-W"&amp;TEXT(_xludf.ISOWEEKNUM($J827),"00"))</f>
        <v/>
      </c>
      <c r="B827"/>
      <c r="C827" t="str">
        <f>IF($J827="","",SUMIFS('Hours Log'!$C:$C,'Hours Log'!$A:$A,"&gt;="&amp;$J827,'Hours Log'!$A:$A,"&lt;"&amp;$J827+7)+SUMIFS('Hours Log'!$D:$D,'Hours Log'!$A:$A,"&gt;="&amp;$J827,'Hours Log'!$A:$A,"&lt;"&amp;$J827+7))</f>
        <v/>
      </c>
      <c r="D827" t="str">
        <f>IF($J827="","",SUMIFS('Hours Log'!$D:$D,'Hours Log'!$A:$A,"&gt;="&amp;$J827,'Hours Log'!$A:$A,"&lt;"&amp;$J827+7))</f>
        <v/>
      </c>
      <c r="E827" t="str">
        <f t="shared" si="24"/>
        <v/>
      </c>
      <c r="F827" t="str">
        <f t="shared" si="25"/>
        <v/>
      </c>
      <c r="G827" t="str">
        <f>IF($J827="","",SUMIFS('Hours Log'!$E:$E,'Hours Log'!$A:$A,"&gt;="&amp;$J827,'Hours Log'!$A:$A,"&lt;"&amp;$J827+7))</f>
        <v/>
      </c>
      <c r="J827" t="str">
        <f>IF(COUNT('Hours Log'!$A$4:$A$5000)=0,"",IF(MIN('Hours Log'!$A$4:$A$5000)+7*(ROW()-10)&gt;MAX('Hours Log'!$A$4:$A$5000),"",MIN('Hours Log'!$A$4:$A$5000)+7*(ROW()-10)))</f>
        <v/>
      </c>
    </row>
    <row r="828" spans="1:10" x14ac:dyDescent="0.25">
      <c r="A828" t="str">
        <f>IF($J828="","",YEAR($J828-WEEKDAY($J828,2)+4)&amp;"-W"&amp;TEXT(_xludf.ISOWEEKNUM($J828),"00"))</f>
        <v/>
      </c>
      <c r="B828"/>
      <c r="C828" t="str">
        <f>IF($J828="","",SUMIFS('Hours Log'!$C:$C,'Hours Log'!$A:$A,"&gt;="&amp;$J828,'Hours Log'!$A:$A,"&lt;"&amp;$J828+7)+SUMIFS('Hours Log'!$D:$D,'Hours Log'!$A:$A,"&gt;="&amp;$J828,'Hours Log'!$A:$A,"&lt;"&amp;$J828+7))</f>
        <v/>
      </c>
      <c r="D828" t="str">
        <f>IF($J828="","",SUMIFS('Hours Log'!$D:$D,'Hours Log'!$A:$A,"&gt;="&amp;$J828,'Hours Log'!$A:$A,"&lt;"&amp;$J828+7))</f>
        <v/>
      </c>
      <c r="E828" t="str">
        <f t="shared" si="24"/>
        <v/>
      </c>
      <c r="F828" t="str">
        <f t="shared" si="25"/>
        <v/>
      </c>
      <c r="G828" t="str">
        <f>IF($J828="","",SUMIFS('Hours Log'!$E:$E,'Hours Log'!$A:$A,"&gt;="&amp;$J828,'Hours Log'!$A:$A,"&lt;"&amp;$J828+7))</f>
        <v/>
      </c>
      <c r="J828" t="str">
        <f>IF(COUNT('Hours Log'!$A$4:$A$5000)=0,"",IF(MIN('Hours Log'!$A$4:$A$5000)+7*(ROW()-10)&gt;MAX('Hours Log'!$A$4:$A$5000),"",MIN('Hours Log'!$A$4:$A$5000)+7*(ROW()-10)))</f>
        <v/>
      </c>
    </row>
    <row r="829" spans="1:10" x14ac:dyDescent="0.25">
      <c r="A829" t="str">
        <f>IF($J829="","",YEAR($J829-WEEKDAY($J829,2)+4)&amp;"-W"&amp;TEXT(_xludf.ISOWEEKNUM($J829),"00"))</f>
        <v/>
      </c>
      <c r="B829"/>
      <c r="C829" t="str">
        <f>IF($J829="","",SUMIFS('Hours Log'!$C:$C,'Hours Log'!$A:$A,"&gt;="&amp;$J829,'Hours Log'!$A:$A,"&lt;"&amp;$J829+7)+SUMIFS('Hours Log'!$D:$D,'Hours Log'!$A:$A,"&gt;="&amp;$J829,'Hours Log'!$A:$A,"&lt;"&amp;$J829+7))</f>
        <v/>
      </c>
      <c r="D829" t="str">
        <f>IF($J829="","",SUMIFS('Hours Log'!$D:$D,'Hours Log'!$A:$A,"&gt;="&amp;$J829,'Hours Log'!$A:$A,"&lt;"&amp;$J829+7))</f>
        <v/>
      </c>
      <c r="E829" t="str">
        <f t="shared" si="24"/>
        <v/>
      </c>
      <c r="F829" t="str">
        <f t="shared" si="25"/>
        <v/>
      </c>
      <c r="G829" t="str">
        <f>IF($J829="","",SUMIFS('Hours Log'!$E:$E,'Hours Log'!$A:$A,"&gt;="&amp;$J829,'Hours Log'!$A:$A,"&lt;"&amp;$J829+7))</f>
        <v/>
      </c>
      <c r="J829" t="str">
        <f>IF(COUNT('Hours Log'!$A$4:$A$5000)=0,"",IF(MIN('Hours Log'!$A$4:$A$5000)+7*(ROW()-10)&gt;MAX('Hours Log'!$A$4:$A$5000),"",MIN('Hours Log'!$A$4:$A$5000)+7*(ROW()-10)))</f>
        <v/>
      </c>
    </row>
    <row r="830" spans="1:10" x14ac:dyDescent="0.25">
      <c r="A830" t="str">
        <f>IF($J830="","",YEAR($J830-WEEKDAY($J830,2)+4)&amp;"-W"&amp;TEXT(_xludf.ISOWEEKNUM($J830),"00"))</f>
        <v/>
      </c>
      <c r="B830"/>
      <c r="C830" t="str">
        <f>IF($J830="","",SUMIFS('Hours Log'!$C:$C,'Hours Log'!$A:$A,"&gt;="&amp;$J830,'Hours Log'!$A:$A,"&lt;"&amp;$J830+7)+SUMIFS('Hours Log'!$D:$D,'Hours Log'!$A:$A,"&gt;="&amp;$J830,'Hours Log'!$A:$A,"&lt;"&amp;$J830+7))</f>
        <v/>
      </c>
      <c r="D830" t="str">
        <f>IF($J830="","",SUMIFS('Hours Log'!$D:$D,'Hours Log'!$A:$A,"&gt;="&amp;$J830,'Hours Log'!$A:$A,"&lt;"&amp;$J830+7))</f>
        <v/>
      </c>
      <c r="E830" t="str">
        <f t="shared" si="24"/>
        <v/>
      </c>
      <c r="F830" t="str">
        <f t="shared" si="25"/>
        <v/>
      </c>
      <c r="G830" t="str">
        <f>IF($J830="","",SUMIFS('Hours Log'!$E:$E,'Hours Log'!$A:$A,"&gt;="&amp;$J830,'Hours Log'!$A:$A,"&lt;"&amp;$J830+7))</f>
        <v/>
      </c>
      <c r="J830" t="str">
        <f>IF(COUNT('Hours Log'!$A$4:$A$5000)=0,"",IF(MIN('Hours Log'!$A$4:$A$5000)+7*(ROW()-10)&gt;MAX('Hours Log'!$A$4:$A$5000),"",MIN('Hours Log'!$A$4:$A$5000)+7*(ROW()-10)))</f>
        <v/>
      </c>
    </row>
    <row r="831" spans="1:10" x14ac:dyDescent="0.25">
      <c r="A831" t="str">
        <f>IF($J831="","",YEAR($J831-WEEKDAY($J831,2)+4)&amp;"-W"&amp;TEXT(_xludf.ISOWEEKNUM($J831),"00"))</f>
        <v/>
      </c>
      <c r="B831"/>
      <c r="C831" t="str">
        <f>IF($J831="","",SUMIFS('Hours Log'!$C:$C,'Hours Log'!$A:$A,"&gt;="&amp;$J831,'Hours Log'!$A:$A,"&lt;"&amp;$J831+7)+SUMIFS('Hours Log'!$D:$D,'Hours Log'!$A:$A,"&gt;="&amp;$J831,'Hours Log'!$A:$A,"&lt;"&amp;$J831+7))</f>
        <v/>
      </c>
      <c r="D831" t="str">
        <f>IF($J831="","",SUMIFS('Hours Log'!$D:$D,'Hours Log'!$A:$A,"&gt;="&amp;$J831,'Hours Log'!$A:$A,"&lt;"&amp;$J831+7))</f>
        <v/>
      </c>
      <c r="E831" t="str">
        <f t="shared" si="24"/>
        <v/>
      </c>
      <c r="F831" t="str">
        <f t="shared" si="25"/>
        <v/>
      </c>
      <c r="G831" t="str">
        <f>IF($J831="","",SUMIFS('Hours Log'!$E:$E,'Hours Log'!$A:$A,"&gt;="&amp;$J831,'Hours Log'!$A:$A,"&lt;"&amp;$J831+7))</f>
        <v/>
      </c>
      <c r="J831" t="str">
        <f>IF(COUNT('Hours Log'!$A$4:$A$5000)=0,"",IF(MIN('Hours Log'!$A$4:$A$5000)+7*(ROW()-10)&gt;MAX('Hours Log'!$A$4:$A$5000),"",MIN('Hours Log'!$A$4:$A$5000)+7*(ROW()-10)))</f>
        <v/>
      </c>
    </row>
    <row r="832" spans="1:10" x14ac:dyDescent="0.25">
      <c r="A832" t="str">
        <f>IF($J832="","",YEAR($J832-WEEKDAY($J832,2)+4)&amp;"-W"&amp;TEXT(_xludf.ISOWEEKNUM($J832),"00"))</f>
        <v/>
      </c>
      <c r="B832"/>
      <c r="C832" t="str">
        <f>IF($J832="","",SUMIFS('Hours Log'!$C:$C,'Hours Log'!$A:$A,"&gt;="&amp;$J832,'Hours Log'!$A:$A,"&lt;"&amp;$J832+7)+SUMIFS('Hours Log'!$D:$D,'Hours Log'!$A:$A,"&gt;="&amp;$J832,'Hours Log'!$A:$A,"&lt;"&amp;$J832+7))</f>
        <v/>
      </c>
      <c r="D832" t="str">
        <f>IF($J832="","",SUMIFS('Hours Log'!$D:$D,'Hours Log'!$A:$A,"&gt;="&amp;$J832,'Hours Log'!$A:$A,"&lt;"&amp;$J832+7))</f>
        <v/>
      </c>
      <c r="E832" t="str">
        <f t="shared" si="24"/>
        <v/>
      </c>
      <c r="F832" t="str">
        <f t="shared" si="25"/>
        <v/>
      </c>
      <c r="G832" t="str">
        <f>IF($J832="","",SUMIFS('Hours Log'!$E:$E,'Hours Log'!$A:$A,"&gt;="&amp;$J832,'Hours Log'!$A:$A,"&lt;"&amp;$J832+7))</f>
        <v/>
      </c>
      <c r="J832" t="str">
        <f>IF(COUNT('Hours Log'!$A$4:$A$5000)=0,"",IF(MIN('Hours Log'!$A$4:$A$5000)+7*(ROW()-10)&gt;MAX('Hours Log'!$A$4:$A$5000),"",MIN('Hours Log'!$A$4:$A$5000)+7*(ROW()-10)))</f>
        <v/>
      </c>
    </row>
    <row r="833" spans="1:10" x14ac:dyDescent="0.25">
      <c r="A833" t="str">
        <f>IF($J833="","",YEAR($J833-WEEKDAY($J833,2)+4)&amp;"-W"&amp;TEXT(_xludf.ISOWEEKNUM($J833),"00"))</f>
        <v/>
      </c>
      <c r="B833"/>
      <c r="C833" t="str">
        <f>IF($J833="","",SUMIFS('Hours Log'!$C:$C,'Hours Log'!$A:$A,"&gt;="&amp;$J833,'Hours Log'!$A:$A,"&lt;"&amp;$J833+7)+SUMIFS('Hours Log'!$D:$D,'Hours Log'!$A:$A,"&gt;="&amp;$J833,'Hours Log'!$A:$A,"&lt;"&amp;$J833+7))</f>
        <v/>
      </c>
      <c r="D833" t="str">
        <f>IF($J833="","",SUMIFS('Hours Log'!$D:$D,'Hours Log'!$A:$A,"&gt;="&amp;$J833,'Hours Log'!$A:$A,"&lt;"&amp;$J833+7))</f>
        <v/>
      </c>
      <c r="E833" t="str">
        <f t="shared" si="24"/>
        <v/>
      </c>
      <c r="F833" t="str">
        <f t="shared" si="25"/>
        <v/>
      </c>
      <c r="G833" t="str">
        <f>IF($J833="","",SUMIFS('Hours Log'!$E:$E,'Hours Log'!$A:$A,"&gt;="&amp;$J833,'Hours Log'!$A:$A,"&lt;"&amp;$J833+7))</f>
        <v/>
      </c>
      <c r="J833" t="str">
        <f>IF(COUNT('Hours Log'!$A$4:$A$5000)=0,"",IF(MIN('Hours Log'!$A$4:$A$5000)+7*(ROW()-10)&gt;MAX('Hours Log'!$A$4:$A$5000),"",MIN('Hours Log'!$A$4:$A$5000)+7*(ROW()-10)))</f>
        <v/>
      </c>
    </row>
    <row r="834" spans="1:10" x14ac:dyDescent="0.25">
      <c r="A834" t="str">
        <f>IF($J834="","",YEAR($J834-WEEKDAY($J834,2)+4)&amp;"-W"&amp;TEXT(_xludf.ISOWEEKNUM($J834),"00"))</f>
        <v/>
      </c>
      <c r="B834"/>
      <c r="C834" t="str">
        <f>IF($J834="","",SUMIFS('Hours Log'!$C:$C,'Hours Log'!$A:$A,"&gt;="&amp;$J834,'Hours Log'!$A:$A,"&lt;"&amp;$J834+7)+SUMIFS('Hours Log'!$D:$D,'Hours Log'!$A:$A,"&gt;="&amp;$J834,'Hours Log'!$A:$A,"&lt;"&amp;$J834+7))</f>
        <v/>
      </c>
      <c r="D834" t="str">
        <f>IF($J834="","",SUMIFS('Hours Log'!$D:$D,'Hours Log'!$A:$A,"&gt;="&amp;$J834,'Hours Log'!$A:$A,"&lt;"&amp;$J834+7))</f>
        <v/>
      </c>
      <c r="E834" t="str">
        <f t="shared" si="24"/>
        <v/>
      </c>
      <c r="F834" t="str">
        <f t="shared" si="25"/>
        <v/>
      </c>
      <c r="G834" t="str">
        <f>IF($J834="","",SUMIFS('Hours Log'!$E:$E,'Hours Log'!$A:$A,"&gt;="&amp;$J834,'Hours Log'!$A:$A,"&lt;"&amp;$J834+7))</f>
        <v/>
      </c>
      <c r="J834" t="str">
        <f>IF(COUNT('Hours Log'!$A$4:$A$5000)=0,"",IF(MIN('Hours Log'!$A$4:$A$5000)+7*(ROW()-10)&gt;MAX('Hours Log'!$A$4:$A$5000),"",MIN('Hours Log'!$A$4:$A$5000)+7*(ROW()-10)))</f>
        <v/>
      </c>
    </row>
    <row r="835" spans="1:10" x14ac:dyDescent="0.25">
      <c r="A835" t="str">
        <f>IF($J835="","",YEAR($J835-WEEKDAY($J835,2)+4)&amp;"-W"&amp;TEXT(_xludf.ISOWEEKNUM($J835),"00"))</f>
        <v/>
      </c>
      <c r="B835"/>
      <c r="C835" t="str">
        <f>IF($J835="","",SUMIFS('Hours Log'!$C:$C,'Hours Log'!$A:$A,"&gt;="&amp;$J835,'Hours Log'!$A:$A,"&lt;"&amp;$J835+7)+SUMIFS('Hours Log'!$D:$D,'Hours Log'!$A:$A,"&gt;="&amp;$J835,'Hours Log'!$A:$A,"&lt;"&amp;$J835+7))</f>
        <v/>
      </c>
      <c r="D835" t="str">
        <f>IF($J835="","",SUMIFS('Hours Log'!$D:$D,'Hours Log'!$A:$A,"&gt;="&amp;$J835,'Hours Log'!$A:$A,"&lt;"&amp;$J835+7))</f>
        <v/>
      </c>
      <c r="E835" t="str">
        <f t="shared" si="24"/>
        <v/>
      </c>
      <c r="F835" t="str">
        <f t="shared" si="25"/>
        <v/>
      </c>
      <c r="G835" t="str">
        <f>IF($J835="","",SUMIFS('Hours Log'!$E:$E,'Hours Log'!$A:$A,"&gt;="&amp;$J835,'Hours Log'!$A:$A,"&lt;"&amp;$J835+7))</f>
        <v/>
      </c>
      <c r="J835" t="str">
        <f>IF(COUNT('Hours Log'!$A$4:$A$5000)=0,"",IF(MIN('Hours Log'!$A$4:$A$5000)+7*(ROW()-10)&gt;MAX('Hours Log'!$A$4:$A$5000),"",MIN('Hours Log'!$A$4:$A$5000)+7*(ROW()-10)))</f>
        <v/>
      </c>
    </row>
    <row r="836" spans="1:10" x14ac:dyDescent="0.25">
      <c r="A836" t="str">
        <f>IF($J836="","",YEAR($J836-WEEKDAY($J836,2)+4)&amp;"-W"&amp;TEXT(_xludf.ISOWEEKNUM($J836),"00"))</f>
        <v/>
      </c>
      <c r="B836"/>
      <c r="C836" t="str">
        <f>IF($J836="","",SUMIFS('Hours Log'!$C:$C,'Hours Log'!$A:$A,"&gt;="&amp;$J836,'Hours Log'!$A:$A,"&lt;"&amp;$J836+7)+SUMIFS('Hours Log'!$D:$D,'Hours Log'!$A:$A,"&gt;="&amp;$J836,'Hours Log'!$A:$A,"&lt;"&amp;$J836+7))</f>
        <v/>
      </c>
      <c r="D836" t="str">
        <f>IF($J836="","",SUMIFS('Hours Log'!$D:$D,'Hours Log'!$A:$A,"&gt;="&amp;$J836,'Hours Log'!$A:$A,"&lt;"&amp;$J836+7))</f>
        <v/>
      </c>
      <c r="E836" t="str">
        <f t="shared" si="24"/>
        <v/>
      </c>
      <c r="F836" t="str">
        <f t="shared" si="25"/>
        <v/>
      </c>
      <c r="G836" t="str">
        <f>IF($J836="","",SUMIFS('Hours Log'!$E:$E,'Hours Log'!$A:$A,"&gt;="&amp;$J836,'Hours Log'!$A:$A,"&lt;"&amp;$J836+7))</f>
        <v/>
      </c>
      <c r="J836" t="str">
        <f>IF(COUNT('Hours Log'!$A$4:$A$5000)=0,"",IF(MIN('Hours Log'!$A$4:$A$5000)+7*(ROW()-10)&gt;MAX('Hours Log'!$A$4:$A$5000),"",MIN('Hours Log'!$A$4:$A$5000)+7*(ROW()-10)))</f>
        <v/>
      </c>
    </row>
    <row r="837" spans="1:10" x14ac:dyDescent="0.25">
      <c r="A837" t="str">
        <f>IF($J837="","",YEAR($J837-WEEKDAY($J837,2)+4)&amp;"-W"&amp;TEXT(_xludf.ISOWEEKNUM($J837),"00"))</f>
        <v/>
      </c>
      <c r="B837"/>
      <c r="C837" t="str">
        <f>IF($J837="","",SUMIFS('Hours Log'!$C:$C,'Hours Log'!$A:$A,"&gt;="&amp;$J837,'Hours Log'!$A:$A,"&lt;"&amp;$J837+7)+SUMIFS('Hours Log'!$D:$D,'Hours Log'!$A:$A,"&gt;="&amp;$J837,'Hours Log'!$A:$A,"&lt;"&amp;$J837+7))</f>
        <v/>
      </c>
      <c r="D837" t="str">
        <f>IF($J837="","",SUMIFS('Hours Log'!$D:$D,'Hours Log'!$A:$A,"&gt;="&amp;$J837,'Hours Log'!$A:$A,"&lt;"&amp;$J837+7))</f>
        <v/>
      </c>
      <c r="E837" t="str">
        <f t="shared" si="24"/>
        <v/>
      </c>
      <c r="F837" t="str">
        <f t="shared" si="25"/>
        <v/>
      </c>
      <c r="G837" t="str">
        <f>IF($J837="","",SUMIFS('Hours Log'!$E:$E,'Hours Log'!$A:$A,"&gt;="&amp;$J837,'Hours Log'!$A:$A,"&lt;"&amp;$J837+7))</f>
        <v/>
      </c>
      <c r="J837" t="str">
        <f>IF(COUNT('Hours Log'!$A$4:$A$5000)=0,"",IF(MIN('Hours Log'!$A$4:$A$5000)+7*(ROW()-10)&gt;MAX('Hours Log'!$A$4:$A$5000),"",MIN('Hours Log'!$A$4:$A$5000)+7*(ROW()-10)))</f>
        <v/>
      </c>
    </row>
    <row r="838" spans="1:10" x14ac:dyDescent="0.25">
      <c r="A838" t="str">
        <f>IF($J838="","",YEAR($J838-WEEKDAY($J838,2)+4)&amp;"-W"&amp;TEXT(_xludf.ISOWEEKNUM($J838),"00"))</f>
        <v/>
      </c>
      <c r="B838"/>
      <c r="C838" t="str">
        <f>IF($J838="","",SUMIFS('Hours Log'!$C:$C,'Hours Log'!$A:$A,"&gt;="&amp;$J838,'Hours Log'!$A:$A,"&lt;"&amp;$J838+7)+SUMIFS('Hours Log'!$D:$D,'Hours Log'!$A:$A,"&gt;="&amp;$J838,'Hours Log'!$A:$A,"&lt;"&amp;$J838+7))</f>
        <v/>
      </c>
      <c r="D838" t="str">
        <f>IF($J838="","",SUMIFS('Hours Log'!$D:$D,'Hours Log'!$A:$A,"&gt;="&amp;$J838,'Hours Log'!$A:$A,"&lt;"&amp;$J838+7))</f>
        <v/>
      </c>
      <c r="E838" t="str">
        <f t="shared" si="24"/>
        <v/>
      </c>
      <c r="F838" t="str">
        <f t="shared" si="25"/>
        <v/>
      </c>
      <c r="G838" t="str">
        <f>IF($J838="","",SUMIFS('Hours Log'!$E:$E,'Hours Log'!$A:$A,"&gt;="&amp;$J838,'Hours Log'!$A:$A,"&lt;"&amp;$J838+7))</f>
        <v/>
      </c>
      <c r="J838" t="str">
        <f>IF(COUNT('Hours Log'!$A$4:$A$5000)=0,"",IF(MIN('Hours Log'!$A$4:$A$5000)+7*(ROW()-10)&gt;MAX('Hours Log'!$A$4:$A$5000),"",MIN('Hours Log'!$A$4:$A$5000)+7*(ROW()-10)))</f>
        <v/>
      </c>
    </row>
    <row r="839" spans="1:10" x14ac:dyDescent="0.25">
      <c r="A839" t="str">
        <f>IF($J839="","",YEAR($J839-WEEKDAY($J839,2)+4)&amp;"-W"&amp;TEXT(_xludf.ISOWEEKNUM($J839),"00"))</f>
        <v/>
      </c>
      <c r="B839"/>
      <c r="C839" t="str">
        <f>IF($J839="","",SUMIFS('Hours Log'!$C:$C,'Hours Log'!$A:$A,"&gt;="&amp;$J839,'Hours Log'!$A:$A,"&lt;"&amp;$J839+7)+SUMIFS('Hours Log'!$D:$D,'Hours Log'!$A:$A,"&gt;="&amp;$J839,'Hours Log'!$A:$A,"&lt;"&amp;$J839+7))</f>
        <v/>
      </c>
      <c r="D839" t="str">
        <f>IF($J839="","",SUMIFS('Hours Log'!$D:$D,'Hours Log'!$A:$A,"&gt;="&amp;$J839,'Hours Log'!$A:$A,"&lt;"&amp;$J839+7))</f>
        <v/>
      </c>
      <c r="E839" t="str">
        <f t="shared" si="24"/>
        <v/>
      </c>
      <c r="F839" t="str">
        <f t="shared" si="25"/>
        <v/>
      </c>
      <c r="G839" t="str">
        <f>IF($J839="","",SUMIFS('Hours Log'!$E:$E,'Hours Log'!$A:$A,"&gt;="&amp;$J839,'Hours Log'!$A:$A,"&lt;"&amp;$J839+7))</f>
        <v/>
      </c>
      <c r="J839" t="str">
        <f>IF(COUNT('Hours Log'!$A$4:$A$5000)=0,"",IF(MIN('Hours Log'!$A$4:$A$5000)+7*(ROW()-10)&gt;MAX('Hours Log'!$A$4:$A$5000),"",MIN('Hours Log'!$A$4:$A$5000)+7*(ROW()-10)))</f>
        <v/>
      </c>
    </row>
    <row r="840" spans="1:10" x14ac:dyDescent="0.25">
      <c r="A840" t="str">
        <f>IF($J840="","",YEAR($J840-WEEKDAY($J840,2)+4)&amp;"-W"&amp;TEXT(_xludf.ISOWEEKNUM($J840),"00"))</f>
        <v/>
      </c>
      <c r="B840"/>
      <c r="C840" t="str">
        <f>IF($J840="","",SUMIFS('Hours Log'!$C:$C,'Hours Log'!$A:$A,"&gt;="&amp;$J840,'Hours Log'!$A:$A,"&lt;"&amp;$J840+7)+SUMIFS('Hours Log'!$D:$D,'Hours Log'!$A:$A,"&gt;="&amp;$J840,'Hours Log'!$A:$A,"&lt;"&amp;$J840+7))</f>
        <v/>
      </c>
      <c r="D840" t="str">
        <f>IF($J840="","",SUMIFS('Hours Log'!$D:$D,'Hours Log'!$A:$A,"&gt;="&amp;$J840,'Hours Log'!$A:$A,"&lt;"&amp;$J840+7))</f>
        <v/>
      </c>
      <c r="E840" t="str">
        <f t="shared" si="24"/>
        <v/>
      </c>
      <c r="F840" t="str">
        <f t="shared" si="25"/>
        <v/>
      </c>
      <c r="G840" t="str">
        <f>IF($J840="","",SUMIFS('Hours Log'!$E:$E,'Hours Log'!$A:$A,"&gt;="&amp;$J840,'Hours Log'!$A:$A,"&lt;"&amp;$J840+7))</f>
        <v/>
      </c>
      <c r="J840" t="str">
        <f>IF(COUNT('Hours Log'!$A$4:$A$5000)=0,"",IF(MIN('Hours Log'!$A$4:$A$5000)+7*(ROW()-10)&gt;MAX('Hours Log'!$A$4:$A$5000),"",MIN('Hours Log'!$A$4:$A$5000)+7*(ROW()-10)))</f>
        <v/>
      </c>
    </row>
    <row r="841" spans="1:10" x14ac:dyDescent="0.25">
      <c r="A841" t="str">
        <f>IF($J841="","",YEAR($J841-WEEKDAY($J841,2)+4)&amp;"-W"&amp;TEXT(_xludf.ISOWEEKNUM($J841),"00"))</f>
        <v/>
      </c>
      <c r="B841"/>
      <c r="C841" t="str">
        <f>IF($J841="","",SUMIFS('Hours Log'!$C:$C,'Hours Log'!$A:$A,"&gt;="&amp;$J841,'Hours Log'!$A:$A,"&lt;"&amp;$J841+7)+SUMIFS('Hours Log'!$D:$D,'Hours Log'!$A:$A,"&gt;="&amp;$J841,'Hours Log'!$A:$A,"&lt;"&amp;$J841+7))</f>
        <v/>
      </c>
      <c r="D841" t="str">
        <f>IF($J841="","",SUMIFS('Hours Log'!$D:$D,'Hours Log'!$A:$A,"&gt;="&amp;$J841,'Hours Log'!$A:$A,"&lt;"&amp;$J841+7))</f>
        <v/>
      </c>
      <c r="E841" t="str">
        <f t="shared" si="24"/>
        <v/>
      </c>
      <c r="F841" t="str">
        <f t="shared" si="25"/>
        <v/>
      </c>
      <c r="G841" t="str">
        <f>IF($J841="","",SUMIFS('Hours Log'!$E:$E,'Hours Log'!$A:$A,"&gt;="&amp;$J841,'Hours Log'!$A:$A,"&lt;"&amp;$J841+7))</f>
        <v/>
      </c>
      <c r="J841" t="str">
        <f>IF(COUNT('Hours Log'!$A$4:$A$5000)=0,"",IF(MIN('Hours Log'!$A$4:$A$5000)+7*(ROW()-10)&gt;MAX('Hours Log'!$A$4:$A$5000),"",MIN('Hours Log'!$A$4:$A$5000)+7*(ROW()-10)))</f>
        <v/>
      </c>
    </row>
    <row r="842" spans="1:10" x14ac:dyDescent="0.25">
      <c r="A842" t="str">
        <f>IF($J842="","",YEAR($J842-WEEKDAY($J842,2)+4)&amp;"-W"&amp;TEXT(_xludf.ISOWEEKNUM($J842),"00"))</f>
        <v/>
      </c>
      <c r="B842"/>
      <c r="C842" t="str">
        <f>IF($J842="","",SUMIFS('Hours Log'!$C:$C,'Hours Log'!$A:$A,"&gt;="&amp;$J842,'Hours Log'!$A:$A,"&lt;"&amp;$J842+7)+SUMIFS('Hours Log'!$D:$D,'Hours Log'!$A:$A,"&gt;="&amp;$J842,'Hours Log'!$A:$A,"&lt;"&amp;$J842+7))</f>
        <v/>
      </c>
      <c r="D842" t="str">
        <f>IF($J842="","",SUMIFS('Hours Log'!$D:$D,'Hours Log'!$A:$A,"&gt;="&amp;$J842,'Hours Log'!$A:$A,"&lt;"&amp;$J842+7))</f>
        <v/>
      </c>
      <c r="E842" t="str">
        <f t="shared" ref="E842:E905" si="26">IF($J842="","",IFERROR(C842/(B842*40),0))</f>
        <v/>
      </c>
      <c r="F842" t="str">
        <f t="shared" ref="F842:F905" si="27">IF($J842="","",0)</f>
        <v/>
      </c>
      <c r="G842" t="str">
        <f>IF($J842="","",SUMIFS('Hours Log'!$E:$E,'Hours Log'!$A:$A,"&gt;="&amp;$J842,'Hours Log'!$A:$A,"&lt;"&amp;$J842+7))</f>
        <v/>
      </c>
      <c r="J842" t="str">
        <f>IF(COUNT('Hours Log'!$A$4:$A$5000)=0,"",IF(MIN('Hours Log'!$A$4:$A$5000)+7*(ROW()-10)&gt;MAX('Hours Log'!$A$4:$A$5000),"",MIN('Hours Log'!$A$4:$A$5000)+7*(ROW()-10)))</f>
        <v/>
      </c>
    </row>
    <row r="843" spans="1:10" x14ac:dyDescent="0.25">
      <c r="A843" t="str">
        <f>IF($J843="","",YEAR($J843-WEEKDAY($J843,2)+4)&amp;"-W"&amp;TEXT(_xludf.ISOWEEKNUM($J843),"00"))</f>
        <v/>
      </c>
      <c r="B843"/>
      <c r="C843" t="str">
        <f>IF($J843="","",SUMIFS('Hours Log'!$C:$C,'Hours Log'!$A:$A,"&gt;="&amp;$J843,'Hours Log'!$A:$A,"&lt;"&amp;$J843+7)+SUMIFS('Hours Log'!$D:$D,'Hours Log'!$A:$A,"&gt;="&amp;$J843,'Hours Log'!$A:$A,"&lt;"&amp;$J843+7))</f>
        <v/>
      </c>
      <c r="D843" t="str">
        <f>IF($J843="","",SUMIFS('Hours Log'!$D:$D,'Hours Log'!$A:$A,"&gt;="&amp;$J843,'Hours Log'!$A:$A,"&lt;"&amp;$J843+7))</f>
        <v/>
      </c>
      <c r="E843" t="str">
        <f t="shared" si="26"/>
        <v/>
      </c>
      <c r="F843" t="str">
        <f t="shared" si="27"/>
        <v/>
      </c>
      <c r="G843" t="str">
        <f>IF($J843="","",SUMIFS('Hours Log'!$E:$E,'Hours Log'!$A:$A,"&gt;="&amp;$J843,'Hours Log'!$A:$A,"&lt;"&amp;$J843+7))</f>
        <v/>
      </c>
      <c r="J843" t="str">
        <f>IF(COUNT('Hours Log'!$A$4:$A$5000)=0,"",IF(MIN('Hours Log'!$A$4:$A$5000)+7*(ROW()-10)&gt;MAX('Hours Log'!$A$4:$A$5000),"",MIN('Hours Log'!$A$4:$A$5000)+7*(ROW()-10)))</f>
        <v/>
      </c>
    </row>
    <row r="844" spans="1:10" x14ac:dyDescent="0.25">
      <c r="A844" t="str">
        <f>IF($J844="","",YEAR($J844-WEEKDAY($J844,2)+4)&amp;"-W"&amp;TEXT(_xludf.ISOWEEKNUM($J844),"00"))</f>
        <v/>
      </c>
      <c r="B844"/>
      <c r="C844" t="str">
        <f>IF($J844="","",SUMIFS('Hours Log'!$C:$C,'Hours Log'!$A:$A,"&gt;="&amp;$J844,'Hours Log'!$A:$A,"&lt;"&amp;$J844+7)+SUMIFS('Hours Log'!$D:$D,'Hours Log'!$A:$A,"&gt;="&amp;$J844,'Hours Log'!$A:$A,"&lt;"&amp;$J844+7))</f>
        <v/>
      </c>
      <c r="D844" t="str">
        <f>IF($J844="","",SUMIFS('Hours Log'!$D:$D,'Hours Log'!$A:$A,"&gt;="&amp;$J844,'Hours Log'!$A:$A,"&lt;"&amp;$J844+7))</f>
        <v/>
      </c>
      <c r="E844" t="str">
        <f t="shared" si="26"/>
        <v/>
      </c>
      <c r="F844" t="str">
        <f t="shared" si="27"/>
        <v/>
      </c>
      <c r="G844" t="str">
        <f>IF($J844="","",SUMIFS('Hours Log'!$E:$E,'Hours Log'!$A:$A,"&gt;="&amp;$J844,'Hours Log'!$A:$A,"&lt;"&amp;$J844+7))</f>
        <v/>
      </c>
      <c r="J844" t="str">
        <f>IF(COUNT('Hours Log'!$A$4:$A$5000)=0,"",IF(MIN('Hours Log'!$A$4:$A$5000)+7*(ROW()-10)&gt;MAX('Hours Log'!$A$4:$A$5000),"",MIN('Hours Log'!$A$4:$A$5000)+7*(ROW()-10)))</f>
        <v/>
      </c>
    </row>
    <row r="845" spans="1:10" x14ac:dyDescent="0.25">
      <c r="A845" t="str">
        <f>IF($J845="","",YEAR($J845-WEEKDAY($J845,2)+4)&amp;"-W"&amp;TEXT(_xludf.ISOWEEKNUM($J845),"00"))</f>
        <v/>
      </c>
      <c r="B845"/>
      <c r="C845" t="str">
        <f>IF($J845="","",SUMIFS('Hours Log'!$C:$C,'Hours Log'!$A:$A,"&gt;="&amp;$J845,'Hours Log'!$A:$A,"&lt;"&amp;$J845+7)+SUMIFS('Hours Log'!$D:$D,'Hours Log'!$A:$A,"&gt;="&amp;$J845,'Hours Log'!$A:$A,"&lt;"&amp;$J845+7))</f>
        <v/>
      </c>
      <c r="D845" t="str">
        <f>IF($J845="","",SUMIFS('Hours Log'!$D:$D,'Hours Log'!$A:$A,"&gt;="&amp;$J845,'Hours Log'!$A:$A,"&lt;"&amp;$J845+7))</f>
        <v/>
      </c>
      <c r="E845" t="str">
        <f t="shared" si="26"/>
        <v/>
      </c>
      <c r="F845" t="str">
        <f t="shared" si="27"/>
        <v/>
      </c>
      <c r="G845" t="str">
        <f>IF($J845="","",SUMIFS('Hours Log'!$E:$E,'Hours Log'!$A:$A,"&gt;="&amp;$J845,'Hours Log'!$A:$A,"&lt;"&amp;$J845+7))</f>
        <v/>
      </c>
      <c r="J845" t="str">
        <f>IF(COUNT('Hours Log'!$A$4:$A$5000)=0,"",IF(MIN('Hours Log'!$A$4:$A$5000)+7*(ROW()-10)&gt;MAX('Hours Log'!$A$4:$A$5000),"",MIN('Hours Log'!$A$4:$A$5000)+7*(ROW()-10)))</f>
        <v/>
      </c>
    </row>
    <row r="846" spans="1:10" x14ac:dyDescent="0.25">
      <c r="A846" t="str">
        <f>IF($J846="","",YEAR($J846-WEEKDAY($J846,2)+4)&amp;"-W"&amp;TEXT(_xludf.ISOWEEKNUM($J846),"00"))</f>
        <v/>
      </c>
      <c r="B846"/>
      <c r="C846" t="str">
        <f>IF($J846="","",SUMIFS('Hours Log'!$C:$C,'Hours Log'!$A:$A,"&gt;="&amp;$J846,'Hours Log'!$A:$A,"&lt;"&amp;$J846+7)+SUMIFS('Hours Log'!$D:$D,'Hours Log'!$A:$A,"&gt;="&amp;$J846,'Hours Log'!$A:$A,"&lt;"&amp;$J846+7))</f>
        <v/>
      </c>
      <c r="D846" t="str">
        <f>IF($J846="","",SUMIFS('Hours Log'!$D:$D,'Hours Log'!$A:$A,"&gt;="&amp;$J846,'Hours Log'!$A:$A,"&lt;"&amp;$J846+7))</f>
        <v/>
      </c>
      <c r="E846" t="str">
        <f t="shared" si="26"/>
        <v/>
      </c>
      <c r="F846" t="str">
        <f t="shared" si="27"/>
        <v/>
      </c>
      <c r="G846" t="str">
        <f>IF($J846="","",SUMIFS('Hours Log'!$E:$E,'Hours Log'!$A:$A,"&gt;="&amp;$J846,'Hours Log'!$A:$A,"&lt;"&amp;$J846+7))</f>
        <v/>
      </c>
      <c r="J846" t="str">
        <f>IF(COUNT('Hours Log'!$A$4:$A$5000)=0,"",IF(MIN('Hours Log'!$A$4:$A$5000)+7*(ROW()-10)&gt;MAX('Hours Log'!$A$4:$A$5000),"",MIN('Hours Log'!$A$4:$A$5000)+7*(ROW()-10)))</f>
        <v/>
      </c>
    </row>
    <row r="847" spans="1:10" x14ac:dyDescent="0.25">
      <c r="A847" t="str">
        <f>IF($J847="","",YEAR($J847-WEEKDAY($J847,2)+4)&amp;"-W"&amp;TEXT(_xludf.ISOWEEKNUM($J847),"00"))</f>
        <v/>
      </c>
      <c r="B847"/>
      <c r="C847" t="str">
        <f>IF($J847="","",SUMIFS('Hours Log'!$C:$C,'Hours Log'!$A:$A,"&gt;="&amp;$J847,'Hours Log'!$A:$A,"&lt;"&amp;$J847+7)+SUMIFS('Hours Log'!$D:$D,'Hours Log'!$A:$A,"&gt;="&amp;$J847,'Hours Log'!$A:$A,"&lt;"&amp;$J847+7))</f>
        <v/>
      </c>
      <c r="D847" t="str">
        <f>IF($J847="","",SUMIFS('Hours Log'!$D:$D,'Hours Log'!$A:$A,"&gt;="&amp;$J847,'Hours Log'!$A:$A,"&lt;"&amp;$J847+7))</f>
        <v/>
      </c>
      <c r="E847" t="str">
        <f t="shared" si="26"/>
        <v/>
      </c>
      <c r="F847" t="str">
        <f t="shared" si="27"/>
        <v/>
      </c>
      <c r="G847" t="str">
        <f>IF($J847="","",SUMIFS('Hours Log'!$E:$E,'Hours Log'!$A:$A,"&gt;="&amp;$J847,'Hours Log'!$A:$A,"&lt;"&amp;$J847+7))</f>
        <v/>
      </c>
      <c r="J847" t="str">
        <f>IF(COUNT('Hours Log'!$A$4:$A$5000)=0,"",IF(MIN('Hours Log'!$A$4:$A$5000)+7*(ROW()-10)&gt;MAX('Hours Log'!$A$4:$A$5000),"",MIN('Hours Log'!$A$4:$A$5000)+7*(ROW()-10)))</f>
        <v/>
      </c>
    </row>
    <row r="848" spans="1:10" x14ac:dyDescent="0.25">
      <c r="A848" t="str">
        <f>IF($J848="","",YEAR($J848-WEEKDAY($J848,2)+4)&amp;"-W"&amp;TEXT(_xludf.ISOWEEKNUM($J848),"00"))</f>
        <v/>
      </c>
      <c r="B848"/>
      <c r="C848" t="str">
        <f>IF($J848="","",SUMIFS('Hours Log'!$C:$C,'Hours Log'!$A:$A,"&gt;="&amp;$J848,'Hours Log'!$A:$A,"&lt;"&amp;$J848+7)+SUMIFS('Hours Log'!$D:$D,'Hours Log'!$A:$A,"&gt;="&amp;$J848,'Hours Log'!$A:$A,"&lt;"&amp;$J848+7))</f>
        <v/>
      </c>
      <c r="D848" t="str">
        <f>IF($J848="","",SUMIFS('Hours Log'!$D:$D,'Hours Log'!$A:$A,"&gt;="&amp;$J848,'Hours Log'!$A:$A,"&lt;"&amp;$J848+7))</f>
        <v/>
      </c>
      <c r="E848" t="str">
        <f t="shared" si="26"/>
        <v/>
      </c>
      <c r="F848" t="str">
        <f t="shared" si="27"/>
        <v/>
      </c>
      <c r="G848" t="str">
        <f>IF($J848="","",SUMIFS('Hours Log'!$E:$E,'Hours Log'!$A:$A,"&gt;="&amp;$J848,'Hours Log'!$A:$A,"&lt;"&amp;$J848+7))</f>
        <v/>
      </c>
      <c r="J848" t="str">
        <f>IF(COUNT('Hours Log'!$A$4:$A$5000)=0,"",IF(MIN('Hours Log'!$A$4:$A$5000)+7*(ROW()-10)&gt;MAX('Hours Log'!$A$4:$A$5000),"",MIN('Hours Log'!$A$4:$A$5000)+7*(ROW()-10)))</f>
        <v/>
      </c>
    </row>
    <row r="849" spans="1:10" x14ac:dyDescent="0.25">
      <c r="A849" t="str">
        <f>IF($J849="","",YEAR($J849-WEEKDAY($J849,2)+4)&amp;"-W"&amp;TEXT(_xludf.ISOWEEKNUM($J849),"00"))</f>
        <v/>
      </c>
      <c r="B849"/>
      <c r="C849" t="str">
        <f>IF($J849="","",SUMIFS('Hours Log'!$C:$C,'Hours Log'!$A:$A,"&gt;="&amp;$J849,'Hours Log'!$A:$A,"&lt;"&amp;$J849+7)+SUMIFS('Hours Log'!$D:$D,'Hours Log'!$A:$A,"&gt;="&amp;$J849,'Hours Log'!$A:$A,"&lt;"&amp;$J849+7))</f>
        <v/>
      </c>
      <c r="D849" t="str">
        <f>IF($J849="","",SUMIFS('Hours Log'!$D:$D,'Hours Log'!$A:$A,"&gt;="&amp;$J849,'Hours Log'!$A:$A,"&lt;"&amp;$J849+7))</f>
        <v/>
      </c>
      <c r="E849" t="str">
        <f t="shared" si="26"/>
        <v/>
      </c>
      <c r="F849" t="str">
        <f t="shared" si="27"/>
        <v/>
      </c>
      <c r="G849" t="str">
        <f>IF($J849="","",SUMIFS('Hours Log'!$E:$E,'Hours Log'!$A:$A,"&gt;="&amp;$J849,'Hours Log'!$A:$A,"&lt;"&amp;$J849+7))</f>
        <v/>
      </c>
      <c r="J849" t="str">
        <f>IF(COUNT('Hours Log'!$A$4:$A$5000)=0,"",IF(MIN('Hours Log'!$A$4:$A$5000)+7*(ROW()-10)&gt;MAX('Hours Log'!$A$4:$A$5000),"",MIN('Hours Log'!$A$4:$A$5000)+7*(ROW()-10)))</f>
        <v/>
      </c>
    </row>
    <row r="850" spans="1:10" x14ac:dyDescent="0.25">
      <c r="A850" t="str">
        <f>IF($J850="","",YEAR($J850-WEEKDAY($J850,2)+4)&amp;"-W"&amp;TEXT(_xludf.ISOWEEKNUM($J850),"00"))</f>
        <v/>
      </c>
      <c r="B850"/>
      <c r="C850" t="str">
        <f>IF($J850="","",SUMIFS('Hours Log'!$C:$C,'Hours Log'!$A:$A,"&gt;="&amp;$J850,'Hours Log'!$A:$A,"&lt;"&amp;$J850+7)+SUMIFS('Hours Log'!$D:$D,'Hours Log'!$A:$A,"&gt;="&amp;$J850,'Hours Log'!$A:$A,"&lt;"&amp;$J850+7))</f>
        <v/>
      </c>
      <c r="D850" t="str">
        <f>IF($J850="","",SUMIFS('Hours Log'!$D:$D,'Hours Log'!$A:$A,"&gt;="&amp;$J850,'Hours Log'!$A:$A,"&lt;"&amp;$J850+7))</f>
        <v/>
      </c>
      <c r="E850" t="str">
        <f t="shared" si="26"/>
        <v/>
      </c>
      <c r="F850" t="str">
        <f t="shared" si="27"/>
        <v/>
      </c>
      <c r="G850" t="str">
        <f>IF($J850="","",SUMIFS('Hours Log'!$E:$E,'Hours Log'!$A:$A,"&gt;="&amp;$J850,'Hours Log'!$A:$A,"&lt;"&amp;$J850+7))</f>
        <v/>
      </c>
      <c r="J850" t="str">
        <f>IF(COUNT('Hours Log'!$A$4:$A$5000)=0,"",IF(MIN('Hours Log'!$A$4:$A$5000)+7*(ROW()-10)&gt;MAX('Hours Log'!$A$4:$A$5000),"",MIN('Hours Log'!$A$4:$A$5000)+7*(ROW()-10)))</f>
        <v/>
      </c>
    </row>
    <row r="851" spans="1:10" x14ac:dyDescent="0.25">
      <c r="A851" t="str">
        <f>IF($J851="","",YEAR($J851-WEEKDAY($J851,2)+4)&amp;"-W"&amp;TEXT(_xludf.ISOWEEKNUM($J851),"00"))</f>
        <v/>
      </c>
      <c r="B851"/>
      <c r="C851" t="str">
        <f>IF($J851="","",SUMIFS('Hours Log'!$C:$C,'Hours Log'!$A:$A,"&gt;="&amp;$J851,'Hours Log'!$A:$A,"&lt;"&amp;$J851+7)+SUMIFS('Hours Log'!$D:$D,'Hours Log'!$A:$A,"&gt;="&amp;$J851,'Hours Log'!$A:$A,"&lt;"&amp;$J851+7))</f>
        <v/>
      </c>
      <c r="D851" t="str">
        <f>IF($J851="","",SUMIFS('Hours Log'!$D:$D,'Hours Log'!$A:$A,"&gt;="&amp;$J851,'Hours Log'!$A:$A,"&lt;"&amp;$J851+7))</f>
        <v/>
      </c>
      <c r="E851" t="str">
        <f t="shared" si="26"/>
        <v/>
      </c>
      <c r="F851" t="str">
        <f t="shared" si="27"/>
        <v/>
      </c>
      <c r="G851" t="str">
        <f>IF($J851="","",SUMIFS('Hours Log'!$E:$E,'Hours Log'!$A:$A,"&gt;="&amp;$J851,'Hours Log'!$A:$A,"&lt;"&amp;$J851+7))</f>
        <v/>
      </c>
      <c r="J851" t="str">
        <f>IF(COUNT('Hours Log'!$A$4:$A$5000)=0,"",IF(MIN('Hours Log'!$A$4:$A$5000)+7*(ROW()-10)&gt;MAX('Hours Log'!$A$4:$A$5000),"",MIN('Hours Log'!$A$4:$A$5000)+7*(ROW()-10)))</f>
        <v/>
      </c>
    </row>
    <row r="852" spans="1:10" x14ac:dyDescent="0.25">
      <c r="A852" t="str">
        <f>IF($J852="","",YEAR($J852-WEEKDAY($J852,2)+4)&amp;"-W"&amp;TEXT(_xludf.ISOWEEKNUM($J852),"00"))</f>
        <v/>
      </c>
      <c r="B852"/>
      <c r="C852" t="str">
        <f>IF($J852="","",SUMIFS('Hours Log'!$C:$C,'Hours Log'!$A:$A,"&gt;="&amp;$J852,'Hours Log'!$A:$A,"&lt;"&amp;$J852+7)+SUMIFS('Hours Log'!$D:$D,'Hours Log'!$A:$A,"&gt;="&amp;$J852,'Hours Log'!$A:$A,"&lt;"&amp;$J852+7))</f>
        <v/>
      </c>
      <c r="D852" t="str">
        <f>IF($J852="","",SUMIFS('Hours Log'!$D:$D,'Hours Log'!$A:$A,"&gt;="&amp;$J852,'Hours Log'!$A:$A,"&lt;"&amp;$J852+7))</f>
        <v/>
      </c>
      <c r="E852" t="str">
        <f t="shared" si="26"/>
        <v/>
      </c>
      <c r="F852" t="str">
        <f t="shared" si="27"/>
        <v/>
      </c>
      <c r="G852" t="str">
        <f>IF($J852="","",SUMIFS('Hours Log'!$E:$E,'Hours Log'!$A:$A,"&gt;="&amp;$J852,'Hours Log'!$A:$A,"&lt;"&amp;$J852+7))</f>
        <v/>
      </c>
      <c r="J852" t="str">
        <f>IF(COUNT('Hours Log'!$A$4:$A$5000)=0,"",IF(MIN('Hours Log'!$A$4:$A$5000)+7*(ROW()-10)&gt;MAX('Hours Log'!$A$4:$A$5000),"",MIN('Hours Log'!$A$4:$A$5000)+7*(ROW()-10)))</f>
        <v/>
      </c>
    </row>
    <row r="853" spans="1:10" x14ac:dyDescent="0.25">
      <c r="A853" t="str">
        <f>IF($J853="","",YEAR($J853-WEEKDAY($J853,2)+4)&amp;"-W"&amp;TEXT(_xludf.ISOWEEKNUM($J853),"00"))</f>
        <v/>
      </c>
      <c r="B853"/>
      <c r="C853" t="str">
        <f>IF($J853="","",SUMIFS('Hours Log'!$C:$C,'Hours Log'!$A:$A,"&gt;="&amp;$J853,'Hours Log'!$A:$A,"&lt;"&amp;$J853+7)+SUMIFS('Hours Log'!$D:$D,'Hours Log'!$A:$A,"&gt;="&amp;$J853,'Hours Log'!$A:$A,"&lt;"&amp;$J853+7))</f>
        <v/>
      </c>
      <c r="D853" t="str">
        <f>IF($J853="","",SUMIFS('Hours Log'!$D:$D,'Hours Log'!$A:$A,"&gt;="&amp;$J853,'Hours Log'!$A:$A,"&lt;"&amp;$J853+7))</f>
        <v/>
      </c>
      <c r="E853" t="str">
        <f t="shared" si="26"/>
        <v/>
      </c>
      <c r="F853" t="str">
        <f t="shared" si="27"/>
        <v/>
      </c>
      <c r="G853" t="str">
        <f>IF($J853="","",SUMIFS('Hours Log'!$E:$E,'Hours Log'!$A:$A,"&gt;="&amp;$J853,'Hours Log'!$A:$A,"&lt;"&amp;$J853+7))</f>
        <v/>
      </c>
      <c r="J853" t="str">
        <f>IF(COUNT('Hours Log'!$A$4:$A$5000)=0,"",IF(MIN('Hours Log'!$A$4:$A$5000)+7*(ROW()-10)&gt;MAX('Hours Log'!$A$4:$A$5000),"",MIN('Hours Log'!$A$4:$A$5000)+7*(ROW()-10)))</f>
        <v/>
      </c>
    </row>
    <row r="854" spans="1:10" x14ac:dyDescent="0.25">
      <c r="A854" t="str">
        <f>IF($J854="","",YEAR($J854-WEEKDAY($J854,2)+4)&amp;"-W"&amp;TEXT(_xludf.ISOWEEKNUM($J854),"00"))</f>
        <v/>
      </c>
      <c r="B854"/>
      <c r="C854" t="str">
        <f>IF($J854="","",SUMIFS('Hours Log'!$C:$C,'Hours Log'!$A:$A,"&gt;="&amp;$J854,'Hours Log'!$A:$A,"&lt;"&amp;$J854+7)+SUMIFS('Hours Log'!$D:$D,'Hours Log'!$A:$A,"&gt;="&amp;$J854,'Hours Log'!$A:$A,"&lt;"&amp;$J854+7))</f>
        <v/>
      </c>
      <c r="D854" t="str">
        <f>IF($J854="","",SUMIFS('Hours Log'!$D:$D,'Hours Log'!$A:$A,"&gt;="&amp;$J854,'Hours Log'!$A:$A,"&lt;"&amp;$J854+7))</f>
        <v/>
      </c>
      <c r="E854" t="str">
        <f t="shared" si="26"/>
        <v/>
      </c>
      <c r="F854" t="str">
        <f t="shared" si="27"/>
        <v/>
      </c>
      <c r="G854" t="str">
        <f>IF($J854="","",SUMIFS('Hours Log'!$E:$E,'Hours Log'!$A:$A,"&gt;="&amp;$J854,'Hours Log'!$A:$A,"&lt;"&amp;$J854+7))</f>
        <v/>
      </c>
      <c r="J854" t="str">
        <f>IF(COUNT('Hours Log'!$A$4:$A$5000)=0,"",IF(MIN('Hours Log'!$A$4:$A$5000)+7*(ROW()-10)&gt;MAX('Hours Log'!$A$4:$A$5000),"",MIN('Hours Log'!$A$4:$A$5000)+7*(ROW()-10)))</f>
        <v/>
      </c>
    </row>
    <row r="855" spans="1:10" x14ac:dyDescent="0.25">
      <c r="A855" t="str">
        <f>IF($J855="","",YEAR($J855-WEEKDAY($J855,2)+4)&amp;"-W"&amp;TEXT(_xludf.ISOWEEKNUM($J855),"00"))</f>
        <v/>
      </c>
      <c r="B855"/>
      <c r="C855" t="str">
        <f>IF($J855="","",SUMIFS('Hours Log'!$C:$C,'Hours Log'!$A:$A,"&gt;="&amp;$J855,'Hours Log'!$A:$A,"&lt;"&amp;$J855+7)+SUMIFS('Hours Log'!$D:$D,'Hours Log'!$A:$A,"&gt;="&amp;$J855,'Hours Log'!$A:$A,"&lt;"&amp;$J855+7))</f>
        <v/>
      </c>
      <c r="D855" t="str">
        <f>IF($J855="","",SUMIFS('Hours Log'!$D:$D,'Hours Log'!$A:$A,"&gt;="&amp;$J855,'Hours Log'!$A:$A,"&lt;"&amp;$J855+7))</f>
        <v/>
      </c>
      <c r="E855" t="str">
        <f t="shared" si="26"/>
        <v/>
      </c>
      <c r="F855" t="str">
        <f t="shared" si="27"/>
        <v/>
      </c>
      <c r="G855" t="str">
        <f>IF($J855="","",SUMIFS('Hours Log'!$E:$E,'Hours Log'!$A:$A,"&gt;="&amp;$J855,'Hours Log'!$A:$A,"&lt;"&amp;$J855+7))</f>
        <v/>
      </c>
      <c r="J855" t="str">
        <f>IF(COUNT('Hours Log'!$A$4:$A$5000)=0,"",IF(MIN('Hours Log'!$A$4:$A$5000)+7*(ROW()-10)&gt;MAX('Hours Log'!$A$4:$A$5000),"",MIN('Hours Log'!$A$4:$A$5000)+7*(ROW()-10)))</f>
        <v/>
      </c>
    </row>
    <row r="856" spans="1:10" x14ac:dyDescent="0.25">
      <c r="A856" t="str">
        <f>IF($J856="","",YEAR($J856-WEEKDAY($J856,2)+4)&amp;"-W"&amp;TEXT(_xludf.ISOWEEKNUM($J856),"00"))</f>
        <v/>
      </c>
      <c r="B856"/>
      <c r="C856" t="str">
        <f>IF($J856="","",SUMIFS('Hours Log'!$C:$C,'Hours Log'!$A:$A,"&gt;="&amp;$J856,'Hours Log'!$A:$A,"&lt;"&amp;$J856+7)+SUMIFS('Hours Log'!$D:$D,'Hours Log'!$A:$A,"&gt;="&amp;$J856,'Hours Log'!$A:$A,"&lt;"&amp;$J856+7))</f>
        <v/>
      </c>
      <c r="D856" t="str">
        <f>IF($J856="","",SUMIFS('Hours Log'!$D:$D,'Hours Log'!$A:$A,"&gt;="&amp;$J856,'Hours Log'!$A:$A,"&lt;"&amp;$J856+7))</f>
        <v/>
      </c>
      <c r="E856" t="str">
        <f t="shared" si="26"/>
        <v/>
      </c>
      <c r="F856" t="str">
        <f t="shared" si="27"/>
        <v/>
      </c>
      <c r="G856" t="str">
        <f>IF($J856="","",SUMIFS('Hours Log'!$E:$E,'Hours Log'!$A:$A,"&gt;="&amp;$J856,'Hours Log'!$A:$A,"&lt;"&amp;$J856+7))</f>
        <v/>
      </c>
      <c r="J856" t="str">
        <f>IF(COUNT('Hours Log'!$A$4:$A$5000)=0,"",IF(MIN('Hours Log'!$A$4:$A$5000)+7*(ROW()-10)&gt;MAX('Hours Log'!$A$4:$A$5000),"",MIN('Hours Log'!$A$4:$A$5000)+7*(ROW()-10)))</f>
        <v/>
      </c>
    </row>
    <row r="857" spans="1:10" x14ac:dyDescent="0.25">
      <c r="A857" t="str">
        <f>IF($J857="","",YEAR($J857-WEEKDAY($J857,2)+4)&amp;"-W"&amp;TEXT(_xludf.ISOWEEKNUM($J857),"00"))</f>
        <v/>
      </c>
      <c r="B857"/>
      <c r="C857" t="str">
        <f>IF($J857="","",SUMIFS('Hours Log'!$C:$C,'Hours Log'!$A:$A,"&gt;="&amp;$J857,'Hours Log'!$A:$A,"&lt;"&amp;$J857+7)+SUMIFS('Hours Log'!$D:$D,'Hours Log'!$A:$A,"&gt;="&amp;$J857,'Hours Log'!$A:$A,"&lt;"&amp;$J857+7))</f>
        <v/>
      </c>
      <c r="D857" t="str">
        <f>IF($J857="","",SUMIFS('Hours Log'!$D:$D,'Hours Log'!$A:$A,"&gt;="&amp;$J857,'Hours Log'!$A:$A,"&lt;"&amp;$J857+7))</f>
        <v/>
      </c>
      <c r="E857" t="str">
        <f t="shared" si="26"/>
        <v/>
      </c>
      <c r="F857" t="str">
        <f t="shared" si="27"/>
        <v/>
      </c>
      <c r="G857" t="str">
        <f>IF($J857="","",SUMIFS('Hours Log'!$E:$E,'Hours Log'!$A:$A,"&gt;="&amp;$J857,'Hours Log'!$A:$A,"&lt;"&amp;$J857+7))</f>
        <v/>
      </c>
      <c r="J857" t="str">
        <f>IF(COUNT('Hours Log'!$A$4:$A$5000)=0,"",IF(MIN('Hours Log'!$A$4:$A$5000)+7*(ROW()-10)&gt;MAX('Hours Log'!$A$4:$A$5000),"",MIN('Hours Log'!$A$4:$A$5000)+7*(ROW()-10)))</f>
        <v/>
      </c>
    </row>
    <row r="858" spans="1:10" x14ac:dyDescent="0.25">
      <c r="A858" t="str">
        <f>IF($J858="","",YEAR($J858-WEEKDAY($J858,2)+4)&amp;"-W"&amp;TEXT(_xludf.ISOWEEKNUM($J858),"00"))</f>
        <v/>
      </c>
      <c r="B858"/>
      <c r="C858" t="str">
        <f>IF($J858="","",SUMIFS('Hours Log'!$C:$C,'Hours Log'!$A:$A,"&gt;="&amp;$J858,'Hours Log'!$A:$A,"&lt;"&amp;$J858+7)+SUMIFS('Hours Log'!$D:$D,'Hours Log'!$A:$A,"&gt;="&amp;$J858,'Hours Log'!$A:$A,"&lt;"&amp;$J858+7))</f>
        <v/>
      </c>
      <c r="D858" t="str">
        <f>IF($J858="","",SUMIFS('Hours Log'!$D:$D,'Hours Log'!$A:$A,"&gt;="&amp;$J858,'Hours Log'!$A:$A,"&lt;"&amp;$J858+7))</f>
        <v/>
      </c>
      <c r="E858" t="str">
        <f t="shared" si="26"/>
        <v/>
      </c>
      <c r="F858" t="str">
        <f t="shared" si="27"/>
        <v/>
      </c>
      <c r="G858" t="str">
        <f>IF($J858="","",SUMIFS('Hours Log'!$E:$E,'Hours Log'!$A:$A,"&gt;="&amp;$J858,'Hours Log'!$A:$A,"&lt;"&amp;$J858+7))</f>
        <v/>
      </c>
      <c r="J858" t="str">
        <f>IF(COUNT('Hours Log'!$A$4:$A$5000)=0,"",IF(MIN('Hours Log'!$A$4:$A$5000)+7*(ROW()-10)&gt;MAX('Hours Log'!$A$4:$A$5000),"",MIN('Hours Log'!$A$4:$A$5000)+7*(ROW()-10)))</f>
        <v/>
      </c>
    </row>
    <row r="859" spans="1:10" x14ac:dyDescent="0.25">
      <c r="A859" t="str">
        <f>IF($J859="","",YEAR($J859-WEEKDAY($J859,2)+4)&amp;"-W"&amp;TEXT(_xludf.ISOWEEKNUM($J859),"00"))</f>
        <v/>
      </c>
      <c r="B859"/>
      <c r="C859" t="str">
        <f>IF($J859="","",SUMIFS('Hours Log'!$C:$C,'Hours Log'!$A:$A,"&gt;="&amp;$J859,'Hours Log'!$A:$A,"&lt;"&amp;$J859+7)+SUMIFS('Hours Log'!$D:$D,'Hours Log'!$A:$A,"&gt;="&amp;$J859,'Hours Log'!$A:$A,"&lt;"&amp;$J859+7))</f>
        <v/>
      </c>
      <c r="D859" t="str">
        <f>IF($J859="","",SUMIFS('Hours Log'!$D:$D,'Hours Log'!$A:$A,"&gt;="&amp;$J859,'Hours Log'!$A:$A,"&lt;"&amp;$J859+7))</f>
        <v/>
      </c>
      <c r="E859" t="str">
        <f t="shared" si="26"/>
        <v/>
      </c>
      <c r="F859" t="str">
        <f t="shared" si="27"/>
        <v/>
      </c>
      <c r="G859" t="str">
        <f>IF($J859="","",SUMIFS('Hours Log'!$E:$E,'Hours Log'!$A:$A,"&gt;="&amp;$J859,'Hours Log'!$A:$A,"&lt;"&amp;$J859+7))</f>
        <v/>
      </c>
      <c r="J859" t="str">
        <f>IF(COUNT('Hours Log'!$A$4:$A$5000)=0,"",IF(MIN('Hours Log'!$A$4:$A$5000)+7*(ROW()-10)&gt;MAX('Hours Log'!$A$4:$A$5000),"",MIN('Hours Log'!$A$4:$A$5000)+7*(ROW()-10)))</f>
        <v/>
      </c>
    </row>
    <row r="860" spans="1:10" x14ac:dyDescent="0.25">
      <c r="A860" t="str">
        <f>IF($J860="","",YEAR($J860-WEEKDAY($J860,2)+4)&amp;"-W"&amp;TEXT(_xludf.ISOWEEKNUM($J860),"00"))</f>
        <v/>
      </c>
      <c r="B860"/>
      <c r="C860" t="str">
        <f>IF($J860="","",SUMIFS('Hours Log'!$C:$C,'Hours Log'!$A:$A,"&gt;="&amp;$J860,'Hours Log'!$A:$A,"&lt;"&amp;$J860+7)+SUMIFS('Hours Log'!$D:$D,'Hours Log'!$A:$A,"&gt;="&amp;$J860,'Hours Log'!$A:$A,"&lt;"&amp;$J860+7))</f>
        <v/>
      </c>
      <c r="D860" t="str">
        <f>IF($J860="","",SUMIFS('Hours Log'!$D:$D,'Hours Log'!$A:$A,"&gt;="&amp;$J860,'Hours Log'!$A:$A,"&lt;"&amp;$J860+7))</f>
        <v/>
      </c>
      <c r="E860" t="str">
        <f t="shared" si="26"/>
        <v/>
      </c>
      <c r="F860" t="str">
        <f t="shared" si="27"/>
        <v/>
      </c>
      <c r="G860" t="str">
        <f>IF($J860="","",SUMIFS('Hours Log'!$E:$E,'Hours Log'!$A:$A,"&gt;="&amp;$J860,'Hours Log'!$A:$A,"&lt;"&amp;$J860+7))</f>
        <v/>
      </c>
      <c r="J860" t="str">
        <f>IF(COUNT('Hours Log'!$A$4:$A$5000)=0,"",IF(MIN('Hours Log'!$A$4:$A$5000)+7*(ROW()-10)&gt;MAX('Hours Log'!$A$4:$A$5000),"",MIN('Hours Log'!$A$4:$A$5000)+7*(ROW()-10)))</f>
        <v/>
      </c>
    </row>
    <row r="861" spans="1:10" x14ac:dyDescent="0.25">
      <c r="A861" t="str">
        <f>IF($J861="","",YEAR($J861-WEEKDAY($J861,2)+4)&amp;"-W"&amp;TEXT(_xludf.ISOWEEKNUM($J861),"00"))</f>
        <v/>
      </c>
      <c r="B861"/>
      <c r="C861" t="str">
        <f>IF($J861="","",SUMIFS('Hours Log'!$C:$C,'Hours Log'!$A:$A,"&gt;="&amp;$J861,'Hours Log'!$A:$A,"&lt;"&amp;$J861+7)+SUMIFS('Hours Log'!$D:$D,'Hours Log'!$A:$A,"&gt;="&amp;$J861,'Hours Log'!$A:$A,"&lt;"&amp;$J861+7))</f>
        <v/>
      </c>
      <c r="D861" t="str">
        <f>IF($J861="","",SUMIFS('Hours Log'!$D:$D,'Hours Log'!$A:$A,"&gt;="&amp;$J861,'Hours Log'!$A:$A,"&lt;"&amp;$J861+7))</f>
        <v/>
      </c>
      <c r="E861" t="str">
        <f t="shared" si="26"/>
        <v/>
      </c>
      <c r="F861" t="str">
        <f t="shared" si="27"/>
        <v/>
      </c>
      <c r="G861" t="str">
        <f>IF($J861="","",SUMIFS('Hours Log'!$E:$E,'Hours Log'!$A:$A,"&gt;="&amp;$J861,'Hours Log'!$A:$A,"&lt;"&amp;$J861+7))</f>
        <v/>
      </c>
      <c r="J861" t="str">
        <f>IF(COUNT('Hours Log'!$A$4:$A$5000)=0,"",IF(MIN('Hours Log'!$A$4:$A$5000)+7*(ROW()-10)&gt;MAX('Hours Log'!$A$4:$A$5000),"",MIN('Hours Log'!$A$4:$A$5000)+7*(ROW()-10)))</f>
        <v/>
      </c>
    </row>
    <row r="862" spans="1:10" x14ac:dyDescent="0.25">
      <c r="A862" t="str">
        <f>IF($J862="","",YEAR($J862-WEEKDAY($J862,2)+4)&amp;"-W"&amp;TEXT(_xludf.ISOWEEKNUM($J862),"00"))</f>
        <v/>
      </c>
      <c r="B862"/>
      <c r="C862" t="str">
        <f>IF($J862="","",SUMIFS('Hours Log'!$C:$C,'Hours Log'!$A:$A,"&gt;="&amp;$J862,'Hours Log'!$A:$A,"&lt;"&amp;$J862+7)+SUMIFS('Hours Log'!$D:$D,'Hours Log'!$A:$A,"&gt;="&amp;$J862,'Hours Log'!$A:$A,"&lt;"&amp;$J862+7))</f>
        <v/>
      </c>
      <c r="D862" t="str">
        <f>IF($J862="","",SUMIFS('Hours Log'!$D:$D,'Hours Log'!$A:$A,"&gt;="&amp;$J862,'Hours Log'!$A:$A,"&lt;"&amp;$J862+7))</f>
        <v/>
      </c>
      <c r="E862" t="str">
        <f t="shared" si="26"/>
        <v/>
      </c>
      <c r="F862" t="str">
        <f t="shared" si="27"/>
        <v/>
      </c>
      <c r="G862" t="str">
        <f>IF($J862="","",SUMIFS('Hours Log'!$E:$E,'Hours Log'!$A:$A,"&gt;="&amp;$J862,'Hours Log'!$A:$A,"&lt;"&amp;$J862+7))</f>
        <v/>
      </c>
      <c r="J862" t="str">
        <f>IF(COUNT('Hours Log'!$A$4:$A$5000)=0,"",IF(MIN('Hours Log'!$A$4:$A$5000)+7*(ROW()-10)&gt;MAX('Hours Log'!$A$4:$A$5000),"",MIN('Hours Log'!$A$4:$A$5000)+7*(ROW()-10)))</f>
        <v/>
      </c>
    </row>
    <row r="863" spans="1:10" x14ac:dyDescent="0.25">
      <c r="A863" t="str">
        <f>IF($J863="","",YEAR($J863-WEEKDAY($J863,2)+4)&amp;"-W"&amp;TEXT(_xludf.ISOWEEKNUM($J863),"00"))</f>
        <v/>
      </c>
      <c r="B863"/>
      <c r="C863" t="str">
        <f>IF($J863="","",SUMIFS('Hours Log'!$C:$C,'Hours Log'!$A:$A,"&gt;="&amp;$J863,'Hours Log'!$A:$A,"&lt;"&amp;$J863+7)+SUMIFS('Hours Log'!$D:$D,'Hours Log'!$A:$A,"&gt;="&amp;$J863,'Hours Log'!$A:$A,"&lt;"&amp;$J863+7))</f>
        <v/>
      </c>
      <c r="D863" t="str">
        <f>IF($J863="","",SUMIFS('Hours Log'!$D:$D,'Hours Log'!$A:$A,"&gt;="&amp;$J863,'Hours Log'!$A:$A,"&lt;"&amp;$J863+7))</f>
        <v/>
      </c>
      <c r="E863" t="str">
        <f t="shared" si="26"/>
        <v/>
      </c>
      <c r="F863" t="str">
        <f t="shared" si="27"/>
        <v/>
      </c>
      <c r="G863" t="str">
        <f>IF($J863="","",SUMIFS('Hours Log'!$E:$E,'Hours Log'!$A:$A,"&gt;="&amp;$J863,'Hours Log'!$A:$A,"&lt;"&amp;$J863+7))</f>
        <v/>
      </c>
      <c r="J863" t="str">
        <f>IF(COUNT('Hours Log'!$A$4:$A$5000)=0,"",IF(MIN('Hours Log'!$A$4:$A$5000)+7*(ROW()-10)&gt;MAX('Hours Log'!$A$4:$A$5000),"",MIN('Hours Log'!$A$4:$A$5000)+7*(ROW()-10)))</f>
        <v/>
      </c>
    </row>
    <row r="864" spans="1:10" x14ac:dyDescent="0.25">
      <c r="A864" t="str">
        <f>IF($J864="","",YEAR($J864-WEEKDAY($J864,2)+4)&amp;"-W"&amp;TEXT(_xludf.ISOWEEKNUM($J864),"00"))</f>
        <v/>
      </c>
      <c r="B864"/>
      <c r="C864" t="str">
        <f>IF($J864="","",SUMIFS('Hours Log'!$C:$C,'Hours Log'!$A:$A,"&gt;="&amp;$J864,'Hours Log'!$A:$A,"&lt;"&amp;$J864+7)+SUMIFS('Hours Log'!$D:$D,'Hours Log'!$A:$A,"&gt;="&amp;$J864,'Hours Log'!$A:$A,"&lt;"&amp;$J864+7))</f>
        <v/>
      </c>
      <c r="D864" t="str">
        <f>IF($J864="","",SUMIFS('Hours Log'!$D:$D,'Hours Log'!$A:$A,"&gt;="&amp;$J864,'Hours Log'!$A:$A,"&lt;"&amp;$J864+7))</f>
        <v/>
      </c>
      <c r="E864" t="str">
        <f t="shared" si="26"/>
        <v/>
      </c>
      <c r="F864" t="str">
        <f t="shared" si="27"/>
        <v/>
      </c>
      <c r="G864" t="str">
        <f>IF($J864="","",SUMIFS('Hours Log'!$E:$E,'Hours Log'!$A:$A,"&gt;="&amp;$J864,'Hours Log'!$A:$A,"&lt;"&amp;$J864+7))</f>
        <v/>
      </c>
      <c r="J864" t="str">
        <f>IF(COUNT('Hours Log'!$A$4:$A$5000)=0,"",IF(MIN('Hours Log'!$A$4:$A$5000)+7*(ROW()-10)&gt;MAX('Hours Log'!$A$4:$A$5000),"",MIN('Hours Log'!$A$4:$A$5000)+7*(ROW()-10)))</f>
        <v/>
      </c>
    </row>
    <row r="865" spans="1:10" x14ac:dyDescent="0.25">
      <c r="A865" t="str">
        <f>IF($J865="","",YEAR($J865-WEEKDAY($J865,2)+4)&amp;"-W"&amp;TEXT(_xludf.ISOWEEKNUM($J865),"00"))</f>
        <v/>
      </c>
      <c r="B865"/>
      <c r="C865" t="str">
        <f>IF($J865="","",SUMIFS('Hours Log'!$C:$C,'Hours Log'!$A:$A,"&gt;="&amp;$J865,'Hours Log'!$A:$A,"&lt;"&amp;$J865+7)+SUMIFS('Hours Log'!$D:$D,'Hours Log'!$A:$A,"&gt;="&amp;$J865,'Hours Log'!$A:$A,"&lt;"&amp;$J865+7))</f>
        <v/>
      </c>
      <c r="D865" t="str">
        <f>IF($J865="","",SUMIFS('Hours Log'!$D:$D,'Hours Log'!$A:$A,"&gt;="&amp;$J865,'Hours Log'!$A:$A,"&lt;"&amp;$J865+7))</f>
        <v/>
      </c>
      <c r="E865" t="str">
        <f t="shared" si="26"/>
        <v/>
      </c>
      <c r="F865" t="str">
        <f t="shared" si="27"/>
        <v/>
      </c>
      <c r="G865" t="str">
        <f>IF($J865="","",SUMIFS('Hours Log'!$E:$E,'Hours Log'!$A:$A,"&gt;="&amp;$J865,'Hours Log'!$A:$A,"&lt;"&amp;$J865+7))</f>
        <v/>
      </c>
      <c r="J865" t="str">
        <f>IF(COUNT('Hours Log'!$A$4:$A$5000)=0,"",IF(MIN('Hours Log'!$A$4:$A$5000)+7*(ROW()-10)&gt;MAX('Hours Log'!$A$4:$A$5000),"",MIN('Hours Log'!$A$4:$A$5000)+7*(ROW()-10)))</f>
        <v/>
      </c>
    </row>
    <row r="866" spans="1:10" x14ac:dyDescent="0.25">
      <c r="A866" t="str">
        <f>IF($J866="","",YEAR($J866-WEEKDAY($J866,2)+4)&amp;"-W"&amp;TEXT(_xludf.ISOWEEKNUM($J866),"00"))</f>
        <v/>
      </c>
      <c r="B866"/>
      <c r="C866" t="str">
        <f>IF($J866="","",SUMIFS('Hours Log'!$C:$C,'Hours Log'!$A:$A,"&gt;="&amp;$J866,'Hours Log'!$A:$A,"&lt;"&amp;$J866+7)+SUMIFS('Hours Log'!$D:$D,'Hours Log'!$A:$A,"&gt;="&amp;$J866,'Hours Log'!$A:$A,"&lt;"&amp;$J866+7))</f>
        <v/>
      </c>
      <c r="D866" t="str">
        <f>IF($J866="","",SUMIFS('Hours Log'!$D:$D,'Hours Log'!$A:$A,"&gt;="&amp;$J866,'Hours Log'!$A:$A,"&lt;"&amp;$J866+7))</f>
        <v/>
      </c>
      <c r="E866" t="str">
        <f t="shared" si="26"/>
        <v/>
      </c>
      <c r="F866" t="str">
        <f t="shared" si="27"/>
        <v/>
      </c>
      <c r="G866" t="str">
        <f>IF($J866="","",SUMIFS('Hours Log'!$E:$E,'Hours Log'!$A:$A,"&gt;="&amp;$J866,'Hours Log'!$A:$A,"&lt;"&amp;$J866+7))</f>
        <v/>
      </c>
      <c r="J866" t="str">
        <f>IF(COUNT('Hours Log'!$A$4:$A$5000)=0,"",IF(MIN('Hours Log'!$A$4:$A$5000)+7*(ROW()-10)&gt;MAX('Hours Log'!$A$4:$A$5000),"",MIN('Hours Log'!$A$4:$A$5000)+7*(ROW()-10)))</f>
        <v/>
      </c>
    </row>
    <row r="867" spans="1:10" x14ac:dyDescent="0.25">
      <c r="A867" t="str">
        <f>IF($J867="","",YEAR($J867-WEEKDAY($J867,2)+4)&amp;"-W"&amp;TEXT(_xludf.ISOWEEKNUM($J867),"00"))</f>
        <v/>
      </c>
      <c r="B867"/>
      <c r="C867" t="str">
        <f>IF($J867="","",SUMIFS('Hours Log'!$C:$C,'Hours Log'!$A:$A,"&gt;="&amp;$J867,'Hours Log'!$A:$A,"&lt;"&amp;$J867+7)+SUMIFS('Hours Log'!$D:$D,'Hours Log'!$A:$A,"&gt;="&amp;$J867,'Hours Log'!$A:$A,"&lt;"&amp;$J867+7))</f>
        <v/>
      </c>
      <c r="D867" t="str">
        <f>IF($J867="","",SUMIFS('Hours Log'!$D:$D,'Hours Log'!$A:$A,"&gt;="&amp;$J867,'Hours Log'!$A:$A,"&lt;"&amp;$J867+7))</f>
        <v/>
      </c>
      <c r="E867" t="str">
        <f t="shared" si="26"/>
        <v/>
      </c>
      <c r="F867" t="str">
        <f t="shared" si="27"/>
        <v/>
      </c>
      <c r="G867" t="str">
        <f>IF($J867="","",SUMIFS('Hours Log'!$E:$E,'Hours Log'!$A:$A,"&gt;="&amp;$J867,'Hours Log'!$A:$A,"&lt;"&amp;$J867+7))</f>
        <v/>
      </c>
      <c r="J867" t="str">
        <f>IF(COUNT('Hours Log'!$A$4:$A$5000)=0,"",IF(MIN('Hours Log'!$A$4:$A$5000)+7*(ROW()-10)&gt;MAX('Hours Log'!$A$4:$A$5000),"",MIN('Hours Log'!$A$4:$A$5000)+7*(ROW()-10)))</f>
        <v/>
      </c>
    </row>
    <row r="868" spans="1:10" x14ac:dyDescent="0.25">
      <c r="A868" t="str">
        <f>IF($J868="","",YEAR($J868-WEEKDAY($J868,2)+4)&amp;"-W"&amp;TEXT(_xludf.ISOWEEKNUM($J868),"00"))</f>
        <v/>
      </c>
      <c r="B868"/>
      <c r="C868" t="str">
        <f>IF($J868="","",SUMIFS('Hours Log'!$C:$C,'Hours Log'!$A:$A,"&gt;="&amp;$J868,'Hours Log'!$A:$A,"&lt;"&amp;$J868+7)+SUMIFS('Hours Log'!$D:$D,'Hours Log'!$A:$A,"&gt;="&amp;$J868,'Hours Log'!$A:$A,"&lt;"&amp;$J868+7))</f>
        <v/>
      </c>
      <c r="D868" t="str">
        <f>IF($J868="","",SUMIFS('Hours Log'!$D:$D,'Hours Log'!$A:$A,"&gt;="&amp;$J868,'Hours Log'!$A:$A,"&lt;"&amp;$J868+7))</f>
        <v/>
      </c>
      <c r="E868" t="str">
        <f t="shared" si="26"/>
        <v/>
      </c>
      <c r="F868" t="str">
        <f t="shared" si="27"/>
        <v/>
      </c>
      <c r="G868" t="str">
        <f>IF($J868="","",SUMIFS('Hours Log'!$E:$E,'Hours Log'!$A:$A,"&gt;="&amp;$J868,'Hours Log'!$A:$A,"&lt;"&amp;$J868+7))</f>
        <v/>
      </c>
      <c r="J868" t="str">
        <f>IF(COUNT('Hours Log'!$A$4:$A$5000)=0,"",IF(MIN('Hours Log'!$A$4:$A$5000)+7*(ROW()-10)&gt;MAX('Hours Log'!$A$4:$A$5000),"",MIN('Hours Log'!$A$4:$A$5000)+7*(ROW()-10)))</f>
        <v/>
      </c>
    </row>
    <row r="869" spans="1:10" x14ac:dyDescent="0.25">
      <c r="A869" t="str">
        <f>IF($J869="","",YEAR($J869-WEEKDAY($J869,2)+4)&amp;"-W"&amp;TEXT(_xludf.ISOWEEKNUM($J869),"00"))</f>
        <v/>
      </c>
      <c r="B869"/>
      <c r="C869" t="str">
        <f>IF($J869="","",SUMIFS('Hours Log'!$C:$C,'Hours Log'!$A:$A,"&gt;="&amp;$J869,'Hours Log'!$A:$A,"&lt;"&amp;$J869+7)+SUMIFS('Hours Log'!$D:$D,'Hours Log'!$A:$A,"&gt;="&amp;$J869,'Hours Log'!$A:$A,"&lt;"&amp;$J869+7))</f>
        <v/>
      </c>
      <c r="D869" t="str">
        <f>IF($J869="","",SUMIFS('Hours Log'!$D:$D,'Hours Log'!$A:$A,"&gt;="&amp;$J869,'Hours Log'!$A:$A,"&lt;"&amp;$J869+7))</f>
        <v/>
      </c>
      <c r="E869" t="str">
        <f t="shared" si="26"/>
        <v/>
      </c>
      <c r="F869" t="str">
        <f t="shared" si="27"/>
        <v/>
      </c>
      <c r="G869" t="str">
        <f>IF($J869="","",SUMIFS('Hours Log'!$E:$E,'Hours Log'!$A:$A,"&gt;="&amp;$J869,'Hours Log'!$A:$A,"&lt;"&amp;$J869+7))</f>
        <v/>
      </c>
      <c r="J869" t="str">
        <f>IF(COUNT('Hours Log'!$A$4:$A$5000)=0,"",IF(MIN('Hours Log'!$A$4:$A$5000)+7*(ROW()-10)&gt;MAX('Hours Log'!$A$4:$A$5000),"",MIN('Hours Log'!$A$4:$A$5000)+7*(ROW()-10)))</f>
        <v/>
      </c>
    </row>
    <row r="870" spans="1:10" x14ac:dyDescent="0.25">
      <c r="A870" t="str">
        <f>IF($J870="","",YEAR($J870-WEEKDAY($J870,2)+4)&amp;"-W"&amp;TEXT(_xludf.ISOWEEKNUM($J870),"00"))</f>
        <v/>
      </c>
      <c r="B870"/>
      <c r="C870" t="str">
        <f>IF($J870="","",SUMIFS('Hours Log'!$C:$C,'Hours Log'!$A:$A,"&gt;="&amp;$J870,'Hours Log'!$A:$A,"&lt;"&amp;$J870+7)+SUMIFS('Hours Log'!$D:$D,'Hours Log'!$A:$A,"&gt;="&amp;$J870,'Hours Log'!$A:$A,"&lt;"&amp;$J870+7))</f>
        <v/>
      </c>
      <c r="D870" t="str">
        <f>IF($J870="","",SUMIFS('Hours Log'!$D:$D,'Hours Log'!$A:$A,"&gt;="&amp;$J870,'Hours Log'!$A:$A,"&lt;"&amp;$J870+7))</f>
        <v/>
      </c>
      <c r="E870" t="str">
        <f t="shared" si="26"/>
        <v/>
      </c>
      <c r="F870" t="str">
        <f t="shared" si="27"/>
        <v/>
      </c>
      <c r="G870" t="str">
        <f>IF($J870="","",SUMIFS('Hours Log'!$E:$E,'Hours Log'!$A:$A,"&gt;="&amp;$J870,'Hours Log'!$A:$A,"&lt;"&amp;$J870+7))</f>
        <v/>
      </c>
      <c r="J870" t="str">
        <f>IF(COUNT('Hours Log'!$A$4:$A$5000)=0,"",IF(MIN('Hours Log'!$A$4:$A$5000)+7*(ROW()-10)&gt;MAX('Hours Log'!$A$4:$A$5000),"",MIN('Hours Log'!$A$4:$A$5000)+7*(ROW()-10)))</f>
        <v/>
      </c>
    </row>
    <row r="871" spans="1:10" x14ac:dyDescent="0.25">
      <c r="A871" t="str">
        <f>IF($J871="","",YEAR($J871-WEEKDAY($J871,2)+4)&amp;"-W"&amp;TEXT(_xludf.ISOWEEKNUM($J871),"00"))</f>
        <v/>
      </c>
      <c r="B871"/>
      <c r="C871" t="str">
        <f>IF($J871="","",SUMIFS('Hours Log'!$C:$C,'Hours Log'!$A:$A,"&gt;="&amp;$J871,'Hours Log'!$A:$A,"&lt;"&amp;$J871+7)+SUMIFS('Hours Log'!$D:$D,'Hours Log'!$A:$A,"&gt;="&amp;$J871,'Hours Log'!$A:$A,"&lt;"&amp;$J871+7))</f>
        <v/>
      </c>
      <c r="D871" t="str">
        <f>IF($J871="","",SUMIFS('Hours Log'!$D:$D,'Hours Log'!$A:$A,"&gt;="&amp;$J871,'Hours Log'!$A:$A,"&lt;"&amp;$J871+7))</f>
        <v/>
      </c>
      <c r="E871" t="str">
        <f t="shared" si="26"/>
        <v/>
      </c>
      <c r="F871" t="str">
        <f t="shared" si="27"/>
        <v/>
      </c>
      <c r="G871" t="str">
        <f>IF($J871="","",SUMIFS('Hours Log'!$E:$E,'Hours Log'!$A:$A,"&gt;="&amp;$J871,'Hours Log'!$A:$A,"&lt;"&amp;$J871+7))</f>
        <v/>
      </c>
      <c r="J871" t="str">
        <f>IF(COUNT('Hours Log'!$A$4:$A$5000)=0,"",IF(MIN('Hours Log'!$A$4:$A$5000)+7*(ROW()-10)&gt;MAX('Hours Log'!$A$4:$A$5000),"",MIN('Hours Log'!$A$4:$A$5000)+7*(ROW()-10)))</f>
        <v/>
      </c>
    </row>
    <row r="872" spans="1:10" x14ac:dyDescent="0.25">
      <c r="A872" t="str">
        <f>IF($J872="","",YEAR($J872-WEEKDAY($J872,2)+4)&amp;"-W"&amp;TEXT(_xludf.ISOWEEKNUM($J872),"00"))</f>
        <v/>
      </c>
      <c r="B872"/>
      <c r="C872" t="str">
        <f>IF($J872="","",SUMIFS('Hours Log'!$C:$C,'Hours Log'!$A:$A,"&gt;="&amp;$J872,'Hours Log'!$A:$A,"&lt;"&amp;$J872+7)+SUMIFS('Hours Log'!$D:$D,'Hours Log'!$A:$A,"&gt;="&amp;$J872,'Hours Log'!$A:$A,"&lt;"&amp;$J872+7))</f>
        <v/>
      </c>
      <c r="D872" t="str">
        <f>IF($J872="","",SUMIFS('Hours Log'!$D:$D,'Hours Log'!$A:$A,"&gt;="&amp;$J872,'Hours Log'!$A:$A,"&lt;"&amp;$J872+7))</f>
        <v/>
      </c>
      <c r="E872" t="str">
        <f t="shared" si="26"/>
        <v/>
      </c>
      <c r="F872" t="str">
        <f t="shared" si="27"/>
        <v/>
      </c>
      <c r="G872" t="str">
        <f>IF($J872="","",SUMIFS('Hours Log'!$E:$E,'Hours Log'!$A:$A,"&gt;="&amp;$J872,'Hours Log'!$A:$A,"&lt;"&amp;$J872+7))</f>
        <v/>
      </c>
      <c r="J872" t="str">
        <f>IF(COUNT('Hours Log'!$A$4:$A$5000)=0,"",IF(MIN('Hours Log'!$A$4:$A$5000)+7*(ROW()-10)&gt;MAX('Hours Log'!$A$4:$A$5000),"",MIN('Hours Log'!$A$4:$A$5000)+7*(ROW()-10)))</f>
        <v/>
      </c>
    </row>
    <row r="873" spans="1:10" x14ac:dyDescent="0.25">
      <c r="A873" t="str">
        <f>IF($J873="","",YEAR($J873-WEEKDAY($J873,2)+4)&amp;"-W"&amp;TEXT(_xludf.ISOWEEKNUM($J873),"00"))</f>
        <v/>
      </c>
      <c r="B873"/>
      <c r="C873" t="str">
        <f>IF($J873="","",SUMIFS('Hours Log'!$C:$C,'Hours Log'!$A:$A,"&gt;="&amp;$J873,'Hours Log'!$A:$A,"&lt;"&amp;$J873+7)+SUMIFS('Hours Log'!$D:$D,'Hours Log'!$A:$A,"&gt;="&amp;$J873,'Hours Log'!$A:$A,"&lt;"&amp;$J873+7))</f>
        <v/>
      </c>
      <c r="D873" t="str">
        <f>IF($J873="","",SUMIFS('Hours Log'!$D:$D,'Hours Log'!$A:$A,"&gt;="&amp;$J873,'Hours Log'!$A:$A,"&lt;"&amp;$J873+7))</f>
        <v/>
      </c>
      <c r="E873" t="str">
        <f t="shared" si="26"/>
        <v/>
      </c>
      <c r="F873" t="str">
        <f t="shared" si="27"/>
        <v/>
      </c>
      <c r="G873" t="str">
        <f>IF($J873="","",SUMIFS('Hours Log'!$E:$E,'Hours Log'!$A:$A,"&gt;="&amp;$J873,'Hours Log'!$A:$A,"&lt;"&amp;$J873+7))</f>
        <v/>
      </c>
      <c r="J873" t="str">
        <f>IF(COUNT('Hours Log'!$A$4:$A$5000)=0,"",IF(MIN('Hours Log'!$A$4:$A$5000)+7*(ROW()-10)&gt;MAX('Hours Log'!$A$4:$A$5000),"",MIN('Hours Log'!$A$4:$A$5000)+7*(ROW()-10)))</f>
        <v/>
      </c>
    </row>
    <row r="874" spans="1:10" x14ac:dyDescent="0.25">
      <c r="A874" t="str">
        <f>IF($J874="","",YEAR($J874-WEEKDAY($J874,2)+4)&amp;"-W"&amp;TEXT(_xludf.ISOWEEKNUM($J874),"00"))</f>
        <v/>
      </c>
      <c r="B874"/>
      <c r="C874" t="str">
        <f>IF($J874="","",SUMIFS('Hours Log'!$C:$C,'Hours Log'!$A:$A,"&gt;="&amp;$J874,'Hours Log'!$A:$A,"&lt;"&amp;$J874+7)+SUMIFS('Hours Log'!$D:$D,'Hours Log'!$A:$A,"&gt;="&amp;$J874,'Hours Log'!$A:$A,"&lt;"&amp;$J874+7))</f>
        <v/>
      </c>
      <c r="D874" t="str">
        <f>IF($J874="","",SUMIFS('Hours Log'!$D:$D,'Hours Log'!$A:$A,"&gt;="&amp;$J874,'Hours Log'!$A:$A,"&lt;"&amp;$J874+7))</f>
        <v/>
      </c>
      <c r="E874" t="str">
        <f t="shared" si="26"/>
        <v/>
      </c>
      <c r="F874" t="str">
        <f t="shared" si="27"/>
        <v/>
      </c>
      <c r="G874" t="str">
        <f>IF($J874="","",SUMIFS('Hours Log'!$E:$E,'Hours Log'!$A:$A,"&gt;="&amp;$J874,'Hours Log'!$A:$A,"&lt;"&amp;$J874+7))</f>
        <v/>
      </c>
      <c r="J874" t="str">
        <f>IF(COUNT('Hours Log'!$A$4:$A$5000)=0,"",IF(MIN('Hours Log'!$A$4:$A$5000)+7*(ROW()-10)&gt;MAX('Hours Log'!$A$4:$A$5000),"",MIN('Hours Log'!$A$4:$A$5000)+7*(ROW()-10)))</f>
        <v/>
      </c>
    </row>
    <row r="875" spans="1:10" x14ac:dyDescent="0.25">
      <c r="A875" t="str">
        <f>IF($J875="","",YEAR($J875-WEEKDAY($J875,2)+4)&amp;"-W"&amp;TEXT(_xludf.ISOWEEKNUM($J875),"00"))</f>
        <v/>
      </c>
      <c r="B875"/>
      <c r="C875" t="str">
        <f>IF($J875="","",SUMIFS('Hours Log'!$C:$C,'Hours Log'!$A:$A,"&gt;="&amp;$J875,'Hours Log'!$A:$A,"&lt;"&amp;$J875+7)+SUMIFS('Hours Log'!$D:$D,'Hours Log'!$A:$A,"&gt;="&amp;$J875,'Hours Log'!$A:$A,"&lt;"&amp;$J875+7))</f>
        <v/>
      </c>
      <c r="D875" t="str">
        <f>IF($J875="","",SUMIFS('Hours Log'!$D:$D,'Hours Log'!$A:$A,"&gt;="&amp;$J875,'Hours Log'!$A:$A,"&lt;"&amp;$J875+7))</f>
        <v/>
      </c>
      <c r="E875" t="str">
        <f t="shared" si="26"/>
        <v/>
      </c>
      <c r="F875" t="str">
        <f t="shared" si="27"/>
        <v/>
      </c>
      <c r="G875" t="str">
        <f>IF($J875="","",SUMIFS('Hours Log'!$E:$E,'Hours Log'!$A:$A,"&gt;="&amp;$J875,'Hours Log'!$A:$A,"&lt;"&amp;$J875+7))</f>
        <v/>
      </c>
      <c r="J875" t="str">
        <f>IF(COUNT('Hours Log'!$A$4:$A$5000)=0,"",IF(MIN('Hours Log'!$A$4:$A$5000)+7*(ROW()-10)&gt;MAX('Hours Log'!$A$4:$A$5000),"",MIN('Hours Log'!$A$4:$A$5000)+7*(ROW()-10)))</f>
        <v/>
      </c>
    </row>
    <row r="876" spans="1:10" x14ac:dyDescent="0.25">
      <c r="A876" t="str">
        <f>IF($J876="","",YEAR($J876-WEEKDAY($J876,2)+4)&amp;"-W"&amp;TEXT(_xludf.ISOWEEKNUM($J876),"00"))</f>
        <v/>
      </c>
      <c r="B876"/>
      <c r="C876" t="str">
        <f>IF($J876="","",SUMIFS('Hours Log'!$C:$C,'Hours Log'!$A:$A,"&gt;="&amp;$J876,'Hours Log'!$A:$A,"&lt;"&amp;$J876+7)+SUMIFS('Hours Log'!$D:$D,'Hours Log'!$A:$A,"&gt;="&amp;$J876,'Hours Log'!$A:$A,"&lt;"&amp;$J876+7))</f>
        <v/>
      </c>
      <c r="D876" t="str">
        <f>IF($J876="","",SUMIFS('Hours Log'!$D:$D,'Hours Log'!$A:$A,"&gt;="&amp;$J876,'Hours Log'!$A:$A,"&lt;"&amp;$J876+7))</f>
        <v/>
      </c>
      <c r="E876" t="str">
        <f t="shared" si="26"/>
        <v/>
      </c>
      <c r="F876" t="str">
        <f t="shared" si="27"/>
        <v/>
      </c>
      <c r="G876" t="str">
        <f>IF($J876="","",SUMIFS('Hours Log'!$E:$E,'Hours Log'!$A:$A,"&gt;="&amp;$J876,'Hours Log'!$A:$A,"&lt;"&amp;$J876+7))</f>
        <v/>
      </c>
      <c r="J876" t="str">
        <f>IF(COUNT('Hours Log'!$A$4:$A$5000)=0,"",IF(MIN('Hours Log'!$A$4:$A$5000)+7*(ROW()-10)&gt;MAX('Hours Log'!$A$4:$A$5000),"",MIN('Hours Log'!$A$4:$A$5000)+7*(ROW()-10)))</f>
        <v/>
      </c>
    </row>
    <row r="877" spans="1:10" x14ac:dyDescent="0.25">
      <c r="A877" t="str">
        <f>IF($J877="","",YEAR($J877-WEEKDAY($J877,2)+4)&amp;"-W"&amp;TEXT(_xludf.ISOWEEKNUM($J877),"00"))</f>
        <v/>
      </c>
      <c r="B877"/>
      <c r="C877" t="str">
        <f>IF($J877="","",SUMIFS('Hours Log'!$C:$C,'Hours Log'!$A:$A,"&gt;="&amp;$J877,'Hours Log'!$A:$A,"&lt;"&amp;$J877+7)+SUMIFS('Hours Log'!$D:$D,'Hours Log'!$A:$A,"&gt;="&amp;$J877,'Hours Log'!$A:$A,"&lt;"&amp;$J877+7))</f>
        <v/>
      </c>
      <c r="D877" t="str">
        <f>IF($J877="","",SUMIFS('Hours Log'!$D:$D,'Hours Log'!$A:$A,"&gt;="&amp;$J877,'Hours Log'!$A:$A,"&lt;"&amp;$J877+7))</f>
        <v/>
      </c>
      <c r="E877" t="str">
        <f t="shared" si="26"/>
        <v/>
      </c>
      <c r="F877" t="str">
        <f t="shared" si="27"/>
        <v/>
      </c>
      <c r="G877" t="str">
        <f>IF($J877="","",SUMIFS('Hours Log'!$E:$E,'Hours Log'!$A:$A,"&gt;="&amp;$J877,'Hours Log'!$A:$A,"&lt;"&amp;$J877+7))</f>
        <v/>
      </c>
      <c r="J877" t="str">
        <f>IF(COUNT('Hours Log'!$A$4:$A$5000)=0,"",IF(MIN('Hours Log'!$A$4:$A$5000)+7*(ROW()-10)&gt;MAX('Hours Log'!$A$4:$A$5000),"",MIN('Hours Log'!$A$4:$A$5000)+7*(ROW()-10)))</f>
        <v/>
      </c>
    </row>
    <row r="878" spans="1:10" x14ac:dyDescent="0.25">
      <c r="A878" t="str">
        <f>IF($J878="","",YEAR($J878-WEEKDAY($J878,2)+4)&amp;"-W"&amp;TEXT(_xludf.ISOWEEKNUM($J878),"00"))</f>
        <v/>
      </c>
      <c r="B878"/>
      <c r="C878" t="str">
        <f>IF($J878="","",SUMIFS('Hours Log'!$C:$C,'Hours Log'!$A:$A,"&gt;="&amp;$J878,'Hours Log'!$A:$A,"&lt;"&amp;$J878+7)+SUMIFS('Hours Log'!$D:$D,'Hours Log'!$A:$A,"&gt;="&amp;$J878,'Hours Log'!$A:$A,"&lt;"&amp;$J878+7))</f>
        <v/>
      </c>
      <c r="D878" t="str">
        <f>IF($J878="","",SUMIFS('Hours Log'!$D:$D,'Hours Log'!$A:$A,"&gt;="&amp;$J878,'Hours Log'!$A:$A,"&lt;"&amp;$J878+7))</f>
        <v/>
      </c>
      <c r="E878" t="str">
        <f t="shared" si="26"/>
        <v/>
      </c>
      <c r="F878" t="str">
        <f t="shared" si="27"/>
        <v/>
      </c>
      <c r="G878" t="str">
        <f>IF($J878="","",SUMIFS('Hours Log'!$E:$E,'Hours Log'!$A:$A,"&gt;="&amp;$J878,'Hours Log'!$A:$A,"&lt;"&amp;$J878+7))</f>
        <v/>
      </c>
      <c r="J878" t="str">
        <f>IF(COUNT('Hours Log'!$A$4:$A$5000)=0,"",IF(MIN('Hours Log'!$A$4:$A$5000)+7*(ROW()-10)&gt;MAX('Hours Log'!$A$4:$A$5000),"",MIN('Hours Log'!$A$4:$A$5000)+7*(ROW()-10)))</f>
        <v/>
      </c>
    </row>
    <row r="879" spans="1:10" x14ac:dyDescent="0.25">
      <c r="A879" t="str">
        <f>IF($J879="","",YEAR($J879-WEEKDAY($J879,2)+4)&amp;"-W"&amp;TEXT(_xludf.ISOWEEKNUM($J879),"00"))</f>
        <v/>
      </c>
      <c r="B879"/>
      <c r="C879" t="str">
        <f>IF($J879="","",SUMIFS('Hours Log'!$C:$C,'Hours Log'!$A:$A,"&gt;="&amp;$J879,'Hours Log'!$A:$A,"&lt;"&amp;$J879+7)+SUMIFS('Hours Log'!$D:$D,'Hours Log'!$A:$A,"&gt;="&amp;$J879,'Hours Log'!$A:$A,"&lt;"&amp;$J879+7))</f>
        <v/>
      </c>
      <c r="D879" t="str">
        <f>IF($J879="","",SUMIFS('Hours Log'!$D:$D,'Hours Log'!$A:$A,"&gt;="&amp;$J879,'Hours Log'!$A:$A,"&lt;"&amp;$J879+7))</f>
        <v/>
      </c>
      <c r="E879" t="str">
        <f t="shared" si="26"/>
        <v/>
      </c>
      <c r="F879" t="str">
        <f t="shared" si="27"/>
        <v/>
      </c>
      <c r="G879" t="str">
        <f>IF($J879="","",SUMIFS('Hours Log'!$E:$E,'Hours Log'!$A:$A,"&gt;="&amp;$J879,'Hours Log'!$A:$A,"&lt;"&amp;$J879+7))</f>
        <v/>
      </c>
      <c r="J879" t="str">
        <f>IF(COUNT('Hours Log'!$A$4:$A$5000)=0,"",IF(MIN('Hours Log'!$A$4:$A$5000)+7*(ROW()-10)&gt;MAX('Hours Log'!$A$4:$A$5000),"",MIN('Hours Log'!$A$4:$A$5000)+7*(ROW()-10)))</f>
        <v/>
      </c>
    </row>
    <row r="880" spans="1:10" x14ac:dyDescent="0.25">
      <c r="A880" t="str">
        <f>IF($J880="","",YEAR($J880-WEEKDAY($J880,2)+4)&amp;"-W"&amp;TEXT(_xludf.ISOWEEKNUM($J880),"00"))</f>
        <v/>
      </c>
      <c r="B880"/>
      <c r="C880" t="str">
        <f>IF($J880="","",SUMIFS('Hours Log'!$C:$C,'Hours Log'!$A:$A,"&gt;="&amp;$J880,'Hours Log'!$A:$A,"&lt;"&amp;$J880+7)+SUMIFS('Hours Log'!$D:$D,'Hours Log'!$A:$A,"&gt;="&amp;$J880,'Hours Log'!$A:$A,"&lt;"&amp;$J880+7))</f>
        <v/>
      </c>
      <c r="D880" t="str">
        <f>IF($J880="","",SUMIFS('Hours Log'!$D:$D,'Hours Log'!$A:$A,"&gt;="&amp;$J880,'Hours Log'!$A:$A,"&lt;"&amp;$J880+7))</f>
        <v/>
      </c>
      <c r="E880" t="str">
        <f t="shared" si="26"/>
        <v/>
      </c>
      <c r="F880" t="str">
        <f t="shared" si="27"/>
        <v/>
      </c>
      <c r="G880" t="str">
        <f>IF($J880="","",SUMIFS('Hours Log'!$E:$E,'Hours Log'!$A:$A,"&gt;="&amp;$J880,'Hours Log'!$A:$A,"&lt;"&amp;$J880+7))</f>
        <v/>
      </c>
      <c r="J880" t="str">
        <f>IF(COUNT('Hours Log'!$A$4:$A$5000)=0,"",IF(MIN('Hours Log'!$A$4:$A$5000)+7*(ROW()-10)&gt;MAX('Hours Log'!$A$4:$A$5000),"",MIN('Hours Log'!$A$4:$A$5000)+7*(ROW()-10)))</f>
        <v/>
      </c>
    </row>
    <row r="881" spans="1:10" x14ac:dyDescent="0.25">
      <c r="A881" t="str">
        <f>IF($J881="","",YEAR($J881-WEEKDAY($J881,2)+4)&amp;"-W"&amp;TEXT(_xludf.ISOWEEKNUM($J881),"00"))</f>
        <v/>
      </c>
      <c r="B881"/>
      <c r="C881" t="str">
        <f>IF($J881="","",SUMIFS('Hours Log'!$C:$C,'Hours Log'!$A:$A,"&gt;="&amp;$J881,'Hours Log'!$A:$A,"&lt;"&amp;$J881+7)+SUMIFS('Hours Log'!$D:$D,'Hours Log'!$A:$A,"&gt;="&amp;$J881,'Hours Log'!$A:$A,"&lt;"&amp;$J881+7))</f>
        <v/>
      </c>
      <c r="D881" t="str">
        <f>IF($J881="","",SUMIFS('Hours Log'!$D:$D,'Hours Log'!$A:$A,"&gt;="&amp;$J881,'Hours Log'!$A:$A,"&lt;"&amp;$J881+7))</f>
        <v/>
      </c>
      <c r="E881" t="str">
        <f t="shared" si="26"/>
        <v/>
      </c>
      <c r="F881" t="str">
        <f t="shared" si="27"/>
        <v/>
      </c>
      <c r="G881" t="str">
        <f>IF($J881="","",SUMIFS('Hours Log'!$E:$E,'Hours Log'!$A:$A,"&gt;="&amp;$J881,'Hours Log'!$A:$A,"&lt;"&amp;$J881+7))</f>
        <v/>
      </c>
      <c r="J881" t="str">
        <f>IF(COUNT('Hours Log'!$A$4:$A$5000)=0,"",IF(MIN('Hours Log'!$A$4:$A$5000)+7*(ROW()-10)&gt;MAX('Hours Log'!$A$4:$A$5000),"",MIN('Hours Log'!$A$4:$A$5000)+7*(ROW()-10)))</f>
        <v/>
      </c>
    </row>
    <row r="882" spans="1:10" x14ac:dyDescent="0.25">
      <c r="A882" t="str">
        <f>IF($J882="","",YEAR($J882-WEEKDAY($J882,2)+4)&amp;"-W"&amp;TEXT(_xludf.ISOWEEKNUM($J882),"00"))</f>
        <v/>
      </c>
      <c r="B882"/>
      <c r="C882" t="str">
        <f>IF($J882="","",SUMIFS('Hours Log'!$C:$C,'Hours Log'!$A:$A,"&gt;="&amp;$J882,'Hours Log'!$A:$A,"&lt;"&amp;$J882+7)+SUMIFS('Hours Log'!$D:$D,'Hours Log'!$A:$A,"&gt;="&amp;$J882,'Hours Log'!$A:$A,"&lt;"&amp;$J882+7))</f>
        <v/>
      </c>
      <c r="D882" t="str">
        <f>IF($J882="","",SUMIFS('Hours Log'!$D:$D,'Hours Log'!$A:$A,"&gt;="&amp;$J882,'Hours Log'!$A:$A,"&lt;"&amp;$J882+7))</f>
        <v/>
      </c>
      <c r="E882" t="str">
        <f t="shared" si="26"/>
        <v/>
      </c>
      <c r="F882" t="str">
        <f t="shared" si="27"/>
        <v/>
      </c>
      <c r="G882" t="str">
        <f>IF($J882="","",SUMIFS('Hours Log'!$E:$E,'Hours Log'!$A:$A,"&gt;="&amp;$J882,'Hours Log'!$A:$A,"&lt;"&amp;$J882+7))</f>
        <v/>
      </c>
      <c r="J882" t="str">
        <f>IF(COUNT('Hours Log'!$A$4:$A$5000)=0,"",IF(MIN('Hours Log'!$A$4:$A$5000)+7*(ROW()-10)&gt;MAX('Hours Log'!$A$4:$A$5000),"",MIN('Hours Log'!$A$4:$A$5000)+7*(ROW()-10)))</f>
        <v/>
      </c>
    </row>
    <row r="883" spans="1:10" x14ac:dyDescent="0.25">
      <c r="A883" t="str">
        <f>IF($J883="","",YEAR($J883-WEEKDAY($J883,2)+4)&amp;"-W"&amp;TEXT(_xludf.ISOWEEKNUM($J883),"00"))</f>
        <v/>
      </c>
      <c r="B883"/>
      <c r="C883" t="str">
        <f>IF($J883="","",SUMIFS('Hours Log'!$C:$C,'Hours Log'!$A:$A,"&gt;="&amp;$J883,'Hours Log'!$A:$A,"&lt;"&amp;$J883+7)+SUMIFS('Hours Log'!$D:$D,'Hours Log'!$A:$A,"&gt;="&amp;$J883,'Hours Log'!$A:$A,"&lt;"&amp;$J883+7))</f>
        <v/>
      </c>
      <c r="D883" t="str">
        <f>IF($J883="","",SUMIFS('Hours Log'!$D:$D,'Hours Log'!$A:$A,"&gt;="&amp;$J883,'Hours Log'!$A:$A,"&lt;"&amp;$J883+7))</f>
        <v/>
      </c>
      <c r="E883" t="str">
        <f t="shared" si="26"/>
        <v/>
      </c>
      <c r="F883" t="str">
        <f t="shared" si="27"/>
        <v/>
      </c>
      <c r="G883" t="str">
        <f>IF($J883="","",SUMIFS('Hours Log'!$E:$E,'Hours Log'!$A:$A,"&gt;="&amp;$J883,'Hours Log'!$A:$A,"&lt;"&amp;$J883+7))</f>
        <v/>
      </c>
      <c r="J883" t="str">
        <f>IF(COUNT('Hours Log'!$A$4:$A$5000)=0,"",IF(MIN('Hours Log'!$A$4:$A$5000)+7*(ROW()-10)&gt;MAX('Hours Log'!$A$4:$A$5000),"",MIN('Hours Log'!$A$4:$A$5000)+7*(ROW()-10)))</f>
        <v/>
      </c>
    </row>
    <row r="884" spans="1:10" x14ac:dyDescent="0.25">
      <c r="A884" t="str">
        <f>IF($J884="","",YEAR($J884-WEEKDAY($J884,2)+4)&amp;"-W"&amp;TEXT(_xludf.ISOWEEKNUM($J884),"00"))</f>
        <v/>
      </c>
      <c r="B884"/>
      <c r="C884" t="str">
        <f>IF($J884="","",SUMIFS('Hours Log'!$C:$C,'Hours Log'!$A:$A,"&gt;="&amp;$J884,'Hours Log'!$A:$A,"&lt;"&amp;$J884+7)+SUMIFS('Hours Log'!$D:$D,'Hours Log'!$A:$A,"&gt;="&amp;$J884,'Hours Log'!$A:$A,"&lt;"&amp;$J884+7))</f>
        <v/>
      </c>
      <c r="D884" t="str">
        <f>IF($J884="","",SUMIFS('Hours Log'!$D:$D,'Hours Log'!$A:$A,"&gt;="&amp;$J884,'Hours Log'!$A:$A,"&lt;"&amp;$J884+7))</f>
        <v/>
      </c>
      <c r="E884" t="str">
        <f t="shared" si="26"/>
        <v/>
      </c>
      <c r="F884" t="str">
        <f t="shared" si="27"/>
        <v/>
      </c>
      <c r="G884" t="str">
        <f>IF($J884="","",SUMIFS('Hours Log'!$E:$E,'Hours Log'!$A:$A,"&gt;="&amp;$J884,'Hours Log'!$A:$A,"&lt;"&amp;$J884+7))</f>
        <v/>
      </c>
      <c r="J884" t="str">
        <f>IF(COUNT('Hours Log'!$A$4:$A$5000)=0,"",IF(MIN('Hours Log'!$A$4:$A$5000)+7*(ROW()-10)&gt;MAX('Hours Log'!$A$4:$A$5000),"",MIN('Hours Log'!$A$4:$A$5000)+7*(ROW()-10)))</f>
        <v/>
      </c>
    </row>
    <row r="885" spans="1:10" x14ac:dyDescent="0.25">
      <c r="A885" t="str">
        <f>IF($J885="","",YEAR($J885-WEEKDAY($J885,2)+4)&amp;"-W"&amp;TEXT(_xludf.ISOWEEKNUM($J885),"00"))</f>
        <v/>
      </c>
      <c r="B885"/>
      <c r="C885" t="str">
        <f>IF($J885="","",SUMIFS('Hours Log'!$C:$C,'Hours Log'!$A:$A,"&gt;="&amp;$J885,'Hours Log'!$A:$A,"&lt;"&amp;$J885+7)+SUMIFS('Hours Log'!$D:$D,'Hours Log'!$A:$A,"&gt;="&amp;$J885,'Hours Log'!$A:$A,"&lt;"&amp;$J885+7))</f>
        <v/>
      </c>
      <c r="D885" t="str">
        <f>IF($J885="","",SUMIFS('Hours Log'!$D:$D,'Hours Log'!$A:$A,"&gt;="&amp;$J885,'Hours Log'!$A:$A,"&lt;"&amp;$J885+7))</f>
        <v/>
      </c>
      <c r="E885" t="str">
        <f t="shared" si="26"/>
        <v/>
      </c>
      <c r="F885" t="str">
        <f t="shared" si="27"/>
        <v/>
      </c>
      <c r="G885" t="str">
        <f>IF($J885="","",SUMIFS('Hours Log'!$E:$E,'Hours Log'!$A:$A,"&gt;="&amp;$J885,'Hours Log'!$A:$A,"&lt;"&amp;$J885+7))</f>
        <v/>
      </c>
      <c r="J885" t="str">
        <f>IF(COUNT('Hours Log'!$A$4:$A$5000)=0,"",IF(MIN('Hours Log'!$A$4:$A$5000)+7*(ROW()-10)&gt;MAX('Hours Log'!$A$4:$A$5000),"",MIN('Hours Log'!$A$4:$A$5000)+7*(ROW()-10)))</f>
        <v/>
      </c>
    </row>
    <row r="886" spans="1:10" x14ac:dyDescent="0.25">
      <c r="A886" t="str">
        <f>IF($J886="","",YEAR($J886-WEEKDAY($J886,2)+4)&amp;"-W"&amp;TEXT(_xludf.ISOWEEKNUM($J886),"00"))</f>
        <v/>
      </c>
      <c r="B886"/>
      <c r="C886" t="str">
        <f>IF($J886="","",SUMIFS('Hours Log'!$C:$C,'Hours Log'!$A:$A,"&gt;="&amp;$J886,'Hours Log'!$A:$A,"&lt;"&amp;$J886+7)+SUMIFS('Hours Log'!$D:$D,'Hours Log'!$A:$A,"&gt;="&amp;$J886,'Hours Log'!$A:$A,"&lt;"&amp;$J886+7))</f>
        <v/>
      </c>
      <c r="D886" t="str">
        <f>IF($J886="","",SUMIFS('Hours Log'!$D:$D,'Hours Log'!$A:$A,"&gt;="&amp;$J886,'Hours Log'!$A:$A,"&lt;"&amp;$J886+7))</f>
        <v/>
      </c>
      <c r="E886" t="str">
        <f t="shared" si="26"/>
        <v/>
      </c>
      <c r="F886" t="str">
        <f t="shared" si="27"/>
        <v/>
      </c>
      <c r="G886" t="str">
        <f>IF($J886="","",SUMIFS('Hours Log'!$E:$E,'Hours Log'!$A:$A,"&gt;="&amp;$J886,'Hours Log'!$A:$A,"&lt;"&amp;$J886+7))</f>
        <v/>
      </c>
      <c r="J886" t="str">
        <f>IF(COUNT('Hours Log'!$A$4:$A$5000)=0,"",IF(MIN('Hours Log'!$A$4:$A$5000)+7*(ROW()-10)&gt;MAX('Hours Log'!$A$4:$A$5000),"",MIN('Hours Log'!$A$4:$A$5000)+7*(ROW()-10)))</f>
        <v/>
      </c>
    </row>
    <row r="887" spans="1:10" x14ac:dyDescent="0.25">
      <c r="A887" t="str">
        <f>IF($J887="","",YEAR($J887-WEEKDAY($J887,2)+4)&amp;"-W"&amp;TEXT(_xludf.ISOWEEKNUM($J887),"00"))</f>
        <v/>
      </c>
      <c r="B887"/>
      <c r="C887" t="str">
        <f>IF($J887="","",SUMIFS('Hours Log'!$C:$C,'Hours Log'!$A:$A,"&gt;="&amp;$J887,'Hours Log'!$A:$A,"&lt;"&amp;$J887+7)+SUMIFS('Hours Log'!$D:$D,'Hours Log'!$A:$A,"&gt;="&amp;$J887,'Hours Log'!$A:$A,"&lt;"&amp;$J887+7))</f>
        <v/>
      </c>
      <c r="D887" t="str">
        <f>IF($J887="","",SUMIFS('Hours Log'!$D:$D,'Hours Log'!$A:$A,"&gt;="&amp;$J887,'Hours Log'!$A:$A,"&lt;"&amp;$J887+7))</f>
        <v/>
      </c>
      <c r="E887" t="str">
        <f t="shared" si="26"/>
        <v/>
      </c>
      <c r="F887" t="str">
        <f t="shared" si="27"/>
        <v/>
      </c>
      <c r="G887" t="str">
        <f>IF($J887="","",SUMIFS('Hours Log'!$E:$E,'Hours Log'!$A:$A,"&gt;="&amp;$J887,'Hours Log'!$A:$A,"&lt;"&amp;$J887+7))</f>
        <v/>
      </c>
      <c r="J887" t="str">
        <f>IF(COUNT('Hours Log'!$A$4:$A$5000)=0,"",IF(MIN('Hours Log'!$A$4:$A$5000)+7*(ROW()-10)&gt;MAX('Hours Log'!$A$4:$A$5000),"",MIN('Hours Log'!$A$4:$A$5000)+7*(ROW()-10)))</f>
        <v/>
      </c>
    </row>
    <row r="888" spans="1:10" x14ac:dyDescent="0.25">
      <c r="A888" t="str">
        <f>IF($J888="","",YEAR($J888-WEEKDAY($J888,2)+4)&amp;"-W"&amp;TEXT(_xludf.ISOWEEKNUM($J888),"00"))</f>
        <v/>
      </c>
      <c r="B888"/>
      <c r="C888" t="str">
        <f>IF($J888="","",SUMIFS('Hours Log'!$C:$C,'Hours Log'!$A:$A,"&gt;="&amp;$J888,'Hours Log'!$A:$A,"&lt;"&amp;$J888+7)+SUMIFS('Hours Log'!$D:$D,'Hours Log'!$A:$A,"&gt;="&amp;$J888,'Hours Log'!$A:$A,"&lt;"&amp;$J888+7))</f>
        <v/>
      </c>
      <c r="D888" t="str">
        <f>IF($J888="","",SUMIFS('Hours Log'!$D:$D,'Hours Log'!$A:$A,"&gt;="&amp;$J888,'Hours Log'!$A:$A,"&lt;"&amp;$J888+7))</f>
        <v/>
      </c>
      <c r="E888" t="str">
        <f t="shared" si="26"/>
        <v/>
      </c>
      <c r="F888" t="str">
        <f t="shared" si="27"/>
        <v/>
      </c>
      <c r="G888" t="str">
        <f>IF($J888="","",SUMIFS('Hours Log'!$E:$E,'Hours Log'!$A:$A,"&gt;="&amp;$J888,'Hours Log'!$A:$A,"&lt;"&amp;$J888+7))</f>
        <v/>
      </c>
      <c r="J888" t="str">
        <f>IF(COUNT('Hours Log'!$A$4:$A$5000)=0,"",IF(MIN('Hours Log'!$A$4:$A$5000)+7*(ROW()-10)&gt;MAX('Hours Log'!$A$4:$A$5000),"",MIN('Hours Log'!$A$4:$A$5000)+7*(ROW()-10)))</f>
        <v/>
      </c>
    </row>
    <row r="889" spans="1:10" x14ac:dyDescent="0.25">
      <c r="A889" t="str">
        <f>IF($J889="","",YEAR($J889-WEEKDAY($J889,2)+4)&amp;"-W"&amp;TEXT(_xludf.ISOWEEKNUM($J889),"00"))</f>
        <v/>
      </c>
      <c r="B889"/>
      <c r="C889" t="str">
        <f>IF($J889="","",SUMIFS('Hours Log'!$C:$C,'Hours Log'!$A:$A,"&gt;="&amp;$J889,'Hours Log'!$A:$A,"&lt;"&amp;$J889+7)+SUMIFS('Hours Log'!$D:$D,'Hours Log'!$A:$A,"&gt;="&amp;$J889,'Hours Log'!$A:$A,"&lt;"&amp;$J889+7))</f>
        <v/>
      </c>
      <c r="D889" t="str">
        <f>IF($J889="","",SUMIFS('Hours Log'!$D:$D,'Hours Log'!$A:$A,"&gt;="&amp;$J889,'Hours Log'!$A:$A,"&lt;"&amp;$J889+7))</f>
        <v/>
      </c>
      <c r="E889" t="str">
        <f t="shared" si="26"/>
        <v/>
      </c>
      <c r="F889" t="str">
        <f t="shared" si="27"/>
        <v/>
      </c>
      <c r="G889" t="str">
        <f>IF($J889="","",SUMIFS('Hours Log'!$E:$E,'Hours Log'!$A:$A,"&gt;="&amp;$J889,'Hours Log'!$A:$A,"&lt;"&amp;$J889+7))</f>
        <v/>
      </c>
      <c r="J889" t="str">
        <f>IF(COUNT('Hours Log'!$A$4:$A$5000)=0,"",IF(MIN('Hours Log'!$A$4:$A$5000)+7*(ROW()-10)&gt;MAX('Hours Log'!$A$4:$A$5000),"",MIN('Hours Log'!$A$4:$A$5000)+7*(ROW()-10)))</f>
        <v/>
      </c>
    </row>
    <row r="890" spans="1:10" x14ac:dyDescent="0.25">
      <c r="A890" t="str">
        <f>IF($J890="","",YEAR($J890-WEEKDAY($J890,2)+4)&amp;"-W"&amp;TEXT(_xludf.ISOWEEKNUM($J890),"00"))</f>
        <v/>
      </c>
      <c r="B890"/>
      <c r="C890" t="str">
        <f>IF($J890="","",SUMIFS('Hours Log'!$C:$C,'Hours Log'!$A:$A,"&gt;="&amp;$J890,'Hours Log'!$A:$A,"&lt;"&amp;$J890+7)+SUMIFS('Hours Log'!$D:$D,'Hours Log'!$A:$A,"&gt;="&amp;$J890,'Hours Log'!$A:$A,"&lt;"&amp;$J890+7))</f>
        <v/>
      </c>
      <c r="D890" t="str">
        <f>IF($J890="","",SUMIFS('Hours Log'!$D:$D,'Hours Log'!$A:$A,"&gt;="&amp;$J890,'Hours Log'!$A:$A,"&lt;"&amp;$J890+7))</f>
        <v/>
      </c>
      <c r="E890" t="str">
        <f t="shared" si="26"/>
        <v/>
      </c>
      <c r="F890" t="str">
        <f t="shared" si="27"/>
        <v/>
      </c>
      <c r="G890" t="str">
        <f>IF($J890="","",SUMIFS('Hours Log'!$E:$E,'Hours Log'!$A:$A,"&gt;="&amp;$J890,'Hours Log'!$A:$A,"&lt;"&amp;$J890+7))</f>
        <v/>
      </c>
      <c r="J890" t="str">
        <f>IF(COUNT('Hours Log'!$A$4:$A$5000)=0,"",IF(MIN('Hours Log'!$A$4:$A$5000)+7*(ROW()-10)&gt;MAX('Hours Log'!$A$4:$A$5000),"",MIN('Hours Log'!$A$4:$A$5000)+7*(ROW()-10)))</f>
        <v/>
      </c>
    </row>
    <row r="891" spans="1:10" x14ac:dyDescent="0.25">
      <c r="A891" t="str">
        <f>IF($J891="","",YEAR($J891-WEEKDAY($J891,2)+4)&amp;"-W"&amp;TEXT(_xludf.ISOWEEKNUM($J891),"00"))</f>
        <v/>
      </c>
      <c r="B891"/>
      <c r="C891" t="str">
        <f>IF($J891="","",SUMIFS('Hours Log'!$C:$C,'Hours Log'!$A:$A,"&gt;="&amp;$J891,'Hours Log'!$A:$A,"&lt;"&amp;$J891+7)+SUMIFS('Hours Log'!$D:$D,'Hours Log'!$A:$A,"&gt;="&amp;$J891,'Hours Log'!$A:$A,"&lt;"&amp;$J891+7))</f>
        <v/>
      </c>
      <c r="D891" t="str">
        <f>IF($J891="","",SUMIFS('Hours Log'!$D:$D,'Hours Log'!$A:$A,"&gt;="&amp;$J891,'Hours Log'!$A:$A,"&lt;"&amp;$J891+7))</f>
        <v/>
      </c>
      <c r="E891" t="str">
        <f t="shared" si="26"/>
        <v/>
      </c>
      <c r="F891" t="str">
        <f t="shared" si="27"/>
        <v/>
      </c>
      <c r="G891" t="str">
        <f>IF($J891="","",SUMIFS('Hours Log'!$E:$E,'Hours Log'!$A:$A,"&gt;="&amp;$J891,'Hours Log'!$A:$A,"&lt;"&amp;$J891+7))</f>
        <v/>
      </c>
      <c r="J891" t="str">
        <f>IF(COUNT('Hours Log'!$A$4:$A$5000)=0,"",IF(MIN('Hours Log'!$A$4:$A$5000)+7*(ROW()-10)&gt;MAX('Hours Log'!$A$4:$A$5000),"",MIN('Hours Log'!$A$4:$A$5000)+7*(ROW()-10)))</f>
        <v/>
      </c>
    </row>
    <row r="892" spans="1:10" x14ac:dyDescent="0.25">
      <c r="A892" t="str">
        <f>IF($J892="","",YEAR($J892-WEEKDAY($J892,2)+4)&amp;"-W"&amp;TEXT(_xludf.ISOWEEKNUM($J892),"00"))</f>
        <v/>
      </c>
      <c r="B892"/>
      <c r="C892" t="str">
        <f>IF($J892="","",SUMIFS('Hours Log'!$C:$C,'Hours Log'!$A:$A,"&gt;="&amp;$J892,'Hours Log'!$A:$A,"&lt;"&amp;$J892+7)+SUMIFS('Hours Log'!$D:$D,'Hours Log'!$A:$A,"&gt;="&amp;$J892,'Hours Log'!$A:$A,"&lt;"&amp;$J892+7))</f>
        <v/>
      </c>
      <c r="D892" t="str">
        <f>IF($J892="","",SUMIFS('Hours Log'!$D:$D,'Hours Log'!$A:$A,"&gt;="&amp;$J892,'Hours Log'!$A:$A,"&lt;"&amp;$J892+7))</f>
        <v/>
      </c>
      <c r="E892" t="str">
        <f t="shared" si="26"/>
        <v/>
      </c>
      <c r="F892" t="str">
        <f t="shared" si="27"/>
        <v/>
      </c>
      <c r="G892" t="str">
        <f>IF($J892="","",SUMIFS('Hours Log'!$E:$E,'Hours Log'!$A:$A,"&gt;="&amp;$J892,'Hours Log'!$A:$A,"&lt;"&amp;$J892+7))</f>
        <v/>
      </c>
      <c r="J892" t="str">
        <f>IF(COUNT('Hours Log'!$A$4:$A$5000)=0,"",IF(MIN('Hours Log'!$A$4:$A$5000)+7*(ROW()-10)&gt;MAX('Hours Log'!$A$4:$A$5000),"",MIN('Hours Log'!$A$4:$A$5000)+7*(ROW()-10)))</f>
        <v/>
      </c>
    </row>
    <row r="893" spans="1:10" x14ac:dyDescent="0.25">
      <c r="A893" t="str">
        <f>IF($J893="","",YEAR($J893-WEEKDAY($J893,2)+4)&amp;"-W"&amp;TEXT(_xludf.ISOWEEKNUM($J893),"00"))</f>
        <v/>
      </c>
      <c r="B893"/>
      <c r="C893" t="str">
        <f>IF($J893="","",SUMIFS('Hours Log'!$C:$C,'Hours Log'!$A:$A,"&gt;="&amp;$J893,'Hours Log'!$A:$A,"&lt;"&amp;$J893+7)+SUMIFS('Hours Log'!$D:$D,'Hours Log'!$A:$A,"&gt;="&amp;$J893,'Hours Log'!$A:$A,"&lt;"&amp;$J893+7))</f>
        <v/>
      </c>
      <c r="D893" t="str">
        <f>IF($J893="","",SUMIFS('Hours Log'!$D:$D,'Hours Log'!$A:$A,"&gt;="&amp;$J893,'Hours Log'!$A:$A,"&lt;"&amp;$J893+7))</f>
        <v/>
      </c>
      <c r="E893" t="str">
        <f t="shared" si="26"/>
        <v/>
      </c>
      <c r="F893" t="str">
        <f t="shared" si="27"/>
        <v/>
      </c>
      <c r="G893" t="str">
        <f>IF($J893="","",SUMIFS('Hours Log'!$E:$E,'Hours Log'!$A:$A,"&gt;="&amp;$J893,'Hours Log'!$A:$A,"&lt;"&amp;$J893+7))</f>
        <v/>
      </c>
      <c r="J893" t="str">
        <f>IF(COUNT('Hours Log'!$A$4:$A$5000)=0,"",IF(MIN('Hours Log'!$A$4:$A$5000)+7*(ROW()-10)&gt;MAX('Hours Log'!$A$4:$A$5000),"",MIN('Hours Log'!$A$4:$A$5000)+7*(ROW()-10)))</f>
        <v/>
      </c>
    </row>
    <row r="894" spans="1:10" x14ac:dyDescent="0.25">
      <c r="A894" t="str">
        <f>IF($J894="","",YEAR($J894-WEEKDAY($J894,2)+4)&amp;"-W"&amp;TEXT(_xludf.ISOWEEKNUM($J894),"00"))</f>
        <v/>
      </c>
      <c r="B894"/>
      <c r="C894" t="str">
        <f>IF($J894="","",SUMIFS('Hours Log'!$C:$C,'Hours Log'!$A:$A,"&gt;="&amp;$J894,'Hours Log'!$A:$A,"&lt;"&amp;$J894+7)+SUMIFS('Hours Log'!$D:$D,'Hours Log'!$A:$A,"&gt;="&amp;$J894,'Hours Log'!$A:$A,"&lt;"&amp;$J894+7))</f>
        <v/>
      </c>
      <c r="D894" t="str">
        <f>IF($J894="","",SUMIFS('Hours Log'!$D:$D,'Hours Log'!$A:$A,"&gt;="&amp;$J894,'Hours Log'!$A:$A,"&lt;"&amp;$J894+7))</f>
        <v/>
      </c>
      <c r="E894" t="str">
        <f t="shared" si="26"/>
        <v/>
      </c>
      <c r="F894" t="str">
        <f t="shared" si="27"/>
        <v/>
      </c>
      <c r="G894" t="str">
        <f>IF($J894="","",SUMIFS('Hours Log'!$E:$E,'Hours Log'!$A:$A,"&gt;="&amp;$J894,'Hours Log'!$A:$A,"&lt;"&amp;$J894+7))</f>
        <v/>
      </c>
      <c r="J894" t="str">
        <f>IF(COUNT('Hours Log'!$A$4:$A$5000)=0,"",IF(MIN('Hours Log'!$A$4:$A$5000)+7*(ROW()-10)&gt;MAX('Hours Log'!$A$4:$A$5000),"",MIN('Hours Log'!$A$4:$A$5000)+7*(ROW()-10)))</f>
        <v/>
      </c>
    </row>
    <row r="895" spans="1:10" x14ac:dyDescent="0.25">
      <c r="A895" t="str">
        <f>IF($J895="","",YEAR($J895-WEEKDAY($J895,2)+4)&amp;"-W"&amp;TEXT(_xludf.ISOWEEKNUM($J895),"00"))</f>
        <v/>
      </c>
      <c r="B895"/>
      <c r="C895" t="str">
        <f>IF($J895="","",SUMIFS('Hours Log'!$C:$C,'Hours Log'!$A:$A,"&gt;="&amp;$J895,'Hours Log'!$A:$A,"&lt;"&amp;$J895+7)+SUMIFS('Hours Log'!$D:$D,'Hours Log'!$A:$A,"&gt;="&amp;$J895,'Hours Log'!$A:$A,"&lt;"&amp;$J895+7))</f>
        <v/>
      </c>
      <c r="D895" t="str">
        <f>IF($J895="","",SUMIFS('Hours Log'!$D:$D,'Hours Log'!$A:$A,"&gt;="&amp;$J895,'Hours Log'!$A:$A,"&lt;"&amp;$J895+7))</f>
        <v/>
      </c>
      <c r="E895" t="str">
        <f t="shared" si="26"/>
        <v/>
      </c>
      <c r="F895" t="str">
        <f t="shared" si="27"/>
        <v/>
      </c>
      <c r="G895" t="str">
        <f>IF($J895="","",SUMIFS('Hours Log'!$E:$E,'Hours Log'!$A:$A,"&gt;="&amp;$J895,'Hours Log'!$A:$A,"&lt;"&amp;$J895+7))</f>
        <v/>
      </c>
      <c r="J895" t="str">
        <f>IF(COUNT('Hours Log'!$A$4:$A$5000)=0,"",IF(MIN('Hours Log'!$A$4:$A$5000)+7*(ROW()-10)&gt;MAX('Hours Log'!$A$4:$A$5000),"",MIN('Hours Log'!$A$4:$A$5000)+7*(ROW()-10)))</f>
        <v/>
      </c>
    </row>
    <row r="896" spans="1:10" x14ac:dyDescent="0.25">
      <c r="A896" t="str">
        <f>IF($J896="","",YEAR($J896-WEEKDAY($J896,2)+4)&amp;"-W"&amp;TEXT(_xludf.ISOWEEKNUM($J896),"00"))</f>
        <v/>
      </c>
      <c r="B896"/>
      <c r="C896" t="str">
        <f>IF($J896="","",SUMIFS('Hours Log'!$C:$C,'Hours Log'!$A:$A,"&gt;="&amp;$J896,'Hours Log'!$A:$A,"&lt;"&amp;$J896+7)+SUMIFS('Hours Log'!$D:$D,'Hours Log'!$A:$A,"&gt;="&amp;$J896,'Hours Log'!$A:$A,"&lt;"&amp;$J896+7))</f>
        <v/>
      </c>
      <c r="D896" t="str">
        <f>IF($J896="","",SUMIFS('Hours Log'!$D:$D,'Hours Log'!$A:$A,"&gt;="&amp;$J896,'Hours Log'!$A:$A,"&lt;"&amp;$J896+7))</f>
        <v/>
      </c>
      <c r="E896" t="str">
        <f t="shared" si="26"/>
        <v/>
      </c>
      <c r="F896" t="str">
        <f t="shared" si="27"/>
        <v/>
      </c>
      <c r="G896" t="str">
        <f>IF($J896="","",SUMIFS('Hours Log'!$E:$E,'Hours Log'!$A:$A,"&gt;="&amp;$J896,'Hours Log'!$A:$A,"&lt;"&amp;$J896+7))</f>
        <v/>
      </c>
      <c r="J896" t="str">
        <f>IF(COUNT('Hours Log'!$A$4:$A$5000)=0,"",IF(MIN('Hours Log'!$A$4:$A$5000)+7*(ROW()-10)&gt;MAX('Hours Log'!$A$4:$A$5000),"",MIN('Hours Log'!$A$4:$A$5000)+7*(ROW()-10)))</f>
        <v/>
      </c>
    </row>
    <row r="897" spans="1:10" x14ac:dyDescent="0.25">
      <c r="A897" t="str">
        <f>IF($J897="","",YEAR($J897-WEEKDAY($J897,2)+4)&amp;"-W"&amp;TEXT(_xludf.ISOWEEKNUM($J897),"00"))</f>
        <v/>
      </c>
      <c r="B897"/>
      <c r="C897" t="str">
        <f>IF($J897="","",SUMIFS('Hours Log'!$C:$C,'Hours Log'!$A:$A,"&gt;="&amp;$J897,'Hours Log'!$A:$A,"&lt;"&amp;$J897+7)+SUMIFS('Hours Log'!$D:$D,'Hours Log'!$A:$A,"&gt;="&amp;$J897,'Hours Log'!$A:$A,"&lt;"&amp;$J897+7))</f>
        <v/>
      </c>
      <c r="D897" t="str">
        <f>IF($J897="","",SUMIFS('Hours Log'!$D:$D,'Hours Log'!$A:$A,"&gt;="&amp;$J897,'Hours Log'!$A:$A,"&lt;"&amp;$J897+7))</f>
        <v/>
      </c>
      <c r="E897" t="str">
        <f t="shared" si="26"/>
        <v/>
      </c>
      <c r="F897" t="str">
        <f t="shared" si="27"/>
        <v/>
      </c>
      <c r="G897" t="str">
        <f>IF($J897="","",SUMIFS('Hours Log'!$E:$E,'Hours Log'!$A:$A,"&gt;="&amp;$J897,'Hours Log'!$A:$A,"&lt;"&amp;$J897+7))</f>
        <v/>
      </c>
      <c r="J897" t="str">
        <f>IF(COUNT('Hours Log'!$A$4:$A$5000)=0,"",IF(MIN('Hours Log'!$A$4:$A$5000)+7*(ROW()-10)&gt;MAX('Hours Log'!$A$4:$A$5000),"",MIN('Hours Log'!$A$4:$A$5000)+7*(ROW()-10)))</f>
        <v/>
      </c>
    </row>
    <row r="898" spans="1:10" x14ac:dyDescent="0.25">
      <c r="A898" t="str">
        <f>IF($J898="","",YEAR($J898-WEEKDAY($J898,2)+4)&amp;"-W"&amp;TEXT(_xludf.ISOWEEKNUM($J898),"00"))</f>
        <v/>
      </c>
      <c r="B898"/>
      <c r="C898" t="str">
        <f>IF($J898="","",SUMIFS('Hours Log'!$C:$C,'Hours Log'!$A:$A,"&gt;="&amp;$J898,'Hours Log'!$A:$A,"&lt;"&amp;$J898+7)+SUMIFS('Hours Log'!$D:$D,'Hours Log'!$A:$A,"&gt;="&amp;$J898,'Hours Log'!$A:$A,"&lt;"&amp;$J898+7))</f>
        <v/>
      </c>
      <c r="D898" t="str">
        <f>IF($J898="","",SUMIFS('Hours Log'!$D:$D,'Hours Log'!$A:$A,"&gt;="&amp;$J898,'Hours Log'!$A:$A,"&lt;"&amp;$J898+7))</f>
        <v/>
      </c>
      <c r="E898" t="str">
        <f t="shared" si="26"/>
        <v/>
      </c>
      <c r="F898" t="str">
        <f t="shared" si="27"/>
        <v/>
      </c>
      <c r="G898" t="str">
        <f>IF($J898="","",SUMIFS('Hours Log'!$E:$E,'Hours Log'!$A:$A,"&gt;="&amp;$J898,'Hours Log'!$A:$A,"&lt;"&amp;$J898+7))</f>
        <v/>
      </c>
      <c r="J898" t="str">
        <f>IF(COUNT('Hours Log'!$A$4:$A$5000)=0,"",IF(MIN('Hours Log'!$A$4:$A$5000)+7*(ROW()-10)&gt;MAX('Hours Log'!$A$4:$A$5000),"",MIN('Hours Log'!$A$4:$A$5000)+7*(ROW()-10)))</f>
        <v/>
      </c>
    </row>
    <row r="899" spans="1:10" x14ac:dyDescent="0.25">
      <c r="A899" t="str">
        <f>IF($J899="","",YEAR($J899-WEEKDAY($J899,2)+4)&amp;"-W"&amp;TEXT(_xludf.ISOWEEKNUM($J899),"00"))</f>
        <v/>
      </c>
      <c r="B899"/>
      <c r="C899" t="str">
        <f>IF($J899="","",SUMIFS('Hours Log'!$C:$C,'Hours Log'!$A:$A,"&gt;="&amp;$J899,'Hours Log'!$A:$A,"&lt;"&amp;$J899+7)+SUMIFS('Hours Log'!$D:$D,'Hours Log'!$A:$A,"&gt;="&amp;$J899,'Hours Log'!$A:$A,"&lt;"&amp;$J899+7))</f>
        <v/>
      </c>
      <c r="D899" t="str">
        <f>IF($J899="","",SUMIFS('Hours Log'!$D:$D,'Hours Log'!$A:$A,"&gt;="&amp;$J899,'Hours Log'!$A:$A,"&lt;"&amp;$J899+7))</f>
        <v/>
      </c>
      <c r="E899" t="str">
        <f t="shared" si="26"/>
        <v/>
      </c>
      <c r="F899" t="str">
        <f t="shared" si="27"/>
        <v/>
      </c>
      <c r="G899" t="str">
        <f>IF($J899="","",SUMIFS('Hours Log'!$E:$E,'Hours Log'!$A:$A,"&gt;="&amp;$J899,'Hours Log'!$A:$A,"&lt;"&amp;$J899+7))</f>
        <v/>
      </c>
      <c r="J899" t="str">
        <f>IF(COUNT('Hours Log'!$A$4:$A$5000)=0,"",IF(MIN('Hours Log'!$A$4:$A$5000)+7*(ROW()-10)&gt;MAX('Hours Log'!$A$4:$A$5000),"",MIN('Hours Log'!$A$4:$A$5000)+7*(ROW()-10)))</f>
        <v/>
      </c>
    </row>
    <row r="900" spans="1:10" x14ac:dyDescent="0.25">
      <c r="A900" t="str">
        <f>IF($J900="","",YEAR($J900-WEEKDAY($J900,2)+4)&amp;"-W"&amp;TEXT(_xludf.ISOWEEKNUM($J900),"00"))</f>
        <v/>
      </c>
      <c r="B900"/>
      <c r="C900" t="str">
        <f>IF($J900="","",SUMIFS('Hours Log'!$C:$C,'Hours Log'!$A:$A,"&gt;="&amp;$J900,'Hours Log'!$A:$A,"&lt;"&amp;$J900+7)+SUMIFS('Hours Log'!$D:$D,'Hours Log'!$A:$A,"&gt;="&amp;$J900,'Hours Log'!$A:$A,"&lt;"&amp;$J900+7))</f>
        <v/>
      </c>
      <c r="D900" t="str">
        <f>IF($J900="","",SUMIFS('Hours Log'!$D:$D,'Hours Log'!$A:$A,"&gt;="&amp;$J900,'Hours Log'!$A:$A,"&lt;"&amp;$J900+7))</f>
        <v/>
      </c>
      <c r="E900" t="str">
        <f t="shared" si="26"/>
        <v/>
      </c>
      <c r="F900" t="str">
        <f t="shared" si="27"/>
        <v/>
      </c>
      <c r="G900" t="str">
        <f>IF($J900="","",SUMIFS('Hours Log'!$E:$E,'Hours Log'!$A:$A,"&gt;="&amp;$J900,'Hours Log'!$A:$A,"&lt;"&amp;$J900+7))</f>
        <v/>
      </c>
      <c r="J900" t="str">
        <f>IF(COUNT('Hours Log'!$A$4:$A$5000)=0,"",IF(MIN('Hours Log'!$A$4:$A$5000)+7*(ROW()-10)&gt;MAX('Hours Log'!$A$4:$A$5000),"",MIN('Hours Log'!$A$4:$A$5000)+7*(ROW()-10)))</f>
        <v/>
      </c>
    </row>
    <row r="901" spans="1:10" x14ac:dyDescent="0.25">
      <c r="A901" t="str">
        <f>IF($J901="","",YEAR($J901-WEEKDAY($J901,2)+4)&amp;"-W"&amp;TEXT(_xludf.ISOWEEKNUM($J901),"00"))</f>
        <v/>
      </c>
      <c r="B901"/>
      <c r="C901" t="str">
        <f>IF($J901="","",SUMIFS('Hours Log'!$C:$C,'Hours Log'!$A:$A,"&gt;="&amp;$J901,'Hours Log'!$A:$A,"&lt;"&amp;$J901+7)+SUMIFS('Hours Log'!$D:$D,'Hours Log'!$A:$A,"&gt;="&amp;$J901,'Hours Log'!$A:$A,"&lt;"&amp;$J901+7))</f>
        <v/>
      </c>
      <c r="D901" t="str">
        <f>IF($J901="","",SUMIFS('Hours Log'!$D:$D,'Hours Log'!$A:$A,"&gt;="&amp;$J901,'Hours Log'!$A:$A,"&lt;"&amp;$J901+7))</f>
        <v/>
      </c>
      <c r="E901" t="str">
        <f t="shared" si="26"/>
        <v/>
      </c>
      <c r="F901" t="str">
        <f t="shared" si="27"/>
        <v/>
      </c>
      <c r="G901" t="str">
        <f>IF($J901="","",SUMIFS('Hours Log'!$E:$E,'Hours Log'!$A:$A,"&gt;="&amp;$J901,'Hours Log'!$A:$A,"&lt;"&amp;$J901+7))</f>
        <v/>
      </c>
      <c r="J901" t="str">
        <f>IF(COUNT('Hours Log'!$A$4:$A$5000)=0,"",IF(MIN('Hours Log'!$A$4:$A$5000)+7*(ROW()-10)&gt;MAX('Hours Log'!$A$4:$A$5000),"",MIN('Hours Log'!$A$4:$A$5000)+7*(ROW()-10)))</f>
        <v/>
      </c>
    </row>
    <row r="902" spans="1:10" x14ac:dyDescent="0.25">
      <c r="A902" t="str">
        <f>IF($J902="","",YEAR($J902-WEEKDAY($J902,2)+4)&amp;"-W"&amp;TEXT(_xludf.ISOWEEKNUM($J902),"00"))</f>
        <v/>
      </c>
      <c r="B902"/>
      <c r="C902" t="str">
        <f>IF($J902="","",SUMIFS('Hours Log'!$C:$C,'Hours Log'!$A:$A,"&gt;="&amp;$J902,'Hours Log'!$A:$A,"&lt;"&amp;$J902+7)+SUMIFS('Hours Log'!$D:$D,'Hours Log'!$A:$A,"&gt;="&amp;$J902,'Hours Log'!$A:$A,"&lt;"&amp;$J902+7))</f>
        <v/>
      </c>
      <c r="D902" t="str">
        <f>IF($J902="","",SUMIFS('Hours Log'!$D:$D,'Hours Log'!$A:$A,"&gt;="&amp;$J902,'Hours Log'!$A:$A,"&lt;"&amp;$J902+7))</f>
        <v/>
      </c>
      <c r="E902" t="str">
        <f t="shared" si="26"/>
        <v/>
      </c>
      <c r="F902" t="str">
        <f t="shared" si="27"/>
        <v/>
      </c>
      <c r="G902" t="str">
        <f>IF($J902="","",SUMIFS('Hours Log'!$E:$E,'Hours Log'!$A:$A,"&gt;="&amp;$J902,'Hours Log'!$A:$A,"&lt;"&amp;$J902+7))</f>
        <v/>
      </c>
      <c r="J902" t="str">
        <f>IF(COUNT('Hours Log'!$A$4:$A$5000)=0,"",IF(MIN('Hours Log'!$A$4:$A$5000)+7*(ROW()-10)&gt;MAX('Hours Log'!$A$4:$A$5000),"",MIN('Hours Log'!$A$4:$A$5000)+7*(ROW()-10)))</f>
        <v/>
      </c>
    </row>
    <row r="903" spans="1:10" x14ac:dyDescent="0.25">
      <c r="A903" t="str">
        <f>IF($J903="","",YEAR($J903-WEEKDAY($J903,2)+4)&amp;"-W"&amp;TEXT(_xludf.ISOWEEKNUM($J903),"00"))</f>
        <v/>
      </c>
      <c r="B903"/>
      <c r="C903" t="str">
        <f>IF($J903="","",SUMIFS('Hours Log'!$C:$C,'Hours Log'!$A:$A,"&gt;="&amp;$J903,'Hours Log'!$A:$A,"&lt;"&amp;$J903+7)+SUMIFS('Hours Log'!$D:$D,'Hours Log'!$A:$A,"&gt;="&amp;$J903,'Hours Log'!$A:$A,"&lt;"&amp;$J903+7))</f>
        <v/>
      </c>
      <c r="D903" t="str">
        <f>IF($J903="","",SUMIFS('Hours Log'!$D:$D,'Hours Log'!$A:$A,"&gt;="&amp;$J903,'Hours Log'!$A:$A,"&lt;"&amp;$J903+7))</f>
        <v/>
      </c>
      <c r="E903" t="str">
        <f t="shared" si="26"/>
        <v/>
      </c>
      <c r="F903" t="str">
        <f t="shared" si="27"/>
        <v/>
      </c>
      <c r="G903" t="str">
        <f>IF($J903="","",SUMIFS('Hours Log'!$E:$E,'Hours Log'!$A:$A,"&gt;="&amp;$J903,'Hours Log'!$A:$A,"&lt;"&amp;$J903+7))</f>
        <v/>
      </c>
      <c r="J903" t="str">
        <f>IF(COUNT('Hours Log'!$A$4:$A$5000)=0,"",IF(MIN('Hours Log'!$A$4:$A$5000)+7*(ROW()-10)&gt;MAX('Hours Log'!$A$4:$A$5000),"",MIN('Hours Log'!$A$4:$A$5000)+7*(ROW()-10)))</f>
        <v/>
      </c>
    </row>
    <row r="904" spans="1:10" x14ac:dyDescent="0.25">
      <c r="A904" t="str">
        <f>IF($J904="","",YEAR($J904-WEEKDAY($J904,2)+4)&amp;"-W"&amp;TEXT(_xludf.ISOWEEKNUM($J904),"00"))</f>
        <v/>
      </c>
      <c r="B904"/>
      <c r="C904" t="str">
        <f>IF($J904="","",SUMIFS('Hours Log'!$C:$C,'Hours Log'!$A:$A,"&gt;="&amp;$J904,'Hours Log'!$A:$A,"&lt;"&amp;$J904+7)+SUMIFS('Hours Log'!$D:$D,'Hours Log'!$A:$A,"&gt;="&amp;$J904,'Hours Log'!$A:$A,"&lt;"&amp;$J904+7))</f>
        <v/>
      </c>
      <c r="D904" t="str">
        <f>IF($J904="","",SUMIFS('Hours Log'!$D:$D,'Hours Log'!$A:$A,"&gt;="&amp;$J904,'Hours Log'!$A:$A,"&lt;"&amp;$J904+7))</f>
        <v/>
      </c>
      <c r="E904" t="str">
        <f t="shared" si="26"/>
        <v/>
      </c>
      <c r="F904" t="str">
        <f t="shared" si="27"/>
        <v/>
      </c>
      <c r="G904" t="str">
        <f>IF($J904="","",SUMIFS('Hours Log'!$E:$E,'Hours Log'!$A:$A,"&gt;="&amp;$J904,'Hours Log'!$A:$A,"&lt;"&amp;$J904+7))</f>
        <v/>
      </c>
      <c r="J904" t="str">
        <f>IF(COUNT('Hours Log'!$A$4:$A$5000)=0,"",IF(MIN('Hours Log'!$A$4:$A$5000)+7*(ROW()-10)&gt;MAX('Hours Log'!$A$4:$A$5000),"",MIN('Hours Log'!$A$4:$A$5000)+7*(ROW()-10)))</f>
        <v/>
      </c>
    </row>
    <row r="905" spans="1:10" x14ac:dyDescent="0.25">
      <c r="A905" t="str">
        <f>IF($J905="","",YEAR($J905-WEEKDAY($J905,2)+4)&amp;"-W"&amp;TEXT(_xludf.ISOWEEKNUM($J905),"00"))</f>
        <v/>
      </c>
      <c r="B905"/>
      <c r="C905" t="str">
        <f>IF($J905="","",SUMIFS('Hours Log'!$C:$C,'Hours Log'!$A:$A,"&gt;="&amp;$J905,'Hours Log'!$A:$A,"&lt;"&amp;$J905+7)+SUMIFS('Hours Log'!$D:$D,'Hours Log'!$A:$A,"&gt;="&amp;$J905,'Hours Log'!$A:$A,"&lt;"&amp;$J905+7))</f>
        <v/>
      </c>
      <c r="D905" t="str">
        <f>IF($J905="","",SUMIFS('Hours Log'!$D:$D,'Hours Log'!$A:$A,"&gt;="&amp;$J905,'Hours Log'!$A:$A,"&lt;"&amp;$J905+7))</f>
        <v/>
      </c>
      <c r="E905" t="str">
        <f t="shared" si="26"/>
        <v/>
      </c>
      <c r="F905" t="str">
        <f t="shared" si="27"/>
        <v/>
      </c>
      <c r="G905" t="str">
        <f>IF($J905="","",SUMIFS('Hours Log'!$E:$E,'Hours Log'!$A:$A,"&gt;="&amp;$J905,'Hours Log'!$A:$A,"&lt;"&amp;$J905+7))</f>
        <v/>
      </c>
      <c r="J905" t="str">
        <f>IF(COUNT('Hours Log'!$A$4:$A$5000)=0,"",IF(MIN('Hours Log'!$A$4:$A$5000)+7*(ROW()-10)&gt;MAX('Hours Log'!$A$4:$A$5000),"",MIN('Hours Log'!$A$4:$A$5000)+7*(ROW()-10)))</f>
        <v/>
      </c>
    </row>
    <row r="906" spans="1:10" x14ac:dyDescent="0.25">
      <c r="A906" t="str">
        <f>IF($J906="","",YEAR($J906-WEEKDAY($J906,2)+4)&amp;"-W"&amp;TEXT(_xludf.ISOWEEKNUM($J906),"00"))</f>
        <v/>
      </c>
      <c r="B906"/>
      <c r="C906" t="str">
        <f>IF($J906="","",SUMIFS('Hours Log'!$C:$C,'Hours Log'!$A:$A,"&gt;="&amp;$J906,'Hours Log'!$A:$A,"&lt;"&amp;$J906+7)+SUMIFS('Hours Log'!$D:$D,'Hours Log'!$A:$A,"&gt;="&amp;$J906,'Hours Log'!$A:$A,"&lt;"&amp;$J906+7))</f>
        <v/>
      </c>
      <c r="D906" t="str">
        <f>IF($J906="","",SUMIFS('Hours Log'!$D:$D,'Hours Log'!$A:$A,"&gt;="&amp;$J906,'Hours Log'!$A:$A,"&lt;"&amp;$J906+7))</f>
        <v/>
      </c>
      <c r="E906" t="str">
        <f t="shared" ref="E906:E969" si="28">IF($J906="","",IFERROR(C906/(B906*40),0))</f>
        <v/>
      </c>
      <c r="F906" t="str">
        <f t="shared" ref="F906:F969" si="29">IF($J906="","",0)</f>
        <v/>
      </c>
      <c r="G906" t="str">
        <f>IF($J906="","",SUMIFS('Hours Log'!$E:$E,'Hours Log'!$A:$A,"&gt;="&amp;$J906,'Hours Log'!$A:$A,"&lt;"&amp;$J906+7))</f>
        <v/>
      </c>
      <c r="J906" t="str">
        <f>IF(COUNT('Hours Log'!$A$4:$A$5000)=0,"",IF(MIN('Hours Log'!$A$4:$A$5000)+7*(ROW()-10)&gt;MAX('Hours Log'!$A$4:$A$5000),"",MIN('Hours Log'!$A$4:$A$5000)+7*(ROW()-10)))</f>
        <v/>
      </c>
    </row>
    <row r="907" spans="1:10" x14ac:dyDescent="0.25">
      <c r="A907" t="str">
        <f>IF($J907="","",YEAR($J907-WEEKDAY($J907,2)+4)&amp;"-W"&amp;TEXT(_xludf.ISOWEEKNUM($J907),"00"))</f>
        <v/>
      </c>
      <c r="B907"/>
      <c r="C907" t="str">
        <f>IF($J907="","",SUMIFS('Hours Log'!$C:$C,'Hours Log'!$A:$A,"&gt;="&amp;$J907,'Hours Log'!$A:$A,"&lt;"&amp;$J907+7)+SUMIFS('Hours Log'!$D:$D,'Hours Log'!$A:$A,"&gt;="&amp;$J907,'Hours Log'!$A:$A,"&lt;"&amp;$J907+7))</f>
        <v/>
      </c>
      <c r="D907" t="str">
        <f>IF($J907="","",SUMIFS('Hours Log'!$D:$D,'Hours Log'!$A:$A,"&gt;="&amp;$J907,'Hours Log'!$A:$A,"&lt;"&amp;$J907+7))</f>
        <v/>
      </c>
      <c r="E907" t="str">
        <f t="shared" si="28"/>
        <v/>
      </c>
      <c r="F907" t="str">
        <f t="shared" si="29"/>
        <v/>
      </c>
      <c r="G907" t="str">
        <f>IF($J907="","",SUMIFS('Hours Log'!$E:$E,'Hours Log'!$A:$A,"&gt;="&amp;$J907,'Hours Log'!$A:$A,"&lt;"&amp;$J907+7))</f>
        <v/>
      </c>
      <c r="J907" t="str">
        <f>IF(COUNT('Hours Log'!$A$4:$A$5000)=0,"",IF(MIN('Hours Log'!$A$4:$A$5000)+7*(ROW()-10)&gt;MAX('Hours Log'!$A$4:$A$5000),"",MIN('Hours Log'!$A$4:$A$5000)+7*(ROW()-10)))</f>
        <v/>
      </c>
    </row>
    <row r="908" spans="1:10" x14ac:dyDescent="0.25">
      <c r="A908" t="str">
        <f>IF($J908="","",YEAR($J908-WEEKDAY($J908,2)+4)&amp;"-W"&amp;TEXT(_xludf.ISOWEEKNUM($J908),"00"))</f>
        <v/>
      </c>
      <c r="B908"/>
      <c r="C908" t="str">
        <f>IF($J908="","",SUMIFS('Hours Log'!$C:$C,'Hours Log'!$A:$A,"&gt;="&amp;$J908,'Hours Log'!$A:$A,"&lt;"&amp;$J908+7)+SUMIFS('Hours Log'!$D:$D,'Hours Log'!$A:$A,"&gt;="&amp;$J908,'Hours Log'!$A:$A,"&lt;"&amp;$J908+7))</f>
        <v/>
      </c>
      <c r="D908" t="str">
        <f>IF($J908="","",SUMIFS('Hours Log'!$D:$D,'Hours Log'!$A:$A,"&gt;="&amp;$J908,'Hours Log'!$A:$A,"&lt;"&amp;$J908+7))</f>
        <v/>
      </c>
      <c r="E908" t="str">
        <f t="shared" si="28"/>
        <v/>
      </c>
      <c r="F908" t="str">
        <f t="shared" si="29"/>
        <v/>
      </c>
      <c r="G908" t="str">
        <f>IF($J908="","",SUMIFS('Hours Log'!$E:$E,'Hours Log'!$A:$A,"&gt;="&amp;$J908,'Hours Log'!$A:$A,"&lt;"&amp;$J908+7))</f>
        <v/>
      </c>
      <c r="J908" t="str">
        <f>IF(COUNT('Hours Log'!$A$4:$A$5000)=0,"",IF(MIN('Hours Log'!$A$4:$A$5000)+7*(ROW()-10)&gt;MAX('Hours Log'!$A$4:$A$5000),"",MIN('Hours Log'!$A$4:$A$5000)+7*(ROW()-10)))</f>
        <v/>
      </c>
    </row>
    <row r="909" spans="1:10" x14ac:dyDescent="0.25">
      <c r="A909" t="str">
        <f>IF($J909="","",YEAR($J909-WEEKDAY($J909,2)+4)&amp;"-W"&amp;TEXT(_xludf.ISOWEEKNUM($J909),"00"))</f>
        <v/>
      </c>
      <c r="B909"/>
      <c r="C909" t="str">
        <f>IF($J909="","",SUMIFS('Hours Log'!$C:$C,'Hours Log'!$A:$A,"&gt;="&amp;$J909,'Hours Log'!$A:$A,"&lt;"&amp;$J909+7)+SUMIFS('Hours Log'!$D:$D,'Hours Log'!$A:$A,"&gt;="&amp;$J909,'Hours Log'!$A:$A,"&lt;"&amp;$J909+7))</f>
        <v/>
      </c>
      <c r="D909" t="str">
        <f>IF($J909="","",SUMIFS('Hours Log'!$D:$D,'Hours Log'!$A:$A,"&gt;="&amp;$J909,'Hours Log'!$A:$A,"&lt;"&amp;$J909+7))</f>
        <v/>
      </c>
      <c r="E909" t="str">
        <f t="shared" si="28"/>
        <v/>
      </c>
      <c r="F909" t="str">
        <f t="shared" si="29"/>
        <v/>
      </c>
      <c r="G909" t="str">
        <f>IF($J909="","",SUMIFS('Hours Log'!$E:$E,'Hours Log'!$A:$A,"&gt;="&amp;$J909,'Hours Log'!$A:$A,"&lt;"&amp;$J909+7))</f>
        <v/>
      </c>
      <c r="J909" t="str">
        <f>IF(COUNT('Hours Log'!$A$4:$A$5000)=0,"",IF(MIN('Hours Log'!$A$4:$A$5000)+7*(ROW()-10)&gt;MAX('Hours Log'!$A$4:$A$5000),"",MIN('Hours Log'!$A$4:$A$5000)+7*(ROW()-10)))</f>
        <v/>
      </c>
    </row>
    <row r="910" spans="1:10" x14ac:dyDescent="0.25">
      <c r="A910" t="str">
        <f>IF($J910="","",YEAR($J910-WEEKDAY($J910,2)+4)&amp;"-W"&amp;TEXT(_xludf.ISOWEEKNUM($J910),"00"))</f>
        <v/>
      </c>
      <c r="B910"/>
      <c r="C910" t="str">
        <f>IF($J910="","",SUMIFS('Hours Log'!$C:$C,'Hours Log'!$A:$A,"&gt;="&amp;$J910,'Hours Log'!$A:$A,"&lt;"&amp;$J910+7)+SUMIFS('Hours Log'!$D:$D,'Hours Log'!$A:$A,"&gt;="&amp;$J910,'Hours Log'!$A:$A,"&lt;"&amp;$J910+7))</f>
        <v/>
      </c>
      <c r="D910" t="str">
        <f>IF($J910="","",SUMIFS('Hours Log'!$D:$D,'Hours Log'!$A:$A,"&gt;="&amp;$J910,'Hours Log'!$A:$A,"&lt;"&amp;$J910+7))</f>
        <v/>
      </c>
      <c r="E910" t="str">
        <f t="shared" si="28"/>
        <v/>
      </c>
      <c r="F910" t="str">
        <f t="shared" si="29"/>
        <v/>
      </c>
      <c r="G910" t="str">
        <f>IF($J910="","",SUMIFS('Hours Log'!$E:$E,'Hours Log'!$A:$A,"&gt;="&amp;$J910,'Hours Log'!$A:$A,"&lt;"&amp;$J910+7))</f>
        <v/>
      </c>
      <c r="J910" t="str">
        <f>IF(COUNT('Hours Log'!$A$4:$A$5000)=0,"",IF(MIN('Hours Log'!$A$4:$A$5000)+7*(ROW()-10)&gt;MAX('Hours Log'!$A$4:$A$5000),"",MIN('Hours Log'!$A$4:$A$5000)+7*(ROW()-10)))</f>
        <v/>
      </c>
    </row>
    <row r="911" spans="1:10" x14ac:dyDescent="0.25">
      <c r="A911" t="str">
        <f>IF($J911="","",YEAR($J911-WEEKDAY($J911,2)+4)&amp;"-W"&amp;TEXT(_xludf.ISOWEEKNUM($J911),"00"))</f>
        <v/>
      </c>
      <c r="B911"/>
      <c r="C911" t="str">
        <f>IF($J911="","",SUMIFS('Hours Log'!$C:$C,'Hours Log'!$A:$A,"&gt;="&amp;$J911,'Hours Log'!$A:$A,"&lt;"&amp;$J911+7)+SUMIFS('Hours Log'!$D:$D,'Hours Log'!$A:$A,"&gt;="&amp;$J911,'Hours Log'!$A:$A,"&lt;"&amp;$J911+7))</f>
        <v/>
      </c>
      <c r="D911" t="str">
        <f>IF($J911="","",SUMIFS('Hours Log'!$D:$D,'Hours Log'!$A:$A,"&gt;="&amp;$J911,'Hours Log'!$A:$A,"&lt;"&amp;$J911+7))</f>
        <v/>
      </c>
      <c r="E911" t="str">
        <f t="shared" si="28"/>
        <v/>
      </c>
      <c r="F911" t="str">
        <f t="shared" si="29"/>
        <v/>
      </c>
      <c r="G911" t="str">
        <f>IF($J911="","",SUMIFS('Hours Log'!$E:$E,'Hours Log'!$A:$A,"&gt;="&amp;$J911,'Hours Log'!$A:$A,"&lt;"&amp;$J911+7))</f>
        <v/>
      </c>
      <c r="J911" t="str">
        <f>IF(COUNT('Hours Log'!$A$4:$A$5000)=0,"",IF(MIN('Hours Log'!$A$4:$A$5000)+7*(ROW()-10)&gt;MAX('Hours Log'!$A$4:$A$5000),"",MIN('Hours Log'!$A$4:$A$5000)+7*(ROW()-10)))</f>
        <v/>
      </c>
    </row>
    <row r="912" spans="1:10" x14ac:dyDescent="0.25">
      <c r="A912" t="str">
        <f>IF($J912="","",YEAR($J912-WEEKDAY($J912,2)+4)&amp;"-W"&amp;TEXT(_xludf.ISOWEEKNUM($J912),"00"))</f>
        <v/>
      </c>
      <c r="B912"/>
      <c r="C912" t="str">
        <f>IF($J912="","",SUMIFS('Hours Log'!$C:$C,'Hours Log'!$A:$A,"&gt;="&amp;$J912,'Hours Log'!$A:$A,"&lt;"&amp;$J912+7)+SUMIFS('Hours Log'!$D:$D,'Hours Log'!$A:$A,"&gt;="&amp;$J912,'Hours Log'!$A:$A,"&lt;"&amp;$J912+7))</f>
        <v/>
      </c>
      <c r="D912" t="str">
        <f>IF($J912="","",SUMIFS('Hours Log'!$D:$D,'Hours Log'!$A:$A,"&gt;="&amp;$J912,'Hours Log'!$A:$A,"&lt;"&amp;$J912+7))</f>
        <v/>
      </c>
      <c r="E912" t="str">
        <f t="shared" si="28"/>
        <v/>
      </c>
      <c r="F912" t="str">
        <f t="shared" si="29"/>
        <v/>
      </c>
      <c r="G912" t="str">
        <f>IF($J912="","",SUMIFS('Hours Log'!$E:$E,'Hours Log'!$A:$A,"&gt;="&amp;$J912,'Hours Log'!$A:$A,"&lt;"&amp;$J912+7))</f>
        <v/>
      </c>
      <c r="J912" t="str">
        <f>IF(COUNT('Hours Log'!$A$4:$A$5000)=0,"",IF(MIN('Hours Log'!$A$4:$A$5000)+7*(ROW()-10)&gt;MAX('Hours Log'!$A$4:$A$5000),"",MIN('Hours Log'!$A$4:$A$5000)+7*(ROW()-10)))</f>
        <v/>
      </c>
    </row>
    <row r="913" spans="1:10" x14ac:dyDescent="0.25">
      <c r="A913" t="str">
        <f>IF($J913="","",YEAR($J913-WEEKDAY($J913,2)+4)&amp;"-W"&amp;TEXT(_xludf.ISOWEEKNUM($J913),"00"))</f>
        <v/>
      </c>
      <c r="B913"/>
      <c r="C913" t="str">
        <f>IF($J913="","",SUMIFS('Hours Log'!$C:$C,'Hours Log'!$A:$A,"&gt;="&amp;$J913,'Hours Log'!$A:$A,"&lt;"&amp;$J913+7)+SUMIFS('Hours Log'!$D:$D,'Hours Log'!$A:$A,"&gt;="&amp;$J913,'Hours Log'!$A:$A,"&lt;"&amp;$J913+7))</f>
        <v/>
      </c>
      <c r="D913" t="str">
        <f>IF($J913="","",SUMIFS('Hours Log'!$D:$D,'Hours Log'!$A:$A,"&gt;="&amp;$J913,'Hours Log'!$A:$A,"&lt;"&amp;$J913+7))</f>
        <v/>
      </c>
      <c r="E913" t="str">
        <f t="shared" si="28"/>
        <v/>
      </c>
      <c r="F913" t="str">
        <f t="shared" si="29"/>
        <v/>
      </c>
      <c r="G913" t="str">
        <f>IF($J913="","",SUMIFS('Hours Log'!$E:$E,'Hours Log'!$A:$A,"&gt;="&amp;$J913,'Hours Log'!$A:$A,"&lt;"&amp;$J913+7))</f>
        <v/>
      </c>
      <c r="J913" t="str">
        <f>IF(COUNT('Hours Log'!$A$4:$A$5000)=0,"",IF(MIN('Hours Log'!$A$4:$A$5000)+7*(ROW()-10)&gt;MAX('Hours Log'!$A$4:$A$5000),"",MIN('Hours Log'!$A$4:$A$5000)+7*(ROW()-10)))</f>
        <v/>
      </c>
    </row>
    <row r="914" spans="1:10" x14ac:dyDescent="0.25">
      <c r="A914" t="str">
        <f>IF($J914="","",YEAR($J914-WEEKDAY($J914,2)+4)&amp;"-W"&amp;TEXT(_xludf.ISOWEEKNUM($J914),"00"))</f>
        <v/>
      </c>
      <c r="B914"/>
      <c r="C914" t="str">
        <f>IF($J914="","",SUMIFS('Hours Log'!$C:$C,'Hours Log'!$A:$A,"&gt;="&amp;$J914,'Hours Log'!$A:$A,"&lt;"&amp;$J914+7)+SUMIFS('Hours Log'!$D:$D,'Hours Log'!$A:$A,"&gt;="&amp;$J914,'Hours Log'!$A:$A,"&lt;"&amp;$J914+7))</f>
        <v/>
      </c>
      <c r="D914" t="str">
        <f>IF($J914="","",SUMIFS('Hours Log'!$D:$D,'Hours Log'!$A:$A,"&gt;="&amp;$J914,'Hours Log'!$A:$A,"&lt;"&amp;$J914+7))</f>
        <v/>
      </c>
      <c r="E914" t="str">
        <f t="shared" si="28"/>
        <v/>
      </c>
      <c r="F914" t="str">
        <f t="shared" si="29"/>
        <v/>
      </c>
      <c r="G914" t="str">
        <f>IF($J914="","",SUMIFS('Hours Log'!$E:$E,'Hours Log'!$A:$A,"&gt;="&amp;$J914,'Hours Log'!$A:$A,"&lt;"&amp;$J914+7))</f>
        <v/>
      </c>
      <c r="J914" t="str">
        <f>IF(COUNT('Hours Log'!$A$4:$A$5000)=0,"",IF(MIN('Hours Log'!$A$4:$A$5000)+7*(ROW()-10)&gt;MAX('Hours Log'!$A$4:$A$5000),"",MIN('Hours Log'!$A$4:$A$5000)+7*(ROW()-10)))</f>
        <v/>
      </c>
    </row>
    <row r="915" spans="1:10" x14ac:dyDescent="0.25">
      <c r="A915" t="str">
        <f>IF($J915="","",YEAR($J915-WEEKDAY($J915,2)+4)&amp;"-W"&amp;TEXT(_xludf.ISOWEEKNUM($J915),"00"))</f>
        <v/>
      </c>
      <c r="B915"/>
      <c r="C915" t="str">
        <f>IF($J915="","",SUMIFS('Hours Log'!$C:$C,'Hours Log'!$A:$A,"&gt;="&amp;$J915,'Hours Log'!$A:$A,"&lt;"&amp;$J915+7)+SUMIFS('Hours Log'!$D:$D,'Hours Log'!$A:$A,"&gt;="&amp;$J915,'Hours Log'!$A:$A,"&lt;"&amp;$J915+7))</f>
        <v/>
      </c>
      <c r="D915" t="str">
        <f>IF($J915="","",SUMIFS('Hours Log'!$D:$D,'Hours Log'!$A:$A,"&gt;="&amp;$J915,'Hours Log'!$A:$A,"&lt;"&amp;$J915+7))</f>
        <v/>
      </c>
      <c r="E915" t="str">
        <f t="shared" si="28"/>
        <v/>
      </c>
      <c r="F915" t="str">
        <f t="shared" si="29"/>
        <v/>
      </c>
      <c r="G915" t="str">
        <f>IF($J915="","",SUMIFS('Hours Log'!$E:$E,'Hours Log'!$A:$A,"&gt;="&amp;$J915,'Hours Log'!$A:$A,"&lt;"&amp;$J915+7))</f>
        <v/>
      </c>
      <c r="J915" t="str">
        <f>IF(COUNT('Hours Log'!$A$4:$A$5000)=0,"",IF(MIN('Hours Log'!$A$4:$A$5000)+7*(ROW()-10)&gt;MAX('Hours Log'!$A$4:$A$5000),"",MIN('Hours Log'!$A$4:$A$5000)+7*(ROW()-10)))</f>
        <v/>
      </c>
    </row>
    <row r="916" spans="1:10" x14ac:dyDescent="0.25">
      <c r="A916" t="str">
        <f>IF($J916="","",YEAR($J916-WEEKDAY($J916,2)+4)&amp;"-W"&amp;TEXT(_xludf.ISOWEEKNUM($J916),"00"))</f>
        <v/>
      </c>
      <c r="B916"/>
      <c r="C916" t="str">
        <f>IF($J916="","",SUMIFS('Hours Log'!$C:$C,'Hours Log'!$A:$A,"&gt;="&amp;$J916,'Hours Log'!$A:$A,"&lt;"&amp;$J916+7)+SUMIFS('Hours Log'!$D:$D,'Hours Log'!$A:$A,"&gt;="&amp;$J916,'Hours Log'!$A:$A,"&lt;"&amp;$J916+7))</f>
        <v/>
      </c>
      <c r="D916" t="str">
        <f>IF($J916="","",SUMIFS('Hours Log'!$D:$D,'Hours Log'!$A:$A,"&gt;="&amp;$J916,'Hours Log'!$A:$A,"&lt;"&amp;$J916+7))</f>
        <v/>
      </c>
      <c r="E916" t="str">
        <f t="shared" si="28"/>
        <v/>
      </c>
      <c r="F916" t="str">
        <f t="shared" si="29"/>
        <v/>
      </c>
      <c r="G916" t="str">
        <f>IF($J916="","",SUMIFS('Hours Log'!$E:$E,'Hours Log'!$A:$A,"&gt;="&amp;$J916,'Hours Log'!$A:$A,"&lt;"&amp;$J916+7))</f>
        <v/>
      </c>
      <c r="J916" t="str">
        <f>IF(COUNT('Hours Log'!$A$4:$A$5000)=0,"",IF(MIN('Hours Log'!$A$4:$A$5000)+7*(ROW()-10)&gt;MAX('Hours Log'!$A$4:$A$5000),"",MIN('Hours Log'!$A$4:$A$5000)+7*(ROW()-10)))</f>
        <v/>
      </c>
    </row>
    <row r="917" spans="1:10" x14ac:dyDescent="0.25">
      <c r="A917" t="str">
        <f>IF($J917="","",YEAR($J917-WEEKDAY($J917,2)+4)&amp;"-W"&amp;TEXT(_xludf.ISOWEEKNUM($J917),"00"))</f>
        <v/>
      </c>
      <c r="B917"/>
      <c r="C917" t="str">
        <f>IF($J917="","",SUMIFS('Hours Log'!$C:$C,'Hours Log'!$A:$A,"&gt;="&amp;$J917,'Hours Log'!$A:$A,"&lt;"&amp;$J917+7)+SUMIFS('Hours Log'!$D:$D,'Hours Log'!$A:$A,"&gt;="&amp;$J917,'Hours Log'!$A:$A,"&lt;"&amp;$J917+7))</f>
        <v/>
      </c>
      <c r="D917" t="str">
        <f>IF($J917="","",SUMIFS('Hours Log'!$D:$D,'Hours Log'!$A:$A,"&gt;="&amp;$J917,'Hours Log'!$A:$A,"&lt;"&amp;$J917+7))</f>
        <v/>
      </c>
      <c r="E917" t="str">
        <f t="shared" si="28"/>
        <v/>
      </c>
      <c r="F917" t="str">
        <f t="shared" si="29"/>
        <v/>
      </c>
      <c r="G917" t="str">
        <f>IF($J917="","",SUMIFS('Hours Log'!$E:$E,'Hours Log'!$A:$A,"&gt;="&amp;$J917,'Hours Log'!$A:$A,"&lt;"&amp;$J917+7))</f>
        <v/>
      </c>
      <c r="J917" t="str">
        <f>IF(COUNT('Hours Log'!$A$4:$A$5000)=0,"",IF(MIN('Hours Log'!$A$4:$A$5000)+7*(ROW()-10)&gt;MAX('Hours Log'!$A$4:$A$5000),"",MIN('Hours Log'!$A$4:$A$5000)+7*(ROW()-10)))</f>
        <v/>
      </c>
    </row>
    <row r="918" spans="1:10" x14ac:dyDescent="0.25">
      <c r="A918" t="str">
        <f>IF($J918="","",YEAR($J918-WEEKDAY($J918,2)+4)&amp;"-W"&amp;TEXT(_xludf.ISOWEEKNUM($J918),"00"))</f>
        <v/>
      </c>
      <c r="B918"/>
      <c r="C918" t="str">
        <f>IF($J918="","",SUMIFS('Hours Log'!$C:$C,'Hours Log'!$A:$A,"&gt;="&amp;$J918,'Hours Log'!$A:$A,"&lt;"&amp;$J918+7)+SUMIFS('Hours Log'!$D:$D,'Hours Log'!$A:$A,"&gt;="&amp;$J918,'Hours Log'!$A:$A,"&lt;"&amp;$J918+7))</f>
        <v/>
      </c>
      <c r="D918" t="str">
        <f>IF($J918="","",SUMIFS('Hours Log'!$D:$D,'Hours Log'!$A:$A,"&gt;="&amp;$J918,'Hours Log'!$A:$A,"&lt;"&amp;$J918+7))</f>
        <v/>
      </c>
      <c r="E918" t="str">
        <f t="shared" si="28"/>
        <v/>
      </c>
      <c r="F918" t="str">
        <f t="shared" si="29"/>
        <v/>
      </c>
      <c r="G918" t="str">
        <f>IF($J918="","",SUMIFS('Hours Log'!$E:$E,'Hours Log'!$A:$A,"&gt;="&amp;$J918,'Hours Log'!$A:$A,"&lt;"&amp;$J918+7))</f>
        <v/>
      </c>
      <c r="J918" t="str">
        <f>IF(COUNT('Hours Log'!$A$4:$A$5000)=0,"",IF(MIN('Hours Log'!$A$4:$A$5000)+7*(ROW()-10)&gt;MAX('Hours Log'!$A$4:$A$5000),"",MIN('Hours Log'!$A$4:$A$5000)+7*(ROW()-10)))</f>
        <v/>
      </c>
    </row>
    <row r="919" spans="1:10" x14ac:dyDescent="0.25">
      <c r="A919" t="str">
        <f>IF($J919="","",YEAR($J919-WEEKDAY($J919,2)+4)&amp;"-W"&amp;TEXT(_xludf.ISOWEEKNUM($J919),"00"))</f>
        <v/>
      </c>
      <c r="B919"/>
      <c r="C919" t="str">
        <f>IF($J919="","",SUMIFS('Hours Log'!$C:$C,'Hours Log'!$A:$A,"&gt;="&amp;$J919,'Hours Log'!$A:$A,"&lt;"&amp;$J919+7)+SUMIFS('Hours Log'!$D:$D,'Hours Log'!$A:$A,"&gt;="&amp;$J919,'Hours Log'!$A:$A,"&lt;"&amp;$J919+7))</f>
        <v/>
      </c>
      <c r="D919" t="str">
        <f>IF($J919="","",SUMIFS('Hours Log'!$D:$D,'Hours Log'!$A:$A,"&gt;="&amp;$J919,'Hours Log'!$A:$A,"&lt;"&amp;$J919+7))</f>
        <v/>
      </c>
      <c r="E919" t="str">
        <f t="shared" si="28"/>
        <v/>
      </c>
      <c r="F919" t="str">
        <f t="shared" si="29"/>
        <v/>
      </c>
      <c r="G919" t="str">
        <f>IF($J919="","",SUMIFS('Hours Log'!$E:$E,'Hours Log'!$A:$A,"&gt;="&amp;$J919,'Hours Log'!$A:$A,"&lt;"&amp;$J919+7))</f>
        <v/>
      </c>
      <c r="J919" t="str">
        <f>IF(COUNT('Hours Log'!$A$4:$A$5000)=0,"",IF(MIN('Hours Log'!$A$4:$A$5000)+7*(ROW()-10)&gt;MAX('Hours Log'!$A$4:$A$5000),"",MIN('Hours Log'!$A$4:$A$5000)+7*(ROW()-10)))</f>
        <v/>
      </c>
    </row>
    <row r="920" spans="1:10" x14ac:dyDescent="0.25">
      <c r="A920" t="str">
        <f>IF($J920="","",YEAR($J920-WEEKDAY($J920,2)+4)&amp;"-W"&amp;TEXT(_xludf.ISOWEEKNUM($J920),"00"))</f>
        <v/>
      </c>
      <c r="B920"/>
      <c r="C920" t="str">
        <f>IF($J920="","",SUMIFS('Hours Log'!$C:$C,'Hours Log'!$A:$A,"&gt;="&amp;$J920,'Hours Log'!$A:$A,"&lt;"&amp;$J920+7)+SUMIFS('Hours Log'!$D:$D,'Hours Log'!$A:$A,"&gt;="&amp;$J920,'Hours Log'!$A:$A,"&lt;"&amp;$J920+7))</f>
        <v/>
      </c>
      <c r="D920" t="str">
        <f>IF($J920="","",SUMIFS('Hours Log'!$D:$D,'Hours Log'!$A:$A,"&gt;="&amp;$J920,'Hours Log'!$A:$A,"&lt;"&amp;$J920+7))</f>
        <v/>
      </c>
      <c r="E920" t="str">
        <f t="shared" si="28"/>
        <v/>
      </c>
      <c r="F920" t="str">
        <f t="shared" si="29"/>
        <v/>
      </c>
      <c r="G920" t="str">
        <f>IF($J920="","",SUMIFS('Hours Log'!$E:$E,'Hours Log'!$A:$A,"&gt;="&amp;$J920,'Hours Log'!$A:$A,"&lt;"&amp;$J920+7))</f>
        <v/>
      </c>
      <c r="J920" t="str">
        <f>IF(COUNT('Hours Log'!$A$4:$A$5000)=0,"",IF(MIN('Hours Log'!$A$4:$A$5000)+7*(ROW()-10)&gt;MAX('Hours Log'!$A$4:$A$5000),"",MIN('Hours Log'!$A$4:$A$5000)+7*(ROW()-10)))</f>
        <v/>
      </c>
    </row>
    <row r="921" spans="1:10" x14ac:dyDescent="0.25">
      <c r="A921" t="str">
        <f>IF($J921="","",YEAR($J921-WEEKDAY($J921,2)+4)&amp;"-W"&amp;TEXT(_xludf.ISOWEEKNUM($J921),"00"))</f>
        <v/>
      </c>
      <c r="B921"/>
      <c r="C921" t="str">
        <f>IF($J921="","",SUMIFS('Hours Log'!$C:$C,'Hours Log'!$A:$A,"&gt;="&amp;$J921,'Hours Log'!$A:$A,"&lt;"&amp;$J921+7)+SUMIFS('Hours Log'!$D:$D,'Hours Log'!$A:$A,"&gt;="&amp;$J921,'Hours Log'!$A:$A,"&lt;"&amp;$J921+7))</f>
        <v/>
      </c>
      <c r="D921" t="str">
        <f>IF($J921="","",SUMIFS('Hours Log'!$D:$D,'Hours Log'!$A:$A,"&gt;="&amp;$J921,'Hours Log'!$A:$A,"&lt;"&amp;$J921+7))</f>
        <v/>
      </c>
      <c r="E921" t="str">
        <f t="shared" si="28"/>
        <v/>
      </c>
      <c r="F921" t="str">
        <f t="shared" si="29"/>
        <v/>
      </c>
      <c r="G921" t="str">
        <f>IF($J921="","",SUMIFS('Hours Log'!$E:$E,'Hours Log'!$A:$A,"&gt;="&amp;$J921,'Hours Log'!$A:$A,"&lt;"&amp;$J921+7))</f>
        <v/>
      </c>
      <c r="J921" t="str">
        <f>IF(COUNT('Hours Log'!$A$4:$A$5000)=0,"",IF(MIN('Hours Log'!$A$4:$A$5000)+7*(ROW()-10)&gt;MAX('Hours Log'!$A$4:$A$5000),"",MIN('Hours Log'!$A$4:$A$5000)+7*(ROW()-10)))</f>
        <v/>
      </c>
    </row>
    <row r="922" spans="1:10" x14ac:dyDescent="0.25">
      <c r="A922" t="str">
        <f>IF($J922="","",YEAR($J922-WEEKDAY($J922,2)+4)&amp;"-W"&amp;TEXT(_xludf.ISOWEEKNUM($J922),"00"))</f>
        <v/>
      </c>
      <c r="B922"/>
      <c r="C922" t="str">
        <f>IF($J922="","",SUMIFS('Hours Log'!$C:$C,'Hours Log'!$A:$A,"&gt;="&amp;$J922,'Hours Log'!$A:$A,"&lt;"&amp;$J922+7)+SUMIFS('Hours Log'!$D:$D,'Hours Log'!$A:$A,"&gt;="&amp;$J922,'Hours Log'!$A:$A,"&lt;"&amp;$J922+7))</f>
        <v/>
      </c>
      <c r="D922" t="str">
        <f>IF($J922="","",SUMIFS('Hours Log'!$D:$D,'Hours Log'!$A:$A,"&gt;="&amp;$J922,'Hours Log'!$A:$A,"&lt;"&amp;$J922+7))</f>
        <v/>
      </c>
      <c r="E922" t="str">
        <f t="shared" si="28"/>
        <v/>
      </c>
      <c r="F922" t="str">
        <f t="shared" si="29"/>
        <v/>
      </c>
      <c r="G922" t="str">
        <f>IF($J922="","",SUMIFS('Hours Log'!$E:$E,'Hours Log'!$A:$A,"&gt;="&amp;$J922,'Hours Log'!$A:$A,"&lt;"&amp;$J922+7))</f>
        <v/>
      </c>
      <c r="J922" t="str">
        <f>IF(COUNT('Hours Log'!$A$4:$A$5000)=0,"",IF(MIN('Hours Log'!$A$4:$A$5000)+7*(ROW()-10)&gt;MAX('Hours Log'!$A$4:$A$5000),"",MIN('Hours Log'!$A$4:$A$5000)+7*(ROW()-10)))</f>
        <v/>
      </c>
    </row>
    <row r="923" spans="1:10" x14ac:dyDescent="0.25">
      <c r="A923" t="str">
        <f>IF($J923="","",YEAR($J923-WEEKDAY($J923,2)+4)&amp;"-W"&amp;TEXT(_xludf.ISOWEEKNUM($J923),"00"))</f>
        <v/>
      </c>
      <c r="B923"/>
      <c r="C923" t="str">
        <f>IF($J923="","",SUMIFS('Hours Log'!$C:$C,'Hours Log'!$A:$A,"&gt;="&amp;$J923,'Hours Log'!$A:$A,"&lt;"&amp;$J923+7)+SUMIFS('Hours Log'!$D:$D,'Hours Log'!$A:$A,"&gt;="&amp;$J923,'Hours Log'!$A:$A,"&lt;"&amp;$J923+7))</f>
        <v/>
      </c>
      <c r="D923" t="str">
        <f>IF($J923="","",SUMIFS('Hours Log'!$D:$D,'Hours Log'!$A:$A,"&gt;="&amp;$J923,'Hours Log'!$A:$A,"&lt;"&amp;$J923+7))</f>
        <v/>
      </c>
      <c r="E923" t="str">
        <f t="shared" si="28"/>
        <v/>
      </c>
      <c r="F923" t="str">
        <f t="shared" si="29"/>
        <v/>
      </c>
      <c r="G923" t="str">
        <f>IF($J923="","",SUMIFS('Hours Log'!$E:$E,'Hours Log'!$A:$A,"&gt;="&amp;$J923,'Hours Log'!$A:$A,"&lt;"&amp;$J923+7))</f>
        <v/>
      </c>
      <c r="J923" t="str">
        <f>IF(COUNT('Hours Log'!$A$4:$A$5000)=0,"",IF(MIN('Hours Log'!$A$4:$A$5000)+7*(ROW()-10)&gt;MAX('Hours Log'!$A$4:$A$5000),"",MIN('Hours Log'!$A$4:$A$5000)+7*(ROW()-10)))</f>
        <v/>
      </c>
    </row>
    <row r="924" spans="1:10" x14ac:dyDescent="0.25">
      <c r="A924" t="str">
        <f>IF($J924="","",YEAR($J924-WEEKDAY($J924,2)+4)&amp;"-W"&amp;TEXT(_xludf.ISOWEEKNUM($J924),"00"))</f>
        <v/>
      </c>
      <c r="B924"/>
      <c r="C924" t="str">
        <f>IF($J924="","",SUMIFS('Hours Log'!$C:$C,'Hours Log'!$A:$A,"&gt;="&amp;$J924,'Hours Log'!$A:$A,"&lt;"&amp;$J924+7)+SUMIFS('Hours Log'!$D:$D,'Hours Log'!$A:$A,"&gt;="&amp;$J924,'Hours Log'!$A:$A,"&lt;"&amp;$J924+7))</f>
        <v/>
      </c>
      <c r="D924" t="str">
        <f>IF($J924="","",SUMIFS('Hours Log'!$D:$D,'Hours Log'!$A:$A,"&gt;="&amp;$J924,'Hours Log'!$A:$A,"&lt;"&amp;$J924+7))</f>
        <v/>
      </c>
      <c r="E924" t="str">
        <f t="shared" si="28"/>
        <v/>
      </c>
      <c r="F924" t="str">
        <f t="shared" si="29"/>
        <v/>
      </c>
      <c r="G924" t="str">
        <f>IF($J924="","",SUMIFS('Hours Log'!$E:$E,'Hours Log'!$A:$A,"&gt;="&amp;$J924,'Hours Log'!$A:$A,"&lt;"&amp;$J924+7))</f>
        <v/>
      </c>
      <c r="J924" t="str">
        <f>IF(COUNT('Hours Log'!$A$4:$A$5000)=0,"",IF(MIN('Hours Log'!$A$4:$A$5000)+7*(ROW()-10)&gt;MAX('Hours Log'!$A$4:$A$5000),"",MIN('Hours Log'!$A$4:$A$5000)+7*(ROW()-10)))</f>
        <v/>
      </c>
    </row>
    <row r="925" spans="1:10" x14ac:dyDescent="0.25">
      <c r="A925" t="str">
        <f>IF($J925="","",YEAR($J925-WEEKDAY($J925,2)+4)&amp;"-W"&amp;TEXT(_xludf.ISOWEEKNUM($J925),"00"))</f>
        <v/>
      </c>
      <c r="B925"/>
      <c r="C925" t="str">
        <f>IF($J925="","",SUMIFS('Hours Log'!$C:$C,'Hours Log'!$A:$A,"&gt;="&amp;$J925,'Hours Log'!$A:$A,"&lt;"&amp;$J925+7)+SUMIFS('Hours Log'!$D:$D,'Hours Log'!$A:$A,"&gt;="&amp;$J925,'Hours Log'!$A:$A,"&lt;"&amp;$J925+7))</f>
        <v/>
      </c>
      <c r="D925" t="str">
        <f>IF($J925="","",SUMIFS('Hours Log'!$D:$D,'Hours Log'!$A:$A,"&gt;="&amp;$J925,'Hours Log'!$A:$A,"&lt;"&amp;$J925+7))</f>
        <v/>
      </c>
      <c r="E925" t="str">
        <f t="shared" si="28"/>
        <v/>
      </c>
      <c r="F925" t="str">
        <f t="shared" si="29"/>
        <v/>
      </c>
      <c r="G925" t="str">
        <f>IF($J925="","",SUMIFS('Hours Log'!$E:$E,'Hours Log'!$A:$A,"&gt;="&amp;$J925,'Hours Log'!$A:$A,"&lt;"&amp;$J925+7))</f>
        <v/>
      </c>
      <c r="J925" t="str">
        <f>IF(COUNT('Hours Log'!$A$4:$A$5000)=0,"",IF(MIN('Hours Log'!$A$4:$A$5000)+7*(ROW()-10)&gt;MAX('Hours Log'!$A$4:$A$5000),"",MIN('Hours Log'!$A$4:$A$5000)+7*(ROW()-10)))</f>
        <v/>
      </c>
    </row>
    <row r="926" spans="1:10" x14ac:dyDescent="0.25">
      <c r="A926" t="str">
        <f>IF($J926="","",YEAR($J926-WEEKDAY($J926,2)+4)&amp;"-W"&amp;TEXT(_xludf.ISOWEEKNUM($J926),"00"))</f>
        <v/>
      </c>
      <c r="B926"/>
      <c r="C926" t="str">
        <f>IF($J926="","",SUMIFS('Hours Log'!$C:$C,'Hours Log'!$A:$A,"&gt;="&amp;$J926,'Hours Log'!$A:$A,"&lt;"&amp;$J926+7)+SUMIFS('Hours Log'!$D:$D,'Hours Log'!$A:$A,"&gt;="&amp;$J926,'Hours Log'!$A:$A,"&lt;"&amp;$J926+7))</f>
        <v/>
      </c>
      <c r="D926" t="str">
        <f>IF($J926="","",SUMIFS('Hours Log'!$D:$D,'Hours Log'!$A:$A,"&gt;="&amp;$J926,'Hours Log'!$A:$A,"&lt;"&amp;$J926+7))</f>
        <v/>
      </c>
      <c r="E926" t="str">
        <f t="shared" si="28"/>
        <v/>
      </c>
      <c r="F926" t="str">
        <f t="shared" si="29"/>
        <v/>
      </c>
      <c r="G926" t="str">
        <f>IF($J926="","",SUMIFS('Hours Log'!$E:$E,'Hours Log'!$A:$A,"&gt;="&amp;$J926,'Hours Log'!$A:$A,"&lt;"&amp;$J926+7))</f>
        <v/>
      </c>
      <c r="J926" t="str">
        <f>IF(COUNT('Hours Log'!$A$4:$A$5000)=0,"",IF(MIN('Hours Log'!$A$4:$A$5000)+7*(ROW()-10)&gt;MAX('Hours Log'!$A$4:$A$5000),"",MIN('Hours Log'!$A$4:$A$5000)+7*(ROW()-10)))</f>
        <v/>
      </c>
    </row>
    <row r="927" spans="1:10" x14ac:dyDescent="0.25">
      <c r="A927" t="str">
        <f>IF($J927="","",YEAR($J927-WEEKDAY($J927,2)+4)&amp;"-W"&amp;TEXT(_xludf.ISOWEEKNUM($J927),"00"))</f>
        <v/>
      </c>
      <c r="B927"/>
      <c r="C927" t="str">
        <f>IF($J927="","",SUMIFS('Hours Log'!$C:$C,'Hours Log'!$A:$A,"&gt;="&amp;$J927,'Hours Log'!$A:$A,"&lt;"&amp;$J927+7)+SUMIFS('Hours Log'!$D:$D,'Hours Log'!$A:$A,"&gt;="&amp;$J927,'Hours Log'!$A:$A,"&lt;"&amp;$J927+7))</f>
        <v/>
      </c>
      <c r="D927" t="str">
        <f>IF($J927="","",SUMIFS('Hours Log'!$D:$D,'Hours Log'!$A:$A,"&gt;="&amp;$J927,'Hours Log'!$A:$A,"&lt;"&amp;$J927+7))</f>
        <v/>
      </c>
      <c r="E927" t="str">
        <f t="shared" si="28"/>
        <v/>
      </c>
      <c r="F927" t="str">
        <f t="shared" si="29"/>
        <v/>
      </c>
      <c r="G927" t="str">
        <f>IF($J927="","",SUMIFS('Hours Log'!$E:$E,'Hours Log'!$A:$A,"&gt;="&amp;$J927,'Hours Log'!$A:$A,"&lt;"&amp;$J927+7))</f>
        <v/>
      </c>
      <c r="J927" t="str">
        <f>IF(COUNT('Hours Log'!$A$4:$A$5000)=0,"",IF(MIN('Hours Log'!$A$4:$A$5000)+7*(ROW()-10)&gt;MAX('Hours Log'!$A$4:$A$5000),"",MIN('Hours Log'!$A$4:$A$5000)+7*(ROW()-10)))</f>
        <v/>
      </c>
    </row>
    <row r="928" spans="1:10" x14ac:dyDescent="0.25">
      <c r="A928" t="str">
        <f>IF($J928="","",YEAR($J928-WEEKDAY($J928,2)+4)&amp;"-W"&amp;TEXT(_xludf.ISOWEEKNUM($J928),"00"))</f>
        <v/>
      </c>
      <c r="B928"/>
      <c r="C928" t="str">
        <f>IF($J928="","",SUMIFS('Hours Log'!$C:$C,'Hours Log'!$A:$A,"&gt;="&amp;$J928,'Hours Log'!$A:$A,"&lt;"&amp;$J928+7)+SUMIFS('Hours Log'!$D:$D,'Hours Log'!$A:$A,"&gt;="&amp;$J928,'Hours Log'!$A:$A,"&lt;"&amp;$J928+7))</f>
        <v/>
      </c>
      <c r="D928" t="str">
        <f>IF($J928="","",SUMIFS('Hours Log'!$D:$D,'Hours Log'!$A:$A,"&gt;="&amp;$J928,'Hours Log'!$A:$A,"&lt;"&amp;$J928+7))</f>
        <v/>
      </c>
      <c r="E928" t="str">
        <f t="shared" si="28"/>
        <v/>
      </c>
      <c r="F928" t="str">
        <f t="shared" si="29"/>
        <v/>
      </c>
      <c r="G928" t="str">
        <f>IF($J928="","",SUMIFS('Hours Log'!$E:$E,'Hours Log'!$A:$A,"&gt;="&amp;$J928,'Hours Log'!$A:$A,"&lt;"&amp;$J928+7))</f>
        <v/>
      </c>
      <c r="J928" t="str">
        <f>IF(COUNT('Hours Log'!$A$4:$A$5000)=0,"",IF(MIN('Hours Log'!$A$4:$A$5000)+7*(ROW()-10)&gt;MAX('Hours Log'!$A$4:$A$5000),"",MIN('Hours Log'!$A$4:$A$5000)+7*(ROW()-10)))</f>
        <v/>
      </c>
    </row>
    <row r="929" spans="1:10" x14ac:dyDescent="0.25">
      <c r="A929" t="str">
        <f>IF($J929="","",YEAR($J929-WEEKDAY($J929,2)+4)&amp;"-W"&amp;TEXT(_xludf.ISOWEEKNUM($J929),"00"))</f>
        <v/>
      </c>
      <c r="B929"/>
      <c r="C929" t="str">
        <f>IF($J929="","",SUMIFS('Hours Log'!$C:$C,'Hours Log'!$A:$A,"&gt;="&amp;$J929,'Hours Log'!$A:$A,"&lt;"&amp;$J929+7)+SUMIFS('Hours Log'!$D:$D,'Hours Log'!$A:$A,"&gt;="&amp;$J929,'Hours Log'!$A:$A,"&lt;"&amp;$J929+7))</f>
        <v/>
      </c>
      <c r="D929" t="str">
        <f>IF($J929="","",SUMIFS('Hours Log'!$D:$D,'Hours Log'!$A:$A,"&gt;="&amp;$J929,'Hours Log'!$A:$A,"&lt;"&amp;$J929+7))</f>
        <v/>
      </c>
      <c r="E929" t="str">
        <f t="shared" si="28"/>
        <v/>
      </c>
      <c r="F929" t="str">
        <f t="shared" si="29"/>
        <v/>
      </c>
      <c r="G929" t="str">
        <f>IF($J929="","",SUMIFS('Hours Log'!$E:$E,'Hours Log'!$A:$A,"&gt;="&amp;$J929,'Hours Log'!$A:$A,"&lt;"&amp;$J929+7))</f>
        <v/>
      </c>
      <c r="J929" t="str">
        <f>IF(COUNT('Hours Log'!$A$4:$A$5000)=0,"",IF(MIN('Hours Log'!$A$4:$A$5000)+7*(ROW()-10)&gt;MAX('Hours Log'!$A$4:$A$5000),"",MIN('Hours Log'!$A$4:$A$5000)+7*(ROW()-10)))</f>
        <v/>
      </c>
    </row>
    <row r="930" spans="1:10" x14ac:dyDescent="0.25">
      <c r="A930" t="str">
        <f>IF($J930="","",YEAR($J930-WEEKDAY($J930,2)+4)&amp;"-W"&amp;TEXT(_xludf.ISOWEEKNUM($J930),"00"))</f>
        <v/>
      </c>
      <c r="B930"/>
      <c r="C930" t="str">
        <f>IF($J930="","",SUMIFS('Hours Log'!$C:$C,'Hours Log'!$A:$A,"&gt;="&amp;$J930,'Hours Log'!$A:$A,"&lt;"&amp;$J930+7)+SUMIFS('Hours Log'!$D:$D,'Hours Log'!$A:$A,"&gt;="&amp;$J930,'Hours Log'!$A:$A,"&lt;"&amp;$J930+7))</f>
        <v/>
      </c>
      <c r="D930" t="str">
        <f>IF($J930="","",SUMIFS('Hours Log'!$D:$D,'Hours Log'!$A:$A,"&gt;="&amp;$J930,'Hours Log'!$A:$A,"&lt;"&amp;$J930+7))</f>
        <v/>
      </c>
      <c r="E930" t="str">
        <f t="shared" si="28"/>
        <v/>
      </c>
      <c r="F930" t="str">
        <f t="shared" si="29"/>
        <v/>
      </c>
      <c r="G930" t="str">
        <f>IF($J930="","",SUMIFS('Hours Log'!$E:$E,'Hours Log'!$A:$A,"&gt;="&amp;$J930,'Hours Log'!$A:$A,"&lt;"&amp;$J930+7))</f>
        <v/>
      </c>
      <c r="J930" t="str">
        <f>IF(COUNT('Hours Log'!$A$4:$A$5000)=0,"",IF(MIN('Hours Log'!$A$4:$A$5000)+7*(ROW()-10)&gt;MAX('Hours Log'!$A$4:$A$5000),"",MIN('Hours Log'!$A$4:$A$5000)+7*(ROW()-10)))</f>
        <v/>
      </c>
    </row>
    <row r="931" spans="1:10" x14ac:dyDescent="0.25">
      <c r="A931" t="str">
        <f>IF($J931="","",YEAR($J931-WEEKDAY($J931,2)+4)&amp;"-W"&amp;TEXT(_xludf.ISOWEEKNUM($J931),"00"))</f>
        <v/>
      </c>
      <c r="B931"/>
      <c r="C931" t="str">
        <f>IF($J931="","",SUMIFS('Hours Log'!$C:$C,'Hours Log'!$A:$A,"&gt;="&amp;$J931,'Hours Log'!$A:$A,"&lt;"&amp;$J931+7)+SUMIFS('Hours Log'!$D:$D,'Hours Log'!$A:$A,"&gt;="&amp;$J931,'Hours Log'!$A:$A,"&lt;"&amp;$J931+7))</f>
        <v/>
      </c>
      <c r="D931" t="str">
        <f>IF($J931="","",SUMIFS('Hours Log'!$D:$D,'Hours Log'!$A:$A,"&gt;="&amp;$J931,'Hours Log'!$A:$A,"&lt;"&amp;$J931+7))</f>
        <v/>
      </c>
      <c r="E931" t="str">
        <f t="shared" si="28"/>
        <v/>
      </c>
      <c r="F931" t="str">
        <f t="shared" si="29"/>
        <v/>
      </c>
      <c r="G931" t="str">
        <f>IF($J931="","",SUMIFS('Hours Log'!$E:$E,'Hours Log'!$A:$A,"&gt;="&amp;$J931,'Hours Log'!$A:$A,"&lt;"&amp;$J931+7))</f>
        <v/>
      </c>
      <c r="J931" t="str">
        <f>IF(COUNT('Hours Log'!$A$4:$A$5000)=0,"",IF(MIN('Hours Log'!$A$4:$A$5000)+7*(ROW()-10)&gt;MAX('Hours Log'!$A$4:$A$5000),"",MIN('Hours Log'!$A$4:$A$5000)+7*(ROW()-10)))</f>
        <v/>
      </c>
    </row>
    <row r="932" spans="1:10" x14ac:dyDescent="0.25">
      <c r="A932" t="str">
        <f>IF($J932="","",YEAR($J932-WEEKDAY($J932,2)+4)&amp;"-W"&amp;TEXT(_xludf.ISOWEEKNUM($J932),"00"))</f>
        <v/>
      </c>
      <c r="B932"/>
      <c r="C932" t="str">
        <f>IF($J932="","",SUMIFS('Hours Log'!$C:$C,'Hours Log'!$A:$A,"&gt;="&amp;$J932,'Hours Log'!$A:$A,"&lt;"&amp;$J932+7)+SUMIFS('Hours Log'!$D:$D,'Hours Log'!$A:$A,"&gt;="&amp;$J932,'Hours Log'!$A:$A,"&lt;"&amp;$J932+7))</f>
        <v/>
      </c>
      <c r="D932" t="str">
        <f>IF($J932="","",SUMIFS('Hours Log'!$D:$D,'Hours Log'!$A:$A,"&gt;="&amp;$J932,'Hours Log'!$A:$A,"&lt;"&amp;$J932+7))</f>
        <v/>
      </c>
      <c r="E932" t="str">
        <f t="shared" si="28"/>
        <v/>
      </c>
      <c r="F932" t="str">
        <f t="shared" si="29"/>
        <v/>
      </c>
      <c r="G932" t="str">
        <f>IF($J932="","",SUMIFS('Hours Log'!$E:$E,'Hours Log'!$A:$A,"&gt;="&amp;$J932,'Hours Log'!$A:$A,"&lt;"&amp;$J932+7))</f>
        <v/>
      </c>
      <c r="J932" t="str">
        <f>IF(COUNT('Hours Log'!$A$4:$A$5000)=0,"",IF(MIN('Hours Log'!$A$4:$A$5000)+7*(ROW()-10)&gt;MAX('Hours Log'!$A$4:$A$5000),"",MIN('Hours Log'!$A$4:$A$5000)+7*(ROW()-10)))</f>
        <v/>
      </c>
    </row>
    <row r="933" spans="1:10" x14ac:dyDescent="0.25">
      <c r="A933" t="str">
        <f>IF($J933="","",YEAR($J933-WEEKDAY($J933,2)+4)&amp;"-W"&amp;TEXT(_xludf.ISOWEEKNUM($J933),"00"))</f>
        <v/>
      </c>
      <c r="B933"/>
      <c r="C933" t="str">
        <f>IF($J933="","",SUMIFS('Hours Log'!$C:$C,'Hours Log'!$A:$A,"&gt;="&amp;$J933,'Hours Log'!$A:$A,"&lt;"&amp;$J933+7)+SUMIFS('Hours Log'!$D:$D,'Hours Log'!$A:$A,"&gt;="&amp;$J933,'Hours Log'!$A:$A,"&lt;"&amp;$J933+7))</f>
        <v/>
      </c>
      <c r="D933" t="str">
        <f>IF($J933="","",SUMIFS('Hours Log'!$D:$D,'Hours Log'!$A:$A,"&gt;="&amp;$J933,'Hours Log'!$A:$A,"&lt;"&amp;$J933+7))</f>
        <v/>
      </c>
      <c r="E933" t="str">
        <f t="shared" si="28"/>
        <v/>
      </c>
      <c r="F933" t="str">
        <f t="shared" si="29"/>
        <v/>
      </c>
      <c r="G933" t="str">
        <f>IF($J933="","",SUMIFS('Hours Log'!$E:$E,'Hours Log'!$A:$A,"&gt;="&amp;$J933,'Hours Log'!$A:$A,"&lt;"&amp;$J933+7))</f>
        <v/>
      </c>
      <c r="J933" t="str">
        <f>IF(COUNT('Hours Log'!$A$4:$A$5000)=0,"",IF(MIN('Hours Log'!$A$4:$A$5000)+7*(ROW()-10)&gt;MAX('Hours Log'!$A$4:$A$5000),"",MIN('Hours Log'!$A$4:$A$5000)+7*(ROW()-10)))</f>
        <v/>
      </c>
    </row>
    <row r="934" spans="1:10" x14ac:dyDescent="0.25">
      <c r="A934" t="str">
        <f>IF($J934="","",YEAR($J934-WEEKDAY($J934,2)+4)&amp;"-W"&amp;TEXT(_xludf.ISOWEEKNUM($J934),"00"))</f>
        <v/>
      </c>
      <c r="B934"/>
      <c r="C934" t="str">
        <f>IF($J934="","",SUMIFS('Hours Log'!$C:$C,'Hours Log'!$A:$A,"&gt;="&amp;$J934,'Hours Log'!$A:$A,"&lt;"&amp;$J934+7)+SUMIFS('Hours Log'!$D:$D,'Hours Log'!$A:$A,"&gt;="&amp;$J934,'Hours Log'!$A:$A,"&lt;"&amp;$J934+7))</f>
        <v/>
      </c>
      <c r="D934" t="str">
        <f>IF($J934="","",SUMIFS('Hours Log'!$D:$D,'Hours Log'!$A:$A,"&gt;="&amp;$J934,'Hours Log'!$A:$A,"&lt;"&amp;$J934+7))</f>
        <v/>
      </c>
      <c r="E934" t="str">
        <f t="shared" si="28"/>
        <v/>
      </c>
      <c r="F934" t="str">
        <f t="shared" si="29"/>
        <v/>
      </c>
      <c r="G934" t="str">
        <f>IF($J934="","",SUMIFS('Hours Log'!$E:$E,'Hours Log'!$A:$A,"&gt;="&amp;$J934,'Hours Log'!$A:$A,"&lt;"&amp;$J934+7))</f>
        <v/>
      </c>
      <c r="J934" t="str">
        <f>IF(COUNT('Hours Log'!$A$4:$A$5000)=0,"",IF(MIN('Hours Log'!$A$4:$A$5000)+7*(ROW()-10)&gt;MAX('Hours Log'!$A$4:$A$5000),"",MIN('Hours Log'!$A$4:$A$5000)+7*(ROW()-10)))</f>
        <v/>
      </c>
    </row>
    <row r="935" spans="1:10" x14ac:dyDescent="0.25">
      <c r="A935" t="str">
        <f>IF($J935="","",YEAR($J935-WEEKDAY($J935,2)+4)&amp;"-W"&amp;TEXT(_xludf.ISOWEEKNUM($J935),"00"))</f>
        <v/>
      </c>
      <c r="B935"/>
      <c r="C935" t="str">
        <f>IF($J935="","",SUMIFS('Hours Log'!$C:$C,'Hours Log'!$A:$A,"&gt;="&amp;$J935,'Hours Log'!$A:$A,"&lt;"&amp;$J935+7)+SUMIFS('Hours Log'!$D:$D,'Hours Log'!$A:$A,"&gt;="&amp;$J935,'Hours Log'!$A:$A,"&lt;"&amp;$J935+7))</f>
        <v/>
      </c>
      <c r="D935" t="str">
        <f>IF($J935="","",SUMIFS('Hours Log'!$D:$D,'Hours Log'!$A:$A,"&gt;="&amp;$J935,'Hours Log'!$A:$A,"&lt;"&amp;$J935+7))</f>
        <v/>
      </c>
      <c r="E935" t="str">
        <f t="shared" si="28"/>
        <v/>
      </c>
      <c r="F935" t="str">
        <f t="shared" si="29"/>
        <v/>
      </c>
      <c r="G935" t="str">
        <f>IF($J935="","",SUMIFS('Hours Log'!$E:$E,'Hours Log'!$A:$A,"&gt;="&amp;$J935,'Hours Log'!$A:$A,"&lt;"&amp;$J935+7))</f>
        <v/>
      </c>
      <c r="J935" t="str">
        <f>IF(COUNT('Hours Log'!$A$4:$A$5000)=0,"",IF(MIN('Hours Log'!$A$4:$A$5000)+7*(ROW()-10)&gt;MAX('Hours Log'!$A$4:$A$5000),"",MIN('Hours Log'!$A$4:$A$5000)+7*(ROW()-10)))</f>
        <v/>
      </c>
    </row>
    <row r="936" spans="1:10" x14ac:dyDescent="0.25">
      <c r="A936" t="str">
        <f>IF($J936="","",YEAR($J936-WEEKDAY($J936,2)+4)&amp;"-W"&amp;TEXT(_xludf.ISOWEEKNUM($J936),"00"))</f>
        <v/>
      </c>
      <c r="B936"/>
      <c r="C936" t="str">
        <f>IF($J936="","",SUMIFS('Hours Log'!$C:$C,'Hours Log'!$A:$A,"&gt;="&amp;$J936,'Hours Log'!$A:$A,"&lt;"&amp;$J936+7)+SUMIFS('Hours Log'!$D:$D,'Hours Log'!$A:$A,"&gt;="&amp;$J936,'Hours Log'!$A:$A,"&lt;"&amp;$J936+7))</f>
        <v/>
      </c>
      <c r="D936" t="str">
        <f>IF($J936="","",SUMIFS('Hours Log'!$D:$D,'Hours Log'!$A:$A,"&gt;="&amp;$J936,'Hours Log'!$A:$A,"&lt;"&amp;$J936+7))</f>
        <v/>
      </c>
      <c r="E936" t="str">
        <f t="shared" si="28"/>
        <v/>
      </c>
      <c r="F936" t="str">
        <f t="shared" si="29"/>
        <v/>
      </c>
      <c r="G936" t="str">
        <f>IF($J936="","",SUMIFS('Hours Log'!$E:$E,'Hours Log'!$A:$A,"&gt;="&amp;$J936,'Hours Log'!$A:$A,"&lt;"&amp;$J936+7))</f>
        <v/>
      </c>
      <c r="J936" t="str">
        <f>IF(COUNT('Hours Log'!$A$4:$A$5000)=0,"",IF(MIN('Hours Log'!$A$4:$A$5000)+7*(ROW()-10)&gt;MAX('Hours Log'!$A$4:$A$5000),"",MIN('Hours Log'!$A$4:$A$5000)+7*(ROW()-10)))</f>
        <v/>
      </c>
    </row>
    <row r="937" spans="1:10" x14ac:dyDescent="0.25">
      <c r="A937" t="str">
        <f>IF($J937="","",YEAR($J937-WEEKDAY($J937,2)+4)&amp;"-W"&amp;TEXT(_xludf.ISOWEEKNUM($J937),"00"))</f>
        <v/>
      </c>
      <c r="B937"/>
      <c r="C937" t="str">
        <f>IF($J937="","",SUMIFS('Hours Log'!$C:$C,'Hours Log'!$A:$A,"&gt;="&amp;$J937,'Hours Log'!$A:$A,"&lt;"&amp;$J937+7)+SUMIFS('Hours Log'!$D:$D,'Hours Log'!$A:$A,"&gt;="&amp;$J937,'Hours Log'!$A:$A,"&lt;"&amp;$J937+7))</f>
        <v/>
      </c>
      <c r="D937" t="str">
        <f>IF($J937="","",SUMIFS('Hours Log'!$D:$D,'Hours Log'!$A:$A,"&gt;="&amp;$J937,'Hours Log'!$A:$A,"&lt;"&amp;$J937+7))</f>
        <v/>
      </c>
      <c r="E937" t="str">
        <f t="shared" si="28"/>
        <v/>
      </c>
      <c r="F937" t="str">
        <f t="shared" si="29"/>
        <v/>
      </c>
      <c r="G937" t="str">
        <f>IF($J937="","",SUMIFS('Hours Log'!$E:$E,'Hours Log'!$A:$A,"&gt;="&amp;$J937,'Hours Log'!$A:$A,"&lt;"&amp;$J937+7))</f>
        <v/>
      </c>
      <c r="J937" t="str">
        <f>IF(COUNT('Hours Log'!$A$4:$A$5000)=0,"",IF(MIN('Hours Log'!$A$4:$A$5000)+7*(ROW()-10)&gt;MAX('Hours Log'!$A$4:$A$5000),"",MIN('Hours Log'!$A$4:$A$5000)+7*(ROW()-10)))</f>
        <v/>
      </c>
    </row>
    <row r="938" spans="1:10" x14ac:dyDescent="0.25">
      <c r="A938" t="str">
        <f>IF($J938="","",YEAR($J938-WEEKDAY($J938,2)+4)&amp;"-W"&amp;TEXT(_xludf.ISOWEEKNUM($J938),"00"))</f>
        <v/>
      </c>
      <c r="B938"/>
      <c r="C938" t="str">
        <f>IF($J938="","",SUMIFS('Hours Log'!$C:$C,'Hours Log'!$A:$A,"&gt;="&amp;$J938,'Hours Log'!$A:$A,"&lt;"&amp;$J938+7)+SUMIFS('Hours Log'!$D:$D,'Hours Log'!$A:$A,"&gt;="&amp;$J938,'Hours Log'!$A:$A,"&lt;"&amp;$J938+7))</f>
        <v/>
      </c>
      <c r="D938" t="str">
        <f>IF($J938="","",SUMIFS('Hours Log'!$D:$D,'Hours Log'!$A:$A,"&gt;="&amp;$J938,'Hours Log'!$A:$A,"&lt;"&amp;$J938+7))</f>
        <v/>
      </c>
      <c r="E938" t="str">
        <f t="shared" si="28"/>
        <v/>
      </c>
      <c r="F938" t="str">
        <f t="shared" si="29"/>
        <v/>
      </c>
      <c r="G938" t="str">
        <f>IF($J938="","",SUMIFS('Hours Log'!$E:$E,'Hours Log'!$A:$A,"&gt;="&amp;$J938,'Hours Log'!$A:$A,"&lt;"&amp;$J938+7))</f>
        <v/>
      </c>
      <c r="J938" t="str">
        <f>IF(COUNT('Hours Log'!$A$4:$A$5000)=0,"",IF(MIN('Hours Log'!$A$4:$A$5000)+7*(ROW()-10)&gt;MAX('Hours Log'!$A$4:$A$5000),"",MIN('Hours Log'!$A$4:$A$5000)+7*(ROW()-10)))</f>
        <v/>
      </c>
    </row>
    <row r="939" spans="1:10" x14ac:dyDescent="0.25">
      <c r="A939" t="str">
        <f>IF($J939="","",YEAR($J939-WEEKDAY($J939,2)+4)&amp;"-W"&amp;TEXT(_xludf.ISOWEEKNUM($J939),"00"))</f>
        <v/>
      </c>
      <c r="B939"/>
      <c r="C939" t="str">
        <f>IF($J939="","",SUMIFS('Hours Log'!$C:$C,'Hours Log'!$A:$A,"&gt;="&amp;$J939,'Hours Log'!$A:$A,"&lt;"&amp;$J939+7)+SUMIFS('Hours Log'!$D:$D,'Hours Log'!$A:$A,"&gt;="&amp;$J939,'Hours Log'!$A:$A,"&lt;"&amp;$J939+7))</f>
        <v/>
      </c>
      <c r="D939" t="str">
        <f>IF($J939="","",SUMIFS('Hours Log'!$D:$D,'Hours Log'!$A:$A,"&gt;="&amp;$J939,'Hours Log'!$A:$A,"&lt;"&amp;$J939+7))</f>
        <v/>
      </c>
      <c r="E939" t="str">
        <f t="shared" si="28"/>
        <v/>
      </c>
      <c r="F939" t="str">
        <f t="shared" si="29"/>
        <v/>
      </c>
      <c r="G939" t="str">
        <f>IF($J939="","",SUMIFS('Hours Log'!$E:$E,'Hours Log'!$A:$A,"&gt;="&amp;$J939,'Hours Log'!$A:$A,"&lt;"&amp;$J939+7))</f>
        <v/>
      </c>
      <c r="J939" t="str">
        <f>IF(COUNT('Hours Log'!$A$4:$A$5000)=0,"",IF(MIN('Hours Log'!$A$4:$A$5000)+7*(ROW()-10)&gt;MAX('Hours Log'!$A$4:$A$5000),"",MIN('Hours Log'!$A$4:$A$5000)+7*(ROW()-10)))</f>
        <v/>
      </c>
    </row>
    <row r="940" spans="1:10" x14ac:dyDescent="0.25">
      <c r="A940" t="str">
        <f>IF($J940="","",YEAR($J940-WEEKDAY($J940,2)+4)&amp;"-W"&amp;TEXT(_xludf.ISOWEEKNUM($J940),"00"))</f>
        <v/>
      </c>
      <c r="B940"/>
      <c r="C940" t="str">
        <f>IF($J940="","",SUMIFS('Hours Log'!$C:$C,'Hours Log'!$A:$A,"&gt;="&amp;$J940,'Hours Log'!$A:$A,"&lt;"&amp;$J940+7)+SUMIFS('Hours Log'!$D:$D,'Hours Log'!$A:$A,"&gt;="&amp;$J940,'Hours Log'!$A:$A,"&lt;"&amp;$J940+7))</f>
        <v/>
      </c>
      <c r="D940" t="str">
        <f>IF($J940="","",SUMIFS('Hours Log'!$D:$D,'Hours Log'!$A:$A,"&gt;="&amp;$J940,'Hours Log'!$A:$A,"&lt;"&amp;$J940+7))</f>
        <v/>
      </c>
      <c r="E940" t="str">
        <f t="shared" si="28"/>
        <v/>
      </c>
      <c r="F940" t="str">
        <f t="shared" si="29"/>
        <v/>
      </c>
      <c r="G940" t="str">
        <f>IF($J940="","",SUMIFS('Hours Log'!$E:$E,'Hours Log'!$A:$A,"&gt;="&amp;$J940,'Hours Log'!$A:$A,"&lt;"&amp;$J940+7))</f>
        <v/>
      </c>
      <c r="J940" t="str">
        <f>IF(COUNT('Hours Log'!$A$4:$A$5000)=0,"",IF(MIN('Hours Log'!$A$4:$A$5000)+7*(ROW()-10)&gt;MAX('Hours Log'!$A$4:$A$5000),"",MIN('Hours Log'!$A$4:$A$5000)+7*(ROW()-10)))</f>
        <v/>
      </c>
    </row>
    <row r="941" spans="1:10" x14ac:dyDescent="0.25">
      <c r="A941" t="str">
        <f>IF($J941="","",YEAR($J941-WEEKDAY($J941,2)+4)&amp;"-W"&amp;TEXT(_xludf.ISOWEEKNUM($J941),"00"))</f>
        <v/>
      </c>
      <c r="B941"/>
      <c r="C941" t="str">
        <f>IF($J941="","",SUMIFS('Hours Log'!$C:$C,'Hours Log'!$A:$A,"&gt;="&amp;$J941,'Hours Log'!$A:$A,"&lt;"&amp;$J941+7)+SUMIFS('Hours Log'!$D:$D,'Hours Log'!$A:$A,"&gt;="&amp;$J941,'Hours Log'!$A:$A,"&lt;"&amp;$J941+7))</f>
        <v/>
      </c>
      <c r="D941" t="str">
        <f>IF($J941="","",SUMIFS('Hours Log'!$D:$D,'Hours Log'!$A:$A,"&gt;="&amp;$J941,'Hours Log'!$A:$A,"&lt;"&amp;$J941+7))</f>
        <v/>
      </c>
      <c r="E941" t="str">
        <f t="shared" si="28"/>
        <v/>
      </c>
      <c r="F941" t="str">
        <f t="shared" si="29"/>
        <v/>
      </c>
      <c r="G941" t="str">
        <f>IF($J941="","",SUMIFS('Hours Log'!$E:$E,'Hours Log'!$A:$A,"&gt;="&amp;$J941,'Hours Log'!$A:$A,"&lt;"&amp;$J941+7))</f>
        <v/>
      </c>
      <c r="J941" t="str">
        <f>IF(COUNT('Hours Log'!$A$4:$A$5000)=0,"",IF(MIN('Hours Log'!$A$4:$A$5000)+7*(ROW()-10)&gt;MAX('Hours Log'!$A$4:$A$5000),"",MIN('Hours Log'!$A$4:$A$5000)+7*(ROW()-10)))</f>
        <v/>
      </c>
    </row>
    <row r="942" spans="1:10" x14ac:dyDescent="0.25">
      <c r="A942" t="str">
        <f>IF($J942="","",YEAR($J942-WEEKDAY($J942,2)+4)&amp;"-W"&amp;TEXT(_xludf.ISOWEEKNUM($J942),"00"))</f>
        <v/>
      </c>
      <c r="B942"/>
      <c r="C942" t="str">
        <f>IF($J942="","",SUMIFS('Hours Log'!$C:$C,'Hours Log'!$A:$A,"&gt;="&amp;$J942,'Hours Log'!$A:$A,"&lt;"&amp;$J942+7)+SUMIFS('Hours Log'!$D:$D,'Hours Log'!$A:$A,"&gt;="&amp;$J942,'Hours Log'!$A:$A,"&lt;"&amp;$J942+7))</f>
        <v/>
      </c>
      <c r="D942" t="str">
        <f>IF($J942="","",SUMIFS('Hours Log'!$D:$D,'Hours Log'!$A:$A,"&gt;="&amp;$J942,'Hours Log'!$A:$A,"&lt;"&amp;$J942+7))</f>
        <v/>
      </c>
      <c r="E942" t="str">
        <f t="shared" si="28"/>
        <v/>
      </c>
      <c r="F942" t="str">
        <f t="shared" si="29"/>
        <v/>
      </c>
      <c r="G942" t="str">
        <f>IF($J942="","",SUMIFS('Hours Log'!$E:$E,'Hours Log'!$A:$A,"&gt;="&amp;$J942,'Hours Log'!$A:$A,"&lt;"&amp;$J942+7))</f>
        <v/>
      </c>
      <c r="J942" t="str">
        <f>IF(COUNT('Hours Log'!$A$4:$A$5000)=0,"",IF(MIN('Hours Log'!$A$4:$A$5000)+7*(ROW()-10)&gt;MAX('Hours Log'!$A$4:$A$5000),"",MIN('Hours Log'!$A$4:$A$5000)+7*(ROW()-10)))</f>
        <v/>
      </c>
    </row>
    <row r="943" spans="1:10" x14ac:dyDescent="0.25">
      <c r="A943" t="str">
        <f>IF($J943="","",YEAR($J943-WEEKDAY($J943,2)+4)&amp;"-W"&amp;TEXT(_xludf.ISOWEEKNUM($J943),"00"))</f>
        <v/>
      </c>
      <c r="B943"/>
      <c r="C943" t="str">
        <f>IF($J943="","",SUMIFS('Hours Log'!$C:$C,'Hours Log'!$A:$A,"&gt;="&amp;$J943,'Hours Log'!$A:$A,"&lt;"&amp;$J943+7)+SUMIFS('Hours Log'!$D:$D,'Hours Log'!$A:$A,"&gt;="&amp;$J943,'Hours Log'!$A:$A,"&lt;"&amp;$J943+7))</f>
        <v/>
      </c>
      <c r="D943" t="str">
        <f>IF($J943="","",SUMIFS('Hours Log'!$D:$D,'Hours Log'!$A:$A,"&gt;="&amp;$J943,'Hours Log'!$A:$A,"&lt;"&amp;$J943+7))</f>
        <v/>
      </c>
      <c r="E943" t="str">
        <f t="shared" si="28"/>
        <v/>
      </c>
      <c r="F943" t="str">
        <f t="shared" si="29"/>
        <v/>
      </c>
      <c r="G943" t="str">
        <f>IF($J943="","",SUMIFS('Hours Log'!$E:$E,'Hours Log'!$A:$A,"&gt;="&amp;$J943,'Hours Log'!$A:$A,"&lt;"&amp;$J943+7))</f>
        <v/>
      </c>
      <c r="J943" t="str">
        <f>IF(COUNT('Hours Log'!$A$4:$A$5000)=0,"",IF(MIN('Hours Log'!$A$4:$A$5000)+7*(ROW()-10)&gt;MAX('Hours Log'!$A$4:$A$5000),"",MIN('Hours Log'!$A$4:$A$5000)+7*(ROW()-10)))</f>
        <v/>
      </c>
    </row>
    <row r="944" spans="1:10" x14ac:dyDescent="0.25">
      <c r="A944" t="str">
        <f>IF($J944="","",YEAR($J944-WEEKDAY($J944,2)+4)&amp;"-W"&amp;TEXT(_xludf.ISOWEEKNUM($J944),"00"))</f>
        <v/>
      </c>
      <c r="B944"/>
      <c r="C944" t="str">
        <f>IF($J944="","",SUMIFS('Hours Log'!$C:$C,'Hours Log'!$A:$A,"&gt;="&amp;$J944,'Hours Log'!$A:$A,"&lt;"&amp;$J944+7)+SUMIFS('Hours Log'!$D:$D,'Hours Log'!$A:$A,"&gt;="&amp;$J944,'Hours Log'!$A:$A,"&lt;"&amp;$J944+7))</f>
        <v/>
      </c>
      <c r="D944" t="str">
        <f>IF($J944="","",SUMIFS('Hours Log'!$D:$D,'Hours Log'!$A:$A,"&gt;="&amp;$J944,'Hours Log'!$A:$A,"&lt;"&amp;$J944+7))</f>
        <v/>
      </c>
      <c r="E944" t="str">
        <f t="shared" si="28"/>
        <v/>
      </c>
      <c r="F944" t="str">
        <f t="shared" si="29"/>
        <v/>
      </c>
      <c r="G944" t="str">
        <f>IF($J944="","",SUMIFS('Hours Log'!$E:$E,'Hours Log'!$A:$A,"&gt;="&amp;$J944,'Hours Log'!$A:$A,"&lt;"&amp;$J944+7))</f>
        <v/>
      </c>
      <c r="J944" t="str">
        <f>IF(COUNT('Hours Log'!$A$4:$A$5000)=0,"",IF(MIN('Hours Log'!$A$4:$A$5000)+7*(ROW()-10)&gt;MAX('Hours Log'!$A$4:$A$5000),"",MIN('Hours Log'!$A$4:$A$5000)+7*(ROW()-10)))</f>
        <v/>
      </c>
    </row>
    <row r="945" spans="1:10" x14ac:dyDescent="0.25">
      <c r="A945" t="str">
        <f>IF($J945="","",YEAR($J945-WEEKDAY($J945,2)+4)&amp;"-W"&amp;TEXT(_xludf.ISOWEEKNUM($J945),"00"))</f>
        <v/>
      </c>
      <c r="B945"/>
      <c r="C945" t="str">
        <f>IF($J945="","",SUMIFS('Hours Log'!$C:$C,'Hours Log'!$A:$A,"&gt;="&amp;$J945,'Hours Log'!$A:$A,"&lt;"&amp;$J945+7)+SUMIFS('Hours Log'!$D:$D,'Hours Log'!$A:$A,"&gt;="&amp;$J945,'Hours Log'!$A:$A,"&lt;"&amp;$J945+7))</f>
        <v/>
      </c>
      <c r="D945" t="str">
        <f>IF($J945="","",SUMIFS('Hours Log'!$D:$D,'Hours Log'!$A:$A,"&gt;="&amp;$J945,'Hours Log'!$A:$A,"&lt;"&amp;$J945+7))</f>
        <v/>
      </c>
      <c r="E945" t="str">
        <f t="shared" si="28"/>
        <v/>
      </c>
      <c r="F945" t="str">
        <f t="shared" si="29"/>
        <v/>
      </c>
      <c r="G945" t="str">
        <f>IF($J945="","",SUMIFS('Hours Log'!$E:$E,'Hours Log'!$A:$A,"&gt;="&amp;$J945,'Hours Log'!$A:$A,"&lt;"&amp;$J945+7))</f>
        <v/>
      </c>
      <c r="J945" t="str">
        <f>IF(COUNT('Hours Log'!$A$4:$A$5000)=0,"",IF(MIN('Hours Log'!$A$4:$A$5000)+7*(ROW()-10)&gt;MAX('Hours Log'!$A$4:$A$5000),"",MIN('Hours Log'!$A$4:$A$5000)+7*(ROW()-10)))</f>
        <v/>
      </c>
    </row>
    <row r="946" spans="1:10" x14ac:dyDescent="0.25">
      <c r="A946" t="str">
        <f>IF($J946="","",YEAR($J946-WEEKDAY($J946,2)+4)&amp;"-W"&amp;TEXT(_xludf.ISOWEEKNUM($J946),"00"))</f>
        <v/>
      </c>
      <c r="B946"/>
      <c r="C946" t="str">
        <f>IF($J946="","",SUMIFS('Hours Log'!$C:$C,'Hours Log'!$A:$A,"&gt;="&amp;$J946,'Hours Log'!$A:$A,"&lt;"&amp;$J946+7)+SUMIFS('Hours Log'!$D:$D,'Hours Log'!$A:$A,"&gt;="&amp;$J946,'Hours Log'!$A:$A,"&lt;"&amp;$J946+7))</f>
        <v/>
      </c>
      <c r="D946" t="str">
        <f>IF($J946="","",SUMIFS('Hours Log'!$D:$D,'Hours Log'!$A:$A,"&gt;="&amp;$J946,'Hours Log'!$A:$A,"&lt;"&amp;$J946+7))</f>
        <v/>
      </c>
      <c r="E946" t="str">
        <f t="shared" si="28"/>
        <v/>
      </c>
      <c r="F946" t="str">
        <f t="shared" si="29"/>
        <v/>
      </c>
      <c r="G946" t="str">
        <f>IF($J946="","",SUMIFS('Hours Log'!$E:$E,'Hours Log'!$A:$A,"&gt;="&amp;$J946,'Hours Log'!$A:$A,"&lt;"&amp;$J946+7))</f>
        <v/>
      </c>
      <c r="J946" t="str">
        <f>IF(COUNT('Hours Log'!$A$4:$A$5000)=0,"",IF(MIN('Hours Log'!$A$4:$A$5000)+7*(ROW()-10)&gt;MAX('Hours Log'!$A$4:$A$5000),"",MIN('Hours Log'!$A$4:$A$5000)+7*(ROW()-10)))</f>
        <v/>
      </c>
    </row>
    <row r="947" spans="1:10" x14ac:dyDescent="0.25">
      <c r="A947" t="str">
        <f>IF($J947="","",YEAR($J947-WEEKDAY($J947,2)+4)&amp;"-W"&amp;TEXT(_xludf.ISOWEEKNUM($J947),"00"))</f>
        <v/>
      </c>
      <c r="B947"/>
      <c r="C947" t="str">
        <f>IF($J947="","",SUMIFS('Hours Log'!$C:$C,'Hours Log'!$A:$A,"&gt;="&amp;$J947,'Hours Log'!$A:$A,"&lt;"&amp;$J947+7)+SUMIFS('Hours Log'!$D:$D,'Hours Log'!$A:$A,"&gt;="&amp;$J947,'Hours Log'!$A:$A,"&lt;"&amp;$J947+7))</f>
        <v/>
      </c>
      <c r="D947" t="str">
        <f>IF($J947="","",SUMIFS('Hours Log'!$D:$D,'Hours Log'!$A:$A,"&gt;="&amp;$J947,'Hours Log'!$A:$A,"&lt;"&amp;$J947+7))</f>
        <v/>
      </c>
      <c r="E947" t="str">
        <f t="shared" si="28"/>
        <v/>
      </c>
      <c r="F947" t="str">
        <f t="shared" si="29"/>
        <v/>
      </c>
      <c r="G947" t="str">
        <f>IF($J947="","",SUMIFS('Hours Log'!$E:$E,'Hours Log'!$A:$A,"&gt;="&amp;$J947,'Hours Log'!$A:$A,"&lt;"&amp;$J947+7))</f>
        <v/>
      </c>
      <c r="J947" t="str">
        <f>IF(COUNT('Hours Log'!$A$4:$A$5000)=0,"",IF(MIN('Hours Log'!$A$4:$A$5000)+7*(ROW()-10)&gt;MAX('Hours Log'!$A$4:$A$5000),"",MIN('Hours Log'!$A$4:$A$5000)+7*(ROW()-10)))</f>
        <v/>
      </c>
    </row>
    <row r="948" spans="1:10" x14ac:dyDescent="0.25">
      <c r="A948" t="str">
        <f>IF($J948="","",YEAR($J948-WEEKDAY($J948,2)+4)&amp;"-W"&amp;TEXT(_xludf.ISOWEEKNUM($J948),"00"))</f>
        <v/>
      </c>
      <c r="B948"/>
      <c r="C948" t="str">
        <f>IF($J948="","",SUMIFS('Hours Log'!$C:$C,'Hours Log'!$A:$A,"&gt;="&amp;$J948,'Hours Log'!$A:$A,"&lt;"&amp;$J948+7)+SUMIFS('Hours Log'!$D:$D,'Hours Log'!$A:$A,"&gt;="&amp;$J948,'Hours Log'!$A:$A,"&lt;"&amp;$J948+7))</f>
        <v/>
      </c>
      <c r="D948" t="str">
        <f>IF($J948="","",SUMIFS('Hours Log'!$D:$D,'Hours Log'!$A:$A,"&gt;="&amp;$J948,'Hours Log'!$A:$A,"&lt;"&amp;$J948+7))</f>
        <v/>
      </c>
      <c r="E948" t="str">
        <f t="shared" si="28"/>
        <v/>
      </c>
      <c r="F948" t="str">
        <f t="shared" si="29"/>
        <v/>
      </c>
      <c r="G948" t="str">
        <f>IF($J948="","",SUMIFS('Hours Log'!$E:$E,'Hours Log'!$A:$A,"&gt;="&amp;$J948,'Hours Log'!$A:$A,"&lt;"&amp;$J948+7))</f>
        <v/>
      </c>
      <c r="J948" t="str">
        <f>IF(COUNT('Hours Log'!$A$4:$A$5000)=0,"",IF(MIN('Hours Log'!$A$4:$A$5000)+7*(ROW()-10)&gt;MAX('Hours Log'!$A$4:$A$5000),"",MIN('Hours Log'!$A$4:$A$5000)+7*(ROW()-10)))</f>
        <v/>
      </c>
    </row>
    <row r="949" spans="1:10" x14ac:dyDescent="0.25">
      <c r="A949" t="str">
        <f>IF($J949="","",YEAR($J949-WEEKDAY($J949,2)+4)&amp;"-W"&amp;TEXT(_xludf.ISOWEEKNUM($J949),"00"))</f>
        <v/>
      </c>
      <c r="B949"/>
      <c r="C949" t="str">
        <f>IF($J949="","",SUMIFS('Hours Log'!$C:$C,'Hours Log'!$A:$A,"&gt;="&amp;$J949,'Hours Log'!$A:$A,"&lt;"&amp;$J949+7)+SUMIFS('Hours Log'!$D:$D,'Hours Log'!$A:$A,"&gt;="&amp;$J949,'Hours Log'!$A:$A,"&lt;"&amp;$J949+7))</f>
        <v/>
      </c>
      <c r="D949" t="str">
        <f>IF($J949="","",SUMIFS('Hours Log'!$D:$D,'Hours Log'!$A:$A,"&gt;="&amp;$J949,'Hours Log'!$A:$A,"&lt;"&amp;$J949+7))</f>
        <v/>
      </c>
      <c r="E949" t="str">
        <f t="shared" si="28"/>
        <v/>
      </c>
      <c r="F949" t="str">
        <f t="shared" si="29"/>
        <v/>
      </c>
      <c r="G949" t="str">
        <f>IF($J949="","",SUMIFS('Hours Log'!$E:$E,'Hours Log'!$A:$A,"&gt;="&amp;$J949,'Hours Log'!$A:$A,"&lt;"&amp;$J949+7))</f>
        <v/>
      </c>
      <c r="J949" t="str">
        <f>IF(COUNT('Hours Log'!$A$4:$A$5000)=0,"",IF(MIN('Hours Log'!$A$4:$A$5000)+7*(ROW()-10)&gt;MAX('Hours Log'!$A$4:$A$5000),"",MIN('Hours Log'!$A$4:$A$5000)+7*(ROW()-10)))</f>
        <v/>
      </c>
    </row>
    <row r="950" spans="1:10" x14ac:dyDescent="0.25">
      <c r="A950" t="str">
        <f>IF($J950="","",YEAR($J950-WEEKDAY($J950,2)+4)&amp;"-W"&amp;TEXT(_xludf.ISOWEEKNUM($J950),"00"))</f>
        <v/>
      </c>
      <c r="B950"/>
      <c r="C950" t="str">
        <f>IF($J950="","",SUMIFS('Hours Log'!$C:$C,'Hours Log'!$A:$A,"&gt;="&amp;$J950,'Hours Log'!$A:$A,"&lt;"&amp;$J950+7)+SUMIFS('Hours Log'!$D:$D,'Hours Log'!$A:$A,"&gt;="&amp;$J950,'Hours Log'!$A:$A,"&lt;"&amp;$J950+7))</f>
        <v/>
      </c>
      <c r="D950" t="str">
        <f>IF($J950="","",SUMIFS('Hours Log'!$D:$D,'Hours Log'!$A:$A,"&gt;="&amp;$J950,'Hours Log'!$A:$A,"&lt;"&amp;$J950+7))</f>
        <v/>
      </c>
      <c r="E950" t="str">
        <f t="shared" si="28"/>
        <v/>
      </c>
      <c r="F950" t="str">
        <f t="shared" si="29"/>
        <v/>
      </c>
      <c r="G950" t="str">
        <f>IF($J950="","",SUMIFS('Hours Log'!$E:$E,'Hours Log'!$A:$A,"&gt;="&amp;$J950,'Hours Log'!$A:$A,"&lt;"&amp;$J950+7))</f>
        <v/>
      </c>
      <c r="J950" t="str">
        <f>IF(COUNT('Hours Log'!$A$4:$A$5000)=0,"",IF(MIN('Hours Log'!$A$4:$A$5000)+7*(ROW()-10)&gt;MAX('Hours Log'!$A$4:$A$5000),"",MIN('Hours Log'!$A$4:$A$5000)+7*(ROW()-10)))</f>
        <v/>
      </c>
    </row>
    <row r="951" spans="1:10" x14ac:dyDescent="0.25">
      <c r="A951" t="str">
        <f>IF($J951="","",YEAR($J951-WEEKDAY($J951,2)+4)&amp;"-W"&amp;TEXT(_xludf.ISOWEEKNUM($J951),"00"))</f>
        <v/>
      </c>
      <c r="B951"/>
      <c r="C951" t="str">
        <f>IF($J951="","",SUMIFS('Hours Log'!$C:$C,'Hours Log'!$A:$A,"&gt;="&amp;$J951,'Hours Log'!$A:$A,"&lt;"&amp;$J951+7)+SUMIFS('Hours Log'!$D:$D,'Hours Log'!$A:$A,"&gt;="&amp;$J951,'Hours Log'!$A:$A,"&lt;"&amp;$J951+7))</f>
        <v/>
      </c>
      <c r="D951" t="str">
        <f>IF($J951="","",SUMIFS('Hours Log'!$D:$D,'Hours Log'!$A:$A,"&gt;="&amp;$J951,'Hours Log'!$A:$A,"&lt;"&amp;$J951+7))</f>
        <v/>
      </c>
      <c r="E951" t="str">
        <f t="shared" si="28"/>
        <v/>
      </c>
      <c r="F951" t="str">
        <f t="shared" si="29"/>
        <v/>
      </c>
      <c r="G951" t="str">
        <f>IF($J951="","",SUMIFS('Hours Log'!$E:$E,'Hours Log'!$A:$A,"&gt;="&amp;$J951,'Hours Log'!$A:$A,"&lt;"&amp;$J951+7))</f>
        <v/>
      </c>
      <c r="J951" t="str">
        <f>IF(COUNT('Hours Log'!$A$4:$A$5000)=0,"",IF(MIN('Hours Log'!$A$4:$A$5000)+7*(ROW()-10)&gt;MAX('Hours Log'!$A$4:$A$5000),"",MIN('Hours Log'!$A$4:$A$5000)+7*(ROW()-10)))</f>
        <v/>
      </c>
    </row>
    <row r="952" spans="1:10" x14ac:dyDescent="0.25">
      <c r="A952" t="str">
        <f>IF($J952="","",YEAR($J952-WEEKDAY($J952,2)+4)&amp;"-W"&amp;TEXT(_xludf.ISOWEEKNUM($J952),"00"))</f>
        <v/>
      </c>
      <c r="B952"/>
      <c r="C952" t="str">
        <f>IF($J952="","",SUMIFS('Hours Log'!$C:$C,'Hours Log'!$A:$A,"&gt;="&amp;$J952,'Hours Log'!$A:$A,"&lt;"&amp;$J952+7)+SUMIFS('Hours Log'!$D:$D,'Hours Log'!$A:$A,"&gt;="&amp;$J952,'Hours Log'!$A:$A,"&lt;"&amp;$J952+7))</f>
        <v/>
      </c>
      <c r="D952" t="str">
        <f>IF($J952="","",SUMIFS('Hours Log'!$D:$D,'Hours Log'!$A:$A,"&gt;="&amp;$J952,'Hours Log'!$A:$A,"&lt;"&amp;$J952+7))</f>
        <v/>
      </c>
      <c r="E952" t="str">
        <f t="shared" si="28"/>
        <v/>
      </c>
      <c r="F952" t="str">
        <f t="shared" si="29"/>
        <v/>
      </c>
      <c r="G952" t="str">
        <f>IF($J952="","",SUMIFS('Hours Log'!$E:$E,'Hours Log'!$A:$A,"&gt;="&amp;$J952,'Hours Log'!$A:$A,"&lt;"&amp;$J952+7))</f>
        <v/>
      </c>
      <c r="J952" t="str">
        <f>IF(COUNT('Hours Log'!$A$4:$A$5000)=0,"",IF(MIN('Hours Log'!$A$4:$A$5000)+7*(ROW()-10)&gt;MAX('Hours Log'!$A$4:$A$5000),"",MIN('Hours Log'!$A$4:$A$5000)+7*(ROW()-10)))</f>
        <v/>
      </c>
    </row>
    <row r="953" spans="1:10" x14ac:dyDescent="0.25">
      <c r="A953" t="str">
        <f>IF($J953="","",YEAR($J953-WEEKDAY($J953,2)+4)&amp;"-W"&amp;TEXT(_xludf.ISOWEEKNUM($J953),"00"))</f>
        <v/>
      </c>
      <c r="B953"/>
      <c r="C953" t="str">
        <f>IF($J953="","",SUMIFS('Hours Log'!$C:$C,'Hours Log'!$A:$A,"&gt;="&amp;$J953,'Hours Log'!$A:$A,"&lt;"&amp;$J953+7)+SUMIFS('Hours Log'!$D:$D,'Hours Log'!$A:$A,"&gt;="&amp;$J953,'Hours Log'!$A:$A,"&lt;"&amp;$J953+7))</f>
        <v/>
      </c>
      <c r="D953" t="str">
        <f>IF($J953="","",SUMIFS('Hours Log'!$D:$D,'Hours Log'!$A:$A,"&gt;="&amp;$J953,'Hours Log'!$A:$A,"&lt;"&amp;$J953+7))</f>
        <v/>
      </c>
      <c r="E953" t="str">
        <f t="shared" si="28"/>
        <v/>
      </c>
      <c r="F953" t="str">
        <f t="shared" si="29"/>
        <v/>
      </c>
      <c r="G953" t="str">
        <f>IF($J953="","",SUMIFS('Hours Log'!$E:$E,'Hours Log'!$A:$A,"&gt;="&amp;$J953,'Hours Log'!$A:$A,"&lt;"&amp;$J953+7))</f>
        <v/>
      </c>
      <c r="J953" t="str">
        <f>IF(COUNT('Hours Log'!$A$4:$A$5000)=0,"",IF(MIN('Hours Log'!$A$4:$A$5000)+7*(ROW()-10)&gt;MAX('Hours Log'!$A$4:$A$5000),"",MIN('Hours Log'!$A$4:$A$5000)+7*(ROW()-10)))</f>
        <v/>
      </c>
    </row>
    <row r="954" spans="1:10" x14ac:dyDescent="0.25">
      <c r="A954" t="str">
        <f>IF($J954="","",YEAR($J954-WEEKDAY($J954,2)+4)&amp;"-W"&amp;TEXT(_xludf.ISOWEEKNUM($J954),"00"))</f>
        <v/>
      </c>
      <c r="B954"/>
      <c r="C954" t="str">
        <f>IF($J954="","",SUMIFS('Hours Log'!$C:$C,'Hours Log'!$A:$A,"&gt;="&amp;$J954,'Hours Log'!$A:$A,"&lt;"&amp;$J954+7)+SUMIFS('Hours Log'!$D:$D,'Hours Log'!$A:$A,"&gt;="&amp;$J954,'Hours Log'!$A:$A,"&lt;"&amp;$J954+7))</f>
        <v/>
      </c>
      <c r="D954" t="str">
        <f>IF($J954="","",SUMIFS('Hours Log'!$D:$D,'Hours Log'!$A:$A,"&gt;="&amp;$J954,'Hours Log'!$A:$A,"&lt;"&amp;$J954+7))</f>
        <v/>
      </c>
      <c r="E954" t="str">
        <f t="shared" si="28"/>
        <v/>
      </c>
      <c r="F954" t="str">
        <f t="shared" si="29"/>
        <v/>
      </c>
      <c r="G954" t="str">
        <f>IF($J954="","",SUMIFS('Hours Log'!$E:$E,'Hours Log'!$A:$A,"&gt;="&amp;$J954,'Hours Log'!$A:$A,"&lt;"&amp;$J954+7))</f>
        <v/>
      </c>
      <c r="J954" t="str">
        <f>IF(COUNT('Hours Log'!$A$4:$A$5000)=0,"",IF(MIN('Hours Log'!$A$4:$A$5000)+7*(ROW()-10)&gt;MAX('Hours Log'!$A$4:$A$5000),"",MIN('Hours Log'!$A$4:$A$5000)+7*(ROW()-10)))</f>
        <v/>
      </c>
    </row>
    <row r="955" spans="1:10" x14ac:dyDescent="0.25">
      <c r="A955" t="str">
        <f>IF($J955="","",YEAR($J955-WEEKDAY($J955,2)+4)&amp;"-W"&amp;TEXT(_xludf.ISOWEEKNUM($J955),"00"))</f>
        <v/>
      </c>
      <c r="B955"/>
      <c r="C955" t="str">
        <f>IF($J955="","",SUMIFS('Hours Log'!$C:$C,'Hours Log'!$A:$A,"&gt;="&amp;$J955,'Hours Log'!$A:$A,"&lt;"&amp;$J955+7)+SUMIFS('Hours Log'!$D:$D,'Hours Log'!$A:$A,"&gt;="&amp;$J955,'Hours Log'!$A:$A,"&lt;"&amp;$J955+7))</f>
        <v/>
      </c>
      <c r="D955" t="str">
        <f>IF($J955="","",SUMIFS('Hours Log'!$D:$D,'Hours Log'!$A:$A,"&gt;="&amp;$J955,'Hours Log'!$A:$A,"&lt;"&amp;$J955+7))</f>
        <v/>
      </c>
      <c r="E955" t="str">
        <f t="shared" si="28"/>
        <v/>
      </c>
      <c r="F955" t="str">
        <f t="shared" si="29"/>
        <v/>
      </c>
      <c r="G955" t="str">
        <f>IF($J955="","",SUMIFS('Hours Log'!$E:$E,'Hours Log'!$A:$A,"&gt;="&amp;$J955,'Hours Log'!$A:$A,"&lt;"&amp;$J955+7))</f>
        <v/>
      </c>
      <c r="J955" t="str">
        <f>IF(COUNT('Hours Log'!$A$4:$A$5000)=0,"",IF(MIN('Hours Log'!$A$4:$A$5000)+7*(ROW()-10)&gt;MAX('Hours Log'!$A$4:$A$5000),"",MIN('Hours Log'!$A$4:$A$5000)+7*(ROW()-10)))</f>
        <v/>
      </c>
    </row>
    <row r="956" spans="1:10" x14ac:dyDescent="0.25">
      <c r="A956" t="str">
        <f>IF($J956="","",YEAR($J956-WEEKDAY($J956,2)+4)&amp;"-W"&amp;TEXT(_xludf.ISOWEEKNUM($J956),"00"))</f>
        <v/>
      </c>
      <c r="B956"/>
      <c r="C956" t="str">
        <f>IF($J956="","",SUMIFS('Hours Log'!$C:$C,'Hours Log'!$A:$A,"&gt;="&amp;$J956,'Hours Log'!$A:$A,"&lt;"&amp;$J956+7)+SUMIFS('Hours Log'!$D:$D,'Hours Log'!$A:$A,"&gt;="&amp;$J956,'Hours Log'!$A:$A,"&lt;"&amp;$J956+7))</f>
        <v/>
      </c>
      <c r="D956" t="str">
        <f>IF($J956="","",SUMIFS('Hours Log'!$D:$D,'Hours Log'!$A:$A,"&gt;="&amp;$J956,'Hours Log'!$A:$A,"&lt;"&amp;$J956+7))</f>
        <v/>
      </c>
      <c r="E956" t="str">
        <f t="shared" si="28"/>
        <v/>
      </c>
      <c r="F956" t="str">
        <f t="shared" si="29"/>
        <v/>
      </c>
      <c r="G956" t="str">
        <f>IF($J956="","",SUMIFS('Hours Log'!$E:$E,'Hours Log'!$A:$A,"&gt;="&amp;$J956,'Hours Log'!$A:$A,"&lt;"&amp;$J956+7))</f>
        <v/>
      </c>
      <c r="J956" t="str">
        <f>IF(COUNT('Hours Log'!$A$4:$A$5000)=0,"",IF(MIN('Hours Log'!$A$4:$A$5000)+7*(ROW()-10)&gt;MAX('Hours Log'!$A$4:$A$5000),"",MIN('Hours Log'!$A$4:$A$5000)+7*(ROW()-10)))</f>
        <v/>
      </c>
    </row>
    <row r="957" spans="1:10" x14ac:dyDescent="0.25">
      <c r="A957" t="str">
        <f>IF($J957="","",YEAR($J957-WEEKDAY($J957,2)+4)&amp;"-W"&amp;TEXT(_xludf.ISOWEEKNUM($J957),"00"))</f>
        <v/>
      </c>
      <c r="B957"/>
      <c r="C957" t="str">
        <f>IF($J957="","",SUMIFS('Hours Log'!$C:$C,'Hours Log'!$A:$A,"&gt;="&amp;$J957,'Hours Log'!$A:$A,"&lt;"&amp;$J957+7)+SUMIFS('Hours Log'!$D:$D,'Hours Log'!$A:$A,"&gt;="&amp;$J957,'Hours Log'!$A:$A,"&lt;"&amp;$J957+7))</f>
        <v/>
      </c>
      <c r="D957" t="str">
        <f>IF($J957="","",SUMIFS('Hours Log'!$D:$D,'Hours Log'!$A:$A,"&gt;="&amp;$J957,'Hours Log'!$A:$A,"&lt;"&amp;$J957+7))</f>
        <v/>
      </c>
      <c r="E957" t="str">
        <f t="shared" si="28"/>
        <v/>
      </c>
      <c r="F957" t="str">
        <f t="shared" si="29"/>
        <v/>
      </c>
      <c r="G957" t="str">
        <f>IF($J957="","",SUMIFS('Hours Log'!$E:$E,'Hours Log'!$A:$A,"&gt;="&amp;$J957,'Hours Log'!$A:$A,"&lt;"&amp;$J957+7))</f>
        <v/>
      </c>
      <c r="J957" t="str">
        <f>IF(COUNT('Hours Log'!$A$4:$A$5000)=0,"",IF(MIN('Hours Log'!$A$4:$A$5000)+7*(ROW()-10)&gt;MAX('Hours Log'!$A$4:$A$5000),"",MIN('Hours Log'!$A$4:$A$5000)+7*(ROW()-10)))</f>
        <v/>
      </c>
    </row>
    <row r="958" spans="1:10" x14ac:dyDescent="0.25">
      <c r="A958" t="str">
        <f>IF($J958="","",YEAR($J958-WEEKDAY($J958,2)+4)&amp;"-W"&amp;TEXT(_xludf.ISOWEEKNUM($J958),"00"))</f>
        <v/>
      </c>
      <c r="B958"/>
      <c r="C958" t="str">
        <f>IF($J958="","",SUMIFS('Hours Log'!$C:$C,'Hours Log'!$A:$A,"&gt;="&amp;$J958,'Hours Log'!$A:$A,"&lt;"&amp;$J958+7)+SUMIFS('Hours Log'!$D:$D,'Hours Log'!$A:$A,"&gt;="&amp;$J958,'Hours Log'!$A:$A,"&lt;"&amp;$J958+7))</f>
        <v/>
      </c>
      <c r="D958" t="str">
        <f>IF($J958="","",SUMIFS('Hours Log'!$D:$D,'Hours Log'!$A:$A,"&gt;="&amp;$J958,'Hours Log'!$A:$A,"&lt;"&amp;$J958+7))</f>
        <v/>
      </c>
      <c r="E958" t="str">
        <f t="shared" si="28"/>
        <v/>
      </c>
      <c r="F958" t="str">
        <f t="shared" si="29"/>
        <v/>
      </c>
      <c r="G958" t="str">
        <f>IF($J958="","",SUMIFS('Hours Log'!$E:$E,'Hours Log'!$A:$A,"&gt;="&amp;$J958,'Hours Log'!$A:$A,"&lt;"&amp;$J958+7))</f>
        <v/>
      </c>
      <c r="J958" t="str">
        <f>IF(COUNT('Hours Log'!$A$4:$A$5000)=0,"",IF(MIN('Hours Log'!$A$4:$A$5000)+7*(ROW()-10)&gt;MAX('Hours Log'!$A$4:$A$5000),"",MIN('Hours Log'!$A$4:$A$5000)+7*(ROW()-10)))</f>
        <v/>
      </c>
    </row>
    <row r="959" spans="1:10" x14ac:dyDescent="0.25">
      <c r="A959" t="str">
        <f>IF($J959="","",YEAR($J959-WEEKDAY($J959,2)+4)&amp;"-W"&amp;TEXT(_xludf.ISOWEEKNUM($J959),"00"))</f>
        <v/>
      </c>
      <c r="B959"/>
      <c r="C959" t="str">
        <f>IF($J959="","",SUMIFS('Hours Log'!$C:$C,'Hours Log'!$A:$A,"&gt;="&amp;$J959,'Hours Log'!$A:$A,"&lt;"&amp;$J959+7)+SUMIFS('Hours Log'!$D:$D,'Hours Log'!$A:$A,"&gt;="&amp;$J959,'Hours Log'!$A:$A,"&lt;"&amp;$J959+7))</f>
        <v/>
      </c>
      <c r="D959" t="str">
        <f>IF($J959="","",SUMIFS('Hours Log'!$D:$D,'Hours Log'!$A:$A,"&gt;="&amp;$J959,'Hours Log'!$A:$A,"&lt;"&amp;$J959+7))</f>
        <v/>
      </c>
      <c r="E959" t="str">
        <f t="shared" si="28"/>
        <v/>
      </c>
      <c r="F959" t="str">
        <f t="shared" si="29"/>
        <v/>
      </c>
      <c r="G959" t="str">
        <f>IF($J959="","",SUMIFS('Hours Log'!$E:$E,'Hours Log'!$A:$A,"&gt;="&amp;$J959,'Hours Log'!$A:$A,"&lt;"&amp;$J959+7))</f>
        <v/>
      </c>
      <c r="J959" t="str">
        <f>IF(COUNT('Hours Log'!$A$4:$A$5000)=0,"",IF(MIN('Hours Log'!$A$4:$A$5000)+7*(ROW()-10)&gt;MAX('Hours Log'!$A$4:$A$5000),"",MIN('Hours Log'!$A$4:$A$5000)+7*(ROW()-10)))</f>
        <v/>
      </c>
    </row>
    <row r="960" spans="1:10" x14ac:dyDescent="0.25">
      <c r="A960" t="str">
        <f>IF($J960="","",YEAR($J960-WEEKDAY($J960,2)+4)&amp;"-W"&amp;TEXT(_xludf.ISOWEEKNUM($J960),"00"))</f>
        <v/>
      </c>
      <c r="B960"/>
      <c r="C960" t="str">
        <f>IF($J960="","",SUMIFS('Hours Log'!$C:$C,'Hours Log'!$A:$A,"&gt;="&amp;$J960,'Hours Log'!$A:$A,"&lt;"&amp;$J960+7)+SUMIFS('Hours Log'!$D:$D,'Hours Log'!$A:$A,"&gt;="&amp;$J960,'Hours Log'!$A:$A,"&lt;"&amp;$J960+7))</f>
        <v/>
      </c>
      <c r="D960" t="str">
        <f>IF($J960="","",SUMIFS('Hours Log'!$D:$D,'Hours Log'!$A:$A,"&gt;="&amp;$J960,'Hours Log'!$A:$A,"&lt;"&amp;$J960+7))</f>
        <v/>
      </c>
      <c r="E960" t="str">
        <f t="shared" si="28"/>
        <v/>
      </c>
      <c r="F960" t="str">
        <f t="shared" si="29"/>
        <v/>
      </c>
      <c r="G960" t="str">
        <f>IF($J960="","",SUMIFS('Hours Log'!$E:$E,'Hours Log'!$A:$A,"&gt;="&amp;$J960,'Hours Log'!$A:$A,"&lt;"&amp;$J960+7))</f>
        <v/>
      </c>
      <c r="J960" t="str">
        <f>IF(COUNT('Hours Log'!$A$4:$A$5000)=0,"",IF(MIN('Hours Log'!$A$4:$A$5000)+7*(ROW()-10)&gt;MAX('Hours Log'!$A$4:$A$5000),"",MIN('Hours Log'!$A$4:$A$5000)+7*(ROW()-10)))</f>
        <v/>
      </c>
    </row>
    <row r="961" spans="1:10" x14ac:dyDescent="0.25">
      <c r="A961" t="str">
        <f>IF($J961="","",YEAR($J961-WEEKDAY($J961,2)+4)&amp;"-W"&amp;TEXT(_xludf.ISOWEEKNUM($J961),"00"))</f>
        <v/>
      </c>
      <c r="B961"/>
      <c r="C961" t="str">
        <f>IF($J961="","",SUMIFS('Hours Log'!$C:$C,'Hours Log'!$A:$A,"&gt;="&amp;$J961,'Hours Log'!$A:$A,"&lt;"&amp;$J961+7)+SUMIFS('Hours Log'!$D:$D,'Hours Log'!$A:$A,"&gt;="&amp;$J961,'Hours Log'!$A:$A,"&lt;"&amp;$J961+7))</f>
        <v/>
      </c>
      <c r="D961" t="str">
        <f>IF($J961="","",SUMIFS('Hours Log'!$D:$D,'Hours Log'!$A:$A,"&gt;="&amp;$J961,'Hours Log'!$A:$A,"&lt;"&amp;$J961+7))</f>
        <v/>
      </c>
      <c r="E961" t="str">
        <f t="shared" si="28"/>
        <v/>
      </c>
      <c r="F961" t="str">
        <f t="shared" si="29"/>
        <v/>
      </c>
      <c r="G961" t="str">
        <f>IF($J961="","",SUMIFS('Hours Log'!$E:$E,'Hours Log'!$A:$A,"&gt;="&amp;$J961,'Hours Log'!$A:$A,"&lt;"&amp;$J961+7))</f>
        <v/>
      </c>
      <c r="J961" t="str">
        <f>IF(COUNT('Hours Log'!$A$4:$A$5000)=0,"",IF(MIN('Hours Log'!$A$4:$A$5000)+7*(ROW()-10)&gt;MAX('Hours Log'!$A$4:$A$5000),"",MIN('Hours Log'!$A$4:$A$5000)+7*(ROW()-10)))</f>
        <v/>
      </c>
    </row>
    <row r="962" spans="1:10" x14ac:dyDescent="0.25">
      <c r="A962" t="str">
        <f>IF($J962="","",YEAR($J962-WEEKDAY($J962,2)+4)&amp;"-W"&amp;TEXT(_xludf.ISOWEEKNUM($J962),"00"))</f>
        <v/>
      </c>
      <c r="B962"/>
      <c r="C962" t="str">
        <f>IF($J962="","",SUMIFS('Hours Log'!$C:$C,'Hours Log'!$A:$A,"&gt;="&amp;$J962,'Hours Log'!$A:$A,"&lt;"&amp;$J962+7)+SUMIFS('Hours Log'!$D:$D,'Hours Log'!$A:$A,"&gt;="&amp;$J962,'Hours Log'!$A:$A,"&lt;"&amp;$J962+7))</f>
        <v/>
      </c>
      <c r="D962" t="str">
        <f>IF($J962="","",SUMIFS('Hours Log'!$D:$D,'Hours Log'!$A:$A,"&gt;="&amp;$J962,'Hours Log'!$A:$A,"&lt;"&amp;$J962+7))</f>
        <v/>
      </c>
      <c r="E962" t="str">
        <f t="shared" si="28"/>
        <v/>
      </c>
      <c r="F962" t="str">
        <f t="shared" si="29"/>
        <v/>
      </c>
      <c r="G962" t="str">
        <f>IF($J962="","",SUMIFS('Hours Log'!$E:$E,'Hours Log'!$A:$A,"&gt;="&amp;$J962,'Hours Log'!$A:$A,"&lt;"&amp;$J962+7))</f>
        <v/>
      </c>
      <c r="J962" t="str">
        <f>IF(COUNT('Hours Log'!$A$4:$A$5000)=0,"",IF(MIN('Hours Log'!$A$4:$A$5000)+7*(ROW()-10)&gt;MAX('Hours Log'!$A$4:$A$5000),"",MIN('Hours Log'!$A$4:$A$5000)+7*(ROW()-10)))</f>
        <v/>
      </c>
    </row>
    <row r="963" spans="1:10" x14ac:dyDescent="0.25">
      <c r="A963" t="str">
        <f>IF($J963="","",YEAR($J963-WEEKDAY($J963,2)+4)&amp;"-W"&amp;TEXT(_xludf.ISOWEEKNUM($J963),"00"))</f>
        <v/>
      </c>
      <c r="B963"/>
      <c r="C963" t="str">
        <f>IF($J963="","",SUMIFS('Hours Log'!$C:$C,'Hours Log'!$A:$A,"&gt;="&amp;$J963,'Hours Log'!$A:$A,"&lt;"&amp;$J963+7)+SUMIFS('Hours Log'!$D:$D,'Hours Log'!$A:$A,"&gt;="&amp;$J963,'Hours Log'!$A:$A,"&lt;"&amp;$J963+7))</f>
        <v/>
      </c>
      <c r="D963" t="str">
        <f>IF($J963="","",SUMIFS('Hours Log'!$D:$D,'Hours Log'!$A:$A,"&gt;="&amp;$J963,'Hours Log'!$A:$A,"&lt;"&amp;$J963+7))</f>
        <v/>
      </c>
      <c r="E963" t="str">
        <f t="shared" si="28"/>
        <v/>
      </c>
      <c r="F963" t="str">
        <f t="shared" si="29"/>
        <v/>
      </c>
      <c r="G963" t="str">
        <f>IF($J963="","",SUMIFS('Hours Log'!$E:$E,'Hours Log'!$A:$A,"&gt;="&amp;$J963,'Hours Log'!$A:$A,"&lt;"&amp;$J963+7))</f>
        <v/>
      </c>
      <c r="J963" t="str">
        <f>IF(COUNT('Hours Log'!$A$4:$A$5000)=0,"",IF(MIN('Hours Log'!$A$4:$A$5000)+7*(ROW()-10)&gt;MAX('Hours Log'!$A$4:$A$5000),"",MIN('Hours Log'!$A$4:$A$5000)+7*(ROW()-10)))</f>
        <v/>
      </c>
    </row>
    <row r="964" spans="1:10" x14ac:dyDescent="0.25">
      <c r="A964" t="str">
        <f>IF($J964="","",YEAR($J964-WEEKDAY($J964,2)+4)&amp;"-W"&amp;TEXT(_xludf.ISOWEEKNUM($J964),"00"))</f>
        <v/>
      </c>
      <c r="B964"/>
      <c r="C964" t="str">
        <f>IF($J964="","",SUMIFS('Hours Log'!$C:$C,'Hours Log'!$A:$A,"&gt;="&amp;$J964,'Hours Log'!$A:$A,"&lt;"&amp;$J964+7)+SUMIFS('Hours Log'!$D:$D,'Hours Log'!$A:$A,"&gt;="&amp;$J964,'Hours Log'!$A:$A,"&lt;"&amp;$J964+7))</f>
        <v/>
      </c>
      <c r="D964" t="str">
        <f>IF($J964="","",SUMIFS('Hours Log'!$D:$D,'Hours Log'!$A:$A,"&gt;="&amp;$J964,'Hours Log'!$A:$A,"&lt;"&amp;$J964+7))</f>
        <v/>
      </c>
      <c r="E964" t="str">
        <f t="shared" si="28"/>
        <v/>
      </c>
      <c r="F964" t="str">
        <f t="shared" si="29"/>
        <v/>
      </c>
      <c r="G964" t="str">
        <f>IF($J964="","",SUMIFS('Hours Log'!$E:$E,'Hours Log'!$A:$A,"&gt;="&amp;$J964,'Hours Log'!$A:$A,"&lt;"&amp;$J964+7))</f>
        <v/>
      </c>
      <c r="J964" t="str">
        <f>IF(COUNT('Hours Log'!$A$4:$A$5000)=0,"",IF(MIN('Hours Log'!$A$4:$A$5000)+7*(ROW()-10)&gt;MAX('Hours Log'!$A$4:$A$5000),"",MIN('Hours Log'!$A$4:$A$5000)+7*(ROW()-10)))</f>
        <v/>
      </c>
    </row>
    <row r="965" spans="1:10" x14ac:dyDescent="0.25">
      <c r="A965" t="str">
        <f>IF($J965="","",YEAR($J965-WEEKDAY($J965,2)+4)&amp;"-W"&amp;TEXT(_xludf.ISOWEEKNUM($J965),"00"))</f>
        <v/>
      </c>
      <c r="B965"/>
      <c r="C965" t="str">
        <f>IF($J965="","",SUMIFS('Hours Log'!$C:$C,'Hours Log'!$A:$A,"&gt;="&amp;$J965,'Hours Log'!$A:$A,"&lt;"&amp;$J965+7)+SUMIFS('Hours Log'!$D:$D,'Hours Log'!$A:$A,"&gt;="&amp;$J965,'Hours Log'!$A:$A,"&lt;"&amp;$J965+7))</f>
        <v/>
      </c>
      <c r="D965" t="str">
        <f>IF($J965="","",SUMIFS('Hours Log'!$D:$D,'Hours Log'!$A:$A,"&gt;="&amp;$J965,'Hours Log'!$A:$A,"&lt;"&amp;$J965+7))</f>
        <v/>
      </c>
      <c r="E965" t="str">
        <f t="shared" si="28"/>
        <v/>
      </c>
      <c r="F965" t="str">
        <f t="shared" si="29"/>
        <v/>
      </c>
      <c r="G965" t="str">
        <f>IF($J965="","",SUMIFS('Hours Log'!$E:$E,'Hours Log'!$A:$A,"&gt;="&amp;$J965,'Hours Log'!$A:$A,"&lt;"&amp;$J965+7))</f>
        <v/>
      </c>
      <c r="J965" t="str">
        <f>IF(COUNT('Hours Log'!$A$4:$A$5000)=0,"",IF(MIN('Hours Log'!$A$4:$A$5000)+7*(ROW()-10)&gt;MAX('Hours Log'!$A$4:$A$5000),"",MIN('Hours Log'!$A$4:$A$5000)+7*(ROW()-10)))</f>
        <v/>
      </c>
    </row>
    <row r="966" spans="1:10" x14ac:dyDescent="0.25">
      <c r="A966" t="str">
        <f>IF($J966="","",YEAR($J966-WEEKDAY($J966,2)+4)&amp;"-W"&amp;TEXT(_xludf.ISOWEEKNUM($J966),"00"))</f>
        <v/>
      </c>
      <c r="B966"/>
      <c r="C966" t="str">
        <f>IF($J966="","",SUMIFS('Hours Log'!$C:$C,'Hours Log'!$A:$A,"&gt;="&amp;$J966,'Hours Log'!$A:$A,"&lt;"&amp;$J966+7)+SUMIFS('Hours Log'!$D:$D,'Hours Log'!$A:$A,"&gt;="&amp;$J966,'Hours Log'!$A:$A,"&lt;"&amp;$J966+7))</f>
        <v/>
      </c>
      <c r="D966" t="str">
        <f>IF($J966="","",SUMIFS('Hours Log'!$D:$D,'Hours Log'!$A:$A,"&gt;="&amp;$J966,'Hours Log'!$A:$A,"&lt;"&amp;$J966+7))</f>
        <v/>
      </c>
      <c r="E966" t="str">
        <f t="shared" si="28"/>
        <v/>
      </c>
      <c r="F966" t="str">
        <f t="shared" si="29"/>
        <v/>
      </c>
      <c r="G966" t="str">
        <f>IF($J966="","",SUMIFS('Hours Log'!$E:$E,'Hours Log'!$A:$A,"&gt;="&amp;$J966,'Hours Log'!$A:$A,"&lt;"&amp;$J966+7))</f>
        <v/>
      </c>
      <c r="J966" t="str">
        <f>IF(COUNT('Hours Log'!$A$4:$A$5000)=0,"",IF(MIN('Hours Log'!$A$4:$A$5000)+7*(ROW()-10)&gt;MAX('Hours Log'!$A$4:$A$5000),"",MIN('Hours Log'!$A$4:$A$5000)+7*(ROW()-10)))</f>
        <v/>
      </c>
    </row>
    <row r="967" spans="1:10" x14ac:dyDescent="0.25">
      <c r="A967" t="str">
        <f>IF($J967="","",YEAR($J967-WEEKDAY($J967,2)+4)&amp;"-W"&amp;TEXT(_xludf.ISOWEEKNUM($J967),"00"))</f>
        <v/>
      </c>
      <c r="B967"/>
      <c r="C967" t="str">
        <f>IF($J967="","",SUMIFS('Hours Log'!$C:$C,'Hours Log'!$A:$A,"&gt;="&amp;$J967,'Hours Log'!$A:$A,"&lt;"&amp;$J967+7)+SUMIFS('Hours Log'!$D:$D,'Hours Log'!$A:$A,"&gt;="&amp;$J967,'Hours Log'!$A:$A,"&lt;"&amp;$J967+7))</f>
        <v/>
      </c>
      <c r="D967" t="str">
        <f>IF($J967="","",SUMIFS('Hours Log'!$D:$D,'Hours Log'!$A:$A,"&gt;="&amp;$J967,'Hours Log'!$A:$A,"&lt;"&amp;$J967+7))</f>
        <v/>
      </c>
      <c r="E967" t="str">
        <f t="shared" si="28"/>
        <v/>
      </c>
      <c r="F967" t="str">
        <f t="shared" si="29"/>
        <v/>
      </c>
      <c r="G967" t="str">
        <f>IF($J967="","",SUMIFS('Hours Log'!$E:$E,'Hours Log'!$A:$A,"&gt;="&amp;$J967,'Hours Log'!$A:$A,"&lt;"&amp;$J967+7))</f>
        <v/>
      </c>
      <c r="J967" t="str">
        <f>IF(COUNT('Hours Log'!$A$4:$A$5000)=0,"",IF(MIN('Hours Log'!$A$4:$A$5000)+7*(ROW()-10)&gt;MAX('Hours Log'!$A$4:$A$5000),"",MIN('Hours Log'!$A$4:$A$5000)+7*(ROW()-10)))</f>
        <v/>
      </c>
    </row>
    <row r="968" spans="1:10" x14ac:dyDescent="0.25">
      <c r="A968" t="str">
        <f>IF($J968="","",YEAR($J968-WEEKDAY($J968,2)+4)&amp;"-W"&amp;TEXT(_xludf.ISOWEEKNUM($J968),"00"))</f>
        <v/>
      </c>
      <c r="B968"/>
      <c r="C968" t="str">
        <f>IF($J968="","",SUMIFS('Hours Log'!$C:$C,'Hours Log'!$A:$A,"&gt;="&amp;$J968,'Hours Log'!$A:$A,"&lt;"&amp;$J968+7)+SUMIFS('Hours Log'!$D:$D,'Hours Log'!$A:$A,"&gt;="&amp;$J968,'Hours Log'!$A:$A,"&lt;"&amp;$J968+7))</f>
        <v/>
      </c>
      <c r="D968" t="str">
        <f>IF($J968="","",SUMIFS('Hours Log'!$D:$D,'Hours Log'!$A:$A,"&gt;="&amp;$J968,'Hours Log'!$A:$A,"&lt;"&amp;$J968+7))</f>
        <v/>
      </c>
      <c r="E968" t="str">
        <f t="shared" si="28"/>
        <v/>
      </c>
      <c r="F968" t="str">
        <f t="shared" si="29"/>
        <v/>
      </c>
      <c r="G968" t="str">
        <f>IF($J968="","",SUMIFS('Hours Log'!$E:$E,'Hours Log'!$A:$A,"&gt;="&amp;$J968,'Hours Log'!$A:$A,"&lt;"&amp;$J968+7))</f>
        <v/>
      </c>
      <c r="J968" t="str">
        <f>IF(COUNT('Hours Log'!$A$4:$A$5000)=0,"",IF(MIN('Hours Log'!$A$4:$A$5000)+7*(ROW()-10)&gt;MAX('Hours Log'!$A$4:$A$5000),"",MIN('Hours Log'!$A$4:$A$5000)+7*(ROW()-10)))</f>
        <v/>
      </c>
    </row>
    <row r="969" spans="1:10" x14ac:dyDescent="0.25">
      <c r="A969" t="str">
        <f>IF($J969="","",YEAR($J969-WEEKDAY($J969,2)+4)&amp;"-W"&amp;TEXT(_xludf.ISOWEEKNUM($J969),"00"))</f>
        <v/>
      </c>
      <c r="B969"/>
      <c r="C969" t="str">
        <f>IF($J969="","",SUMIFS('Hours Log'!$C:$C,'Hours Log'!$A:$A,"&gt;="&amp;$J969,'Hours Log'!$A:$A,"&lt;"&amp;$J969+7)+SUMIFS('Hours Log'!$D:$D,'Hours Log'!$A:$A,"&gt;="&amp;$J969,'Hours Log'!$A:$A,"&lt;"&amp;$J969+7))</f>
        <v/>
      </c>
      <c r="D969" t="str">
        <f>IF($J969="","",SUMIFS('Hours Log'!$D:$D,'Hours Log'!$A:$A,"&gt;="&amp;$J969,'Hours Log'!$A:$A,"&lt;"&amp;$J969+7))</f>
        <v/>
      </c>
      <c r="E969" t="str">
        <f t="shared" si="28"/>
        <v/>
      </c>
      <c r="F969" t="str">
        <f t="shared" si="29"/>
        <v/>
      </c>
      <c r="G969" t="str">
        <f>IF($J969="","",SUMIFS('Hours Log'!$E:$E,'Hours Log'!$A:$A,"&gt;="&amp;$J969,'Hours Log'!$A:$A,"&lt;"&amp;$J969+7))</f>
        <v/>
      </c>
      <c r="J969" t="str">
        <f>IF(COUNT('Hours Log'!$A$4:$A$5000)=0,"",IF(MIN('Hours Log'!$A$4:$A$5000)+7*(ROW()-10)&gt;MAX('Hours Log'!$A$4:$A$5000),"",MIN('Hours Log'!$A$4:$A$5000)+7*(ROW()-10)))</f>
        <v/>
      </c>
    </row>
    <row r="970" spans="1:10" x14ac:dyDescent="0.25">
      <c r="A970" t="str">
        <f>IF($J970="","",YEAR($J970-WEEKDAY($J970,2)+4)&amp;"-W"&amp;TEXT(_xludf.ISOWEEKNUM($J970),"00"))</f>
        <v/>
      </c>
      <c r="B970"/>
      <c r="C970" t="str">
        <f>IF($J970="","",SUMIFS('Hours Log'!$C:$C,'Hours Log'!$A:$A,"&gt;="&amp;$J970,'Hours Log'!$A:$A,"&lt;"&amp;$J970+7)+SUMIFS('Hours Log'!$D:$D,'Hours Log'!$A:$A,"&gt;="&amp;$J970,'Hours Log'!$A:$A,"&lt;"&amp;$J970+7))</f>
        <v/>
      </c>
      <c r="D970" t="str">
        <f>IF($J970="","",SUMIFS('Hours Log'!$D:$D,'Hours Log'!$A:$A,"&gt;="&amp;$J970,'Hours Log'!$A:$A,"&lt;"&amp;$J970+7))</f>
        <v/>
      </c>
      <c r="E970" t="str">
        <f t="shared" ref="E970:E1033" si="30">IF($J970="","",IFERROR(C970/(B970*40),0))</f>
        <v/>
      </c>
      <c r="F970" t="str">
        <f t="shared" ref="F970:F1033" si="31">IF($J970="","",0)</f>
        <v/>
      </c>
      <c r="G970" t="str">
        <f>IF($J970="","",SUMIFS('Hours Log'!$E:$E,'Hours Log'!$A:$A,"&gt;="&amp;$J970,'Hours Log'!$A:$A,"&lt;"&amp;$J970+7))</f>
        <v/>
      </c>
      <c r="J970" t="str">
        <f>IF(COUNT('Hours Log'!$A$4:$A$5000)=0,"",IF(MIN('Hours Log'!$A$4:$A$5000)+7*(ROW()-10)&gt;MAX('Hours Log'!$A$4:$A$5000),"",MIN('Hours Log'!$A$4:$A$5000)+7*(ROW()-10)))</f>
        <v/>
      </c>
    </row>
    <row r="971" spans="1:10" x14ac:dyDescent="0.25">
      <c r="A971" t="str">
        <f>IF($J971="","",YEAR($J971-WEEKDAY($J971,2)+4)&amp;"-W"&amp;TEXT(_xludf.ISOWEEKNUM($J971),"00"))</f>
        <v/>
      </c>
      <c r="B971"/>
      <c r="C971" t="str">
        <f>IF($J971="","",SUMIFS('Hours Log'!$C:$C,'Hours Log'!$A:$A,"&gt;="&amp;$J971,'Hours Log'!$A:$A,"&lt;"&amp;$J971+7)+SUMIFS('Hours Log'!$D:$D,'Hours Log'!$A:$A,"&gt;="&amp;$J971,'Hours Log'!$A:$A,"&lt;"&amp;$J971+7))</f>
        <v/>
      </c>
      <c r="D971" t="str">
        <f>IF($J971="","",SUMIFS('Hours Log'!$D:$D,'Hours Log'!$A:$A,"&gt;="&amp;$J971,'Hours Log'!$A:$A,"&lt;"&amp;$J971+7))</f>
        <v/>
      </c>
      <c r="E971" t="str">
        <f t="shared" si="30"/>
        <v/>
      </c>
      <c r="F971" t="str">
        <f t="shared" si="31"/>
        <v/>
      </c>
      <c r="G971" t="str">
        <f>IF($J971="","",SUMIFS('Hours Log'!$E:$E,'Hours Log'!$A:$A,"&gt;="&amp;$J971,'Hours Log'!$A:$A,"&lt;"&amp;$J971+7))</f>
        <v/>
      </c>
      <c r="J971" t="str">
        <f>IF(COUNT('Hours Log'!$A$4:$A$5000)=0,"",IF(MIN('Hours Log'!$A$4:$A$5000)+7*(ROW()-10)&gt;MAX('Hours Log'!$A$4:$A$5000),"",MIN('Hours Log'!$A$4:$A$5000)+7*(ROW()-10)))</f>
        <v/>
      </c>
    </row>
    <row r="972" spans="1:10" x14ac:dyDescent="0.25">
      <c r="A972" t="str">
        <f>IF($J972="","",YEAR($J972-WEEKDAY($J972,2)+4)&amp;"-W"&amp;TEXT(_xludf.ISOWEEKNUM($J972),"00"))</f>
        <v/>
      </c>
      <c r="B972"/>
      <c r="C972" t="str">
        <f>IF($J972="","",SUMIFS('Hours Log'!$C:$C,'Hours Log'!$A:$A,"&gt;="&amp;$J972,'Hours Log'!$A:$A,"&lt;"&amp;$J972+7)+SUMIFS('Hours Log'!$D:$D,'Hours Log'!$A:$A,"&gt;="&amp;$J972,'Hours Log'!$A:$A,"&lt;"&amp;$J972+7))</f>
        <v/>
      </c>
      <c r="D972" t="str">
        <f>IF($J972="","",SUMIFS('Hours Log'!$D:$D,'Hours Log'!$A:$A,"&gt;="&amp;$J972,'Hours Log'!$A:$A,"&lt;"&amp;$J972+7))</f>
        <v/>
      </c>
      <c r="E972" t="str">
        <f t="shared" si="30"/>
        <v/>
      </c>
      <c r="F972" t="str">
        <f t="shared" si="31"/>
        <v/>
      </c>
      <c r="G972" t="str">
        <f>IF($J972="","",SUMIFS('Hours Log'!$E:$E,'Hours Log'!$A:$A,"&gt;="&amp;$J972,'Hours Log'!$A:$A,"&lt;"&amp;$J972+7))</f>
        <v/>
      </c>
      <c r="J972" t="str">
        <f>IF(COUNT('Hours Log'!$A$4:$A$5000)=0,"",IF(MIN('Hours Log'!$A$4:$A$5000)+7*(ROW()-10)&gt;MAX('Hours Log'!$A$4:$A$5000),"",MIN('Hours Log'!$A$4:$A$5000)+7*(ROW()-10)))</f>
        <v/>
      </c>
    </row>
    <row r="973" spans="1:10" x14ac:dyDescent="0.25">
      <c r="A973" t="str">
        <f>IF($J973="","",YEAR($J973-WEEKDAY($J973,2)+4)&amp;"-W"&amp;TEXT(_xludf.ISOWEEKNUM($J973),"00"))</f>
        <v/>
      </c>
      <c r="B973"/>
      <c r="C973" t="str">
        <f>IF($J973="","",SUMIFS('Hours Log'!$C:$C,'Hours Log'!$A:$A,"&gt;="&amp;$J973,'Hours Log'!$A:$A,"&lt;"&amp;$J973+7)+SUMIFS('Hours Log'!$D:$D,'Hours Log'!$A:$A,"&gt;="&amp;$J973,'Hours Log'!$A:$A,"&lt;"&amp;$J973+7))</f>
        <v/>
      </c>
      <c r="D973" t="str">
        <f>IF($J973="","",SUMIFS('Hours Log'!$D:$D,'Hours Log'!$A:$A,"&gt;="&amp;$J973,'Hours Log'!$A:$A,"&lt;"&amp;$J973+7))</f>
        <v/>
      </c>
      <c r="E973" t="str">
        <f t="shared" si="30"/>
        <v/>
      </c>
      <c r="F973" t="str">
        <f t="shared" si="31"/>
        <v/>
      </c>
      <c r="G973" t="str">
        <f>IF($J973="","",SUMIFS('Hours Log'!$E:$E,'Hours Log'!$A:$A,"&gt;="&amp;$J973,'Hours Log'!$A:$A,"&lt;"&amp;$J973+7))</f>
        <v/>
      </c>
      <c r="J973" t="str">
        <f>IF(COUNT('Hours Log'!$A$4:$A$5000)=0,"",IF(MIN('Hours Log'!$A$4:$A$5000)+7*(ROW()-10)&gt;MAX('Hours Log'!$A$4:$A$5000),"",MIN('Hours Log'!$A$4:$A$5000)+7*(ROW()-10)))</f>
        <v/>
      </c>
    </row>
    <row r="974" spans="1:10" x14ac:dyDescent="0.25">
      <c r="A974" t="str">
        <f>IF($J974="","",YEAR($J974-WEEKDAY($J974,2)+4)&amp;"-W"&amp;TEXT(_xludf.ISOWEEKNUM($J974),"00"))</f>
        <v/>
      </c>
      <c r="B974"/>
      <c r="C974" t="str">
        <f>IF($J974="","",SUMIFS('Hours Log'!$C:$C,'Hours Log'!$A:$A,"&gt;="&amp;$J974,'Hours Log'!$A:$A,"&lt;"&amp;$J974+7)+SUMIFS('Hours Log'!$D:$D,'Hours Log'!$A:$A,"&gt;="&amp;$J974,'Hours Log'!$A:$A,"&lt;"&amp;$J974+7))</f>
        <v/>
      </c>
      <c r="D974" t="str">
        <f>IF($J974="","",SUMIFS('Hours Log'!$D:$D,'Hours Log'!$A:$A,"&gt;="&amp;$J974,'Hours Log'!$A:$A,"&lt;"&amp;$J974+7))</f>
        <v/>
      </c>
      <c r="E974" t="str">
        <f t="shared" si="30"/>
        <v/>
      </c>
      <c r="F974" t="str">
        <f t="shared" si="31"/>
        <v/>
      </c>
      <c r="G974" t="str">
        <f>IF($J974="","",SUMIFS('Hours Log'!$E:$E,'Hours Log'!$A:$A,"&gt;="&amp;$J974,'Hours Log'!$A:$A,"&lt;"&amp;$J974+7))</f>
        <v/>
      </c>
      <c r="J974" t="str">
        <f>IF(COUNT('Hours Log'!$A$4:$A$5000)=0,"",IF(MIN('Hours Log'!$A$4:$A$5000)+7*(ROW()-10)&gt;MAX('Hours Log'!$A$4:$A$5000),"",MIN('Hours Log'!$A$4:$A$5000)+7*(ROW()-10)))</f>
        <v/>
      </c>
    </row>
    <row r="975" spans="1:10" x14ac:dyDescent="0.25">
      <c r="A975" t="str">
        <f>IF($J975="","",YEAR($J975-WEEKDAY($J975,2)+4)&amp;"-W"&amp;TEXT(_xludf.ISOWEEKNUM($J975),"00"))</f>
        <v/>
      </c>
      <c r="B975"/>
      <c r="C975" t="str">
        <f>IF($J975="","",SUMIFS('Hours Log'!$C:$C,'Hours Log'!$A:$A,"&gt;="&amp;$J975,'Hours Log'!$A:$A,"&lt;"&amp;$J975+7)+SUMIFS('Hours Log'!$D:$D,'Hours Log'!$A:$A,"&gt;="&amp;$J975,'Hours Log'!$A:$A,"&lt;"&amp;$J975+7))</f>
        <v/>
      </c>
      <c r="D975" t="str">
        <f>IF($J975="","",SUMIFS('Hours Log'!$D:$D,'Hours Log'!$A:$A,"&gt;="&amp;$J975,'Hours Log'!$A:$A,"&lt;"&amp;$J975+7))</f>
        <v/>
      </c>
      <c r="E975" t="str">
        <f t="shared" si="30"/>
        <v/>
      </c>
      <c r="F975" t="str">
        <f t="shared" si="31"/>
        <v/>
      </c>
      <c r="G975" t="str">
        <f>IF($J975="","",SUMIFS('Hours Log'!$E:$E,'Hours Log'!$A:$A,"&gt;="&amp;$J975,'Hours Log'!$A:$A,"&lt;"&amp;$J975+7))</f>
        <v/>
      </c>
      <c r="J975" t="str">
        <f>IF(COUNT('Hours Log'!$A$4:$A$5000)=0,"",IF(MIN('Hours Log'!$A$4:$A$5000)+7*(ROW()-10)&gt;MAX('Hours Log'!$A$4:$A$5000),"",MIN('Hours Log'!$A$4:$A$5000)+7*(ROW()-10)))</f>
        <v/>
      </c>
    </row>
    <row r="976" spans="1:10" x14ac:dyDescent="0.25">
      <c r="A976" t="str">
        <f>IF($J976="","",YEAR($J976-WEEKDAY($J976,2)+4)&amp;"-W"&amp;TEXT(_xludf.ISOWEEKNUM($J976),"00"))</f>
        <v/>
      </c>
      <c r="B976"/>
      <c r="C976" t="str">
        <f>IF($J976="","",SUMIFS('Hours Log'!$C:$C,'Hours Log'!$A:$A,"&gt;="&amp;$J976,'Hours Log'!$A:$A,"&lt;"&amp;$J976+7)+SUMIFS('Hours Log'!$D:$D,'Hours Log'!$A:$A,"&gt;="&amp;$J976,'Hours Log'!$A:$A,"&lt;"&amp;$J976+7))</f>
        <v/>
      </c>
      <c r="D976" t="str">
        <f>IF($J976="","",SUMIFS('Hours Log'!$D:$D,'Hours Log'!$A:$A,"&gt;="&amp;$J976,'Hours Log'!$A:$A,"&lt;"&amp;$J976+7))</f>
        <v/>
      </c>
      <c r="E976" t="str">
        <f t="shared" si="30"/>
        <v/>
      </c>
      <c r="F976" t="str">
        <f t="shared" si="31"/>
        <v/>
      </c>
      <c r="G976" t="str">
        <f>IF($J976="","",SUMIFS('Hours Log'!$E:$E,'Hours Log'!$A:$A,"&gt;="&amp;$J976,'Hours Log'!$A:$A,"&lt;"&amp;$J976+7))</f>
        <v/>
      </c>
      <c r="J976" t="str">
        <f>IF(COUNT('Hours Log'!$A$4:$A$5000)=0,"",IF(MIN('Hours Log'!$A$4:$A$5000)+7*(ROW()-10)&gt;MAX('Hours Log'!$A$4:$A$5000),"",MIN('Hours Log'!$A$4:$A$5000)+7*(ROW()-10)))</f>
        <v/>
      </c>
    </row>
    <row r="977" spans="1:10" x14ac:dyDescent="0.25">
      <c r="A977" t="str">
        <f>IF($J977="","",YEAR($J977-WEEKDAY($J977,2)+4)&amp;"-W"&amp;TEXT(_xludf.ISOWEEKNUM($J977),"00"))</f>
        <v/>
      </c>
      <c r="B977"/>
      <c r="C977" t="str">
        <f>IF($J977="","",SUMIFS('Hours Log'!$C:$C,'Hours Log'!$A:$A,"&gt;="&amp;$J977,'Hours Log'!$A:$A,"&lt;"&amp;$J977+7)+SUMIFS('Hours Log'!$D:$D,'Hours Log'!$A:$A,"&gt;="&amp;$J977,'Hours Log'!$A:$A,"&lt;"&amp;$J977+7))</f>
        <v/>
      </c>
      <c r="D977" t="str">
        <f>IF($J977="","",SUMIFS('Hours Log'!$D:$D,'Hours Log'!$A:$A,"&gt;="&amp;$J977,'Hours Log'!$A:$A,"&lt;"&amp;$J977+7))</f>
        <v/>
      </c>
      <c r="E977" t="str">
        <f t="shared" si="30"/>
        <v/>
      </c>
      <c r="F977" t="str">
        <f t="shared" si="31"/>
        <v/>
      </c>
      <c r="G977" t="str">
        <f>IF($J977="","",SUMIFS('Hours Log'!$E:$E,'Hours Log'!$A:$A,"&gt;="&amp;$J977,'Hours Log'!$A:$A,"&lt;"&amp;$J977+7))</f>
        <v/>
      </c>
      <c r="J977" t="str">
        <f>IF(COUNT('Hours Log'!$A$4:$A$5000)=0,"",IF(MIN('Hours Log'!$A$4:$A$5000)+7*(ROW()-10)&gt;MAX('Hours Log'!$A$4:$A$5000),"",MIN('Hours Log'!$A$4:$A$5000)+7*(ROW()-10)))</f>
        <v/>
      </c>
    </row>
    <row r="978" spans="1:10" x14ac:dyDescent="0.25">
      <c r="A978" t="str">
        <f>IF($J978="","",YEAR($J978-WEEKDAY($J978,2)+4)&amp;"-W"&amp;TEXT(_xludf.ISOWEEKNUM($J978),"00"))</f>
        <v/>
      </c>
      <c r="B978"/>
      <c r="C978" t="str">
        <f>IF($J978="","",SUMIFS('Hours Log'!$C:$C,'Hours Log'!$A:$A,"&gt;="&amp;$J978,'Hours Log'!$A:$A,"&lt;"&amp;$J978+7)+SUMIFS('Hours Log'!$D:$D,'Hours Log'!$A:$A,"&gt;="&amp;$J978,'Hours Log'!$A:$A,"&lt;"&amp;$J978+7))</f>
        <v/>
      </c>
      <c r="D978" t="str">
        <f>IF($J978="","",SUMIFS('Hours Log'!$D:$D,'Hours Log'!$A:$A,"&gt;="&amp;$J978,'Hours Log'!$A:$A,"&lt;"&amp;$J978+7))</f>
        <v/>
      </c>
      <c r="E978" t="str">
        <f t="shared" si="30"/>
        <v/>
      </c>
      <c r="F978" t="str">
        <f t="shared" si="31"/>
        <v/>
      </c>
      <c r="G978" t="str">
        <f>IF($J978="","",SUMIFS('Hours Log'!$E:$E,'Hours Log'!$A:$A,"&gt;="&amp;$J978,'Hours Log'!$A:$A,"&lt;"&amp;$J978+7))</f>
        <v/>
      </c>
      <c r="J978" t="str">
        <f>IF(COUNT('Hours Log'!$A$4:$A$5000)=0,"",IF(MIN('Hours Log'!$A$4:$A$5000)+7*(ROW()-10)&gt;MAX('Hours Log'!$A$4:$A$5000),"",MIN('Hours Log'!$A$4:$A$5000)+7*(ROW()-10)))</f>
        <v/>
      </c>
    </row>
    <row r="979" spans="1:10" x14ac:dyDescent="0.25">
      <c r="A979" t="str">
        <f>IF($J979="","",YEAR($J979-WEEKDAY($J979,2)+4)&amp;"-W"&amp;TEXT(_xludf.ISOWEEKNUM($J979),"00"))</f>
        <v/>
      </c>
      <c r="B979"/>
      <c r="C979" t="str">
        <f>IF($J979="","",SUMIFS('Hours Log'!$C:$C,'Hours Log'!$A:$A,"&gt;="&amp;$J979,'Hours Log'!$A:$A,"&lt;"&amp;$J979+7)+SUMIFS('Hours Log'!$D:$D,'Hours Log'!$A:$A,"&gt;="&amp;$J979,'Hours Log'!$A:$A,"&lt;"&amp;$J979+7))</f>
        <v/>
      </c>
      <c r="D979" t="str">
        <f>IF($J979="","",SUMIFS('Hours Log'!$D:$D,'Hours Log'!$A:$A,"&gt;="&amp;$J979,'Hours Log'!$A:$A,"&lt;"&amp;$J979+7))</f>
        <v/>
      </c>
      <c r="E979" t="str">
        <f t="shared" si="30"/>
        <v/>
      </c>
      <c r="F979" t="str">
        <f t="shared" si="31"/>
        <v/>
      </c>
      <c r="G979" t="str">
        <f>IF($J979="","",SUMIFS('Hours Log'!$E:$E,'Hours Log'!$A:$A,"&gt;="&amp;$J979,'Hours Log'!$A:$A,"&lt;"&amp;$J979+7))</f>
        <v/>
      </c>
      <c r="J979" t="str">
        <f>IF(COUNT('Hours Log'!$A$4:$A$5000)=0,"",IF(MIN('Hours Log'!$A$4:$A$5000)+7*(ROW()-10)&gt;MAX('Hours Log'!$A$4:$A$5000),"",MIN('Hours Log'!$A$4:$A$5000)+7*(ROW()-10)))</f>
        <v/>
      </c>
    </row>
    <row r="980" spans="1:10" x14ac:dyDescent="0.25">
      <c r="A980" t="str">
        <f>IF($J980="","",YEAR($J980-WEEKDAY($J980,2)+4)&amp;"-W"&amp;TEXT(_xludf.ISOWEEKNUM($J980),"00"))</f>
        <v/>
      </c>
      <c r="B980"/>
      <c r="C980" t="str">
        <f>IF($J980="","",SUMIFS('Hours Log'!$C:$C,'Hours Log'!$A:$A,"&gt;="&amp;$J980,'Hours Log'!$A:$A,"&lt;"&amp;$J980+7)+SUMIFS('Hours Log'!$D:$D,'Hours Log'!$A:$A,"&gt;="&amp;$J980,'Hours Log'!$A:$A,"&lt;"&amp;$J980+7))</f>
        <v/>
      </c>
      <c r="D980" t="str">
        <f>IF($J980="","",SUMIFS('Hours Log'!$D:$D,'Hours Log'!$A:$A,"&gt;="&amp;$J980,'Hours Log'!$A:$A,"&lt;"&amp;$J980+7))</f>
        <v/>
      </c>
      <c r="E980" t="str">
        <f t="shared" si="30"/>
        <v/>
      </c>
      <c r="F980" t="str">
        <f t="shared" si="31"/>
        <v/>
      </c>
      <c r="G980" t="str">
        <f>IF($J980="","",SUMIFS('Hours Log'!$E:$E,'Hours Log'!$A:$A,"&gt;="&amp;$J980,'Hours Log'!$A:$A,"&lt;"&amp;$J980+7))</f>
        <v/>
      </c>
      <c r="J980" t="str">
        <f>IF(COUNT('Hours Log'!$A$4:$A$5000)=0,"",IF(MIN('Hours Log'!$A$4:$A$5000)+7*(ROW()-10)&gt;MAX('Hours Log'!$A$4:$A$5000),"",MIN('Hours Log'!$A$4:$A$5000)+7*(ROW()-10)))</f>
        <v/>
      </c>
    </row>
    <row r="981" spans="1:10" x14ac:dyDescent="0.25">
      <c r="A981" t="str">
        <f>IF($J981="","",YEAR($J981-WEEKDAY($J981,2)+4)&amp;"-W"&amp;TEXT(_xludf.ISOWEEKNUM($J981),"00"))</f>
        <v/>
      </c>
      <c r="B981"/>
      <c r="C981" t="str">
        <f>IF($J981="","",SUMIFS('Hours Log'!$C:$C,'Hours Log'!$A:$A,"&gt;="&amp;$J981,'Hours Log'!$A:$A,"&lt;"&amp;$J981+7)+SUMIFS('Hours Log'!$D:$D,'Hours Log'!$A:$A,"&gt;="&amp;$J981,'Hours Log'!$A:$A,"&lt;"&amp;$J981+7))</f>
        <v/>
      </c>
      <c r="D981" t="str">
        <f>IF($J981="","",SUMIFS('Hours Log'!$D:$D,'Hours Log'!$A:$A,"&gt;="&amp;$J981,'Hours Log'!$A:$A,"&lt;"&amp;$J981+7))</f>
        <v/>
      </c>
      <c r="E981" t="str">
        <f t="shared" si="30"/>
        <v/>
      </c>
      <c r="F981" t="str">
        <f t="shared" si="31"/>
        <v/>
      </c>
      <c r="G981" t="str">
        <f>IF($J981="","",SUMIFS('Hours Log'!$E:$E,'Hours Log'!$A:$A,"&gt;="&amp;$J981,'Hours Log'!$A:$A,"&lt;"&amp;$J981+7))</f>
        <v/>
      </c>
      <c r="J981" t="str">
        <f>IF(COUNT('Hours Log'!$A$4:$A$5000)=0,"",IF(MIN('Hours Log'!$A$4:$A$5000)+7*(ROW()-10)&gt;MAX('Hours Log'!$A$4:$A$5000),"",MIN('Hours Log'!$A$4:$A$5000)+7*(ROW()-10)))</f>
        <v/>
      </c>
    </row>
    <row r="982" spans="1:10" x14ac:dyDescent="0.25">
      <c r="A982" t="str">
        <f>IF($J982="","",YEAR($J982-WEEKDAY($J982,2)+4)&amp;"-W"&amp;TEXT(_xludf.ISOWEEKNUM($J982),"00"))</f>
        <v/>
      </c>
      <c r="B982"/>
      <c r="C982" t="str">
        <f>IF($J982="","",SUMIFS('Hours Log'!$C:$C,'Hours Log'!$A:$A,"&gt;="&amp;$J982,'Hours Log'!$A:$A,"&lt;"&amp;$J982+7)+SUMIFS('Hours Log'!$D:$D,'Hours Log'!$A:$A,"&gt;="&amp;$J982,'Hours Log'!$A:$A,"&lt;"&amp;$J982+7))</f>
        <v/>
      </c>
      <c r="D982" t="str">
        <f>IF($J982="","",SUMIFS('Hours Log'!$D:$D,'Hours Log'!$A:$A,"&gt;="&amp;$J982,'Hours Log'!$A:$A,"&lt;"&amp;$J982+7))</f>
        <v/>
      </c>
      <c r="E982" t="str">
        <f t="shared" si="30"/>
        <v/>
      </c>
      <c r="F982" t="str">
        <f t="shared" si="31"/>
        <v/>
      </c>
      <c r="G982" t="str">
        <f>IF($J982="","",SUMIFS('Hours Log'!$E:$E,'Hours Log'!$A:$A,"&gt;="&amp;$J982,'Hours Log'!$A:$A,"&lt;"&amp;$J982+7))</f>
        <v/>
      </c>
      <c r="J982" t="str">
        <f>IF(COUNT('Hours Log'!$A$4:$A$5000)=0,"",IF(MIN('Hours Log'!$A$4:$A$5000)+7*(ROW()-10)&gt;MAX('Hours Log'!$A$4:$A$5000),"",MIN('Hours Log'!$A$4:$A$5000)+7*(ROW()-10)))</f>
        <v/>
      </c>
    </row>
    <row r="983" spans="1:10" x14ac:dyDescent="0.25">
      <c r="A983" t="str">
        <f>IF($J983="","",YEAR($J983-WEEKDAY($J983,2)+4)&amp;"-W"&amp;TEXT(_xludf.ISOWEEKNUM($J983),"00"))</f>
        <v/>
      </c>
      <c r="B983"/>
      <c r="C983" t="str">
        <f>IF($J983="","",SUMIFS('Hours Log'!$C:$C,'Hours Log'!$A:$A,"&gt;="&amp;$J983,'Hours Log'!$A:$A,"&lt;"&amp;$J983+7)+SUMIFS('Hours Log'!$D:$D,'Hours Log'!$A:$A,"&gt;="&amp;$J983,'Hours Log'!$A:$A,"&lt;"&amp;$J983+7))</f>
        <v/>
      </c>
      <c r="D983" t="str">
        <f>IF($J983="","",SUMIFS('Hours Log'!$D:$D,'Hours Log'!$A:$A,"&gt;="&amp;$J983,'Hours Log'!$A:$A,"&lt;"&amp;$J983+7))</f>
        <v/>
      </c>
      <c r="E983" t="str">
        <f t="shared" si="30"/>
        <v/>
      </c>
      <c r="F983" t="str">
        <f t="shared" si="31"/>
        <v/>
      </c>
      <c r="G983" t="str">
        <f>IF($J983="","",SUMIFS('Hours Log'!$E:$E,'Hours Log'!$A:$A,"&gt;="&amp;$J983,'Hours Log'!$A:$A,"&lt;"&amp;$J983+7))</f>
        <v/>
      </c>
      <c r="J983" t="str">
        <f>IF(COUNT('Hours Log'!$A$4:$A$5000)=0,"",IF(MIN('Hours Log'!$A$4:$A$5000)+7*(ROW()-10)&gt;MAX('Hours Log'!$A$4:$A$5000),"",MIN('Hours Log'!$A$4:$A$5000)+7*(ROW()-10)))</f>
        <v/>
      </c>
    </row>
    <row r="984" spans="1:10" x14ac:dyDescent="0.25">
      <c r="A984" t="str">
        <f>IF($J984="","",YEAR($J984-WEEKDAY($J984,2)+4)&amp;"-W"&amp;TEXT(_xludf.ISOWEEKNUM($J984),"00"))</f>
        <v/>
      </c>
      <c r="B984"/>
      <c r="C984" t="str">
        <f>IF($J984="","",SUMIFS('Hours Log'!$C:$C,'Hours Log'!$A:$A,"&gt;="&amp;$J984,'Hours Log'!$A:$A,"&lt;"&amp;$J984+7)+SUMIFS('Hours Log'!$D:$D,'Hours Log'!$A:$A,"&gt;="&amp;$J984,'Hours Log'!$A:$A,"&lt;"&amp;$J984+7))</f>
        <v/>
      </c>
      <c r="D984" t="str">
        <f>IF($J984="","",SUMIFS('Hours Log'!$D:$D,'Hours Log'!$A:$A,"&gt;="&amp;$J984,'Hours Log'!$A:$A,"&lt;"&amp;$J984+7))</f>
        <v/>
      </c>
      <c r="E984" t="str">
        <f t="shared" si="30"/>
        <v/>
      </c>
      <c r="F984" t="str">
        <f t="shared" si="31"/>
        <v/>
      </c>
      <c r="G984" t="str">
        <f>IF($J984="","",SUMIFS('Hours Log'!$E:$E,'Hours Log'!$A:$A,"&gt;="&amp;$J984,'Hours Log'!$A:$A,"&lt;"&amp;$J984+7))</f>
        <v/>
      </c>
      <c r="J984" t="str">
        <f>IF(COUNT('Hours Log'!$A$4:$A$5000)=0,"",IF(MIN('Hours Log'!$A$4:$A$5000)+7*(ROW()-10)&gt;MAX('Hours Log'!$A$4:$A$5000),"",MIN('Hours Log'!$A$4:$A$5000)+7*(ROW()-10)))</f>
        <v/>
      </c>
    </row>
    <row r="985" spans="1:10" x14ac:dyDescent="0.25">
      <c r="A985" t="str">
        <f>IF($J985="","",YEAR($J985-WEEKDAY($J985,2)+4)&amp;"-W"&amp;TEXT(_xludf.ISOWEEKNUM($J985),"00"))</f>
        <v/>
      </c>
      <c r="B985"/>
      <c r="C985" t="str">
        <f>IF($J985="","",SUMIFS('Hours Log'!$C:$C,'Hours Log'!$A:$A,"&gt;="&amp;$J985,'Hours Log'!$A:$A,"&lt;"&amp;$J985+7)+SUMIFS('Hours Log'!$D:$D,'Hours Log'!$A:$A,"&gt;="&amp;$J985,'Hours Log'!$A:$A,"&lt;"&amp;$J985+7))</f>
        <v/>
      </c>
      <c r="D985" t="str">
        <f>IF($J985="","",SUMIFS('Hours Log'!$D:$D,'Hours Log'!$A:$A,"&gt;="&amp;$J985,'Hours Log'!$A:$A,"&lt;"&amp;$J985+7))</f>
        <v/>
      </c>
      <c r="E985" t="str">
        <f t="shared" si="30"/>
        <v/>
      </c>
      <c r="F985" t="str">
        <f t="shared" si="31"/>
        <v/>
      </c>
      <c r="G985" t="str">
        <f>IF($J985="","",SUMIFS('Hours Log'!$E:$E,'Hours Log'!$A:$A,"&gt;="&amp;$J985,'Hours Log'!$A:$A,"&lt;"&amp;$J985+7))</f>
        <v/>
      </c>
      <c r="J985" t="str">
        <f>IF(COUNT('Hours Log'!$A$4:$A$5000)=0,"",IF(MIN('Hours Log'!$A$4:$A$5000)+7*(ROW()-10)&gt;MAX('Hours Log'!$A$4:$A$5000),"",MIN('Hours Log'!$A$4:$A$5000)+7*(ROW()-10)))</f>
        <v/>
      </c>
    </row>
    <row r="986" spans="1:10" x14ac:dyDescent="0.25">
      <c r="A986" t="str">
        <f>IF($J986="","",YEAR($J986-WEEKDAY($J986,2)+4)&amp;"-W"&amp;TEXT(_xludf.ISOWEEKNUM($J986),"00"))</f>
        <v/>
      </c>
      <c r="B986"/>
      <c r="C986" t="str">
        <f>IF($J986="","",SUMIFS('Hours Log'!$C:$C,'Hours Log'!$A:$A,"&gt;="&amp;$J986,'Hours Log'!$A:$A,"&lt;"&amp;$J986+7)+SUMIFS('Hours Log'!$D:$D,'Hours Log'!$A:$A,"&gt;="&amp;$J986,'Hours Log'!$A:$A,"&lt;"&amp;$J986+7))</f>
        <v/>
      </c>
      <c r="D986" t="str">
        <f>IF($J986="","",SUMIFS('Hours Log'!$D:$D,'Hours Log'!$A:$A,"&gt;="&amp;$J986,'Hours Log'!$A:$A,"&lt;"&amp;$J986+7))</f>
        <v/>
      </c>
      <c r="E986" t="str">
        <f t="shared" si="30"/>
        <v/>
      </c>
      <c r="F986" t="str">
        <f t="shared" si="31"/>
        <v/>
      </c>
      <c r="G986" t="str">
        <f>IF($J986="","",SUMIFS('Hours Log'!$E:$E,'Hours Log'!$A:$A,"&gt;="&amp;$J986,'Hours Log'!$A:$A,"&lt;"&amp;$J986+7))</f>
        <v/>
      </c>
      <c r="J986" t="str">
        <f>IF(COUNT('Hours Log'!$A$4:$A$5000)=0,"",IF(MIN('Hours Log'!$A$4:$A$5000)+7*(ROW()-10)&gt;MAX('Hours Log'!$A$4:$A$5000),"",MIN('Hours Log'!$A$4:$A$5000)+7*(ROW()-10)))</f>
        <v/>
      </c>
    </row>
    <row r="987" spans="1:10" x14ac:dyDescent="0.25">
      <c r="A987" t="str">
        <f>IF($J987="","",YEAR($J987-WEEKDAY($J987,2)+4)&amp;"-W"&amp;TEXT(_xludf.ISOWEEKNUM($J987),"00"))</f>
        <v/>
      </c>
      <c r="B987"/>
      <c r="C987" t="str">
        <f>IF($J987="","",SUMIFS('Hours Log'!$C:$C,'Hours Log'!$A:$A,"&gt;="&amp;$J987,'Hours Log'!$A:$A,"&lt;"&amp;$J987+7)+SUMIFS('Hours Log'!$D:$D,'Hours Log'!$A:$A,"&gt;="&amp;$J987,'Hours Log'!$A:$A,"&lt;"&amp;$J987+7))</f>
        <v/>
      </c>
      <c r="D987" t="str">
        <f>IF($J987="","",SUMIFS('Hours Log'!$D:$D,'Hours Log'!$A:$A,"&gt;="&amp;$J987,'Hours Log'!$A:$A,"&lt;"&amp;$J987+7))</f>
        <v/>
      </c>
      <c r="E987" t="str">
        <f t="shared" si="30"/>
        <v/>
      </c>
      <c r="F987" t="str">
        <f t="shared" si="31"/>
        <v/>
      </c>
      <c r="G987" t="str">
        <f>IF($J987="","",SUMIFS('Hours Log'!$E:$E,'Hours Log'!$A:$A,"&gt;="&amp;$J987,'Hours Log'!$A:$A,"&lt;"&amp;$J987+7))</f>
        <v/>
      </c>
      <c r="J987" t="str">
        <f>IF(COUNT('Hours Log'!$A$4:$A$5000)=0,"",IF(MIN('Hours Log'!$A$4:$A$5000)+7*(ROW()-10)&gt;MAX('Hours Log'!$A$4:$A$5000),"",MIN('Hours Log'!$A$4:$A$5000)+7*(ROW()-10)))</f>
        <v/>
      </c>
    </row>
    <row r="988" spans="1:10" x14ac:dyDescent="0.25">
      <c r="A988" t="str">
        <f>IF($J988="","",YEAR($J988-WEEKDAY($J988,2)+4)&amp;"-W"&amp;TEXT(_xludf.ISOWEEKNUM($J988),"00"))</f>
        <v/>
      </c>
      <c r="B988"/>
      <c r="C988" t="str">
        <f>IF($J988="","",SUMIFS('Hours Log'!$C:$C,'Hours Log'!$A:$A,"&gt;="&amp;$J988,'Hours Log'!$A:$A,"&lt;"&amp;$J988+7)+SUMIFS('Hours Log'!$D:$D,'Hours Log'!$A:$A,"&gt;="&amp;$J988,'Hours Log'!$A:$A,"&lt;"&amp;$J988+7))</f>
        <v/>
      </c>
      <c r="D988" t="str">
        <f>IF($J988="","",SUMIFS('Hours Log'!$D:$D,'Hours Log'!$A:$A,"&gt;="&amp;$J988,'Hours Log'!$A:$A,"&lt;"&amp;$J988+7))</f>
        <v/>
      </c>
      <c r="E988" t="str">
        <f t="shared" si="30"/>
        <v/>
      </c>
      <c r="F988" t="str">
        <f t="shared" si="31"/>
        <v/>
      </c>
      <c r="G988" t="str">
        <f>IF($J988="","",SUMIFS('Hours Log'!$E:$E,'Hours Log'!$A:$A,"&gt;="&amp;$J988,'Hours Log'!$A:$A,"&lt;"&amp;$J988+7))</f>
        <v/>
      </c>
      <c r="J988" t="str">
        <f>IF(COUNT('Hours Log'!$A$4:$A$5000)=0,"",IF(MIN('Hours Log'!$A$4:$A$5000)+7*(ROW()-10)&gt;MAX('Hours Log'!$A$4:$A$5000),"",MIN('Hours Log'!$A$4:$A$5000)+7*(ROW()-10)))</f>
        <v/>
      </c>
    </row>
    <row r="989" spans="1:10" x14ac:dyDescent="0.25">
      <c r="A989" t="str">
        <f>IF($J989="","",YEAR($J989-WEEKDAY($J989,2)+4)&amp;"-W"&amp;TEXT(_xludf.ISOWEEKNUM($J989),"00"))</f>
        <v/>
      </c>
      <c r="B989"/>
      <c r="C989" t="str">
        <f>IF($J989="","",SUMIFS('Hours Log'!$C:$C,'Hours Log'!$A:$A,"&gt;="&amp;$J989,'Hours Log'!$A:$A,"&lt;"&amp;$J989+7)+SUMIFS('Hours Log'!$D:$D,'Hours Log'!$A:$A,"&gt;="&amp;$J989,'Hours Log'!$A:$A,"&lt;"&amp;$J989+7))</f>
        <v/>
      </c>
      <c r="D989" t="str">
        <f>IF($J989="","",SUMIFS('Hours Log'!$D:$D,'Hours Log'!$A:$A,"&gt;="&amp;$J989,'Hours Log'!$A:$A,"&lt;"&amp;$J989+7))</f>
        <v/>
      </c>
      <c r="E989" t="str">
        <f t="shared" si="30"/>
        <v/>
      </c>
      <c r="F989" t="str">
        <f t="shared" si="31"/>
        <v/>
      </c>
      <c r="G989" t="str">
        <f>IF($J989="","",SUMIFS('Hours Log'!$E:$E,'Hours Log'!$A:$A,"&gt;="&amp;$J989,'Hours Log'!$A:$A,"&lt;"&amp;$J989+7))</f>
        <v/>
      </c>
      <c r="J989" t="str">
        <f>IF(COUNT('Hours Log'!$A$4:$A$5000)=0,"",IF(MIN('Hours Log'!$A$4:$A$5000)+7*(ROW()-10)&gt;MAX('Hours Log'!$A$4:$A$5000),"",MIN('Hours Log'!$A$4:$A$5000)+7*(ROW()-10)))</f>
        <v/>
      </c>
    </row>
    <row r="990" spans="1:10" x14ac:dyDescent="0.25">
      <c r="A990" t="str">
        <f>IF($J990="","",YEAR($J990-WEEKDAY($J990,2)+4)&amp;"-W"&amp;TEXT(_xludf.ISOWEEKNUM($J990),"00"))</f>
        <v/>
      </c>
      <c r="B990"/>
      <c r="C990" t="str">
        <f>IF($J990="","",SUMIFS('Hours Log'!$C:$C,'Hours Log'!$A:$A,"&gt;="&amp;$J990,'Hours Log'!$A:$A,"&lt;"&amp;$J990+7)+SUMIFS('Hours Log'!$D:$D,'Hours Log'!$A:$A,"&gt;="&amp;$J990,'Hours Log'!$A:$A,"&lt;"&amp;$J990+7))</f>
        <v/>
      </c>
      <c r="D990" t="str">
        <f>IF($J990="","",SUMIFS('Hours Log'!$D:$D,'Hours Log'!$A:$A,"&gt;="&amp;$J990,'Hours Log'!$A:$A,"&lt;"&amp;$J990+7))</f>
        <v/>
      </c>
      <c r="E990" t="str">
        <f t="shared" si="30"/>
        <v/>
      </c>
      <c r="F990" t="str">
        <f t="shared" si="31"/>
        <v/>
      </c>
      <c r="G990" t="str">
        <f>IF($J990="","",SUMIFS('Hours Log'!$E:$E,'Hours Log'!$A:$A,"&gt;="&amp;$J990,'Hours Log'!$A:$A,"&lt;"&amp;$J990+7))</f>
        <v/>
      </c>
      <c r="J990" t="str">
        <f>IF(COUNT('Hours Log'!$A$4:$A$5000)=0,"",IF(MIN('Hours Log'!$A$4:$A$5000)+7*(ROW()-10)&gt;MAX('Hours Log'!$A$4:$A$5000),"",MIN('Hours Log'!$A$4:$A$5000)+7*(ROW()-10)))</f>
        <v/>
      </c>
    </row>
    <row r="991" spans="1:10" x14ac:dyDescent="0.25">
      <c r="A991" t="str">
        <f>IF($J991="","",YEAR($J991-WEEKDAY($J991,2)+4)&amp;"-W"&amp;TEXT(_xludf.ISOWEEKNUM($J991),"00"))</f>
        <v/>
      </c>
      <c r="B991"/>
      <c r="C991" t="str">
        <f>IF($J991="","",SUMIFS('Hours Log'!$C:$C,'Hours Log'!$A:$A,"&gt;="&amp;$J991,'Hours Log'!$A:$A,"&lt;"&amp;$J991+7)+SUMIFS('Hours Log'!$D:$D,'Hours Log'!$A:$A,"&gt;="&amp;$J991,'Hours Log'!$A:$A,"&lt;"&amp;$J991+7))</f>
        <v/>
      </c>
      <c r="D991" t="str">
        <f>IF($J991="","",SUMIFS('Hours Log'!$D:$D,'Hours Log'!$A:$A,"&gt;="&amp;$J991,'Hours Log'!$A:$A,"&lt;"&amp;$J991+7))</f>
        <v/>
      </c>
      <c r="E991" t="str">
        <f t="shared" si="30"/>
        <v/>
      </c>
      <c r="F991" t="str">
        <f t="shared" si="31"/>
        <v/>
      </c>
      <c r="G991" t="str">
        <f>IF($J991="","",SUMIFS('Hours Log'!$E:$E,'Hours Log'!$A:$A,"&gt;="&amp;$J991,'Hours Log'!$A:$A,"&lt;"&amp;$J991+7))</f>
        <v/>
      </c>
      <c r="J991" t="str">
        <f>IF(COUNT('Hours Log'!$A$4:$A$5000)=0,"",IF(MIN('Hours Log'!$A$4:$A$5000)+7*(ROW()-10)&gt;MAX('Hours Log'!$A$4:$A$5000),"",MIN('Hours Log'!$A$4:$A$5000)+7*(ROW()-10)))</f>
        <v/>
      </c>
    </row>
    <row r="992" spans="1:10" x14ac:dyDescent="0.25">
      <c r="A992" t="str">
        <f>IF($J992="","",YEAR($J992-WEEKDAY($J992,2)+4)&amp;"-W"&amp;TEXT(_xludf.ISOWEEKNUM($J992),"00"))</f>
        <v/>
      </c>
      <c r="B992"/>
      <c r="C992" t="str">
        <f>IF($J992="","",SUMIFS('Hours Log'!$C:$C,'Hours Log'!$A:$A,"&gt;="&amp;$J992,'Hours Log'!$A:$A,"&lt;"&amp;$J992+7)+SUMIFS('Hours Log'!$D:$D,'Hours Log'!$A:$A,"&gt;="&amp;$J992,'Hours Log'!$A:$A,"&lt;"&amp;$J992+7))</f>
        <v/>
      </c>
      <c r="D992" t="str">
        <f>IF($J992="","",SUMIFS('Hours Log'!$D:$D,'Hours Log'!$A:$A,"&gt;="&amp;$J992,'Hours Log'!$A:$A,"&lt;"&amp;$J992+7))</f>
        <v/>
      </c>
      <c r="E992" t="str">
        <f t="shared" si="30"/>
        <v/>
      </c>
      <c r="F992" t="str">
        <f t="shared" si="31"/>
        <v/>
      </c>
      <c r="G992" t="str">
        <f>IF($J992="","",SUMIFS('Hours Log'!$E:$E,'Hours Log'!$A:$A,"&gt;="&amp;$J992,'Hours Log'!$A:$A,"&lt;"&amp;$J992+7))</f>
        <v/>
      </c>
      <c r="J992" t="str">
        <f>IF(COUNT('Hours Log'!$A$4:$A$5000)=0,"",IF(MIN('Hours Log'!$A$4:$A$5000)+7*(ROW()-10)&gt;MAX('Hours Log'!$A$4:$A$5000),"",MIN('Hours Log'!$A$4:$A$5000)+7*(ROW()-10)))</f>
        <v/>
      </c>
    </row>
    <row r="993" spans="1:10" x14ac:dyDescent="0.25">
      <c r="A993" t="str">
        <f>IF($J993="","",YEAR($J993-WEEKDAY($J993,2)+4)&amp;"-W"&amp;TEXT(_xludf.ISOWEEKNUM($J993),"00"))</f>
        <v/>
      </c>
      <c r="B993"/>
      <c r="C993" t="str">
        <f>IF($J993="","",SUMIFS('Hours Log'!$C:$C,'Hours Log'!$A:$A,"&gt;="&amp;$J993,'Hours Log'!$A:$A,"&lt;"&amp;$J993+7)+SUMIFS('Hours Log'!$D:$D,'Hours Log'!$A:$A,"&gt;="&amp;$J993,'Hours Log'!$A:$A,"&lt;"&amp;$J993+7))</f>
        <v/>
      </c>
      <c r="D993" t="str">
        <f>IF($J993="","",SUMIFS('Hours Log'!$D:$D,'Hours Log'!$A:$A,"&gt;="&amp;$J993,'Hours Log'!$A:$A,"&lt;"&amp;$J993+7))</f>
        <v/>
      </c>
      <c r="E993" t="str">
        <f t="shared" si="30"/>
        <v/>
      </c>
      <c r="F993" t="str">
        <f t="shared" si="31"/>
        <v/>
      </c>
      <c r="G993" t="str">
        <f>IF($J993="","",SUMIFS('Hours Log'!$E:$E,'Hours Log'!$A:$A,"&gt;="&amp;$J993,'Hours Log'!$A:$A,"&lt;"&amp;$J993+7))</f>
        <v/>
      </c>
      <c r="J993" t="str">
        <f>IF(COUNT('Hours Log'!$A$4:$A$5000)=0,"",IF(MIN('Hours Log'!$A$4:$A$5000)+7*(ROW()-10)&gt;MAX('Hours Log'!$A$4:$A$5000),"",MIN('Hours Log'!$A$4:$A$5000)+7*(ROW()-10)))</f>
        <v/>
      </c>
    </row>
    <row r="994" spans="1:10" x14ac:dyDescent="0.25">
      <c r="A994" t="str">
        <f>IF($J994="","",YEAR($J994-WEEKDAY($J994,2)+4)&amp;"-W"&amp;TEXT(_xludf.ISOWEEKNUM($J994),"00"))</f>
        <v/>
      </c>
      <c r="B994"/>
      <c r="C994" t="str">
        <f>IF($J994="","",SUMIFS('Hours Log'!$C:$C,'Hours Log'!$A:$A,"&gt;="&amp;$J994,'Hours Log'!$A:$A,"&lt;"&amp;$J994+7)+SUMIFS('Hours Log'!$D:$D,'Hours Log'!$A:$A,"&gt;="&amp;$J994,'Hours Log'!$A:$A,"&lt;"&amp;$J994+7))</f>
        <v/>
      </c>
      <c r="D994" t="str">
        <f>IF($J994="","",SUMIFS('Hours Log'!$D:$D,'Hours Log'!$A:$A,"&gt;="&amp;$J994,'Hours Log'!$A:$A,"&lt;"&amp;$J994+7))</f>
        <v/>
      </c>
      <c r="E994" t="str">
        <f t="shared" si="30"/>
        <v/>
      </c>
      <c r="F994" t="str">
        <f t="shared" si="31"/>
        <v/>
      </c>
      <c r="G994" t="str">
        <f>IF($J994="","",SUMIFS('Hours Log'!$E:$E,'Hours Log'!$A:$A,"&gt;="&amp;$J994,'Hours Log'!$A:$A,"&lt;"&amp;$J994+7))</f>
        <v/>
      </c>
      <c r="J994" t="str">
        <f>IF(COUNT('Hours Log'!$A$4:$A$5000)=0,"",IF(MIN('Hours Log'!$A$4:$A$5000)+7*(ROW()-10)&gt;MAX('Hours Log'!$A$4:$A$5000),"",MIN('Hours Log'!$A$4:$A$5000)+7*(ROW()-10)))</f>
        <v/>
      </c>
    </row>
    <row r="995" spans="1:10" x14ac:dyDescent="0.25">
      <c r="A995" t="str">
        <f>IF($J995="","",YEAR($J995-WEEKDAY($J995,2)+4)&amp;"-W"&amp;TEXT(_xludf.ISOWEEKNUM($J995),"00"))</f>
        <v/>
      </c>
      <c r="B995"/>
      <c r="C995" t="str">
        <f>IF($J995="","",SUMIFS('Hours Log'!$C:$C,'Hours Log'!$A:$A,"&gt;="&amp;$J995,'Hours Log'!$A:$A,"&lt;"&amp;$J995+7)+SUMIFS('Hours Log'!$D:$D,'Hours Log'!$A:$A,"&gt;="&amp;$J995,'Hours Log'!$A:$A,"&lt;"&amp;$J995+7))</f>
        <v/>
      </c>
      <c r="D995" t="str">
        <f>IF($J995="","",SUMIFS('Hours Log'!$D:$D,'Hours Log'!$A:$A,"&gt;="&amp;$J995,'Hours Log'!$A:$A,"&lt;"&amp;$J995+7))</f>
        <v/>
      </c>
      <c r="E995" t="str">
        <f t="shared" si="30"/>
        <v/>
      </c>
      <c r="F995" t="str">
        <f t="shared" si="31"/>
        <v/>
      </c>
      <c r="G995" t="str">
        <f>IF($J995="","",SUMIFS('Hours Log'!$E:$E,'Hours Log'!$A:$A,"&gt;="&amp;$J995,'Hours Log'!$A:$A,"&lt;"&amp;$J995+7))</f>
        <v/>
      </c>
      <c r="J995" t="str">
        <f>IF(COUNT('Hours Log'!$A$4:$A$5000)=0,"",IF(MIN('Hours Log'!$A$4:$A$5000)+7*(ROW()-10)&gt;MAX('Hours Log'!$A$4:$A$5000),"",MIN('Hours Log'!$A$4:$A$5000)+7*(ROW()-10)))</f>
        <v/>
      </c>
    </row>
    <row r="996" spans="1:10" x14ac:dyDescent="0.25">
      <c r="A996" t="str">
        <f>IF($J996="","",YEAR($J996-WEEKDAY($J996,2)+4)&amp;"-W"&amp;TEXT(_xludf.ISOWEEKNUM($J996),"00"))</f>
        <v/>
      </c>
      <c r="B996"/>
      <c r="C996" t="str">
        <f>IF($J996="","",SUMIFS('Hours Log'!$C:$C,'Hours Log'!$A:$A,"&gt;="&amp;$J996,'Hours Log'!$A:$A,"&lt;"&amp;$J996+7)+SUMIFS('Hours Log'!$D:$D,'Hours Log'!$A:$A,"&gt;="&amp;$J996,'Hours Log'!$A:$A,"&lt;"&amp;$J996+7))</f>
        <v/>
      </c>
      <c r="D996" t="str">
        <f>IF($J996="","",SUMIFS('Hours Log'!$D:$D,'Hours Log'!$A:$A,"&gt;="&amp;$J996,'Hours Log'!$A:$A,"&lt;"&amp;$J996+7))</f>
        <v/>
      </c>
      <c r="E996" t="str">
        <f t="shared" si="30"/>
        <v/>
      </c>
      <c r="F996" t="str">
        <f t="shared" si="31"/>
        <v/>
      </c>
      <c r="G996" t="str">
        <f>IF($J996="","",SUMIFS('Hours Log'!$E:$E,'Hours Log'!$A:$A,"&gt;="&amp;$J996,'Hours Log'!$A:$A,"&lt;"&amp;$J996+7))</f>
        <v/>
      </c>
      <c r="J996" t="str">
        <f>IF(COUNT('Hours Log'!$A$4:$A$5000)=0,"",IF(MIN('Hours Log'!$A$4:$A$5000)+7*(ROW()-10)&gt;MAX('Hours Log'!$A$4:$A$5000),"",MIN('Hours Log'!$A$4:$A$5000)+7*(ROW()-10)))</f>
        <v/>
      </c>
    </row>
    <row r="997" spans="1:10" x14ac:dyDescent="0.25">
      <c r="A997" t="str">
        <f>IF($J997="","",YEAR($J997-WEEKDAY($J997,2)+4)&amp;"-W"&amp;TEXT(_xludf.ISOWEEKNUM($J997),"00"))</f>
        <v/>
      </c>
      <c r="B997"/>
      <c r="C997" t="str">
        <f>IF($J997="","",SUMIFS('Hours Log'!$C:$C,'Hours Log'!$A:$A,"&gt;="&amp;$J997,'Hours Log'!$A:$A,"&lt;"&amp;$J997+7)+SUMIFS('Hours Log'!$D:$D,'Hours Log'!$A:$A,"&gt;="&amp;$J997,'Hours Log'!$A:$A,"&lt;"&amp;$J997+7))</f>
        <v/>
      </c>
      <c r="D997" t="str">
        <f>IF($J997="","",SUMIFS('Hours Log'!$D:$D,'Hours Log'!$A:$A,"&gt;="&amp;$J997,'Hours Log'!$A:$A,"&lt;"&amp;$J997+7))</f>
        <v/>
      </c>
      <c r="E997" t="str">
        <f t="shared" si="30"/>
        <v/>
      </c>
      <c r="F997" t="str">
        <f t="shared" si="31"/>
        <v/>
      </c>
      <c r="G997" t="str">
        <f>IF($J997="","",SUMIFS('Hours Log'!$E:$E,'Hours Log'!$A:$A,"&gt;="&amp;$J997,'Hours Log'!$A:$A,"&lt;"&amp;$J997+7))</f>
        <v/>
      </c>
      <c r="J997" t="str">
        <f>IF(COUNT('Hours Log'!$A$4:$A$5000)=0,"",IF(MIN('Hours Log'!$A$4:$A$5000)+7*(ROW()-10)&gt;MAX('Hours Log'!$A$4:$A$5000),"",MIN('Hours Log'!$A$4:$A$5000)+7*(ROW()-10)))</f>
        <v/>
      </c>
    </row>
    <row r="998" spans="1:10" x14ac:dyDescent="0.25">
      <c r="A998" t="str">
        <f>IF($J998="","",YEAR($J998-WEEKDAY($J998,2)+4)&amp;"-W"&amp;TEXT(_xludf.ISOWEEKNUM($J998),"00"))</f>
        <v/>
      </c>
      <c r="B998"/>
      <c r="C998" t="str">
        <f>IF($J998="","",SUMIFS('Hours Log'!$C:$C,'Hours Log'!$A:$A,"&gt;="&amp;$J998,'Hours Log'!$A:$A,"&lt;"&amp;$J998+7)+SUMIFS('Hours Log'!$D:$D,'Hours Log'!$A:$A,"&gt;="&amp;$J998,'Hours Log'!$A:$A,"&lt;"&amp;$J998+7))</f>
        <v/>
      </c>
      <c r="D998" t="str">
        <f>IF($J998="","",SUMIFS('Hours Log'!$D:$D,'Hours Log'!$A:$A,"&gt;="&amp;$J998,'Hours Log'!$A:$A,"&lt;"&amp;$J998+7))</f>
        <v/>
      </c>
      <c r="E998" t="str">
        <f t="shared" si="30"/>
        <v/>
      </c>
      <c r="F998" t="str">
        <f t="shared" si="31"/>
        <v/>
      </c>
      <c r="G998" t="str">
        <f>IF($J998="","",SUMIFS('Hours Log'!$E:$E,'Hours Log'!$A:$A,"&gt;="&amp;$J998,'Hours Log'!$A:$A,"&lt;"&amp;$J998+7))</f>
        <v/>
      </c>
      <c r="J998" t="str">
        <f>IF(COUNT('Hours Log'!$A$4:$A$5000)=0,"",IF(MIN('Hours Log'!$A$4:$A$5000)+7*(ROW()-10)&gt;MAX('Hours Log'!$A$4:$A$5000),"",MIN('Hours Log'!$A$4:$A$5000)+7*(ROW()-10)))</f>
        <v/>
      </c>
    </row>
    <row r="999" spans="1:10" x14ac:dyDescent="0.25">
      <c r="A999" t="str">
        <f>IF($J999="","",YEAR($J999-WEEKDAY($J999,2)+4)&amp;"-W"&amp;TEXT(_xludf.ISOWEEKNUM($J999),"00"))</f>
        <v/>
      </c>
      <c r="B999"/>
      <c r="C999" t="str">
        <f>IF($J999="","",SUMIFS('Hours Log'!$C:$C,'Hours Log'!$A:$A,"&gt;="&amp;$J999,'Hours Log'!$A:$A,"&lt;"&amp;$J999+7)+SUMIFS('Hours Log'!$D:$D,'Hours Log'!$A:$A,"&gt;="&amp;$J999,'Hours Log'!$A:$A,"&lt;"&amp;$J999+7))</f>
        <v/>
      </c>
      <c r="D999" t="str">
        <f>IF($J999="","",SUMIFS('Hours Log'!$D:$D,'Hours Log'!$A:$A,"&gt;="&amp;$J999,'Hours Log'!$A:$A,"&lt;"&amp;$J999+7))</f>
        <v/>
      </c>
      <c r="E999" t="str">
        <f t="shared" si="30"/>
        <v/>
      </c>
      <c r="F999" t="str">
        <f t="shared" si="31"/>
        <v/>
      </c>
      <c r="G999" t="str">
        <f>IF($J999="","",SUMIFS('Hours Log'!$E:$E,'Hours Log'!$A:$A,"&gt;="&amp;$J999,'Hours Log'!$A:$A,"&lt;"&amp;$J999+7))</f>
        <v/>
      </c>
      <c r="J999" t="str">
        <f>IF(COUNT('Hours Log'!$A$4:$A$5000)=0,"",IF(MIN('Hours Log'!$A$4:$A$5000)+7*(ROW()-10)&gt;MAX('Hours Log'!$A$4:$A$5000),"",MIN('Hours Log'!$A$4:$A$5000)+7*(ROW()-10)))</f>
        <v/>
      </c>
    </row>
    <row r="1000" spans="1:10" x14ac:dyDescent="0.25">
      <c r="A1000" t="str">
        <f>IF($J1000="","",YEAR($J1000-WEEKDAY($J1000,2)+4)&amp;"-W"&amp;TEXT(_xludf.ISOWEEKNUM($J1000),"00"))</f>
        <v/>
      </c>
      <c r="B1000"/>
      <c r="C1000" t="str">
        <f>IF($J1000="","",SUMIFS('Hours Log'!$C:$C,'Hours Log'!$A:$A,"&gt;="&amp;$J1000,'Hours Log'!$A:$A,"&lt;"&amp;$J1000+7)+SUMIFS('Hours Log'!$D:$D,'Hours Log'!$A:$A,"&gt;="&amp;$J1000,'Hours Log'!$A:$A,"&lt;"&amp;$J1000+7))</f>
        <v/>
      </c>
      <c r="D1000" t="str">
        <f>IF($J1000="","",SUMIFS('Hours Log'!$D:$D,'Hours Log'!$A:$A,"&gt;="&amp;$J1000,'Hours Log'!$A:$A,"&lt;"&amp;$J1000+7))</f>
        <v/>
      </c>
      <c r="E1000" t="str">
        <f t="shared" si="30"/>
        <v/>
      </c>
      <c r="F1000" t="str">
        <f t="shared" si="31"/>
        <v/>
      </c>
      <c r="G1000" t="str">
        <f>IF($J1000="","",SUMIFS('Hours Log'!$E:$E,'Hours Log'!$A:$A,"&gt;="&amp;$J1000,'Hours Log'!$A:$A,"&lt;"&amp;$J1000+7))</f>
        <v/>
      </c>
      <c r="J1000" t="str">
        <f>IF(COUNT('Hours Log'!$A$4:$A$5000)=0,"",IF(MIN('Hours Log'!$A$4:$A$5000)+7*(ROW()-10)&gt;MAX('Hours Log'!$A$4:$A$5000),"",MIN('Hours Log'!$A$4:$A$5000)+7*(ROW()-10)))</f>
        <v/>
      </c>
    </row>
    <row r="1001" spans="1:10" x14ac:dyDescent="0.25">
      <c r="A1001" t="str">
        <f>IF($J1001="","",YEAR($J1001-WEEKDAY($J1001,2)+4)&amp;"-W"&amp;TEXT(_xludf.ISOWEEKNUM($J1001),"00"))</f>
        <v/>
      </c>
      <c r="B1001"/>
      <c r="C1001" t="str">
        <f>IF($J1001="","",SUMIFS('Hours Log'!$C:$C,'Hours Log'!$A:$A,"&gt;="&amp;$J1001,'Hours Log'!$A:$A,"&lt;"&amp;$J1001+7)+SUMIFS('Hours Log'!$D:$D,'Hours Log'!$A:$A,"&gt;="&amp;$J1001,'Hours Log'!$A:$A,"&lt;"&amp;$J1001+7))</f>
        <v/>
      </c>
      <c r="D1001" t="str">
        <f>IF($J1001="","",SUMIFS('Hours Log'!$D:$D,'Hours Log'!$A:$A,"&gt;="&amp;$J1001,'Hours Log'!$A:$A,"&lt;"&amp;$J1001+7))</f>
        <v/>
      </c>
      <c r="E1001" t="str">
        <f t="shared" si="30"/>
        <v/>
      </c>
      <c r="F1001" t="str">
        <f t="shared" si="31"/>
        <v/>
      </c>
      <c r="G1001" t="str">
        <f>IF($J1001="","",SUMIFS('Hours Log'!$E:$E,'Hours Log'!$A:$A,"&gt;="&amp;$J1001,'Hours Log'!$A:$A,"&lt;"&amp;$J1001+7))</f>
        <v/>
      </c>
      <c r="J1001" t="str">
        <f>IF(COUNT('Hours Log'!$A$4:$A$5000)=0,"",IF(MIN('Hours Log'!$A$4:$A$5000)+7*(ROW()-10)&gt;MAX('Hours Log'!$A$4:$A$5000),"",MIN('Hours Log'!$A$4:$A$5000)+7*(ROW()-10)))</f>
        <v/>
      </c>
    </row>
    <row r="1002" spans="1:10" x14ac:dyDescent="0.25">
      <c r="A1002" t="str">
        <f>IF($J1002="","",YEAR($J1002-WEEKDAY($J1002,2)+4)&amp;"-W"&amp;TEXT(_xludf.ISOWEEKNUM($J1002),"00"))</f>
        <v/>
      </c>
      <c r="B1002"/>
      <c r="C1002" t="str">
        <f>IF($J1002="","",SUMIFS('Hours Log'!$C:$C,'Hours Log'!$A:$A,"&gt;="&amp;$J1002,'Hours Log'!$A:$A,"&lt;"&amp;$J1002+7)+SUMIFS('Hours Log'!$D:$D,'Hours Log'!$A:$A,"&gt;="&amp;$J1002,'Hours Log'!$A:$A,"&lt;"&amp;$J1002+7))</f>
        <v/>
      </c>
      <c r="D1002" t="str">
        <f>IF($J1002="","",SUMIFS('Hours Log'!$D:$D,'Hours Log'!$A:$A,"&gt;="&amp;$J1002,'Hours Log'!$A:$A,"&lt;"&amp;$J1002+7))</f>
        <v/>
      </c>
      <c r="E1002" t="str">
        <f t="shared" si="30"/>
        <v/>
      </c>
      <c r="F1002" t="str">
        <f t="shared" si="31"/>
        <v/>
      </c>
      <c r="G1002" t="str">
        <f>IF($J1002="","",SUMIFS('Hours Log'!$E:$E,'Hours Log'!$A:$A,"&gt;="&amp;$J1002,'Hours Log'!$A:$A,"&lt;"&amp;$J1002+7))</f>
        <v/>
      </c>
      <c r="J1002" t="str">
        <f>IF(COUNT('Hours Log'!$A$4:$A$5000)=0,"",IF(MIN('Hours Log'!$A$4:$A$5000)+7*(ROW()-10)&gt;MAX('Hours Log'!$A$4:$A$5000),"",MIN('Hours Log'!$A$4:$A$5000)+7*(ROW()-10)))</f>
        <v/>
      </c>
    </row>
    <row r="1003" spans="1:10" x14ac:dyDescent="0.25">
      <c r="A1003" t="str">
        <f>IF($J1003="","",YEAR($J1003-WEEKDAY($J1003,2)+4)&amp;"-W"&amp;TEXT(_xludf.ISOWEEKNUM($J1003),"00"))</f>
        <v/>
      </c>
      <c r="B1003"/>
      <c r="C1003" t="str">
        <f>IF($J1003="","",SUMIFS('Hours Log'!$C:$C,'Hours Log'!$A:$A,"&gt;="&amp;$J1003,'Hours Log'!$A:$A,"&lt;"&amp;$J1003+7)+SUMIFS('Hours Log'!$D:$D,'Hours Log'!$A:$A,"&gt;="&amp;$J1003,'Hours Log'!$A:$A,"&lt;"&amp;$J1003+7))</f>
        <v/>
      </c>
      <c r="D1003" t="str">
        <f>IF($J1003="","",SUMIFS('Hours Log'!$D:$D,'Hours Log'!$A:$A,"&gt;="&amp;$J1003,'Hours Log'!$A:$A,"&lt;"&amp;$J1003+7))</f>
        <v/>
      </c>
      <c r="E1003" t="str">
        <f t="shared" si="30"/>
        <v/>
      </c>
      <c r="F1003" t="str">
        <f t="shared" si="31"/>
        <v/>
      </c>
      <c r="G1003" t="str">
        <f>IF($J1003="","",SUMIFS('Hours Log'!$E:$E,'Hours Log'!$A:$A,"&gt;="&amp;$J1003,'Hours Log'!$A:$A,"&lt;"&amp;$J1003+7))</f>
        <v/>
      </c>
      <c r="J1003" t="str">
        <f>IF(COUNT('Hours Log'!$A$4:$A$5000)=0,"",IF(MIN('Hours Log'!$A$4:$A$5000)+7*(ROW()-10)&gt;MAX('Hours Log'!$A$4:$A$5000),"",MIN('Hours Log'!$A$4:$A$5000)+7*(ROW()-10)))</f>
        <v/>
      </c>
    </row>
    <row r="1004" spans="1:10" x14ac:dyDescent="0.25">
      <c r="A1004" t="str">
        <f>IF($J1004="","",YEAR($J1004-WEEKDAY($J1004,2)+4)&amp;"-W"&amp;TEXT(_xludf.ISOWEEKNUM($J1004),"00"))</f>
        <v/>
      </c>
      <c r="B1004"/>
      <c r="C1004" t="str">
        <f>IF($J1004="","",SUMIFS('Hours Log'!$C:$C,'Hours Log'!$A:$A,"&gt;="&amp;$J1004,'Hours Log'!$A:$A,"&lt;"&amp;$J1004+7)+SUMIFS('Hours Log'!$D:$D,'Hours Log'!$A:$A,"&gt;="&amp;$J1004,'Hours Log'!$A:$A,"&lt;"&amp;$J1004+7))</f>
        <v/>
      </c>
      <c r="D1004" t="str">
        <f>IF($J1004="","",SUMIFS('Hours Log'!$D:$D,'Hours Log'!$A:$A,"&gt;="&amp;$J1004,'Hours Log'!$A:$A,"&lt;"&amp;$J1004+7))</f>
        <v/>
      </c>
      <c r="E1004" t="str">
        <f t="shared" si="30"/>
        <v/>
      </c>
      <c r="F1004" t="str">
        <f t="shared" si="31"/>
        <v/>
      </c>
      <c r="G1004" t="str">
        <f>IF($J1004="","",SUMIFS('Hours Log'!$E:$E,'Hours Log'!$A:$A,"&gt;="&amp;$J1004,'Hours Log'!$A:$A,"&lt;"&amp;$J1004+7))</f>
        <v/>
      </c>
      <c r="J1004" t="str">
        <f>IF(COUNT('Hours Log'!$A$4:$A$5000)=0,"",IF(MIN('Hours Log'!$A$4:$A$5000)+7*(ROW()-10)&gt;MAX('Hours Log'!$A$4:$A$5000),"",MIN('Hours Log'!$A$4:$A$5000)+7*(ROW()-10)))</f>
        <v/>
      </c>
    </row>
    <row r="1005" spans="1:10" x14ac:dyDescent="0.25">
      <c r="A1005" t="str">
        <f>IF($J1005="","",YEAR($J1005-WEEKDAY($J1005,2)+4)&amp;"-W"&amp;TEXT(_xludf.ISOWEEKNUM($J1005),"00"))</f>
        <v/>
      </c>
      <c r="B1005"/>
      <c r="C1005" t="str">
        <f>IF($J1005="","",SUMIFS('Hours Log'!$C:$C,'Hours Log'!$A:$A,"&gt;="&amp;$J1005,'Hours Log'!$A:$A,"&lt;"&amp;$J1005+7)+SUMIFS('Hours Log'!$D:$D,'Hours Log'!$A:$A,"&gt;="&amp;$J1005,'Hours Log'!$A:$A,"&lt;"&amp;$J1005+7))</f>
        <v/>
      </c>
      <c r="D1005" t="str">
        <f>IF($J1005="","",SUMIFS('Hours Log'!$D:$D,'Hours Log'!$A:$A,"&gt;="&amp;$J1005,'Hours Log'!$A:$A,"&lt;"&amp;$J1005+7))</f>
        <v/>
      </c>
      <c r="E1005" t="str">
        <f t="shared" si="30"/>
        <v/>
      </c>
      <c r="F1005" t="str">
        <f t="shared" si="31"/>
        <v/>
      </c>
      <c r="G1005" t="str">
        <f>IF($J1005="","",SUMIFS('Hours Log'!$E:$E,'Hours Log'!$A:$A,"&gt;="&amp;$J1005,'Hours Log'!$A:$A,"&lt;"&amp;$J1005+7))</f>
        <v/>
      </c>
      <c r="J1005" t="str">
        <f>IF(COUNT('Hours Log'!$A$4:$A$5000)=0,"",IF(MIN('Hours Log'!$A$4:$A$5000)+7*(ROW()-10)&gt;MAX('Hours Log'!$A$4:$A$5000),"",MIN('Hours Log'!$A$4:$A$5000)+7*(ROW()-10)))</f>
        <v/>
      </c>
    </row>
    <row r="1006" spans="1:10" x14ac:dyDescent="0.25">
      <c r="A1006" t="str">
        <f>IF($J1006="","",YEAR($J1006-WEEKDAY($J1006,2)+4)&amp;"-W"&amp;TEXT(_xludf.ISOWEEKNUM($J1006),"00"))</f>
        <v/>
      </c>
      <c r="B1006"/>
      <c r="C1006" t="str">
        <f>IF($J1006="","",SUMIFS('Hours Log'!$C:$C,'Hours Log'!$A:$A,"&gt;="&amp;$J1006,'Hours Log'!$A:$A,"&lt;"&amp;$J1006+7)+SUMIFS('Hours Log'!$D:$D,'Hours Log'!$A:$A,"&gt;="&amp;$J1006,'Hours Log'!$A:$A,"&lt;"&amp;$J1006+7))</f>
        <v/>
      </c>
      <c r="D1006" t="str">
        <f>IF($J1006="","",SUMIFS('Hours Log'!$D:$D,'Hours Log'!$A:$A,"&gt;="&amp;$J1006,'Hours Log'!$A:$A,"&lt;"&amp;$J1006+7))</f>
        <v/>
      </c>
      <c r="E1006" t="str">
        <f t="shared" si="30"/>
        <v/>
      </c>
      <c r="F1006" t="str">
        <f t="shared" si="31"/>
        <v/>
      </c>
      <c r="G1006" t="str">
        <f>IF($J1006="","",SUMIFS('Hours Log'!$E:$E,'Hours Log'!$A:$A,"&gt;="&amp;$J1006,'Hours Log'!$A:$A,"&lt;"&amp;$J1006+7))</f>
        <v/>
      </c>
      <c r="J1006" t="str">
        <f>IF(COUNT('Hours Log'!$A$4:$A$5000)=0,"",IF(MIN('Hours Log'!$A$4:$A$5000)+7*(ROW()-10)&gt;MAX('Hours Log'!$A$4:$A$5000),"",MIN('Hours Log'!$A$4:$A$5000)+7*(ROW()-10)))</f>
        <v/>
      </c>
    </row>
    <row r="1007" spans="1:10" x14ac:dyDescent="0.25">
      <c r="A1007" t="str">
        <f>IF($J1007="","",YEAR($J1007-WEEKDAY($J1007,2)+4)&amp;"-W"&amp;TEXT(_xludf.ISOWEEKNUM($J1007),"00"))</f>
        <v/>
      </c>
      <c r="B1007"/>
      <c r="C1007" t="str">
        <f>IF($J1007="","",SUMIFS('Hours Log'!$C:$C,'Hours Log'!$A:$A,"&gt;="&amp;$J1007,'Hours Log'!$A:$A,"&lt;"&amp;$J1007+7)+SUMIFS('Hours Log'!$D:$D,'Hours Log'!$A:$A,"&gt;="&amp;$J1007,'Hours Log'!$A:$A,"&lt;"&amp;$J1007+7))</f>
        <v/>
      </c>
      <c r="D1007" t="str">
        <f>IF($J1007="","",SUMIFS('Hours Log'!$D:$D,'Hours Log'!$A:$A,"&gt;="&amp;$J1007,'Hours Log'!$A:$A,"&lt;"&amp;$J1007+7))</f>
        <v/>
      </c>
      <c r="E1007" t="str">
        <f t="shared" si="30"/>
        <v/>
      </c>
      <c r="F1007" t="str">
        <f t="shared" si="31"/>
        <v/>
      </c>
      <c r="G1007" t="str">
        <f>IF($J1007="","",SUMIFS('Hours Log'!$E:$E,'Hours Log'!$A:$A,"&gt;="&amp;$J1007,'Hours Log'!$A:$A,"&lt;"&amp;$J1007+7))</f>
        <v/>
      </c>
      <c r="J1007" t="str">
        <f>IF(COUNT('Hours Log'!$A$4:$A$5000)=0,"",IF(MIN('Hours Log'!$A$4:$A$5000)+7*(ROW()-10)&gt;MAX('Hours Log'!$A$4:$A$5000),"",MIN('Hours Log'!$A$4:$A$5000)+7*(ROW()-10)))</f>
        <v/>
      </c>
    </row>
    <row r="1008" spans="1:10" x14ac:dyDescent="0.25">
      <c r="A1008" t="str">
        <f>IF($J1008="","",YEAR($J1008-WEEKDAY($J1008,2)+4)&amp;"-W"&amp;TEXT(_xludf.ISOWEEKNUM($J1008),"00"))</f>
        <v/>
      </c>
      <c r="B1008"/>
      <c r="C1008" t="str">
        <f>IF($J1008="","",SUMIFS('Hours Log'!$C:$C,'Hours Log'!$A:$A,"&gt;="&amp;$J1008,'Hours Log'!$A:$A,"&lt;"&amp;$J1008+7)+SUMIFS('Hours Log'!$D:$D,'Hours Log'!$A:$A,"&gt;="&amp;$J1008,'Hours Log'!$A:$A,"&lt;"&amp;$J1008+7))</f>
        <v/>
      </c>
      <c r="D1008" t="str">
        <f>IF($J1008="","",SUMIFS('Hours Log'!$D:$D,'Hours Log'!$A:$A,"&gt;="&amp;$J1008,'Hours Log'!$A:$A,"&lt;"&amp;$J1008+7))</f>
        <v/>
      </c>
      <c r="E1008" t="str">
        <f t="shared" si="30"/>
        <v/>
      </c>
      <c r="F1008" t="str">
        <f t="shared" si="31"/>
        <v/>
      </c>
      <c r="G1008" t="str">
        <f>IF($J1008="","",SUMIFS('Hours Log'!$E:$E,'Hours Log'!$A:$A,"&gt;="&amp;$J1008,'Hours Log'!$A:$A,"&lt;"&amp;$J1008+7))</f>
        <v/>
      </c>
      <c r="J1008" t="str">
        <f>IF(COUNT('Hours Log'!$A$4:$A$5000)=0,"",IF(MIN('Hours Log'!$A$4:$A$5000)+7*(ROW()-10)&gt;MAX('Hours Log'!$A$4:$A$5000),"",MIN('Hours Log'!$A$4:$A$5000)+7*(ROW()-10)))</f>
        <v/>
      </c>
    </row>
    <row r="1009" spans="1:10" x14ac:dyDescent="0.25">
      <c r="A1009" t="str">
        <f>IF($J1009="","",YEAR($J1009-WEEKDAY($J1009,2)+4)&amp;"-W"&amp;TEXT(_xludf.ISOWEEKNUM($J1009),"00"))</f>
        <v/>
      </c>
      <c r="B1009"/>
      <c r="C1009" t="str">
        <f>IF($J1009="","",SUMIFS('Hours Log'!$C:$C,'Hours Log'!$A:$A,"&gt;="&amp;$J1009,'Hours Log'!$A:$A,"&lt;"&amp;$J1009+7)+SUMIFS('Hours Log'!$D:$D,'Hours Log'!$A:$A,"&gt;="&amp;$J1009,'Hours Log'!$A:$A,"&lt;"&amp;$J1009+7))</f>
        <v/>
      </c>
      <c r="D1009" t="str">
        <f>IF($J1009="","",SUMIFS('Hours Log'!$D:$D,'Hours Log'!$A:$A,"&gt;="&amp;$J1009,'Hours Log'!$A:$A,"&lt;"&amp;$J1009+7))</f>
        <v/>
      </c>
      <c r="E1009" t="str">
        <f t="shared" si="30"/>
        <v/>
      </c>
      <c r="F1009" t="str">
        <f t="shared" si="31"/>
        <v/>
      </c>
      <c r="G1009" t="str">
        <f>IF($J1009="","",SUMIFS('Hours Log'!$E:$E,'Hours Log'!$A:$A,"&gt;="&amp;$J1009,'Hours Log'!$A:$A,"&lt;"&amp;$J1009+7))</f>
        <v/>
      </c>
      <c r="J1009" t="str">
        <f>IF(COUNT('Hours Log'!$A$4:$A$5000)=0,"",IF(MIN('Hours Log'!$A$4:$A$5000)+7*(ROW()-10)&gt;MAX('Hours Log'!$A$4:$A$5000),"",MIN('Hours Log'!$A$4:$A$5000)+7*(ROW()-10)))</f>
        <v/>
      </c>
    </row>
    <row r="1010" spans="1:10" x14ac:dyDescent="0.25">
      <c r="A1010" t="str">
        <f>IF($J1010="","",YEAR($J1010-WEEKDAY($J1010,2)+4)&amp;"-W"&amp;TEXT(_xludf.ISOWEEKNUM($J1010),"00"))</f>
        <v/>
      </c>
      <c r="B1010"/>
      <c r="C1010" t="str">
        <f>IF($J1010="","",SUMIFS('Hours Log'!$C:$C,'Hours Log'!$A:$A,"&gt;="&amp;$J1010,'Hours Log'!$A:$A,"&lt;"&amp;$J1010+7)+SUMIFS('Hours Log'!$D:$D,'Hours Log'!$A:$A,"&gt;="&amp;$J1010,'Hours Log'!$A:$A,"&lt;"&amp;$J1010+7))</f>
        <v/>
      </c>
      <c r="D1010" t="str">
        <f>IF($J1010="","",SUMIFS('Hours Log'!$D:$D,'Hours Log'!$A:$A,"&gt;="&amp;$J1010,'Hours Log'!$A:$A,"&lt;"&amp;$J1010+7))</f>
        <v/>
      </c>
      <c r="E1010" t="str">
        <f t="shared" si="30"/>
        <v/>
      </c>
      <c r="F1010" t="str">
        <f t="shared" si="31"/>
        <v/>
      </c>
      <c r="G1010" t="str">
        <f>IF($J1010="","",SUMIFS('Hours Log'!$E:$E,'Hours Log'!$A:$A,"&gt;="&amp;$J1010,'Hours Log'!$A:$A,"&lt;"&amp;$J1010+7))</f>
        <v/>
      </c>
      <c r="J1010" t="str">
        <f>IF(COUNT('Hours Log'!$A$4:$A$5000)=0,"",IF(MIN('Hours Log'!$A$4:$A$5000)+7*(ROW()-10)&gt;MAX('Hours Log'!$A$4:$A$5000),"",MIN('Hours Log'!$A$4:$A$5000)+7*(ROW()-10)))</f>
        <v/>
      </c>
    </row>
    <row r="1011" spans="1:10" x14ac:dyDescent="0.25">
      <c r="A1011" t="str">
        <f>IF($J1011="","",YEAR($J1011-WEEKDAY($J1011,2)+4)&amp;"-W"&amp;TEXT(_xludf.ISOWEEKNUM($J1011),"00"))</f>
        <v/>
      </c>
      <c r="B1011"/>
      <c r="C1011" t="str">
        <f>IF($J1011="","",SUMIFS('Hours Log'!$C:$C,'Hours Log'!$A:$A,"&gt;="&amp;$J1011,'Hours Log'!$A:$A,"&lt;"&amp;$J1011+7)+SUMIFS('Hours Log'!$D:$D,'Hours Log'!$A:$A,"&gt;="&amp;$J1011,'Hours Log'!$A:$A,"&lt;"&amp;$J1011+7))</f>
        <v/>
      </c>
      <c r="D1011" t="str">
        <f>IF($J1011="","",SUMIFS('Hours Log'!$D:$D,'Hours Log'!$A:$A,"&gt;="&amp;$J1011,'Hours Log'!$A:$A,"&lt;"&amp;$J1011+7))</f>
        <v/>
      </c>
      <c r="E1011" t="str">
        <f t="shared" si="30"/>
        <v/>
      </c>
      <c r="F1011" t="str">
        <f t="shared" si="31"/>
        <v/>
      </c>
      <c r="G1011" t="str">
        <f>IF($J1011="","",SUMIFS('Hours Log'!$E:$E,'Hours Log'!$A:$A,"&gt;="&amp;$J1011,'Hours Log'!$A:$A,"&lt;"&amp;$J1011+7))</f>
        <v/>
      </c>
      <c r="J1011" t="str">
        <f>IF(COUNT('Hours Log'!$A$4:$A$5000)=0,"",IF(MIN('Hours Log'!$A$4:$A$5000)+7*(ROW()-10)&gt;MAX('Hours Log'!$A$4:$A$5000),"",MIN('Hours Log'!$A$4:$A$5000)+7*(ROW()-10)))</f>
        <v/>
      </c>
    </row>
    <row r="1012" spans="1:10" x14ac:dyDescent="0.25">
      <c r="A1012" t="str">
        <f>IF($J1012="","",YEAR($J1012-WEEKDAY($J1012,2)+4)&amp;"-W"&amp;TEXT(_xludf.ISOWEEKNUM($J1012),"00"))</f>
        <v/>
      </c>
      <c r="B1012"/>
      <c r="C1012" t="str">
        <f>IF($J1012="","",SUMIFS('Hours Log'!$C:$C,'Hours Log'!$A:$A,"&gt;="&amp;$J1012,'Hours Log'!$A:$A,"&lt;"&amp;$J1012+7)+SUMIFS('Hours Log'!$D:$D,'Hours Log'!$A:$A,"&gt;="&amp;$J1012,'Hours Log'!$A:$A,"&lt;"&amp;$J1012+7))</f>
        <v/>
      </c>
      <c r="D1012" t="str">
        <f>IF($J1012="","",SUMIFS('Hours Log'!$D:$D,'Hours Log'!$A:$A,"&gt;="&amp;$J1012,'Hours Log'!$A:$A,"&lt;"&amp;$J1012+7))</f>
        <v/>
      </c>
      <c r="E1012" t="str">
        <f t="shared" si="30"/>
        <v/>
      </c>
      <c r="F1012" t="str">
        <f t="shared" si="31"/>
        <v/>
      </c>
      <c r="G1012" t="str">
        <f>IF($J1012="","",SUMIFS('Hours Log'!$E:$E,'Hours Log'!$A:$A,"&gt;="&amp;$J1012,'Hours Log'!$A:$A,"&lt;"&amp;$J1012+7))</f>
        <v/>
      </c>
      <c r="J1012" t="str">
        <f>IF(COUNT('Hours Log'!$A$4:$A$5000)=0,"",IF(MIN('Hours Log'!$A$4:$A$5000)+7*(ROW()-10)&gt;MAX('Hours Log'!$A$4:$A$5000),"",MIN('Hours Log'!$A$4:$A$5000)+7*(ROW()-10)))</f>
        <v/>
      </c>
    </row>
    <row r="1013" spans="1:10" x14ac:dyDescent="0.25">
      <c r="A1013" t="str">
        <f>IF($J1013="","",YEAR($J1013-WEEKDAY($J1013,2)+4)&amp;"-W"&amp;TEXT(_xludf.ISOWEEKNUM($J1013),"00"))</f>
        <v/>
      </c>
      <c r="B1013"/>
      <c r="C1013" t="str">
        <f>IF($J1013="","",SUMIFS('Hours Log'!$C:$C,'Hours Log'!$A:$A,"&gt;="&amp;$J1013,'Hours Log'!$A:$A,"&lt;"&amp;$J1013+7)+SUMIFS('Hours Log'!$D:$D,'Hours Log'!$A:$A,"&gt;="&amp;$J1013,'Hours Log'!$A:$A,"&lt;"&amp;$J1013+7))</f>
        <v/>
      </c>
      <c r="D1013" t="str">
        <f>IF($J1013="","",SUMIFS('Hours Log'!$D:$D,'Hours Log'!$A:$A,"&gt;="&amp;$J1013,'Hours Log'!$A:$A,"&lt;"&amp;$J1013+7))</f>
        <v/>
      </c>
      <c r="E1013" t="str">
        <f t="shared" si="30"/>
        <v/>
      </c>
      <c r="F1013" t="str">
        <f t="shared" si="31"/>
        <v/>
      </c>
      <c r="G1013" t="str">
        <f>IF($J1013="","",SUMIFS('Hours Log'!$E:$E,'Hours Log'!$A:$A,"&gt;="&amp;$J1013,'Hours Log'!$A:$A,"&lt;"&amp;$J1013+7))</f>
        <v/>
      </c>
      <c r="J1013" t="str">
        <f>IF(COUNT('Hours Log'!$A$4:$A$5000)=0,"",IF(MIN('Hours Log'!$A$4:$A$5000)+7*(ROW()-10)&gt;MAX('Hours Log'!$A$4:$A$5000),"",MIN('Hours Log'!$A$4:$A$5000)+7*(ROW()-10)))</f>
        <v/>
      </c>
    </row>
    <row r="1014" spans="1:10" x14ac:dyDescent="0.25">
      <c r="A1014" t="str">
        <f>IF($J1014="","",YEAR($J1014-WEEKDAY($J1014,2)+4)&amp;"-W"&amp;TEXT(_xludf.ISOWEEKNUM($J1014),"00"))</f>
        <v/>
      </c>
      <c r="B1014"/>
      <c r="C1014" t="str">
        <f>IF($J1014="","",SUMIFS('Hours Log'!$C:$C,'Hours Log'!$A:$A,"&gt;="&amp;$J1014,'Hours Log'!$A:$A,"&lt;"&amp;$J1014+7)+SUMIFS('Hours Log'!$D:$D,'Hours Log'!$A:$A,"&gt;="&amp;$J1014,'Hours Log'!$A:$A,"&lt;"&amp;$J1014+7))</f>
        <v/>
      </c>
      <c r="D1014" t="str">
        <f>IF($J1014="","",SUMIFS('Hours Log'!$D:$D,'Hours Log'!$A:$A,"&gt;="&amp;$J1014,'Hours Log'!$A:$A,"&lt;"&amp;$J1014+7))</f>
        <v/>
      </c>
      <c r="E1014" t="str">
        <f t="shared" si="30"/>
        <v/>
      </c>
      <c r="F1014" t="str">
        <f t="shared" si="31"/>
        <v/>
      </c>
      <c r="G1014" t="str">
        <f>IF($J1014="","",SUMIFS('Hours Log'!$E:$E,'Hours Log'!$A:$A,"&gt;="&amp;$J1014,'Hours Log'!$A:$A,"&lt;"&amp;$J1014+7))</f>
        <v/>
      </c>
      <c r="J1014" t="str">
        <f>IF(COUNT('Hours Log'!$A$4:$A$5000)=0,"",IF(MIN('Hours Log'!$A$4:$A$5000)+7*(ROW()-10)&gt;MAX('Hours Log'!$A$4:$A$5000),"",MIN('Hours Log'!$A$4:$A$5000)+7*(ROW()-10)))</f>
        <v/>
      </c>
    </row>
    <row r="1015" spans="1:10" x14ac:dyDescent="0.25">
      <c r="A1015" t="str">
        <f>IF($J1015="","",YEAR($J1015-WEEKDAY($J1015,2)+4)&amp;"-W"&amp;TEXT(_xludf.ISOWEEKNUM($J1015),"00"))</f>
        <v/>
      </c>
      <c r="B1015"/>
      <c r="C1015" t="str">
        <f>IF($J1015="","",SUMIFS('Hours Log'!$C:$C,'Hours Log'!$A:$A,"&gt;="&amp;$J1015,'Hours Log'!$A:$A,"&lt;"&amp;$J1015+7)+SUMIFS('Hours Log'!$D:$D,'Hours Log'!$A:$A,"&gt;="&amp;$J1015,'Hours Log'!$A:$A,"&lt;"&amp;$J1015+7))</f>
        <v/>
      </c>
      <c r="D1015" t="str">
        <f>IF($J1015="","",SUMIFS('Hours Log'!$D:$D,'Hours Log'!$A:$A,"&gt;="&amp;$J1015,'Hours Log'!$A:$A,"&lt;"&amp;$J1015+7))</f>
        <v/>
      </c>
      <c r="E1015" t="str">
        <f t="shared" si="30"/>
        <v/>
      </c>
      <c r="F1015" t="str">
        <f t="shared" si="31"/>
        <v/>
      </c>
      <c r="G1015" t="str">
        <f>IF($J1015="","",SUMIFS('Hours Log'!$E:$E,'Hours Log'!$A:$A,"&gt;="&amp;$J1015,'Hours Log'!$A:$A,"&lt;"&amp;$J1015+7))</f>
        <v/>
      </c>
      <c r="J1015" t="str">
        <f>IF(COUNT('Hours Log'!$A$4:$A$5000)=0,"",IF(MIN('Hours Log'!$A$4:$A$5000)+7*(ROW()-10)&gt;MAX('Hours Log'!$A$4:$A$5000),"",MIN('Hours Log'!$A$4:$A$5000)+7*(ROW()-10)))</f>
        <v/>
      </c>
    </row>
    <row r="1016" spans="1:10" x14ac:dyDescent="0.25">
      <c r="A1016" t="str">
        <f>IF($J1016="","",YEAR($J1016-WEEKDAY($J1016,2)+4)&amp;"-W"&amp;TEXT(_xludf.ISOWEEKNUM($J1016),"00"))</f>
        <v/>
      </c>
      <c r="B1016"/>
      <c r="C1016" t="str">
        <f>IF($J1016="","",SUMIFS('Hours Log'!$C:$C,'Hours Log'!$A:$A,"&gt;="&amp;$J1016,'Hours Log'!$A:$A,"&lt;"&amp;$J1016+7)+SUMIFS('Hours Log'!$D:$D,'Hours Log'!$A:$A,"&gt;="&amp;$J1016,'Hours Log'!$A:$A,"&lt;"&amp;$J1016+7))</f>
        <v/>
      </c>
      <c r="D1016" t="str">
        <f>IF($J1016="","",SUMIFS('Hours Log'!$D:$D,'Hours Log'!$A:$A,"&gt;="&amp;$J1016,'Hours Log'!$A:$A,"&lt;"&amp;$J1016+7))</f>
        <v/>
      </c>
      <c r="E1016" t="str">
        <f t="shared" si="30"/>
        <v/>
      </c>
      <c r="F1016" t="str">
        <f t="shared" si="31"/>
        <v/>
      </c>
      <c r="G1016" t="str">
        <f>IF($J1016="","",SUMIFS('Hours Log'!$E:$E,'Hours Log'!$A:$A,"&gt;="&amp;$J1016,'Hours Log'!$A:$A,"&lt;"&amp;$J1016+7))</f>
        <v/>
      </c>
      <c r="J1016" t="str">
        <f>IF(COUNT('Hours Log'!$A$4:$A$5000)=0,"",IF(MIN('Hours Log'!$A$4:$A$5000)+7*(ROW()-10)&gt;MAX('Hours Log'!$A$4:$A$5000),"",MIN('Hours Log'!$A$4:$A$5000)+7*(ROW()-10)))</f>
        <v/>
      </c>
    </row>
    <row r="1017" spans="1:10" x14ac:dyDescent="0.25">
      <c r="A1017" t="str">
        <f>IF($J1017="","",YEAR($J1017-WEEKDAY($J1017,2)+4)&amp;"-W"&amp;TEXT(_xludf.ISOWEEKNUM($J1017),"00"))</f>
        <v/>
      </c>
      <c r="B1017"/>
      <c r="C1017" t="str">
        <f>IF($J1017="","",SUMIFS('Hours Log'!$C:$C,'Hours Log'!$A:$A,"&gt;="&amp;$J1017,'Hours Log'!$A:$A,"&lt;"&amp;$J1017+7)+SUMIFS('Hours Log'!$D:$D,'Hours Log'!$A:$A,"&gt;="&amp;$J1017,'Hours Log'!$A:$A,"&lt;"&amp;$J1017+7))</f>
        <v/>
      </c>
      <c r="D1017" t="str">
        <f>IF($J1017="","",SUMIFS('Hours Log'!$D:$D,'Hours Log'!$A:$A,"&gt;="&amp;$J1017,'Hours Log'!$A:$A,"&lt;"&amp;$J1017+7))</f>
        <v/>
      </c>
      <c r="E1017" t="str">
        <f t="shared" si="30"/>
        <v/>
      </c>
      <c r="F1017" t="str">
        <f t="shared" si="31"/>
        <v/>
      </c>
      <c r="G1017" t="str">
        <f>IF($J1017="","",SUMIFS('Hours Log'!$E:$E,'Hours Log'!$A:$A,"&gt;="&amp;$J1017,'Hours Log'!$A:$A,"&lt;"&amp;$J1017+7))</f>
        <v/>
      </c>
      <c r="J1017" t="str">
        <f>IF(COUNT('Hours Log'!$A$4:$A$5000)=0,"",IF(MIN('Hours Log'!$A$4:$A$5000)+7*(ROW()-10)&gt;MAX('Hours Log'!$A$4:$A$5000),"",MIN('Hours Log'!$A$4:$A$5000)+7*(ROW()-10)))</f>
        <v/>
      </c>
    </row>
    <row r="1018" spans="1:10" x14ac:dyDescent="0.25">
      <c r="A1018" t="str">
        <f>IF($J1018="","",YEAR($J1018-WEEKDAY($J1018,2)+4)&amp;"-W"&amp;TEXT(_xludf.ISOWEEKNUM($J1018),"00"))</f>
        <v/>
      </c>
      <c r="B1018"/>
      <c r="C1018" t="str">
        <f>IF($J1018="","",SUMIFS('Hours Log'!$C:$C,'Hours Log'!$A:$A,"&gt;="&amp;$J1018,'Hours Log'!$A:$A,"&lt;"&amp;$J1018+7)+SUMIFS('Hours Log'!$D:$D,'Hours Log'!$A:$A,"&gt;="&amp;$J1018,'Hours Log'!$A:$A,"&lt;"&amp;$J1018+7))</f>
        <v/>
      </c>
      <c r="D1018" t="str">
        <f>IF($J1018="","",SUMIFS('Hours Log'!$D:$D,'Hours Log'!$A:$A,"&gt;="&amp;$J1018,'Hours Log'!$A:$A,"&lt;"&amp;$J1018+7))</f>
        <v/>
      </c>
      <c r="E1018" t="str">
        <f t="shared" si="30"/>
        <v/>
      </c>
      <c r="F1018" t="str">
        <f t="shared" si="31"/>
        <v/>
      </c>
      <c r="G1018" t="str">
        <f>IF($J1018="","",SUMIFS('Hours Log'!$E:$E,'Hours Log'!$A:$A,"&gt;="&amp;$J1018,'Hours Log'!$A:$A,"&lt;"&amp;$J1018+7))</f>
        <v/>
      </c>
      <c r="J1018" t="str">
        <f>IF(COUNT('Hours Log'!$A$4:$A$5000)=0,"",IF(MIN('Hours Log'!$A$4:$A$5000)+7*(ROW()-10)&gt;MAX('Hours Log'!$A$4:$A$5000),"",MIN('Hours Log'!$A$4:$A$5000)+7*(ROW()-10)))</f>
        <v/>
      </c>
    </row>
    <row r="1019" spans="1:10" x14ac:dyDescent="0.25">
      <c r="A1019" t="str">
        <f>IF($J1019="","",YEAR($J1019-WEEKDAY($J1019,2)+4)&amp;"-W"&amp;TEXT(_xludf.ISOWEEKNUM($J1019),"00"))</f>
        <v/>
      </c>
      <c r="B1019"/>
      <c r="C1019" t="str">
        <f>IF($J1019="","",SUMIFS('Hours Log'!$C:$C,'Hours Log'!$A:$A,"&gt;="&amp;$J1019,'Hours Log'!$A:$A,"&lt;"&amp;$J1019+7)+SUMIFS('Hours Log'!$D:$D,'Hours Log'!$A:$A,"&gt;="&amp;$J1019,'Hours Log'!$A:$A,"&lt;"&amp;$J1019+7))</f>
        <v/>
      </c>
      <c r="D1019" t="str">
        <f>IF($J1019="","",SUMIFS('Hours Log'!$D:$D,'Hours Log'!$A:$A,"&gt;="&amp;$J1019,'Hours Log'!$A:$A,"&lt;"&amp;$J1019+7))</f>
        <v/>
      </c>
      <c r="E1019" t="str">
        <f t="shared" si="30"/>
        <v/>
      </c>
      <c r="F1019" t="str">
        <f t="shared" si="31"/>
        <v/>
      </c>
      <c r="G1019" t="str">
        <f>IF($J1019="","",SUMIFS('Hours Log'!$E:$E,'Hours Log'!$A:$A,"&gt;="&amp;$J1019,'Hours Log'!$A:$A,"&lt;"&amp;$J1019+7))</f>
        <v/>
      </c>
      <c r="J1019" t="str">
        <f>IF(COUNT('Hours Log'!$A$4:$A$5000)=0,"",IF(MIN('Hours Log'!$A$4:$A$5000)+7*(ROW()-10)&gt;MAX('Hours Log'!$A$4:$A$5000),"",MIN('Hours Log'!$A$4:$A$5000)+7*(ROW()-10)))</f>
        <v/>
      </c>
    </row>
    <row r="1020" spans="1:10" x14ac:dyDescent="0.25">
      <c r="A1020" t="str">
        <f>IF($J1020="","",YEAR($J1020-WEEKDAY($J1020,2)+4)&amp;"-W"&amp;TEXT(_xludf.ISOWEEKNUM($J1020),"00"))</f>
        <v/>
      </c>
      <c r="B1020"/>
      <c r="C1020" t="str">
        <f>IF($J1020="","",SUMIFS('Hours Log'!$C:$C,'Hours Log'!$A:$A,"&gt;="&amp;$J1020,'Hours Log'!$A:$A,"&lt;"&amp;$J1020+7)+SUMIFS('Hours Log'!$D:$D,'Hours Log'!$A:$A,"&gt;="&amp;$J1020,'Hours Log'!$A:$A,"&lt;"&amp;$J1020+7))</f>
        <v/>
      </c>
      <c r="D1020" t="str">
        <f>IF($J1020="","",SUMIFS('Hours Log'!$D:$D,'Hours Log'!$A:$A,"&gt;="&amp;$J1020,'Hours Log'!$A:$A,"&lt;"&amp;$J1020+7))</f>
        <v/>
      </c>
      <c r="E1020" t="str">
        <f t="shared" si="30"/>
        <v/>
      </c>
      <c r="F1020" t="str">
        <f t="shared" si="31"/>
        <v/>
      </c>
      <c r="G1020" t="str">
        <f>IF($J1020="","",SUMIFS('Hours Log'!$E:$E,'Hours Log'!$A:$A,"&gt;="&amp;$J1020,'Hours Log'!$A:$A,"&lt;"&amp;$J1020+7))</f>
        <v/>
      </c>
      <c r="J1020" t="str">
        <f>IF(COUNT('Hours Log'!$A$4:$A$5000)=0,"",IF(MIN('Hours Log'!$A$4:$A$5000)+7*(ROW()-10)&gt;MAX('Hours Log'!$A$4:$A$5000),"",MIN('Hours Log'!$A$4:$A$5000)+7*(ROW()-10)))</f>
        <v/>
      </c>
    </row>
    <row r="1021" spans="1:10" x14ac:dyDescent="0.25">
      <c r="A1021" t="str">
        <f>IF($J1021="","",YEAR($J1021-WEEKDAY($J1021,2)+4)&amp;"-W"&amp;TEXT(_xludf.ISOWEEKNUM($J1021),"00"))</f>
        <v/>
      </c>
      <c r="B1021"/>
      <c r="C1021" t="str">
        <f>IF($J1021="","",SUMIFS('Hours Log'!$C:$C,'Hours Log'!$A:$A,"&gt;="&amp;$J1021,'Hours Log'!$A:$A,"&lt;"&amp;$J1021+7)+SUMIFS('Hours Log'!$D:$D,'Hours Log'!$A:$A,"&gt;="&amp;$J1021,'Hours Log'!$A:$A,"&lt;"&amp;$J1021+7))</f>
        <v/>
      </c>
      <c r="D1021" t="str">
        <f>IF($J1021="","",SUMIFS('Hours Log'!$D:$D,'Hours Log'!$A:$A,"&gt;="&amp;$J1021,'Hours Log'!$A:$A,"&lt;"&amp;$J1021+7))</f>
        <v/>
      </c>
      <c r="E1021" t="str">
        <f t="shared" si="30"/>
        <v/>
      </c>
      <c r="F1021" t="str">
        <f t="shared" si="31"/>
        <v/>
      </c>
      <c r="G1021" t="str">
        <f>IF($J1021="","",SUMIFS('Hours Log'!$E:$E,'Hours Log'!$A:$A,"&gt;="&amp;$J1021,'Hours Log'!$A:$A,"&lt;"&amp;$J1021+7))</f>
        <v/>
      </c>
      <c r="J1021" t="str">
        <f>IF(COUNT('Hours Log'!$A$4:$A$5000)=0,"",IF(MIN('Hours Log'!$A$4:$A$5000)+7*(ROW()-10)&gt;MAX('Hours Log'!$A$4:$A$5000),"",MIN('Hours Log'!$A$4:$A$5000)+7*(ROW()-10)))</f>
        <v/>
      </c>
    </row>
    <row r="1022" spans="1:10" x14ac:dyDescent="0.25">
      <c r="A1022" t="str">
        <f>IF($J1022="","",YEAR($J1022-WEEKDAY($J1022,2)+4)&amp;"-W"&amp;TEXT(_xludf.ISOWEEKNUM($J1022),"00"))</f>
        <v/>
      </c>
      <c r="B1022"/>
      <c r="C1022" t="str">
        <f>IF($J1022="","",SUMIFS('Hours Log'!$C:$C,'Hours Log'!$A:$A,"&gt;="&amp;$J1022,'Hours Log'!$A:$A,"&lt;"&amp;$J1022+7)+SUMIFS('Hours Log'!$D:$D,'Hours Log'!$A:$A,"&gt;="&amp;$J1022,'Hours Log'!$A:$A,"&lt;"&amp;$J1022+7))</f>
        <v/>
      </c>
      <c r="D1022" t="str">
        <f>IF($J1022="","",SUMIFS('Hours Log'!$D:$D,'Hours Log'!$A:$A,"&gt;="&amp;$J1022,'Hours Log'!$A:$A,"&lt;"&amp;$J1022+7))</f>
        <v/>
      </c>
      <c r="E1022" t="str">
        <f t="shared" si="30"/>
        <v/>
      </c>
      <c r="F1022" t="str">
        <f t="shared" si="31"/>
        <v/>
      </c>
      <c r="G1022" t="str">
        <f>IF($J1022="","",SUMIFS('Hours Log'!$E:$E,'Hours Log'!$A:$A,"&gt;="&amp;$J1022,'Hours Log'!$A:$A,"&lt;"&amp;$J1022+7))</f>
        <v/>
      </c>
      <c r="J1022" t="str">
        <f>IF(COUNT('Hours Log'!$A$4:$A$5000)=0,"",IF(MIN('Hours Log'!$A$4:$A$5000)+7*(ROW()-10)&gt;MAX('Hours Log'!$A$4:$A$5000),"",MIN('Hours Log'!$A$4:$A$5000)+7*(ROW()-10)))</f>
        <v/>
      </c>
    </row>
    <row r="1023" spans="1:10" x14ac:dyDescent="0.25">
      <c r="A1023" t="str">
        <f>IF($J1023="","",YEAR($J1023-WEEKDAY($J1023,2)+4)&amp;"-W"&amp;TEXT(_xludf.ISOWEEKNUM($J1023),"00"))</f>
        <v/>
      </c>
      <c r="B1023"/>
      <c r="C1023" t="str">
        <f>IF($J1023="","",SUMIFS('Hours Log'!$C:$C,'Hours Log'!$A:$A,"&gt;="&amp;$J1023,'Hours Log'!$A:$A,"&lt;"&amp;$J1023+7)+SUMIFS('Hours Log'!$D:$D,'Hours Log'!$A:$A,"&gt;="&amp;$J1023,'Hours Log'!$A:$A,"&lt;"&amp;$J1023+7))</f>
        <v/>
      </c>
      <c r="D1023" t="str">
        <f>IF($J1023="","",SUMIFS('Hours Log'!$D:$D,'Hours Log'!$A:$A,"&gt;="&amp;$J1023,'Hours Log'!$A:$A,"&lt;"&amp;$J1023+7))</f>
        <v/>
      </c>
      <c r="E1023" t="str">
        <f t="shared" si="30"/>
        <v/>
      </c>
      <c r="F1023" t="str">
        <f t="shared" si="31"/>
        <v/>
      </c>
      <c r="G1023" t="str">
        <f>IF($J1023="","",SUMIFS('Hours Log'!$E:$E,'Hours Log'!$A:$A,"&gt;="&amp;$J1023,'Hours Log'!$A:$A,"&lt;"&amp;$J1023+7))</f>
        <v/>
      </c>
      <c r="J1023" t="str">
        <f>IF(COUNT('Hours Log'!$A$4:$A$5000)=0,"",IF(MIN('Hours Log'!$A$4:$A$5000)+7*(ROW()-10)&gt;MAX('Hours Log'!$A$4:$A$5000),"",MIN('Hours Log'!$A$4:$A$5000)+7*(ROW()-10)))</f>
        <v/>
      </c>
    </row>
    <row r="1024" spans="1:10" x14ac:dyDescent="0.25">
      <c r="A1024" t="str">
        <f>IF($J1024="","",YEAR($J1024-WEEKDAY($J1024,2)+4)&amp;"-W"&amp;TEXT(_xludf.ISOWEEKNUM($J1024),"00"))</f>
        <v/>
      </c>
      <c r="B1024"/>
      <c r="C1024" t="str">
        <f>IF($J1024="","",SUMIFS('Hours Log'!$C:$C,'Hours Log'!$A:$A,"&gt;="&amp;$J1024,'Hours Log'!$A:$A,"&lt;"&amp;$J1024+7)+SUMIFS('Hours Log'!$D:$D,'Hours Log'!$A:$A,"&gt;="&amp;$J1024,'Hours Log'!$A:$A,"&lt;"&amp;$J1024+7))</f>
        <v/>
      </c>
      <c r="D1024" t="str">
        <f>IF($J1024="","",SUMIFS('Hours Log'!$D:$D,'Hours Log'!$A:$A,"&gt;="&amp;$J1024,'Hours Log'!$A:$A,"&lt;"&amp;$J1024+7))</f>
        <v/>
      </c>
      <c r="E1024" t="str">
        <f t="shared" si="30"/>
        <v/>
      </c>
      <c r="F1024" t="str">
        <f t="shared" si="31"/>
        <v/>
      </c>
      <c r="G1024" t="str">
        <f>IF($J1024="","",SUMIFS('Hours Log'!$E:$E,'Hours Log'!$A:$A,"&gt;="&amp;$J1024,'Hours Log'!$A:$A,"&lt;"&amp;$J1024+7))</f>
        <v/>
      </c>
      <c r="J1024" t="str">
        <f>IF(COUNT('Hours Log'!$A$4:$A$5000)=0,"",IF(MIN('Hours Log'!$A$4:$A$5000)+7*(ROW()-10)&gt;MAX('Hours Log'!$A$4:$A$5000),"",MIN('Hours Log'!$A$4:$A$5000)+7*(ROW()-10)))</f>
        <v/>
      </c>
    </row>
    <row r="1025" spans="1:10" x14ac:dyDescent="0.25">
      <c r="A1025" t="str">
        <f>IF($J1025="","",YEAR($J1025-WEEKDAY($J1025,2)+4)&amp;"-W"&amp;TEXT(_xludf.ISOWEEKNUM($J1025),"00"))</f>
        <v/>
      </c>
      <c r="B1025"/>
      <c r="C1025" t="str">
        <f>IF($J1025="","",SUMIFS('Hours Log'!$C:$C,'Hours Log'!$A:$A,"&gt;="&amp;$J1025,'Hours Log'!$A:$A,"&lt;"&amp;$J1025+7)+SUMIFS('Hours Log'!$D:$D,'Hours Log'!$A:$A,"&gt;="&amp;$J1025,'Hours Log'!$A:$A,"&lt;"&amp;$J1025+7))</f>
        <v/>
      </c>
      <c r="D1025" t="str">
        <f>IF($J1025="","",SUMIFS('Hours Log'!$D:$D,'Hours Log'!$A:$A,"&gt;="&amp;$J1025,'Hours Log'!$A:$A,"&lt;"&amp;$J1025+7))</f>
        <v/>
      </c>
      <c r="E1025" t="str">
        <f t="shared" si="30"/>
        <v/>
      </c>
      <c r="F1025" t="str">
        <f t="shared" si="31"/>
        <v/>
      </c>
      <c r="G1025" t="str">
        <f>IF($J1025="","",SUMIFS('Hours Log'!$E:$E,'Hours Log'!$A:$A,"&gt;="&amp;$J1025,'Hours Log'!$A:$A,"&lt;"&amp;$J1025+7))</f>
        <v/>
      </c>
      <c r="J1025" t="str">
        <f>IF(COUNT('Hours Log'!$A$4:$A$5000)=0,"",IF(MIN('Hours Log'!$A$4:$A$5000)+7*(ROW()-10)&gt;MAX('Hours Log'!$A$4:$A$5000),"",MIN('Hours Log'!$A$4:$A$5000)+7*(ROW()-10)))</f>
        <v/>
      </c>
    </row>
    <row r="1026" spans="1:10" x14ac:dyDescent="0.25">
      <c r="A1026" t="str">
        <f>IF($J1026="","",YEAR($J1026-WEEKDAY($J1026,2)+4)&amp;"-W"&amp;TEXT(_xludf.ISOWEEKNUM($J1026),"00"))</f>
        <v/>
      </c>
      <c r="B1026"/>
      <c r="C1026" t="str">
        <f>IF($J1026="","",SUMIFS('Hours Log'!$C:$C,'Hours Log'!$A:$A,"&gt;="&amp;$J1026,'Hours Log'!$A:$A,"&lt;"&amp;$J1026+7)+SUMIFS('Hours Log'!$D:$D,'Hours Log'!$A:$A,"&gt;="&amp;$J1026,'Hours Log'!$A:$A,"&lt;"&amp;$J1026+7))</f>
        <v/>
      </c>
      <c r="D1026" t="str">
        <f>IF($J1026="","",SUMIFS('Hours Log'!$D:$D,'Hours Log'!$A:$A,"&gt;="&amp;$J1026,'Hours Log'!$A:$A,"&lt;"&amp;$J1026+7))</f>
        <v/>
      </c>
      <c r="E1026" t="str">
        <f t="shared" si="30"/>
        <v/>
      </c>
      <c r="F1026" t="str">
        <f t="shared" si="31"/>
        <v/>
      </c>
      <c r="G1026" t="str">
        <f>IF($J1026="","",SUMIFS('Hours Log'!$E:$E,'Hours Log'!$A:$A,"&gt;="&amp;$J1026,'Hours Log'!$A:$A,"&lt;"&amp;$J1026+7))</f>
        <v/>
      </c>
      <c r="J1026" t="str">
        <f>IF(COUNT('Hours Log'!$A$4:$A$5000)=0,"",IF(MIN('Hours Log'!$A$4:$A$5000)+7*(ROW()-10)&gt;MAX('Hours Log'!$A$4:$A$5000),"",MIN('Hours Log'!$A$4:$A$5000)+7*(ROW()-10)))</f>
        <v/>
      </c>
    </row>
    <row r="1027" spans="1:10" x14ac:dyDescent="0.25">
      <c r="A1027" t="str">
        <f>IF($J1027="","",YEAR($J1027-WEEKDAY($J1027,2)+4)&amp;"-W"&amp;TEXT(_xludf.ISOWEEKNUM($J1027),"00"))</f>
        <v/>
      </c>
      <c r="B1027"/>
      <c r="C1027" t="str">
        <f>IF($J1027="","",SUMIFS('Hours Log'!$C:$C,'Hours Log'!$A:$A,"&gt;="&amp;$J1027,'Hours Log'!$A:$A,"&lt;"&amp;$J1027+7)+SUMIFS('Hours Log'!$D:$D,'Hours Log'!$A:$A,"&gt;="&amp;$J1027,'Hours Log'!$A:$A,"&lt;"&amp;$J1027+7))</f>
        <v/>
      </c>
      <c r="D1027" t="str">
        <f>IF($J1027="","",SUMIFS('Hours Log'!$D:$D,'Hours Log'!$A:$A,"&gt;="&amp;$J1027,'Hours Log'!$A:$A,"&lt;"&amp;$J1027+7))</f>
        <v/>
      </c>
      <c r="E1027" t="str">
        <f t="shared" si="30"/>
        <v/>
      </c>
      <c r="F1027" t="str">
        <f t="shared" si="31"/>
        <v/>
      </c>
      <c r="G1027" t="str">
        <f>IF($J1027="","",SUMIFS('Hours Log'!$E:$E,'Hours Log'!$A:$A,"&gt;="&amp;$J1027,'Hours Log'!$A:$A,"&lt;"&amp;$J1027+7))</f>
        <v/>
      </c>
      <c r="J1027" t="str">
        <f>IF(COUNT('Hours Log'!$A$4:$A$5000)=0,"",IF(MIN('Hours Log'!$A$4:$A$5000)+7*(ROW()-10)&gt;MAX('Hours Log'!$A$4:$A$5000),"",MIN('Hours Log'!$A$4:$A$5000)+7*(ROW()-10)))</f>
        <v/>
      </c>
    </row>
    <row r="1028" spans="1:10" x14ac:dyDescent="0.25">
      <c r="A1028" t="str">
        <f>IF($J1028="","",YEAR($J1028-WEEKDAY($J1028,2)+4)&amp;"-W"&amp;TEXT(_xludf.ISOWEEKNUM($J1028),"00"))</f>
        <v/>
      </c>
      <c r="B1028"/>
      <c r="C1028" t="str">
        <f>IF($J1028="","",SUMIFS('Hours Log'!$C:$C,'Hours Log'!$A:$A,"&gt;="&amp;$J1028,'Hours Log'!$A:$A,"&lt;"&amp;$J1028+7)+SUMIFS('Hours Log'!$D:$D,'Hours Log'!$A:$A,"&gt;="&amp;$J1028,'Hours Log'!$A:$A,"&lt;"&amp;$J1028+7))</f>
        <v/>
      </c>
      <c r="D1028" t="str">
        <f>IF($J1028="","",SUMIFS('Hours Log'!$D:$D,'Hours Log'!$A:$A,"&gt;="&amp;$J1028,'Hours Log'!$A:$A,"&lt;"&amp;$J1028+7))</f>
        <v/>
      </c>
      <c r="E1028" t="str">
        <f t="shared" si="30"/>
        <v/>
      </c>
      <c r="F1028" t="str">
        <f t="shared" si="31"/>
        <v/>
      </c>
      <c r="G1028" t="str">
        <f>IF($J1028="","",SUMIFS('Hours Log'!$E:$E,'Hours Log'!$A:$A,"&gt;="&amp;$J1028,'Hours Log'!$A:$A,"&lt;"&amp;$J1028+7))</f>
        <v/>
      </c>
      <c r="J1028" t="str">
        <f>IF(COUNT('Hours Log'!$A$4:$A$5000)=0,"",IF(MIN('Hours Log'!$A$4:$A$5000)+7*(ROW()-10)&gt;MAX('Hours Log'!$A$4:$A$5000),"",MIN('Hours Log'!$A$4:$A$5000)+7*(ROW()-10)))</f>
        <v/>
      </c>
    </row>
    <row r="1029" spans="1:10" x14ac:dyDescent="0.25">
      <c r="A1029" t="str">
        <f>IF($J1029="","",YEAR($J1029-WEEKDAY($J1029,2)+4)&amp;"-W"&amp;TEXT(_xludf.ISOWEEKNUM($J1029),"00"))</f>
        <v/>
      </c>
      <c r="B1029"/>
      <c r="C1029" t="str">
        <f>IF($J1029="","",SUMIFS('Hours Log'!$C:$C,'Hours Log'!$A:$A,"&gt;="&amp;$J1029,'Hours Log'!$A:$A,"&lt;"&amp;$J1029+7)+SUMIFS('Hours Log'!$D:$D,'Hours Log'!$A:$A,"&gt;="&amp;$J1029,'Hours Log'!$A:$A,"&lt;"&amp;$J1029+7))</f>
        <v/>
      </c>
      <c r="D1029" t="str">
        <f>IF($J1029="","",SUMIFS('Hours Log'!$D:$D,'Hours Log'!$A:$A,"&gt;="&amp;$J1029,'Hours Log'!$A:$A,"&lt;"&amp;$J1029+7))</f>
        <v/>
      </c>
      <c r="E1029" t="str">
        <f t="shared" si="30"/>
        <v/>
      </c>
      <c r="F1029" t="str">
        <f t="shared" si="31"/>
        <v/>
      </c>
      <c r="G1029" t="str">
        <f>IF($J1029="","",SUMIFS('Hours Log'!$E:$E,'Hours Log'!$A:$A,"&gt;="&amp;$J1029,'Hours Log'!$A:$A,"&lt;"&amp;$J1029+7))</f>
        <v/>
      </c>
      <c r="J1029" t="str">
        <f>IF(COUNT('Hours Log'!$A$4:$A$5000)=0,"",IF(MIN('Hours Log'!$A$4:$A$5000)+7*(ROW()-10)&gt;MAX('Hours Log'!$A$4:$A$5000),"",MIN('Hours Log'!$A$4:$A$5000)+7*(ROW()-10)))</f>
        <v/>
      </c>
    </row>
    <row r="1030" spans="1:10" x14ac:dyDescent="0.25">
      <c r="A1030" t="str">
        <f>IF($J1030="","",YEAR($J1030-WEEKDAY($J1030,2)+4)&amp;"-W"&amp;TEXT(_xludf.ISOWEEKNUM($J1030),"00"))</f>
        <v/>
      </c>
      <c r="B1030"/>
      <c r="C1030" t="str">
        <f>IF($J1030="","",SUMIFS('Hours Log'!$C:$C,'Hours Log'!$A:$A,"&gt;="&amp;$J1030,'Hours Log'!$A:$A,"&lt;"&amp;$J1030+7)+SUMIFS('Hours Log'!$D:$D,'Hours Log'!$A:$A,"&gt;="&amp;$J1030,'Hours Log'!$A:$A,"&lt;"&amp;$J1030+7))</f>
        <v/>
      </c>
      <c r="D1030" t="str">
        <f>IF($J1030="","",SUMIFS('Hours Log'!$D:$D,'Hours Log'!$A:$A,"&gt;="&amp;$J1030,'Hours Log'!$A:$A,"&lt;"&amp;$J1030+7))</f>
        <v/>
      </c>
      <c r="E1030" t="str">
        <f t="shared" si="30"/>
        <v/>
      </c>
      <c r="F1030" t="str">
        <f t="shared" si="31"/>
        <v/>
      </c>
      <c r="G1030" t="str">
        <f>IF($J1030="","",SUMIFS('Hours Log'!$E:$E,'Hours Log'!$A:$A,"&gt;="&amp;$J1030,'Hours Log'!$A:$A,"&lt;"&amp;$J1030+7))</f>
        <v/>
      </c>
      <c r="J1030" t="str">
        <f>IF(COUNT('Hours Log'!$A$4:$A$5000)=0,"",IF(MIN('Hours Log'!$A$4:$A$5000)+7*(ROW()-10)&gt;MAX('Hours Log'!$A$4:$A$5000),"",MIN('Hours Log'!$A$4:$A$5000)+7*(ROW()-10)))</f>
        <v/>
      </c>
    </row>
    <row r="1031" spans="1:10" x14ac:dyDescent="0.25">
      <c r="A1031" t="str">
        <f>IF($J1031="","",YEAR($J1031-WEEKDAY($J1031,2)+4)&amp;"-W"&amp;TEXT(_xludf.ISOWEEKNUM($J1031),"00"))</f>
        <v/>
      </c>
      <c r="B1031"/>
      <c r="C1031" t="str">
        <f>IF($J1031="","",SUMIFS('Hours Log'!$C:$C,'Hours Log'!$A:$A,"&gt;="&amp;$J1031,'Hours Log'!$A:$A,"&lt;"&amp;$J1031+7)+SUMIFS('Hours Log'!$D:$D,'Hours Log'!$A:$A,"&gt;="&amp;$J1031,'Hours Log'!$A:$A,"&lt;"&amp;$J1031+7))</f>
        <v/>
      </c>
      <c r="D1031" t="str">
        <f>IF($J1031="","",SUMIFS('Hours Log'!$D:$D,'Hours Log'!$A:$A,"&gt;="&amp;$J1031,'Hours Log'!$A:$A,"&lt;"&amp;$J1031+7))</f>
        <v/>
      </c>
      <c r="E1031" t="str">
        <f t="shared" si="30"/>
        <v/>
      </c>
      <c r="F1031" t="str">
        <f t="shared" si="31"/>
        <v/>
      </c>
      <c r="G1031" t="str">
        <f>IF($J1031="","",SUMIFS('Hours Log'!$E:$E,'Hours Log'!$A:$A,"&gt;="&amp;$J1031,'Hours Log'!$A:$A,"&lt;"&amp;$J1031+7))</f>
        <v/>
      </c>
      <c r="J1031" t="str">
        <f>IF(COUNT('Hours Log'!$A$4:$A$5000)=0,"",IF(MIN('Hours Log'!$A$4:$A$5000)+7*(ROW()-10)&gt;MAX('Hours Log'!$A$4:$A$5000),"",MIN('Hours Log'!$A$4:$A$5000)+7*(ROW()-10)))</f>
        <v/>
      </c>
    </row>
    <row r="1032" spans="1:10" x14ac:dyDescent="0.25">
      <c r="A1032" t="str">
        <f>IF($J1032="","",YEAR($J1032-WEEKDAY($J1032,2)+4)&amp;"-W"&amp;TEXT(_xludf.ISOWEEKNUM($J1032),"00"))</f>
        <v/>
      </c>
      <c r="B1032"/>
      <c r="C1032" t="str">
        <f>IF($J1032="","",SUMIFS('Hours Log'!$C:$C,'Hours Log'!$A:$A,"&gt;="&amp;$J1032,'Hours Log'!$A:$A,"&lt;"&amp;$J1032+7)+SUMIFS('Hours Log'!$D:$D,'Hours Log'!$A:$A,"&gt;="&amp;$J1032,'Hours Log'!$A:$A,"&lt;"&amp;$J1032+7))</f>
        <v/>
      </c>
      <c r="D1032" t="str">
        <f>IF($J1032="","",SUMIFS('Hours Log'!$D:$D,'Hours Log'!$A:$A,"&gt;="&amp;$J1032,'Hours Log'!$A:$A,"&lt;"&amp;$J1032+7))</f>
        <v/>
      </c>
      <c r="E1032" t="str">
        <f t="shared" si="30"/>
        <v/>
      </c>
      <c r="F1032" t="str">
        <f t="shared" si="31"/>
        <v/>
      </c>
      <c r="G1032" t="str">
        <f>IF($J1032="","",SUMIFS('Hours Log'!$E:$E,'Hours Log'!$A:$A,"&gt;="&amp;$J1032,'Hours Log'!$A:$A,"&lt;"&amp;$J1032+7))</f>
        <v/>
      </c>
      <c r="J1032" t="str">
        <f>IF(COUNT('Hours Log'!$A$4:$A$5000)=0,"",IF(MIN('Hours Log'!$A$4:$A$5000)+7*(ROW()-10)&gt;MAX('Hours Log'!$A$4:$A$5000),"",MIN('Hours Log'!$A$4:$A$5000)+7*(ROW()-10)))</f>
        <v/>
      </c>
    </row>
    <row r="1033" spans="1:10" x14ac:dyDescent="0.25">
      <c r="A1033" t="str">
        <f>IF($J1033="","",YEAR($J1033-WEEKDAY($J1033,2)+4)&amp;"-W"&amp;TEXT(_xludf.ISOWEEKNUM($J1033),"00"))</f>
        <v/>
      </c>
      <c r="B1033"/>
      <c r="C1033" t="str">
        <f>IF($J1033="","",SUMIFS('Hours Log'!$C:$C,'Hours Log'!$A:$A,"&gt;="&amp;$J1033,'Hours Log'!$A:$A,"&lt;"&amp;$J1033+7)+SUMIFS('Hours Log'!$D:$D,'Hours Log'!$A:$A,"&gt;="&amp;$J1033,'Hours Log'!$A:$A,"&lt;"&amp;$J1033+7))</f>
        <v/>
      </c>
      <c r="D1033" t="str">
        <f>IF($J1033="","",SUMIFS('Hours Log'!$D:$D,'Hours Log'!$A:$A,"&gt;="&amp;$J1033,'Hours Log'!$A:$A,"&lt;"&amp;$J1033+7))</f>
        <v/>
      </c>
      <c r="E1033" t="str">
        <f t="shared" si="30"/>
        <v/>
      </c>
      <c r="F1033" t="str">
        <f t="shared" si="31"/>
        <v/>
      </c>
      <c r="G1033" t="str">
        <f>IF($J1033="","",SUMIFS('Hours Log'!$E:$E,'Hours Log'!$A:$A,"&gt;="&amp;$J1033,'Hours Log'!$A:$A,"&lt;"&amp;$J1033+7))</f>
        <v/>
      </c>
      <c r="J1033" t="str">
        <f>IF(COUNT('Hours Log'!$A$4:$A$5000)=0,"",IF(MIN('Hours Log'!$A$4:$A$5000)+7*(ROW()-10)&gt;MAX('Hours Log'!$A$4:$A$5000),"",MIN('Hours Log'!$A$4:$A$5000)+7*(ROW()-10)))</f>
        <v/>
      </c>
    </row>
    <row r="1034" spans="1:10" x14ac:dyDescent="0.25">
      <c r="A1034" t="str">
        <f>IF($J1034="","",YEAR($J1034-WEEKDAY($J1034,2)+4)&amp;"-W"&amp;TEXT(_xludf.ISOWEEKNUM($J1034),"00"))</f>
        <v/>
      </c>
      <c r="B1034"/>
      <c r="C1034" t="str">
        <f>IF($J1034="","",SUMIFS('Hours Log'!$C:$C,'Hours Log'!$A:$A,"&gt;="&amp;$J1034,'Hours Log'!$A:$A,"&lt;"&amp;$J1034+7)+SUMIFS('Hours Log'!$D:$D,'Hours Log'!$A:$A,"&gt;="&amp;$J1034,'Hours Log'!$A:$A,"&lt;"&amp;$J1034+7))</f>
        <v/>
      </c>
      <c r="D1034" t="str">
        <f>IF($J1034="","",SUMIFS('Hours Log'!$D:$D,'Hours Log'!$A:$A,"&gt;="&amp;$J1034,'Hours Log'!$A:$A,"&lt;"&amp;$J1034+7))</f>
        <v/>
      </c>
      <c r="E1034" t="str">
        <f t="shared" ref="E1034:E1097" si="32">IF($J1034="","",IFERROR(C1034/(B1034*40),0))</f>
        <v/>
      </c>
      <c r="F1034" t="str">
        <f t="shared" ref="F1034:F1097" si="33">IF($J1034="","",0)</f>
        <v/>
      </c>
      <c r="G1034" t="str">
        <f>IF($J1034="","",SUMIFS('Hours Log'!$E:$E,'Hours Log'!$A:$A,"&gt;="&amp;$J1034,'Hours Log'!$A:$A,"&lt;"&amp;$J1034+7))</f>
        <v/>
      </c>
      <c r="J1034" t="str">
        <f>IF(COUNT('Hours Log'!$A$4:$A$5000)=0,"",IF(MIN('Hours Log'!$A$4:$A$5000)+7*(ROW()-10)&gt;MAX('Hours Log'!$A$4:$A$5000),"",MIN('Hours Log'!$A$4:$A$5000)+7*(ROW()-10)))</f>
        <v/>
      </c>
    </row>
    <row r="1035" spans="1:10" x14ac:dyDescent="0.25">
      <c r="A1035" t="str">
        <f>IF($J1035="","",YEAR($J1035-WEEKDAY($J1035,2)+4)&amp;"-W"&amp;TEXT(_xludf.ISOWEEKNUM($J1035),"00"))</f>
        <v/>
      </c>
      <c r="B1035"/>
      <c r="C1035" t="str">
        <f>IF($J1035="","",SUMIFS('Hours Log'!$C:$C,'Hours Log'!$A:$A,"&gt;="&amp;$J1035,'Hours Log'!$A:$A,"&lt;"&amp;$J1035+7)+SUMIFS('Hours Log'!$D:$D,'Hours Log'!$A:$A,"&gt;="&amp;$J1035,'Hours Log'!$A:$A,"&lt;"&amp;$J1035+7))</f>
        <v/>
      </c>
      <c r="D1035" t="str">
        <f>IF($J1035="","",SUMIFS('Hours Log'!$D:$D,'Hours Log'!$A:$A,"&gt;="&amp;$J1035,'Hours Log'!$A:$A,"&lt;"&amp;$J1035+7))</f>
        <v/>
      </c>
      <c r="E1035" t="str">
        <f t="shared" si="32"/>
        <v/>
      </c>
      <c r="F1035" t="str">
        <f t="shared" si="33"/>
        <v/>
      </c>
      <c r="G1035" t="str">
        <f>IF($J1035="","",SUMIFS('Hours Log'!$E:$E,'Hours Log'!$A:$A,"&gt;="&amp;$J1035,'Hours Log'!$A:$A,"&lt;"&amp;$J1035+7))</f>
        <v/>
      </c>
      <c r="J1035" t="str">
        <f>IF(COUNT('Hours Log'!$A$4:$A$5000)=0,"",IF(MIN('Hours Log'!$A$4:$A$5000)+7*(ROW()-10)&gt;MAX('Hours Log'!$A$4:$A$5000),"",MIN('Hours Log'!$A$4:$A$5000)+7*(ROW()-10)))</f>
        <v/>
      </c>
    </row>
    <row r="1036" spans="1:10" x14ac:dyDescent="0.25">
      <c r="A1036" t="str">
        <f>IF($J1036="","",YEAR($J1036-WEEKDAY($J1036,2)+4)&amp;"-W"&amp;TEXT(_xludf.ISOWEEKNUM($J1036),"00"))</f>
        <v/>
      </c>
      <c r="B1036"/>
      <c r="C1036" t="str">
        <f>IF($J1036="","",SUMIFS('Hours Log'!$C:$C,'Hours Log'!$A:$A,"&gt;="&amp;$J1036,'Hours Log'!$A:$A,"&lt;"&amp;$J1036+7)+SUMIFS('Hours Log'!$D:$D,'Hours Log'!$A:$A,"&gt;="&amp;$J1036,'Hours Log'!$A:$A,"&lt;"&amp;$J1036+7))</f>
        <v/>
      </c>
      <c r="D1036" t="str">
        <f>IF($J1036="","",SUMIFS('Hours Log'!$D:$D,'Hours Log'!$A:$A,"&gt;="&amp;$J1036,'Hours Log'!$A:$A,"&lt;"&amp;$J1036+7))</f>
        <v/>
      </c>
      <c r="E1036" t="str">
        <f t="shared" si="32"/>
        <v/>
      </c>
      <c r="F1036" t="str">
        <f t="shared" si="33"/>
        <v/>
      </c>
      <c r="G1036" t="str">
        <f>IF($J1036="","",SUMIFS('Hours Log'!$E:$E,'Hours Log'!$A:$A,"&gt;="&amp;$J1036,'Hours Log'!$A:$A,"&lt;"&amp;$J1036+7))</f>
        <v/>
      </c>
      <c r="J1036" t="str">
        <f>IF(COUNT('Hours Log'!$A$4:$A$5000)=0,"",IF(MIN('Hours Log'!$A$4:$A$5000)+7*(ROW()-10)&gt;MAX('Hours Log'!$A$4:$A$5000),"",MIN('Hours Log'!$A$4:$A$5000)+7*(ROW()-10)))</f>
        <v/>
      </c>
    </row>
    <row r="1037" spans="1:10" x14ac:dyDescent="0.25">
      <c r="A1037" t="str">
        <f>IF($J1037="","",YEAR($J1037-WEEKDAY($J1037,2)+4)&amp;"-W"&amp;TEXT(_xludf.ISOWEEKNUM($J1037),"00"))</f>
        <v/>
      </c>
      <c r="B1037"/>
      <c r="C1037" t="str">
        <f>IF($J1037="","",SUMIFS('Hours Log'!$C:$C,'Hours Log'!$A:$A,"&gt;="&amp;$J1037,'Hours Log'!$A:$A,"&lt;"&amp;$J1037+7)+SUMIFS('Hours Log'!$D:$D,'Hours Log'!$A:$A,"&gt;="&amp;$J1037,'Hours Log'!$A:$A,"&lt;"&amp;$J1037+7))</f>
        <v/>
      </c>
      <c r="D1037" t="str">
        <f>IF($J1037="","",SUMIFS('Hours Log'!$D:$D,'Hours Log'!$A:$A,"&gt;="&amp;$J1037,'Hours Log'!$A:$A,"&lt;"&amp;$J1037+7))</f>
        <v/>
      </c>
      <c r="E1037" t="str">
        <f t="shared" si="32"/>
        <v/>
      </c>
      <c r="F1037" t="str">
        <f t="shared" si="33"/>
        <v/>
      </c>
      <c r="G1037" t="str">
        <f>IF($J1037="","",SUMIFS('Hours Log'!$E:$E,'Hours Log'!$A:$A,"&gt;="&amp;$J1037,'Hours Log'!$A:$A,"&lt;"&amp;$J1037+7))</f>
        <v/>
      </c>
      <c r="J1037" t="str">
        <f>IF(COUNT('Hours Log'!$A$4:$A$5000)=0,"",IF(MIN('Hours Log'!$A$4:$A$5000)+7*(ROW()-10)&gt;MAX('Hours Log'!$A$4:$A$5000),"",MIN('Hours Log'!$A$4:$A$5000)+7*(ROW()-10)))</f>
        <v/>
      </c>
    </row>
    <row r="1038" spans="1:10" x14ac:dyDescent="0.25">
      <c r="A1038" t="str">
        <f>IF($J1038="","",YEAR($J1038-WEEKDAY($J1038,2)+4)&amp;"-W"&amp;TEXT(_xludf.ISOWEEKNUM($J1038),"00"))</f>
        <v/>
      </c>
      <c r="B1038"/>
      <c r="C1038" t="str">
        <f>IF($J1038="","",SUMIFS('Hours Log'!$C:$C,'Hours Log'!$A:$A,"&gt;="&amp;$J1038,'Hours Log'!$A:$A,"&lt;"&amp;$J1038+7)+SUMIFS('Hours Log'!$D:$D,'Hours Log'!$A:$A,"&gt;="&amp;$J1038,'Hours Log'!$A:$A,"&lt;"&amp;$J1038+7))</f>
        <v/>
      </c>
      <c r="D1038" t="str">
        <f>IF($J1038="","",SUMIFS('Hours Log'!$D:$D,'Hours Log'!$A:$A,"&gt;="&amp;$J1038,'Hours Log'!$A:$A,"&lt;"&amp;$J1038+7))</f>
        <v/>
      </c>
      <c r="E1038" t="str">
        <f t="shared" si="32"/>
        <v/>
      </c>
      <c r="F1038" t="str">
        <f t="shared" si="33"/>
        <v/>
      </c>
      <c r="G1038" t="str">
        <f>IF($J1038="","",SUMIFS('Hours Log'!$E:$E,'Hours Log'!$A:$A,"&gt;="&amp;$J1038,'Hours Log'!$A:$A,"&lt;"&amp;$J1038+7))</f>
        <v/>
      </c>
      <c r="J1038" t="str">
        <f>IF(COUNT('Hours Log'!$A$4:$A$5000)=0,"",IF(MIN('Hours Log'!$A$4:$A$5000)+7*(ROW()-10)&gt;MAX('Hours Log'!$A$4:$A$5000),"",MIN('Hours Log'!$A$4:$A$5000)+7*(ROW()-10)))</f>
        <v/>
      </c>
    </row>
    <row r="1039" spans="1:10" x14ac:dyDescent="0.25">
      <c r="A1039" t="str">
        <f>IF($J1039="","",YEAR($J1039-WEEKDAY($J1039,2)+4)&amp;"-W"&amp;TEXT(_xludf.ISOWEEKNUM($J1039),"00"))</f>
        <v/>
      </c>
      <c r="B1039"/>
      <c r="C1039" t="str">
        <f>IF($J1039="","",SUMIFS('Hours Log'!$C:$C,'Hours Log'!$A:$A,"&gt;="&amp;$J1039,'Hours Log'!$A:$A,"&lt;"&amp;$J1039+7)+SUMIFS('Hours Log'!$D:$D,'Hours Log'!$A:$A,"&gt;="&amp;$J1039,'Hours Log'!$A:$A,"&lt;"&amp;$J1039+7))</f>
        <v/>
      </c>
      <c r="D1039" t="str">
        <f>IF($J1039="","",SUMIFS('Hours Log'!$D:$D,'Hours Log'!$A:$A,"&gt;="&amp;$J1039,'Hours Log'!$A:$A,"&lt;"&amp;$J1039+7))</f>
        <v/>
      </c>
      <c r="E1039" t="str">
        <f t="shared" si="32"/>
        <v/>
      </c>
      <c r="F1039" t="str">
        <f t="shared" si="33"/>
        <v/>
      </c>
      <c r="G1039" t="str">
        <f>IF($J1039="","",SUMIFS('Hours Log'!$E:$E,'Hours Log'!$A:$A,"&gt;="&amp;$J1039,'Hours Log'!$A:$A,"&lt;"&amp;$J1039+7))</f>
        <v/>
      </c>
      <c r="J1039" t="str">
        <f>IF(COUNT('Hours Log'!$A$4:$A$5000)=0,"",IF(MIN('Hours Log'!$A$4:$A$5000)+7*(ROW()-10)&gt;MAX('Hours Log'!$A$4:$A$5000),"",MIN('Hours Log'!$A$4:$A$5000)+7*(ROW()-10)))</f>
        <v/>
      </c>
    </row>
    <row r="1040" spans="1:10" x14ac:dyDescent="0.25">
      <c r="A1040" t="str">
        <f>IF($J1040="","",YEAR($J1040-WEEKDAY($J1040,2)+4)&amp;"-W"&amp;TEXT(_xludf.ISOWEEKNUM($J1040),"00"))</f>
        <v/>
      </c>
      <c r="B1040"/>
      <c r="C1040" t="str">
        <f>IF($J1040="","",SUMIFS('Hours Log'!$C:$C,'Hours Log'!$A:$A,"&gt;="&amp;$J1040,'Hours Log'!$A:$A,"&lt;"&amp;$J1040+7)+SUMIFS('Hours Log'!$D:$D,'Hours Log'!$A:$A,"&gt;="&amp;$J1040,'Hours Log'!$A:$A,"&lt;"&amp;$J1040+7))</f>
        <v/>
      </c>
      <c r="D1040" t="str">
        <f>IF($J1040="","",SUMIFS('Hours Log'!$D:$D,'Hours Log'!$A:$A,"&gt;="&amp;$J1040,'Hours Log'!$A:$A,"&lt;"&amp;$J1040+7))</f>
        <v/>
      </c>
      <c r="E1040" t="str">
        <f t="shared" si="32"/>
        <v/>
      </c>
      <c r="F1040" t="str">
        <f t="shared" si="33"/>
        <v/>
      </c>
      <c r="G1040" t="str">
        <f>IF($J1040="","",SUMIFS('Hours Log'!$E:$E,'Hours Log'!$A:$A,"&gt;="&amp;$J1040,'Hours Log'!$A:$A,"&lt;"&amp;$J1040+7))</f>
        <v/>
      </c>
      <c r="J1040" t="str">
        <f>IF(COUNT('Hours Log'!$A$4:$A$5000)=0,"",IF(MIN('Hours Log'!$A$4:$A$5000)+7*(ROW()-10)&gt;MAX('Hours Log'!$A$4:$A$5000),"",MIN('Hours Log'!$A$4:$A$5000)+7*(ROW()-10)))</f>
        <v/>
      </c>
    </row>
    <row r="1041" spans="1:10" x14ac:dyDescent="0.25">
      <c r="A1041" t="str">
        <f>IF($J1041="","",YEAR($J1041-WEEKDAY($J1041,2)+4)&amp;"-W"&amp;TEXT(_xludf.ISOWEEKNUM($J1041),"00"))</f>
        <v/>
      </c>
      <c r="B1041"/>
      <c r="C1041" t="str">
        <f>IF($J1041="","",SUMIFS('Hours Log'!$C:$C,'Hours Log'!$A:$A,"&gt;="&amp;$J1041,'Hours Log'!$A:$A,"&lt;"&amp;$J1041+7)+SUMIFS('Hours Log'!$D:$D,'Hours Log'!$A:$A,"&gt;="&amp;$J1041,'Hours Log'!$A:$A,"&lt;"&amp;$J1041+7))</f>
        <v/>
      </c>
      <c r="D1041" t="str">
        <f>IF($J1041="","",SUMIFS('Hours Log'!$D:$D,'Hours Log'!$A:$A,"&gt;="&amp;$J1041,'Hours Log'!$A:$A,"&lt;"&amp;$J1041+7))</f>
        <v/>
      </c>
      <c r="E1041" t="str">
        <f t="shared" si="32"/>
        <v/>
      </c>
      <c r="F1041" t="str">
        <f t="shared" si="33"/>
        <v/>
      </c>
      <c r="G1041" t="str">
        <f>IF($J1041="","",SUMIFS('Hours Log'!$E:$E,'Hours Log'!$A:$A,"&gt;="&amp;$J1041,'Hours Log'!$A:$A,"&lt;"&amp;$J1041+7))</f>
        <v/>
      </c>
      <c r="J1041" t="str">
        <f>IF(COUNT('Hours Log'!$A$4:$A$5000)=0,"",IF(MIN('Hours Log'!$A$4:$A$5000)+7*(ROW()-10)&gt;MAX('Hours Log'!$A$4:$A$5000),"",MIN('Hours Log'!$A$4:$A$5000)+7*(ROW()-10)))</f>
        <v/>
      </c>
    </row>
    <row r="1042" spans="1:10" x14ac:dyDescent="0.25">
      <c r="A1042" t="str">
        <f>IF($J1042="","",YEAR($J1042-WEEKDAY($J1042,2)+4)&amp;"-W"&amp;TEXT(_xludf.ISOWEEKNUM($J1042),"00"))</f>
        <v/>
      </c>
      <c r="B1042"/>
      <c r="C1042" t="str">
        <f>IF($J1042="","",SUMIFS('Hours Log'!$C:$C,'Hours Log'!$A:$A,"&gt;="&amp;$J1042,'Hours Log'!$A:$A,"&lt;"&amp;$J1042+7)+SUMIFS('Hours Log'!$D:$D,'Hours Log'!$A:$A,"&gt;="&amp;$J1042,'Hours Log'!$A:$A,"&lt;"&amp;$J1042+7))</f>
        <v/>
      </c>
      <c r="D1042" t="str">
        <f>IF($J1042="","",SUMIFS('Hours Log'!$D:$D,'Hours Log'!$A:$A,"&gt;="&amp;$J1042,'Hours Log'!$A:$A,"&lt;"&amp;$J1042+7))</f>
        <v/>
      </c>
      <c r="E1042" t="str">
        <f t="shared" si="32"/>
        <v/>
      </c>
      <c r="F1042" t="str">
        <f t="shared" si="33"/>
        <v/>
      </c>
      <c r="G1042" t="str">
        <f>IF($J1042="","",SUMIFS('Hours Log'!$E:$E,'Hours Log'!$A:$A,"&gt;="&amp;$J1042,'Hours Log'!$A:$A,"&lt;"&amp;$J1042+7))</f>
        <v/>
      </c>
      <c r="J1042" t="str">
        <f>IF(COUNT('Hours Log'!$A$4:$A$5000)=0,"",IF(MIN('Hours Log'!$A$4:$A$5000)+7*(ROW()-10)&gt;MAX('Hours Log'!$A$4:$A$5000),"",MIN('Hours Log'!$A$4:$A$5000)+7*(ROW()-10)))</f>
        <v/>
      </c>
    </row>
    <row r="1043" spans="1:10" x14ac:dyDescent="0.25">
      <c r="A1043" t="str">
        <f>IF($J1043="","",YEAR($J1043-WEEKDAY($J1043,2)+4)&amp;"-W"&amp;TEXT(_xludf.ISOWEEKNUM($J1043),"00"))</f>
        <v/>
      </c>
      <c r="B1043"/>
      <c r="C1043" t="str">
        <f>IF($J1043="","",SUMIFS('Hours Log'!$C:$C,'Hours Log'!$A:$A,"&gt;="&amp;$J1043,'Hours Log'!$A:$A,"&lt;"&amp;$J1043+7)+SUMIFS('Hours Log'!$D:$D,'Hours Log'!$A:$A,"&gt;="&amp;$J1043,'Hours Log'!$A:$A,"&lt;"&amp;$J1043+7))</f>
        <v/>
      </c>
      <c r="D1043" t="str">
        <f>IF($J1043="","",SUMIFS('Hours Log'!$D:$D,'Hours Log'!$A:$A,"&gt;="&amp;$J1043,'Hours Log'!$A:$A,"&lt;"&amp;$J1043+7))</f>
        <v/>
      </c>
      <c r="E1043" t="str">
        <f t="shared" si="32"/>
        <v/>
      </c>
      <c r="F1043" t="str">
        <f t="shared" si="33"/>
        <v/>
      </c>
      <c r="G1043" t="str">
        <f>IF($J1043="","",SUMIFS('Hours Log'!$E:$E,'Hours Log'!$A:$A,"&gt;="&amp;$J1043,'Hours Log'!$A:$A,"&lt;"&amp;$J1043+7))</f>
        <v/>
      </c>
      <c r="J1043" t="str">
        <f>IF(COUNT('Hours Log'!$A$4:$A$5000)=0,"",IF(MIN('Hours Log'!$A$4:$A$5000)+7*(ROW()-10)&gt;MAX('Hours Log'!$A$4:$A$5000),"",MIN('Hours Log'!$A$4:$A$5000)+7*(ROW()-10)))</f>
        <v/>
      </c>
    </row>
    <row r="1044" spans="1:10" x14ac:dyDescent="0.25">
      <c r="A1044" t="str">
        <f>IF($J1044="","",YEAR($J1044-WEEKDAY($J1044,2)+4)&amp;"-W"&amp;TEXT(_xludf.ISOWEEKNUM($J1044),"00"))</f>
        <v/>
      </c>
      <c r="B1044"/>
      <c r="C1044" t="str">
        <f>IF($J1044="","",SUMIFS('Hours Log'!$C:$C,'Hours Log'!$A:$A,"&gt;="&amp;$J1044,'Hours Log'!$A:$A,"&lt;"&amp;$J1044+7)+SUMIFS('Hours Log'!$D:$D,'Hours Log'!$A:$A,"&gt;="&amp;$J1044,'Hours Log'!$A:$A,"&lt;"&amp;$J1044+7))</f>
        <v/>
      </c>
      <c r="D1044" t="str">
        <f>IF($J1044="","",SUMIFS('Hours Log'!$D:$D,'Hours Log'!$A:$A,"&gt;="&amp;$J1044,'Hours Log'!$A:$A,"&lt;"&amp;$J1044+7))</f>
        <v/>
      </c>
      <c r="E1044" t="str">
        <f t="shared" si="32"/>
        <v/>
      </c>
      <c r="F1044" t="str">
        <f t="shared" si="33"/>
        <v/>
      </c>
      <c r="G1044" t="str">
        <f>IF($J1044="","",SUMIFS('Hours Log'!$E:$E,'Hours Log'!$A:$A,"&gt;="&amp;$J1044,'Hours Log'!$A:$A,"&lt;"&amp;$J1044+7))</f>
        <v/>
      </c>
      <c r="J1044" t="str">
        <f>IF(COUNT('Hours Log'!$A$4:$A$5000)=0,"",IF(MIN('Hours Log'!$A$4:$A$5000)+7*(ROW()-10)&gt;MAX('Hours Log'!$A$4:$A$5000),"",MIN('Hours Log'!$A$4:$A$5000)+7*(ROW()-10)))</f>
        <v/>
      </c>
    </row>
    <row r="1045" spans="1:10" x14ac:dyDescent="0.25">
      <c r="A1045" t="str">
        <f>IF($J1045="","",YEAR($J1045-WEEKDAY($J1045,2)+4)&amp;"-W"&amp;TEXT(_xludf.ISOWEEKNUM($J1045),"00"))</f>
        <v/>
      </c>
      <c r="B1045"/>
      <c r="C1045" t="str">
        <f>IF($J1045="","",SUMIFS('Hours Log'!$C:$C,'Hours Log'!$A:$A,"&gt;="&amp;$J1045,'Hours Log'!$A:$A,"&lt;"&amp;$J1045+7)+SUMIFS('Hours Log'!$D:$D,'Hours Log'!$A:$A,"&gt;="&amp;$J1045,'Hours Log'!$A:$A,"&lt;"&amp;$J1045+7))</f>
        <v/>
      </c>
      <c r="D1045" t="str">
        <f>IF($J1045="","",SUMIFS('Hours Log'!$D:$D,'Hours Log'!$A:$A,"&gt;="&amp;$J1045,'Hours Log'!$A:$A,"&lt;"&amp;$J1045+7))</f>
        <v/>
      </c>
      <c r="E1045" t="str">
        <f t="shared" si="32"/>
        <v/>
      </c>
      <c r="F1045" t="str">
        <f t="shared" si="33"/>
        <v/>
      </c>
      <c r="G1045" t="str">
        <f>IF($J1045="","",SUMIFS('Hours Log'!$E:$E,'Hours Log'!$A:$A,"&gt;="&amp;$J1045,'Hours Log'!$A:$A,"&lt;"&amp;$J1045+7))</f>
        <v/>
      </c>
      <c r="J1045" t="str">
        <f>IF(COUNT('Hours Log'!$A$4:$A$5000)=0,"",IF(MIN('Hours Log'!$A$4:$A$5000)+7*(ROW()-10)&gt;MAX('Hours Log'!$A$4:$A$5000),"",MIN('Hours Log'!$A$4:$A$5000)+7*(ROW()-10)))</f>
        <v/>
      </c>
    </row>
    <row r="1046" spans="1:10" x14ac:dyDescent="0.25">
      <c r="A1046" t="str">
        <f>IF($J1046="","",YEAR($J1046-WEEKDAY($J1046,2)+4)&amp;"-W"&amp;TEXT(_xludf.ISOWEEKNUM($J1046),"00"))</f>
        <v/>
      </c>
      <c r="B1046"/>
      <c r="C1046" t="str">
        <f>IF($J1046="","",SUMIFS('Hours Log'!$C:$C,'Hours Log'!$A:$A,"&gt;="&amp;$J1046,'Hours Log'!$A:$A,"&lt;"&amp;$J1046+7)+SUMIFS('Hours Log'!$D:$D,'Hours Log'!$A:$A,"&gt;="&amp;$J1046,'Hours Log'!$A:$A,"&lt;"&amp;$J1046+7))</f>
        <v/>
      </c>
      <c r="D1046" t="str">
        <f>IF($J1046="","",SUMIFS('Hours Log'!$D:$D,'Hours Log'!$A:$A,"&gt;="&amp;$J1046,'Hours Log'!$A:$A,"&lt;"&amp;$J1046+7))</f>
        <v/>
      </c>
      <c r="E1046" t="str">
        <f t="shared" si="32"/>
        <v/>
      </c>
      <c r="F1046" t="str">
        <f t="shared" si="33"/>
        <v/>
      </c>
      <c r="G1046" t="str">
        <f>IF($J1046="","",SUMIFS('Hours Log'!$E:$E,'Hours Log'!$A:$A,"&gt;="&amp;$J1046,'Hours Log'!$A:$A,"&lt;"&amp;$J1046+7))</f>
        <v/>
      </c>
      <c r="J1046" t="str">
        <f>IF(COUNT('Hours Log'!$A$4:$A$5000)=0,"",IF(MIN('Hours Log'!$A$4:$A$5000)+7*(ROW()-10)&gt;MAX('Hours Log'!$A$4:$A$5000),"",MIN('Hours Log'!$A$4:$A$5000)+7*(ROW()-10)))</f>
        <v/>
      </c>
    </row>
    <row r="1047" spans="1:10" x14ac:dyDescent="0.25">
      <c r="A1047" t="str">
        <f>IF($J1047="","",YEAR($J1047-WEEKDAY($J1047,2)+4)&amp;"-W"&amp;TEXT(_xludf.ISOWEEKNUM($J1047),"00"))</f>
        <v/>
      </c>
      <c r="B1047"/>
      <c r="C1047" t="str">
        <f>IF($J1047="","",SUMIFS('Hours Log'!$C:$C,'Hours Log'!$A:$A,"&gt;="&amp;$J1047,'Hours Log'!$A:$A,"&lt;"&amp;$J1047+7)+SUMIFS('Hours Log'!$D:$D,'Hours Log'!$A:$A,"&gt;="&amp;$J1047,'Hours Log'!$A:$A,"&lt;"&amp;$J1047+7))</f>
        <v/>
      </c>
      <c r="D1047" t="str">
        <f>IF($J1047="","",SUMIFS('Hours Log'!$D:$D,'Hours Log'!$A:$A,"&gt;="&amp;$J1047,'Hours Log'!$A:$A,"&lt;"&amp;$J1047+7))</f>
        <v/>
      </c>
      <c r="E1047" t="str">
        <f t="shared" si="32"/>
        <v/>
      </c>
      <c r="F1047" t="str">
        <f t="shared" si="33"/>
        <v/>
      </c>
      <c r="G1047" t="str">
        <f>IF($J1047="","",SUMIFS('Hours Log'!$E:$E,'Hours Log'!$A:$A,"&gt;="&amp;$J1047,'Hours Log'!$A:$A,"&lt;"&amp;$J1047+7))</f>
        <v/>
      </c>
      <c r="J1047" t="str">
        <f>IF(COUNT('Hours Log'!$A$4:$A$5000)=0,"",IF(MIN('Hours Log'!$A$4:$A$5000)+7*(ROW()-10)&gt;MAX('Hours Log'!$A$4:$A$5000),"",MIN('Hours Log'!$A$4:$A$5000)+7*(ROW()-10)))</f>
        <v/>
      </c>
    </row>
    <row r="1048" spans="1:10" x14ac:dyDescent="0.25">
      <c r="A1048" t="str">
        <f>IF($J1048="","",YEAR($J1048-WEEKDAY($J1048,2)+4)&amp;"-W"&amp;TEXT(_xludf.ISOWEEKNUM($J1048),"00"))</f>
        <v/>
      </c>
      <c r="B1048"/>
      <c r="C1048" t="str">
        <f>IF($J1048="","",SUMIFS('Hours Log'!$C:$C,'Hours Log'!$A:$A,"&gt;="&amp;$J1048,'Hours Log'!$A:$A,"&lt;"&amp;$J1048+7)+SUMIFS('Hours Log'!$D:$D,'Hours Log'!$A:$A,"&gt;="&amp;$J1048,'Hours Log'!$A:$A,"&lt;"&amp;$J1048+7))</f>
        <v/>
      </c>
      <c r="D1048" t="str">
        <f>IF($J1048="","",SUMIFS('Hours Log'!$D:$D,'Hours Log'!$A:$A,"&gt;="&amp;$J1048,'Hours Log'!$A:$A,"&lt;"&amp;$J1048+7))</f>
        <v/>
      </c>
      <c r="E1048" t="str">
        <f t="shared" si="32"/>
        <v/>
      </c>
      <c r="F1048" t="str">
        <f t="shared" si="33"/>
        <v/>
      </c>
      <c r="G1048" t="str">
        <f>IF($J1048="","",SUMIFS('Hours Log'!$E:$E,'Hours Log'!$A:$A,"&gt;="&amp;$J1048,'Hours Log'!$A:$A,"&lt;"&amp;$J1048+7))</f>
        <v/>
      </c>
      <c r="J1048" t="str">
        <f>IF(COUNT('Hours Log'!$A$4:$A$5000)=0,"",IF(MIN('Hours Log'!$A$4:$A$5000)+7*(ROW()-10)&gt;MAX('Hours Log'!$A$4:$A$5000),"",MIN('Hours Log'!$A$4:$A$5000)+7*(ROW()-10)))</f>
        <v/>
      </c>
    </row>
    <row r="1049" spans="1:10" x14ac:dyDescent="0.25">
      <c r="A1049" t="str">
        <f>IF($J1049="","",YEAR($J1049-WEEKDAY($J1049,2)+4)&amp;"-W"&amp;TEXT(_xludf.ISOWEEKNUM($J1049),"00"))</f>
        <v/>
      </c>
      <c r="B1049"/>
      <c r="C1049" t="str">
        <f>IF($J1049="","",SUMIFS('Hours Log'!$C:$C,'Hours Log'!$A:$A,"&gt;="&amp;$J1049,'Hours Log'!$A:$A,"&lt;"&amp;$J1049+7)+SUMIFS('Hours Log'!$D:$D,'Hours Log'!$A:$A,"&gt;="&amp;$J1049,'Hours Log'!$A:$A,"&lt;"&amp;$J1049+7))</f>
        <v/>
      </c>
      <c r="D1049" t="str">
        <f>IF($J1049="","",SUMIFS('Hours Log'!$D:$D,'Hours Log'!$A:$A,"&gt;="&amp;$J1049,'Hours Log'!$A:$A,"&lt;"&amp;$J1049+7))</f>
        <v/>
      </c>
      <c r="E1049" t="str">
        <f t="shared" si="32"/>
        <v/>
      </c>
      <c r="F1049" t="str">
        <f t="shared" si="33"/>
        <v/>
      </c>
      <c r="G1049" t="str">
        <f>IF($J1049="","",SUMIFS('Hours Log'!$E:$E,'Hours Log'!$A:$A,"&gt;="&amp;$J1049,'Hours Log'!$A:$A,"&lt;"&amp;$J1049+7))</f>
        <v/>
      </c>
      <c r="J1049" t="str">
        <f>IF(COUNT('Hours Log'!$A$4:$A$5000)=0,"",IF(MIN('Hours Log'!$A$4:$A$5000)+7*(ROW()-10)&gt;MAX('Hours Log'!$A$4:$A$5000),"",MIN('Hours Log'!$A$4:$A$5000)+7*(ROW()-10)))</f>
        <v/>
      </c>
    </row>
    <row r="1050" spans="1:10" x14ac:dyDescent="0.25">
      <c r="A1050" t="str">
        <f>IF($J1050="","",YEAR($J1050-WEEKDAY($J1050,2)+4)&amp;"-W"&amp;TEXT(_xludf.ISOWEEKNUM($J1050),"00"))</f>
        <v/>
      </c>
      <c r="B1050"/>
      <c r="C1050" t="str">
        <f>IF($J1050="","",SUMIFS('Hours Log'!$C:$C,'Hours Log'!$A:$A,"&gt;="&amp;$J1050,'Hours Log'!$A:$A,"&lt;"&amp;$J1050+7)+SUMIFS('Hours Log'!$D:$D,'Hours Log'!$A:$A,"&gt;="&amp;$J1050,'Hours Log'!$A:$A,"&lt;"&amp;$J1050+7))</f>
        <v/>
      </c>
      <c r="D1050" t="str">
        <f>IF($J1050="","",SUMIFS('Hours Log'!$D:$D,'Hours Log'!$A:$A,"&gt;="&amp;$J1050,'Hours Log'!$A:$A,"&lt;"&amp;$J1050+7))</f>
        <v/>
      </c>
      <c r="E1050" t="str">
        <f t="shared" si="32"/>
        <v/>
      </c>
      <c r="F1050" t="str">
        <f t="shared" si="33"/>
        <v/>
      </c>
      <c r="G1050" t="str">
        <f>IF($J1050="","",SUMIFS('Hours Log'!$E:$E,'Hours Log'!$A:$A,"&gt;="&amp;$J1050,'Hours Log'!$A:$A,"&lt;"&amp;$J1050+7))</f>
        <v/>
      </c>
      <c r="J1050" t="str">
        <f>IF(COUNT('Hours Log'!$A$4:$A$5000)=0,"",IF(MIN('Hours Log'!$A$4:$A$5000)+7*(ROW()-10)&gt;MAX('Hours Log'!$A$4:$A$5000),"",MIN('Hours Log'!$A$4:$A$5000)+7*(ROW()-10)))</f>
        <v/>
      </c>
    </row>
    <row r="1051" spans="1:10" x14ac:dyDescent="0.25">
      <c r="A1051" t="str">
        <f>IF($J1051="","",YEAR($J1051-WEEKDAY($J1051,2)+4)&amp;"-W"&amp;TEXT(_xludf.ISOWEEKNUM($J1051),"00"))</f>
        <v/>
      </c>
      <c r="B1051"/>
      <c r="C1051" t="str">
        <f>IF($J1051="","",SUMIFS('Hours Log'!$C:$C,'Hours Log'!$A:$A,"&gt;="&amp;$J1051,'Hours Log'!$A:$A,"&lt;"&amp;$J1051+7)+SUMIFS('Hours Log'!$D:$D,'Hours Log'!$A:$A,"&gt;="&amp;$J1051,'Hours Log'!$A:$A,"&lt;"&amp;$J1051+7))</f>
        <v/>
      </c>
      <c r="D1051" t="str">
        <f>IF($J1051="","",SUMIFS('Hours Log'!$D:$D,'Hours Log'!$A:$A,"&gt;="&amp;$J1051,'Hours Log'!$A:$A,"&lt;"&amp;$J1051+7))</f>
        <v/>
      </c>
      <c r="E1051" t="str">
        <f t="shared" si="32"/>
        <v/>
      </c>
      <c r="F1051" t="str">
        <f t="shared" si="33"/>
        <v/>
      </c>
      <c r="G1051" t="str">
        <f>IF($J1051="","",SUMIFS('Hours Log'!$E:$E,'Hours Log'!$A:$A,"&gt;="&amp;$J1051,'Hours Log'!$A:$A,"&lt;"&amp;$J1051+7))</f>
        <v/>
      </c>
      <c r="J1051" t="str">
        <f>IF(COUNT('Hours Log'!$A$4:$A$5000)=0,"",IF(MIN('Hours Log'!$A$4:$A$5000)+7*(ROW()-10)&gt;MAX('Hours Log'!$A$4:$A$5000),"",MIN('Hours Log'!$A$4:$A$5000)+7*(ROW()-10)))</f>
        <v/>
      </c>
    </row>
    <row r="1052" spans="1:10" x14ac:dyDescent="0.25">
      <c r="A1052" t="str">
        <f>IF($J1052="","",YEAR($J1052-WEEKDAY($J1052,2)+4)&amp;"-W"&amp;TEXT(_xludf.ISOWEEKNUM($J1052),"00"))</f>
        <v/>
      </c>
      <c r="B1052"/>
      <c r="C1052" t="str">
        <f>IF($J1052="","",SUMIFS('Hours Log'!$C:$C,'Hours Log'!$A:$A,"&gt;="&amp;$J1052,'Hours Log'!$A:$A,"&lt;"&amp;$J1052+7)+SUMIFS('Hours Log'!$D:$D,'Hours Log'!$A:$A,"&gt;="&amp;$J1052,'Hours Log'!$A:$A,"&lt;"&amp;$J1052+7))</f>
        <v/>
      </c>
      <c r="D1052" t="str">
        <f>IF($J1052="","",SUMIFS('Hours Log'!$D:$D,'Hours Log'!$A:$A,"&gt;="&amp;$J1052,'Hours Log'!$A:$A,"&lt;"&amp;$J1052+7))</f>
        <v/>
      </c>
      <c r="E1052" t="str">
        <f t="shared" si="32"/>
        <v/>
      </c>
      <c r="F1052" t="str">
        <f t="shared" si="33"/>
        <v/>
      </c>
      <c r="G1052" t="str">
        <f>IF($J1052="","",SUMIFS('Hours Log'!$E:$E,'Hours Log'!$A:$A,"&gt;="&amp;$J1052,'Hours Log'!$A:$A,"&lt;"&amp;$J1052+7))</f>
        <v/>
      </c>
      <c r="J1052" t="str">
        <f>IF(COUNT('Hours Log'!$A$4:$A$5000)=0,"",IF(MIN('Hours Log'!$A$4:$A$5000)+7*(ROW()-10)&gt;MAX('Hours Log'!$A$4:$A$5000),"",MIN('Hours Log'!$A$4:$A$5000)+7*(ROW()-10)))</f>
        <v/>
      </c>
    </row>
    <row r="1053" spans="1:10" x14ac:dyDescent="0.25">
      <c r="A1053" t="str">
        <f>IF($J1053="","",YEAR($J1053-WEEKDAY($J1053,2)+4)&amp;"-W"&amp;TEXT(_xludf.ISOWEEKNUM($J1053),"00"))</f>
        <v/>
      </c>
      <c r="B1053"/>
      <c r="C1053" t="str">
        <f>IF($J1053="","",SUMIFS('Hours Log'!$C:$C,'Hours Log'!$A:$A,"&gt;="&amp;$J1053,'Hours Log'!$A:$A,"&lt;"&amp;$J1053+7)+SUMIFS('Hours Log'!$D:$D,'Hours Log'!$A:$A,"&gt;="&amp;$J1053,'Hours Log'!$A:$A,"&lt;"&amp;$J1053+7))</f>
        <v/>
      </c>
      <c r="D1053" t="str">
        <f>IF($J1053="","",SUMIFS('Hours Log'!$D:$D,'Hours Log'!$A:$A,"&gt;="&amp;$J1053,'Hours Log'!$A:$A,"&lt;"&amp;$J1053+7))</f>
        <v/>
      </c>
      <c r="E1053" t="str">
        <f t="shared" si="32"/>
        <v/>
      </c>
      <c r="F1053" t="str">
        <f t="shared" si="33"/>
        <v/>
      </c>
      <c r="G1053" t="str">
        <f>IF($J1053="","",SUMIFS('Hours Log'!$E:$E,'Hours Log'!$A:$A,"&gt;="&amp;$J1053,'Hours Log'!$A:$A,"&lt;"&amp;$J1053+7))</f>
        <v/>
      </c>
      <c r="J1053" t="str">
        <f>IF(COUNT('Hours Log'!$A$4:$A$5000)=0,"",IF(MIN('Hours Log'!$A$4:$A$5000)+7*(ROW()-10)&gt;MAX('Hours Log'!$A$4:$A$5000),"",MIN('Hours Log'!$A$4:$A$5000)+7*(ROW()-10)))</f>
        <v/>
      </c>
    </row>
    <row r="1054" spans="1:10" x14ac:dyDescent="0.25">
      <c r="A1054" t="str">
        <f>IF($J1054="","",YEAR($J1054-WEEKDAY($J1054,2)+4)&amp;"-W"&amp;TEXT(_xludf.ISOWEEKNUM($J1054),"00"))</f>
        <v/>
      </c>
      <c r="B1054"/>
      <c r="C1054" t="str">
        <f>IF($J1054="","",SUMIFS('Hours Log'!$C:$C,'Hours Log'!$A:$A,"&gt;="&amp;$J1054,'Hours Log'!$A:$A,"&lt;"&amp;$J1054+7)+SUMIFS('Hours Log'!$D:$D,'Hours Log'!$A:$A,"&gt;="&amp;$J1054,'Hours Log'!$A:$A,"&lt;"&amp;$J1054+7))</f>
        <v/>
      </c>
      <c r="D1054" t="str">
        <f>IF($J1054="","",SUMIFS('Hours Log'!$D:$D,'Hours Log'!$A:$A,"&gt;="&amp;$J1054,'Hours Log'!$A:$A,"&lt;"&amp;$J1054+7))</f>
        <v/>
      </c>
      <c r="E1054" t="str">
        <f t="shared" si="32"/>
        <v/>
      </c>
      <c r="F1054" t="str">
        <f t="shared" si="33"/>
        <v/>
      </c>
      <c r="G1054" t="str">
        <f>IF($J1054="","",SUMIFS('Hours Log'!$E:$E,'Hours Log'!$A:$A,"&gt;="&amp;$J1054,'Hours Log'!$A:$A,"&lt;"&amp;$J1054+7))</f>
        <v/>
      </c>
      <c r="J1054" t="str">
        <f>IF(COUNT('Hours Log'!$A$4:$A$5000)=0,"",IF(MIN('Hours Log'!$A$4:$A$5000)+7*(ROW()-10)&gt;MAX('Hours Log'!$A$4:$A$5000),"",MIN('Hours Log'!$A$4:$A$5000)+7*(ROW()-10)))</f>
        <v/>
      </c>
    </row>
    <row r="1055" spans="1:10" x14ac:dyDescent="0.25">
      <c r="A1055" t="str">
        <f>IF($J1055="","",YEAR($J1055-WEEKDAY($J1055,2)+4)&amp;"-W"&amp;TEXT(_xludf.ISOWEEKNUM($J1055),"00"))</f>
        <v/>
      </c>
      <c r="B1055"/>
      <c r="C1055" t="str">
        <f>IF($J1055="","",SUMIFS('Hours Log'!$C:$C,'Hours Log'!$A:$A,"&gt;="&amp;$J1055,'Hours Log'!$A:$A,"&lt;"&amp;$J1055+7)+SUMIFS('Hours Log'!$D:$D,'Hours Log'!$A:$A,"&gt;="&amp;$J1055,'Hours Log'!$A:$A,"&lt;"&amp;$J1055+7))</f>
        <v/>
      </c>
      <c r="D1055" t="str">
        <f>IF($J1055="","",SUMIFS('Hours Log'!$D:$D,'Hours Log'!$A:$A,"&gt;="&amp;$J1055,'Hours Log'!$A:$A,"&lt;"&amp;$J1055+7))</f>
        <v/>
      </c>
      <c r="E1055" t="str">
        <f t="shared" si="32"/>
        <v/>
      </c>
      <c r="F1055" t="str">
        <f t="shared" si="33"/>
        <v/>
      </c>
      <c r="G1055" t="str">
        <f>IF($J1055="","",SUMIFS('Hours Log'!$E:$E,'Hours Log'!$A:$A,"&gt;="&amp;$J1055,'Hours Log'!$A:$A,"&lt;"&amp;$J1055+7))</f>
        <v/>
      </c>
      <c r="J1055" t="str">
        <f>IF(COUNT('Hours Log'!$A$4:$A$5000)=0,"",IF(MIN('Hours Log'!$A$4:$A$5000)+7*(ROW()-10)&gt;MAX('Hours Log'!$A$4:$A$5000),"",MIN('Hours Log'!$A$4:$A$5000)+7*(ROW()-10)))</f>
        <v/>
      </c>
    </row>
    <row r="1056" spans="1:10" x14ac:dyDescent="0.25">
      <c r="A1056" t="str">
        <f>IF($J1056="","",YEAR($J1056-WEEKDAY($J1056,2)+4)&amp;"-W"&amp;TEXT(_xludf.ISOWEEKNUM($J1056),"00"))</f>
        <v/>
      </c>
      <c r="B1056"/>
      <c r="C1056" t="str">
        <f>IF($J1056="","",SUMIFS('Hours Log'!$C:$C,'Hours Log'!$A:$A,"&gt;="&amp;$J1056,'Hours Log'!$A:$A,"&lt;"&amp;$J1056+7)+SUMIFS('Hours Log'!$D:$D,'Hours Log'!$A:$A,"&gt;="&amp;$J1056,'Hours Log'!$A:$A,"&lt;"&amp;$J1056+7))</f>
        <v/>
      </c>
      <c r="D1056" t="str">
        <f>IF($J1056="","",SUMIFS('Hours Log'!$D:$D,'Hours Log'!$A:$A,"&gt;="&amp;$J1056,'Hours Log'!$A:$A,"&lt;"&amp;$J1056+7))</f>
        <v/>
      </c>
      <c r="E1056" t="str">
        <f t="shared" si="32"/>
        <v/>
      </c>
      <c r="F1056" t="str">
        <f t="shared" si="33"/>
        <v/>
      </c>
      <c r="G1056" t="str">
        <f>IF($J1056="","",SUMIFS('Hours Log'!$E:$E,'Hours Log'!$A:$A,"&gt;="&amp;$J1056,'Hours Log'!$A:$A,"&lt;"&amp;$J1056+7))</f>
        <v/>
      </c>
      <c r="J1056" t="str">
        <f>IF(COUNT('Hours Log'!$A$4:$A$5000)=0,"",IF(MIN('Hours Log'!$A$4:$A$5000)+7*(ROW()-10)&gt;MAX('Hours Log'!$A$4:$A$5000),"",MIN('Hours Log'!$A$4:$A$5000)+7*(ROW()-10)))</f>
        <v/>
      </c>
    </row>
    <row r="1057" spans="1:10" x14ac:dyDescent="0.25">
      <c r="A1057" t="str">
        <f>IF($J1057="","",YEAR($J1057-WEEKDAY($J1057,2)+4)&amp;"-W"&amp;TEXT(_xludf.ISOWEEKNUM($J1057),"00"))</f>
        <v/>
      </c>
      <c r="B1057"/>
      <c r="C1057" t="str">
        <f>IF($J1057="","",SUMIFS('Hours Log'!$C:$C,'Hours Log'!$A:$A,"&gt;="&amp;$J1057,'Hours Log'!$A:$A,"&lt;"&amp;$J1057+7)+SUMIFS('Hours Log'!$D:$D,'Hours Log'!$A:$A,"&gt;="&amp;$J1057,'Hours Log'!$A:$A,"&lt;"&amp;$J1057+7))</f>
        <v/>
      </c>
      <c r="D1057" t="str">
        <f>IF($J1057="","",SUMIFS('Hours Log'!$D:$D,'Hours Log'!$A:$A,"&gt;="&amp;$J1057,'Hours Log'!$A:$A,"&lt;"&amp;$J1057+7))</f>
        <v/>
      </c>
      <c r="E1057" t="str">
        <f t="shared" si="32"/>
        <v/>
      </c>
      <c r="F1057" t="str">
        <f t="shared" si="33"/>
        <v/>
      </c>
      <c r="G1057" t="str">
        <f>IF($J1057="","",SUMIFS('Hours Log'!$E:$E,'Hours Log'!$A:$A,"&gt;="&amp;$J1057,'Hours Log'!$A:$A,"&lt;"&amp;$J1057+7))</f>
        <v/>
      </c>
      <c r="J1057" t="str">
        <f>IF(COUNT('Hours Log'!$A$4:$A$5000)=0,"",IF(MIN('Hours Log'!$A$4:$A$5000)+7*(ROW()-10)&gt;MAX('Hours Log'!$A$4:$A$5000),"",MIN('Hours Log'!$A$4:$A$5000)+7*(ROW()-10)))</f>
        <v/>
      </c>
    </row>
    <row r="1058" spans="1:10" x14ac:dyDescent="0.25">
      <c r="A1058" t="str">
        <f>IF($J1058="","",YEAR($J1058-WEEKDAY($J1058,2)+4)&amp;"-W"&amp;TEXT(_xludf.ISOWEEKNUM($J1058),"00"))</f>
        <v/>
      </c>
      <c r="B1058"/>
      <c r="C1058" t="str">
        <f>IF($J1058="","",SUMIFS('Hours Log'!$C:$C,'Hours Log'!$A:$A,"&gt;="&amp;$J1058,'Hours Log'!$A:$A,"&lt;"&amp;$J1058+7)+SUMIFS('Hours Log'!$D:$D,'Hours Log'!$A:$A,"&gt;="&amp;$J1058,'Hours Log'!$A:$A,"&lt;"&amp;$J1058+7))</f>
        <v/>
      </c>
      <c r="D1058" t="str">
        <f>IF($J1058="","",SUMIFS('Hours Log'!$D:$D,'Hours Log'!$A:$A,"&gt;="&amp;$J1058,'Hours Log'!$A:$A,"&lt;"&amp;$J1058+7))</f>
        <v/>
      </c>
      <c r="E1058" t="str">
        <f t="shared" si="32"/>
        <v/>
      </c>
      <c r="F1058" t="str">
        <f t="shared" si="33"/>
        <v/>
      </c>
      <c r="G1058" t="str">
        <f>IF($J1058="","",SUMIFS('Hours Log'!$E:$E,'Hours Log'!$A:$A,"&gt;="&amp;$J1058,'Hours Log'!$A:$A,"&lt;"&amp;$J1058+7))</f>
        <v/>
      </c>
      <c r="J1058" t="str">
        <f>IF(COUNT('Hours Log'!$A$4:$A$5000)=0,"",IF(MIN('Hours Log'!$A$4:$A$5000)+7*(ROW()-10)&gt;MAX('Hours Log'!$A$4:$A$5000),"",MIN('Hours Log'!$A$4:$A$5000)+7*(ROW()-10)))</f>
        <v/>
      </c>
    </row>
    <row r="1059" spans="1:10" x14ac:dyDescent="0.25">
      <c r="A1059" t="str">
        <f>IF($J1059="","",YEAR($J1059-WEEKDAY($J1059,2)+4)&amp;"-W"&amp;TEXT(_xludf.ISOWEEKNUM($J1059),"00"))</f>
        <v/>
      </c>
      <c r="B1059"/>
      <c r="C1059" t="str">
        <f>IF($J1059="","",SUMIFS('Hours Log'!$C:$C,'Hours Log'!$A:$A,"&gt;="&amp;$J1059,'Hours Log'!$A:$A,"&lt;"&amp;$J1059+7)+SUMIFS('Hours Log'!$D:$D,'Hours Log'!$A:$A,"&gt;="&amp;$J1059,'Hours Log'!$A:$A,"&lt;"&amp;$J1059+7))</f>
        <v/>
      </c>
      <c r="D1059" t="str">
        <f>IF($J1059="","",SUMIFS('Hours Log'!$D:$D,'Hours Log'!$A:$A,"&gt;="&amp;$J1059,'Hours Log'!$A:$A,"&lt;"&amp;$J1059+7))</f>
        <v/>
      </c>
      <c r="E1059" t="str">
        <f t="shared" si="32"/>
        <v/>
      </c>
      <c r="F1059" t="str">
        <f t="shared" si="33"/>
        <v/>
      </c>
      <c r="G1059" t="str">
        <f>IF($J1059="","",SUMIFS('Hours Log'!$E:$E,'Hours Log'!$A:$A,"&gt;="&amp;$J1059,'Hours Log'!$A:$A,"&lt;"&amp;$J1059+7))</f>
        <v/>
      </c>
      <c r="J1059" t="str">
        <f>IF(COUNT('Hours Log'!$A$4:$A$5000)=0,"",IF(MIN('Hours Log'!$A$4:$A$5000)+7*(ROW()-10)&gt;MAX('Hours Log'!$A$4:$A$5000),"",MIN('Hours Log'!$A$4:$A$5000)+7*(ROW()-10)))</f>
        <v/>
      </c>
    </row>
    <row r="1060" spans="1:10" x14ac:dyDescent="0.25">
      <c r="A1060" t="str">
        <f>IF($J1060="","",YEAR($J1060-WEEKDAY($J1060,2)+4)&amp;"-W"&amp;TEXT(_xludf.ISOWEEKNUM($J1060),"00"))</f>
        <v/>
      </c>
      <c r="B1060"/>
      <c r="C1060" t="str">
        <f>IF($J1060="","",SUMIFS('Hours Log'!$C:$C,'Hours Log'!$A:$A,"&gt;="&amp;$J1060,'Hours Log'!$A:$A,"&lt;"&amp;$J1060+7)+SUMIFS('Hours Log'!$D:$D,'Hours Log'!$A:$A,"&gt;="&amp;$J1060,'Hours Log'!$A:$A,"&lt;"&amp;$J1060+7))</f>
        <v/>
      </c>
      <c r="D1060" t="str">
        <f>IF($J1060="","",SUMIFS('Hours Log'!$D:$D,'Hours Log'!$A:$A,"&gt;="&amp;$J1060,'Hours Log'!$A:$A,"&lt;"&amp;$J1060+7))</f>
        <v/>
      </c>
      <c r="E1060" t="str">
        <f t="shared" si="32"/>
        <v/>
      </c>
      <c r="F1060" t="str">
        <f t="shared" si="33"/>
        <v/>
      </c>
      <c r="G1060" t="str">
        <f>IF($J1060="","",SUMIFS('Hours Log'!$E:$E,'Hours Log'!$A:$A,"&gt;="&amp;$J1060,'Hours Log'!$A:$A,"&lt;"&amp;$J1060+7))</f>
        <v/>
      </c>
      <c r="J1060" t="str">
        <f>IF(COUNT('Hours Log'!$A$4:$A$5000)=0,"",IF(MIN('Hours Log'!$A$4:$A$5000)+7*(ROW()-10)&gt;MAX('Hours Log'!$A$4:$A$5000),"",MIN('Hours Log'!$A$4:$A$5000)+7*(ROW()-10)))</f>
        <v/>
      </c>
    </row>
    <row r="1061" spans="1:10" x14ac:dyDescent="0.25">
      <c r="A1061" t="str">
        <f>IF($J1061="","",YEAR($J1061-WEEKDAY($J1061,2)+4)&amp;"-W"&amp;TEXT(_xludf.ISOWEEKNUM($J1061),"00"))</f>
        <v/>
      </c>
      <c r="B1061"/>
      <c r="C1061" t="str">
        <f>IF($J1061="","",SUMIFS('Hours Log'!$C:$C,'Hours Log'!$A:$A,"&gt;="&amp;$J1061,'Hours Log'!$A:$A,"&lt;"&amp;$J1061+7)+SUMIFS('Hours Log'!$D:$D,'Hours Log'!$A:$A,"&gt;="&amp;$J1061,'Hours Log'!$A:$A,"&lt;"&amp;$J1061+7))</f>
        <v/>
      </c>
      <c r="D1061" t="str">
        <f>IF($J1061="","",SUMIFS('Hours Log'!$D:$D,'Hours Log'!$A:$A,"&gt;="&amp;$J1061,'Hours Log'!$A:$A,"&lt;"&amp;$J1061+7))</f>
        <v/>
      </c>
      <c r="E1061" t="str">
        <f t="shared" si="32"/>
        <v/>
      </c>
      <c r="F1061" t="str">
        <f t="shared" si="33"/>
        <v/>
      </c>
      <c r="G1061" t="str">
        <f>IF($J1061="","",SUMIFS('Hours Log'!$E:$E,'Hours Log'!$A:$A,"&gt;="&amp;$J1061,'Hours Log'!$A:$A,"&lt;"&amp;$J1061+7))</f>
        <v/>
      </c>
      <c r="J1061" t="str">
        <f>IF(COUNT('Hours Log'!$A$4:$A$5000)=0,"",IF(MIN('Hours Log'!$A$4:$A$5000)+7*(ROW()-10)&gt;MAX('Hours Log'!$A$4:$A$5000),"",MIN('Hours Log'!$A$4:$A$5000)+7*(ROW()-10)))</f>
        <v/>
      </c>
    </row>
    <row r="1062" spans="1:10" x14ac:dyDescent="0.25">
      <c r="A1062" t="str">
        <f>IF($J1062="","",YEAR($J1062-WEEKDAY($J1062,2)+4)&amp;"-W"&amp;TEXT(_xludf.ISOWEEKNUM($J1062),"00"))</f>
        <v/>
      </c>
      <c r="B1062"/>
      <c r="C1062" t="str">
        <f>IF($J1062="","",SUMIFS('Hours Log'!$C:$C,'Hours Log'!$A:$A,"&gt;="&amp;$J1062,'Hours Log'!$A:$A,"&lt;"&amp;$J1062+7)+SUMIFS('Hours Log'!$D:$D,'Hours Log'!$A:$A,"&gt;="&amp;$J1062,'Hours Log'!$A:$A,"&lt;"&amp;$J1062+7))</f>
        <v/>
      </c>
      <c r="D1062" t="str">
        <f>IF($J1062="","",SUMIFS('Hours Log'!$D:$D,'Hours Log'!$A:$A,"&gt;="&amp;$J1062,'Hours Log'!$A:$A,"&lt;"&amp;$J1062+7))</f>
        <v/>
      </c>
      <c r="E1062" t="str">
        <f t="shared" si="32"/>
        <v/>
      </c>
      <c r="F1062" t="str">
        <f t="shared" si="33"/>
        <v/>
      </c>
      <c r="G1062" t="str">
        <f>IF($J1062="","",SUMIFS('Hours Log'!$E:$E,'Hours Log'!$A:$A,"&gt;="&amp;$J1062,'Hours Log'!$A:$A,"&lt;"&amp;$J1062+7))</f>
        <v/>
      </c>
      <c r="J1062" t="str">
        <f>IF(COUNT('Hours Log'!$A$4:$A$5000)=0,"",IF(MIN('Hours Log'!$A$4:$A$5000)+7*(ROW()-10)&gt;MAX('Hours Log'!$A$4:$A$5000),"",MIN('Hours Log'!$A$4:$A$5000)+7*(ROW()-10)))</f>
        <v/>
      </c>
    </row>
    <row r="1063" spans="1:10" x14ac:dyDescent="0.25">
      <c r="A1063" t="str">
        <f>IF($J1063="","",YEAR($J1063-WEEKDAY($J1063,2)+4)&amp;"-W"&amp;TEXT(_xludf.ISOWEEKNUM($J1063),"00"))</f>
        <v/>
      </c>
      <c r="B1063"/>
      <c r="C1063" t="str">
        <f>IF($J1063="","",SUMIFS('Hours Log'!$C:$C,'Hours Log'!$A:$A,"&gt;="&amp;$J1063,'Hours Log'!$A:$A,"&lt;"&amp;$J1063+7)+SUMIFS('Hours Log'!$D:$D,'Hours Log'!$A:$A,"&gt;="&amp;$J1063,'Hours Log'!$A:$A,"&lt;"&amp;$J1063+7))</f>
        <v/>
      </c>
      <c r="D1063" t="str">
        <f>IF($J1063="","",SUMIFS('Hours Log'!$D:$D,'Hours Log'!$A:$A,"&gt;="&amp;$J1063,'Hours Log'!$A:$A,"&lt;"&amp;$J1063+7))</f>
        <v/>
      </c>
      <c r="E1063" t="str">
        <f t="shared" si="32"/>
        <v/>
      </c>
      <c r="F1063" t="str">
        <f t="shared" si="33"/>
        <v/>
      </c>
      <c r="G1063" t="str">
        <f>IF($J1063="","",SUMIFS('Hours Log'!$E:$E,'Hours Log'!$A:$A,"&gt;="&amp;$J1063,'Hours Log'!$A:$A,"&lt;"&amp;$J1063+7))</f>
        <v/>
      </c>
      <c r="J1063" t="str">
        <f>IF(COUNT('Hours Log'!$A$4:$A$5000)=0,"",IF(MIN('Hours Log'!$A$4:$A$5000)+7*(ROW()-10)&gt;MAX('Hours Log'!$A$4:$A$5000),"",MIN('Hours Log'!$A$4:$A$5000)+7*(ROW()-10)))</f>
        <v/>
      </c>
    </row>
    <row r="1064" spans="1:10" x14ac:dyDescent="0.25">
      <c r="A1064" t="str">
        <f>IF($J1064="","",YEAR($J1064-WEEKDAY($J1064,2)+4)&amp;"-W"&amp;TEXT(_xludf.ISOWEEKNUM($J1064),"00"))</f>
        <v/>
      </c>
      <c r="B1064"/>
      <c r="C1064" t="str">
        <f>IF($J1064="","",SUMIFS('Hours Log'!$C:$C,'Hours Log'!$A:$A,"&gt;="&amp;$J1064,'Hours Log'!$A:$A,"&lt;"&amp;$J1064+7)+SUMIFS('Hours Log'!$D:$D,'Hours Log'!$A:$A,"&gt;="&amp;$J1064,'Hours Log'!$A:$A,"&lt;"&amp;$J1064+7))</f>
        <v/>
      </c>
      <c r="D1064" t="str">
        <f>IF($J1064="","",SUMIFS('Hours Log'!$D:$D,'Hours Log'!$A:$A,"&gt;="&amp;$J1064,'Hours Log'!$A:$A,"&lt;"&amp;$J1064+7))</f>
        <v/>
      </c>
      <c r="E1064" t="str">
        <f t="shared" si="32"/>
        <v/>
      </c>
      <c r="F1064" t="str">
        <f t="shared" si="33"/>
        <v/>
      </c>
      <c r="G1064" t="str">
        <f>IF($J1064="","",SUMIFS('Hours Log'!$E:$E,'Hours Log'!$A:$A,"&gt;="&amp;$J1064,'Hours Log'!$A:$A,"&lt;"&amp;$J1064+7))</f>
        <v/>
      </c>
      <c r="J1064" t="str">
        <f>IF(COUNT('Hours Log'!$A$4:$A$5000)=0,"",IF(MIN('Hours Log'!$A$4:$A$5000)+7*(ROW()-10)&gt;MAX('Hours Log'!$A$4:$A$5000),"",MIN('Hours Log'!$A$4:$A$5000)+7*(ROW()-10)))</f>
        <v/>
      </c>
    </row>
    <row r="1065" spans="1:10" x14ac:dyDescent="0.25">
      <c r="A1065" t="str">
        <f>IF($J1065="","",YEAR($J1065-WEEKDAY($J1065,2)+4)&amp;"-W"&amp;TEXT(_xludf.ISOWEEKNUM($J1065),"00"))</f>
        <v/>
      </c>
      <c r="B1065"/>
      <c r="C1065" t="str">
        <f>IF($J1065="","",SUMIFS('Hours Log'!$C:$C,'Hours Log'!$A:$A,"&gt;="&amp;$J1065,'Hours Log'!$A:$A,"&lt;"&amp;$J1065+7)+SUMIFS('Hours Log'!$D:$D,'Hours Log'!$A:$A,"&gt;="&amp;$J1065,'Hours Log'!$A:$A,"&lt;"&amp;$J1065+7))</f>
        <v/>
      </c>
      <c r="D1065" t="str">
        <f>IF($J1065="","",SUMIFS('Hours Log'!$D:$D,'Hours Log'!$A:$A,"&gt;="&amp;$J1065,'Hours Log'!$A:$A,"&lt;"&amp;$J1065+7))</f>
        <v/>
      </c>
      <c r="E1065" t="str">
        <f t="shared" si="32"/>
        <v/>
      </c>
      <c r="F1065" t="str">
        <f t="shared" si="33"/>
        <v/>
      </c>
      <c r="G1065" t="str">
        <f>IF($J1065="","",SUMIFS('Hours Log'!$E:$E,'Hours Log'!$A:$A,"&gt;="&amp;$J1065,'Hours Log'!$A:$A,"&lt;"&amp;$J1065+7))</f>
        <v/>
      </c>
      <c r="J1065" t="str">
        <f>IF(COUNT('Hours Log'!$A$4:$A$5000)=0,"",IF(MIN('Hours Log'!$A$4:$A$5000)+7*(ROW()-10)&gt;MAX('Hours Log'!$A$4:$A$5000),"",MIN('Hours Log'!$A$4:$A$5000)+7*(ROW()-10)))</f>
        <v/>
      </c>
    </row>
    <row r="1066" spans="1:10" x14ac:dyDescent="0.25">
      <c r="A1066" t="str">
        <f>IF($J1066="","",YEAR($J1066-WEEKDAY($J1066,2)+4)&amp;"-W"&amp;TEXT(_xludf.ISOWEEKNUM($J1066),"00"))</f>
        <v/>
      </c>
      <c r="B1066"/>
      <c r="C1066" t="str">
        <f>IF($J1066="","",SUMIFS('Hours Log'!$C:$C,'Hours Log'!$A:$A,"&gt;="&amp;$J1066,'Hours Log'!$A:$A,"&lt;"&amp;$J1066+7)+SUMIFS('Hours Log'!$D:$D,'Hours Log'!$A:$A,"&gt;="&amp;$J1066,'Hours Log'!$A:$A,"&lt;"&amp;$J1066+7))</f>
        <v/>
      </c>
      <c r="D1066" t="str">
        <f>IF($J1066="","",SUMIFS('Hours Log'!$D:$D,'Hours Log'!$A:$A,"&gt;="&amp;$J1066,'Hours Log'!$A:$A,"&lt;"&amp;$J1066+7))</f>
        <v/>
      </c>
      <c r="E1066" t="str">
        <f t="shared" si="32"/>
        <v/>
      </c>
      <c r="F1066" t="str">
        <f t="shared" si="33"/>
        <v/>
      </c>
      <c r="G1066" t="str">
        <f>IF($J1066="","",SUMIFS('Hours Log'!$E:$E,'Hours Log'!$A:$A,"&gt;="&amp;$J1066,'Hours Log'!$A:$A,"&lt;"&amp;$J1066+7))</f>
        <v/>
      </c>
      <c r="J1066" t="str">
        <f>IF(COUNT('Hours Log'!$A$4:$A$5000)=0,"",IF(MIN('Hours Log'!$A$4:$A$5000)+7*(ROW()-10)&gt;MAX('Hours Log'!$A$4:$A$5000),"",MIN('Hours Log'!$A$4:$A$5000)+7*(ROW()-10)))</f>
        <v/>
      </c>
    </row>
    <row r="1067" spans="1:10" x14ac:dyDescent="0.25">
      <c r="A1067" t="str">
        <f>IF($J1067="","",YEAR($J1067-WEEKDAY($J1067,2)+4)&amp;"-W"&amp;TEXT(_xludf.ISOWEEKNUM($J1067),"00"))</f>
        <v/>
      </c>
      <c r="B1067"/>
      <c r="C1067" t="str">
        <f>IF($J1067="","",SUMIFS('Hours Log'!$C:$C,'Hours Log'!$A:$A,"&gt;="&amp;$J1067,'Hours Log'!$A:$A,"&lt;"&amp;$J1067+7)+SUMIFS('Hours Log'!$D:$D,'Hours Log'!$A:$A,"&gt;="&amp;$J1067,'Hours Log'!$A:$A,"&lt;"&amp;$J1067+7))</f>
        <v/>
      </c>
      <c r="D1067" t="str">
        <f>IF($J1067="","",SUMIFS('Hours Log'!$D:$D,'Hours Log'!$A:$A,"&gt;="&amp;$J1067,'Hours Log'!$A:$A,"&lt;"&amp;$J1067+7))</f>
        <v/>
      </c>
      <c r="E1067" t="str">
        <f t="shared" si="32"/>
        <v/>
      </c>
      <c r="F1067" t="str">
        <f t="shared" si="33"/>
        <v/>
      </c>
      <c r="G1067" t="str">
        <f>IF($J1067="","",SUMIFS('Hours Log'!$E:$E,'Hours Log'!$A:$A,"&gt;="&amp;$J1067,'Hours Log'!$A:$A,"&lt;"&amp;$J1067+7))</f>
        <v/>
      </c>
      <c r="J1067" t="str">
        <f>IF(COUNT('Hours Log'!$A$4:$A$5000)=0,"",IF(MIN('Hours Log'!$A$4:$A$5000)+7*(ROW()-10)&gt;MAX('Hours Log'!$A$4:$A$5000),"",MIN('Hours Log'!$A$4:$A$5000)+7*(ROW()-10)))</f>
        <v/>
      </c>
    </row>
    <row r="1068" spans="1:10" x14ac:dyDescent="0.25">
      <c r="A1068" t="str">
        <f>IF($J1068="","",YEAR($J1068-WEEKDAY($J1068,2)+4)&amp;"-W"&amp;TEXT(_xludf.ISOWEEKNUM($J1068),"00"))</f>
        <v/>
      </c>
      <c r="B1068"/>
      <c r="C1068" t="str">
        <f>IF($J1068="","",SUMIFS('Hours Log'!$C:$C,'Hours Log'!$A:$A,"&gt;="&amp;$J1068,'Hours Log'!$A:$A,"&lt;"&amp;$J1068+7)+SUMIFS('Hours Log'!$D:$D,'Hours Log'!$A:$A,"&gt;="&amp;$J1068,'Hours Log'!$A:$A,"&lt;"&amp;$J1068+7))</f>
        <v/>
      </c>
      <c r="D1068" t="str">
        <f>IF($J1068="","",SUMIFS('Hours Log'!$D:$D,'Hours Log'!$A:$A,"&gt;="&amp;$J1068,'Hours Log'!$A:$A,"&lt;"&amp;$J1068+7))</f>
        <v/>
      </c>
      <c r="E1068" t="str">
        <f t="shared" si="32"/>
        <v/>
      </c>
      <c r="F1068" t="str">
        <f t="shared" si="33"/>
        <v/>
      </c>
      <c r="G1068" t="str">
        <f>IF($J1068="","",SUMIFS('Hours Log'!$E:$E,'Hours Log'!$A:$A,"&gt;="&amp;$J1068,'Hours Log'!$A:$A,"&lt;"&amp;$J1068+7))</f>
        <v/>
      </c>
      <c r="J1068" t="str">
        <f>IF(COUNT('Hours Log'!$A$4:$A$5000)=0,"",IF(MIN('Hours Log'!$A$4:$A$5000)+7*(ROW()-10)&gt;MAX('Hours Log'!$A$4:$A$5000),"",MIN('Hours Log'!$A$4:$A$5000)+7*(ROW()-10)))</f>
        <v/>
      </c>
    </row>
    <row r="1069" spans="1:10" x14ac:dyDescent="0.25">
      <c r="A1069" t="str">
        <f>IF($J1069="","",YEAR($J1069-WEEKDAY($J1069,2)+4)&amp;"-W"&amp;TEXT(_xludf.ISOWEEKNUM($J1069),"00"))</f>
        <v/>
      </c>
      <c r="B1069"/>
      <c r="C1069" t="str">
        <f>IF($J1069="","",SUMIFS('Hours Log'!$C:$C,'Hours Log'!$A:$A,"&gt;="&amp;$J1069,'Hours Log'!$A:$A,"&lt;"&amp;$J1069+7)+SUMIFS('Hours Log'!$D:$D,'Hours Log'!$A:$A,"&gt;="&amp;$J1069,'Hours Log'!$A:$A,"&lt;"&amp;$J1069+7))</f>
        <v/>
      </c>
      <c r="D1069" t="str">
        <f>IF($J1069="","",SUMIFS('Hours Log'!$D:$D,'Hours Log'!$A:$A,"&gt;="&amp;$J1069,'Hours Log'!$A:$A,"&lt;"&amp;$J1069+7))</f>
        <v/>
      </c>
      <c r="E1069" t="str">
        <f t="shared" si="32"/>
        <v/>
      </c>
      <c r="F1069" t="str">
        <f t="shared" si="33"/>
        <v/>
      </c>
      <c r="G1069" t="str">
        <f>IF($J1069="","",SUMIFS('Hours Log'!$E:$E,'Hours Log'!$A:$A,"&gt;="&amp;$J1069,'Hours Log'!$A:$A,"&lt;"&amp;$J1069+7))</f>
        <v/>
      </c>
      <c r="J1069" t="str">
        <f>IF(COUNT('Hours Log'!$A$4:$A$5000)=0,"",IF(MIN('Hours Log'!$A$4:$A$5000)+7*(ROW()-10)&gt;MAX('Hours Log'!$A$4:$A$5000),"",MIN('Hours Log'!$A$4:$A$5000)+7*(ROW()-10)))</f>
        <v/>
      </c>
    </row>
    <row r="1070" spans="1:10" x14ac:dyDescent="0.25">
      <c r="A1070" t="str">
        <f>IF($J1070="","",YEAR($J1070-WEEKDAY($J1070,2)+4)&amp;"-W"&amp;TEXT(_xludf.ISOWEEKNUM($J1070),"00"))</f>
        <v/>
      </c>
      <c r="B1070"/>
      <c r="C1070" t="str">
        <f>IF($J1070="","",SUMIFS('Hours Log'!$C:$C,'Hours Log'!$A:$A,"&gt;="&amp;$J1070,'Hours Log'!$A:$A,"&lt;"&amp;$J1070+7)+SUMIFS('Hours Log'!$D:$D,'Hours Log'!$A:$A,"&gt;="&amp;$J1070,'Hours Log'!$A:$A,"&lt;"&amp;$J1070+7))</f>
        <v/>
      </c>
      <c r="D1070" t="str">
        <f>IF($J1070="","",SUMIFS('Hours Log'!$D:$D,'Hours Log'!$A:$A,"&gt;="&amp;$J1070,'Hours Log'!$A:$A,"&lt;"&amp;$J1070+7))</f>
        <v/>
      </c>
      <c r="E1070" t="str">
        <f t="shared" si="32"/>
        <v/>
      </c>
      <c r="F1070" t="str">
        <f t="shared" si="33"/>
        <v/>
      </c>
      <c r="G1070" t="str">
        <f>IF($J1070="","",SUMIFS('Hours Log'!$E:$E,'Hours Log'!$A:$A,"&gt;="&amp;$J1070,'Hours Log'!$A:$A,"&lt;"&amp;$J1070+7))</f>
        <v/>
      </c>
      <c r="J1070" t="str">
        <f>IF(COUNT('Hours Log'!$A$4:$A$5000)=0,"",IF(MIN('Hours Log'!$A$4:$A$5000)+7*(ROW()-10)&gt;MAX('Hours Log'!$A$4:$A$5000),"",MIN('Hours Log'!$A$4:$A$5000)+7*(ROW()-10)))</f>
        <v/>
      </c>
    </row>
    <row r="1071" spans="1:10" x14ac:dyDescent="0.25">
      <c r="A1071" t="str">
        <f>IF($J1071="","",YEAR($J1071-WEEKDAY($J1071,2)+4)&amp;"-W"&amp;TEXT(_xludf.ISOWEEKNUM($J1071),"00"))</f>
        <v/>
      </c>
      <c r="B1071"/>
      <c r="C1071" t="str">
        <f>IF($J1071="","",SUMIFS('Hours Log'!$C:$C,'Hours Log'!$A:$A,"&gt;="&amp;$J1071,'Hours Log'!$A:$A,"&lt;"&amp;$J1071+7)+SUMIFS('Hours Log'!$D:$D,'Hours Log'!$A:$A,"&gt;="&amp;$J1071,'Hours Log'!$A:$A,"&lt;"&amp;$J1071+7))</f>
        <v/>
      </c>
      <c r="D1071" t="str">
        <f>IF($J1071="","",SUMIFS('Hours Log'!$D:$D,'Hours Log'!$A:$A,"&gt;="&amp;$J1071,'Hours Log'!$A:$A,"&lt;"&amp;$J1071+7))</f>
        <v/>
      </c>
      <c r="E1071" t="str">
        <f t="shared" si="32"/>
        <v/>
      </c>
      <c r="F1071" t="str">
        <f t="shared" si="33"/>
        <v/>
      </c>
      <c r="G1071" t="str">
        <f>IF($J1071="","",SUMIFS('Hours Log'!$E:$E,'Hours Log'!$A:$A,"&gt;="&amp;$J1071,'Hours Log'!$A:$A,"&lt;"&amp;$J1071+7))</f>
        <v/>
      </c>
      <c r="J1071" t="str">
        <f>IF(COUNT('Hours Log'!$A$4:$A$5000)=0,"",IF(MIN('Hours Log'!$A$4:$A$5000)+7*(ROW()-10)&gt;MAX('Hours Log'!$A$4:$A$5000),"",MIN('Hours Log'!$A$4:$A$5000)+7*(ROW()-10)))</f>
        <v/>
      </c>
    </row>
    <row r="1072" spans="1:10" x14ac:dyDescent="0.25">
      <c r="A1072" t="str">
        <f>IF($J1072="","",YEAR($J1072-WEEKDAY($J1072,2)+4)&amp;"-W"&amp;TEXT(_xludf.ISOWEEKNUM($J1072),"00"))</f>
        <v/>
      </c>
      <c r="B1072"/>
      <c r="C1072" t="str">
        <f>IF($J1072="","",SUMIFS('Hours Log'!$C:$C,'Hours Log'!$A:$A,"&gt;="&amp;$J1072,'Hours Log'!$A:$A,"&lt;"&amp;$J1072+7)+SUMIFS('Hours Log'!$D:$D,'Hours Log'!$A:$A,"&gt;="&amp;$J1072,'Hours Log'!$A:$A,"&lt;"&amp;$J1072+7))</f>
        <v/>
      </c>
      <c r="D1072" t="str">
        <f>IF($J1072="","",SUMIFS('Hours Log'!$D:$D,'Hours Log'!$A:$A,"&gt;="&amp;$J1072,'Hours Log'!$A:$A,"&lt;"&amp;$J1072+7))</f>
        <v/>
      </c>
      <c r="E1072" t="str">
        <f t="shared" si="32"/>
        <v/>
      </c>
      <c r="F1072" t="str">
        <f t="shared" si="33"/>
        <v/>
      </c>
      <c r="G1072" t="str">
        <f>IF($J1072="","",SUMIFS('Hours Log'!$E:$E,'Hours Log'!$A:$A,"&gt;="&amp;$J1072,'Hours Log'!$A:$A,"&lt;"&amp;$J1072+7))</f>
        <v/>
      </c>
      <c r="J1072" t="str">
        <f>IF(COUNT('Hours Log'!$A$4:$A$5000)=0,"",IF(MIN('Hours Log'!$A$4:$A$5000)+7*(ROW()-10)&gt;MAX('Hours Log'!$A$4:$A$5000),"",MIN('Hours Log'!$A$4:$A$5000)+7*(ROW()-10)))</f>
        <v/>
      </c>
    </row>
    <row r="1073" spans="1:10" x14ac:dyDescent="0.25">
      <c r="A1073" t="str">
        <f>IF($J1073="","",YEAR($J1073-WEEKDAY($J1073,2)+4)&amp;"-W"&amp;TEXT(_xludf.ISOWEEKNUM($J1073),"00"))</f>
        <v/>
      </c>
      <c r="B1073"/>
      <c r="C1073" t="str">
        <f>IF($J1073="","",SUMIFS('Hours Log'!$C:$C,'Hours Log'!$A:$A,"&gt;="&amp;$J1073,'Hours Log'!$A:$A,"&lt;"&amp;$J1073+7)+SUMIFS('Hours Log'!$D:$D,'Hours Log'!$A:$A,"&gt;="&amp;$J1073,'Hours Log'!$A:$A,"&lt;"&amp;$J1073+7))</f>
        <v/>
      </c>
      <c r="D1073" t="str">
        <f>IF($J1073="","",SUMIFS('Hours Log'!$D:$D,'Hours Log'!$A:$A,"&gt;="&amp;$J1073,'Hours Log'!$A:$A,"&lt;"&amp;$J1073+7))</f>
        <v/>
      </c>
      <c r="E1073" t="str">
        <f t="shared" si="32"/>
        <v/>
      </c>
      <c r="F1073" t="str">
        <f t="shared" si="33"/>
        <v/>
      </c>
      <c r="G1073" t="str">
        <f>IF($J1073="","",SUMIFS('Hours Log'!$E:$E,'Hours Log'!$A:$A,"&gt;="&amp;$J1073,'Hours Log'!$A:$A,"&lt;"&amp;$J1073+7))</f>
        <v/>
      </c>
      <c r="J1073" t="str">
        <f>IF(COUNT('Hours Log'!$A$4:$A$5000)=0,"",IF(MIN('Hours Log'!$A$4:$A$5000)+7*(ROW()-10)&gt;MAX('Hours Log'!$A$4:$A$5000),"",MIN('Hours Log'!$A$4:$A$5000)+7*(ROW()-10)))</f>
        <v/>
      </c>
    </row>
    <row r="1074" spans="1:10" x14ac:dyDescent="0.25">
      <c r="A1074" t="str">
        <f>IF($J1074="","",YEAR($J1074-WEEKDAY($J1074,2)+4)&amp;"-W"&amp;TEXT(_xludf.ISOWEEKNUM($J1074),"00"))</f>
        <v/>
      </c>
      <c r="B1074"/>
      <c r="C1074" t="str">
        <f>IF($J1074="","",SUMIFS('Hours Log'!$C:$C,'Hours Log'!$A:$A,"&gt;="&amp;$J1074,'Hours Log'!$A:$A,"&lt;"&amp;$J1074+7)+SUMIFS('Hours Log'!$D:$D,'Hours Log'!$A:$A,"&gt;="&amp;$J1074,'Hours Log'!$A:$A,"&lt;"&amp;$J1074+7))</f>
        <v/>
      </c>
      <c r="D1074" t="str">
        <f>IF($J1074="","",SUMIFS('Hours Log'!$D:$D,'Hours Log'!$A:$A,"&gt;="&amp;$J1074,'Hours Log'!$A:$A,"&lt;"&amp;$J1074+7))</f>
        <v/>
      </c>
      <c r="E1074" t="str">
        <f t="shared" si="32"/>
        <v/>
      </c>
      <c r="F1074" t="str">
        <f t="shared" si="33"/>
        <v/>
      </c>
      <c r="G1074" t="str">
        <f>IF($J1074="","",SUMIFS('Hours Log'!$E:$E,'Hours Log'!$A:$A,"&gt;="&amp;$J1074,'Hours Log'!$A:$A,"&lt;"&amp;$J1074+7))</f>
        <v/>
      </c>
      <c r="J1074" t="str">
        <f>IF(COUNT('Hours Log'!$A$4:$A$5000)=0,"",IF(MIN('Hours Log'!$A$4:$A$5000)+7*(ROW()-10)&gt;MAX('Hours Log'!$A$4:$A$5000),"",MIN('Hours Log'!$A$4:$A$5000)+7*(ROW()-10)))</f>
        <v/>
      </c>
    </row>
    <row r="1075" spans="1:10" x14ac:dyDescent="0.25">
      <c r="A1075" t="str">
        <f>IF($J1075="","",YEAR($J1075-WEEKDAY($J1075,2)+4)&amp;"-W"&amp;TEXT(_xludf.ISOWEEKNUM($J1075),"00"))</f>
        <v/>
      </c>
      <c r="B1075"/>
      <c r="C1075" t="str">
        <f>IF($J1075="","",SUMIFS('Hours Log'!$C:$C,'Hours Log'!$A:$A,"&gt;="&amp;$J1075,'Hours Log'!$A:$A,"&lt;"&amp;$J1075+7)+SUMIFS('Hours Log'!$D:$D,'Hours Log'!$A:$A,"&gt;="&amp;$J1075,'Hours Log'!$A:$A,"&lt;"&amp;$J1075+7))</f>
        <v/>
      </c>
      <c r="D1075" t="str">
        <f>IF($J1075="","",SUMIFS('Hours Log'!$D:$D,'Hours Log'!$A:$A,"&gt;="&amp;$J1075,'Hours Log'!$A:$A,"&lt;"&amp;$J1075+7))</f>
        <v/>
      </c>
      <c r="E1075" t="str">
        <f t="shared" si="32"/>
        <v/>
      </c>
      <c r="F1075" t="str">
        <f t="shared" si="33"/>
        <v/>
      </c>
      <c r="G1075" t="str">
        <f>IF($J1075="","",SUMIFS('Hours Log'!$E:$E,'Hours Log'!$A:$A,"&gt;="&amp;$J1075,'Hours Log'!$A:$A,"&lt;"&amp;$J1075+7))</f>
        <v/>
      </c>
      <c r="J1075" t="str">
        <f>IF(COUNT('Hours Log'!$A$4:$A$5000)=0,"",IF(MIN('Hours Log'!$A$4:$A$5000)+7*(ROW()-10)&gt;MAX('Hours Log'!$A$4:$A$5000),"",MIN('Hours Log'!$A$4:$A$5000)+7*(ROW()-10)))</f>
        <v/>
      </c>
    </row>
    <row r="1076" spans="1:10" x14ac:dyDescent="0.25">
      <c r="A1076" t="str">
        <f>IF($J1076="","",YEAR($J1076-WEEKDAY($J1076,2)+4)&amp;"-W"&amp;TEXT(_xludf.ISOWEEKNUM($J1076),"00"))</f>
        <v/>
      </c>
      <c r="B1076"/>
      <c r="C1076" t="str">
        <f>IF($J1076="","",SUMIFS('Hours Log'!$C:$C,'Hours Log'!$A:$A,"&gt;="&amp;$J1076,'Hours Log'!$A:$A,"&lt;"&amp;$J1076+7)+SUMIFS('Hours Log'!$D:$D,'Hours Log'!$A:$A,"&gt;="&amp;$J1076,'Hours Log'!$A:$A,"&lt;"&amp;$J1076+7))</f>
        <v/>
      </c>
      <c r="D1076" t="str">
        <f>IF($J1076="","",SUMIFS('Hours Log'!$D:$D,'Hours Log'!$A:$A,"&gt;="&amp;$J1076,'Hours Log'!$A:$A,"&lt;"&amp;$J1076+7))</f>
        <v/>
      </c>
      <c r="E1076" t="str">
        <f t="shared" si="32"/>
        <v/>
      </c>
      <c r="F1076" t="str">
        <f t="shared" si="33"/>
        <v/>
      </c>
      <c r="G1076" t="str">
        <f>IF($J1076="","",SUMIFS('Hours Log'!$E:$E,'Hours Log'!$A:$A,"&gt;="&amp;$J1076,'Hours Log'!$A:$A,"&lt;"&amp;$J1076+7))</f>
        <v/>
      </c>
      <c r="J1076" t="str">
        <f>IF(COUNT('Hours Log'!$A$4:$A$5000)=0,"",IF(MIN('Hours Log'!$A$4:$A$5000)+7*(ROW()-10)&gt;MAX('Hours Log'!$A$4:$A$5000),"",MIN('Hours Log'!$A$4:$A$5000)+7*(ROW()-10)))</f>
        <v/>
      </c>
    </row>
    <row r="1077" spans="1:10" x14ac:dyDescent="0.25">
      <c r="A1077" t="str">
        <f>IF($J1077="","",YEAR($J1077-WEEKDAY($J1077,2)+4)&amp;"-W"&amp;TEXT(_xludf.ISOWEEKNUM($J1077),"00"))</f>
        <v/>
      </c>
      <c r="B1077"/>
      <c r="C1077" t="str">
        <f>IF($J1077="","",SUMIFS('Hours Log'!$C:$C,'Hours Log'!$A:$A,"&gt;="&amp;$J1077,'Hours Log'!$A:$A,"&lt;"&amp;$J1077+7)+SUMIFS('Hours Log'!$D:$D,'Hours Log'!$A:$A,"&gt;="&amp;$J1077,'Hours Log'!$A:$A,"&lt;"&amp;$J1077+7))</f>
        <v/>
      </c>
      <c r="D1077" t="str">
        <f>IF($J1077="","",SUMIFS('Hours Log'!$D:$D,'Hours Log'!$A:$A,"&gt;="&amp;$J1077,'Hours Log'!$A:$A,"&lt;"&amp;$J1077+7))</f>
        <v/>
      </c>
      <c r="E1077" t="str">
        <f t="shared" si="32"/>
        <v/>
      </c>
      <c r="F1077" t="str">
        <f t="shared" si="33"/>
        <v/>
      </c>
      <c r="G1077" t="str">
        <f>IF($J1077="","",SUMIFS('Hours Log'!$E:$E,'Hours Log'!$A:$A,"&gt;="&amp;$J1077,'Hours Log'!$A:$A,"&lt;"&amp;$J1077+7))</f>
        <v/>
      </c>
      <c r="J1077" t="str">
        <f>IF(COUNT('Hours Log'!$A$4:$A$5000)=0,"",IF(MIN('Hours Log'!$A$4:$A$5000)+7*(ROW()-10)&gt;MAX('Hours Log'!$A$4:$A$5000),"",MIN('Hours Log'!$A$4:$A$5000)+7*(ROW()-10)))</f>
        <v/>
      </c>
    </row>
    <row r="1078" spans="1:10" x14ac:dyDescent="0.25">
      <c r="A1078" t="str">
        <f>IF($J1078="","",YEAR($J1078-WEEKDAY($J1078,2)+4)&amp;"-W"&amp;TEXT(_xludf.ISOWEEKNUM($J1078),"00"))</f>
        <v/>
      </c>
      <c r="B1078"/>
      <c r="C1078" t="str">
        <f>IF($J1078="","",SUMIFS('Hours Log'!$C:$C,'Hours Log'!$A:$A,"&gt;="&amp;$J1078,'Hours Log'!$A:$A,"&lt;"&amp;$J1078+7)+SUMIFS('Hours Log'!$D:$D,'Hours Log'!$A:$A,"&gt;="&amp;$J1078,'Hours Log'!$A:$A,"&lt;"&amp;$J1078+7))</f>
        <v/>
      </c>
      <c r="D1078" t="str">
        <f>IF($J1078="","",SUMIFS('Hours Log'!$D:$D,'Hours Log'!$A:$A,"&gt;="&amp;$J1078,'Hours Log'!$A:$A,"&lt;"&amp;$J1078+7))</f>
        <v/>
      </c>
      <c r="E1078" t="str">
        <f t="shared" si="32"/>
        <v/>
      </c>
      <c r="F1078" t="str">
        <f t="shared" si="33"/>
        <v/>
      </c>
      <c r="G1078" t="str">
        <f>IF($J1078="","",SUMIFS('Hours Log'!$E:$E,'Hours Log'!$A:$A,"&gt;="&amp;$J1078,'Hours Log'!$A:$A,"&lt;"&amp;$J1078+7))</f>
        <v/>
      </c>
      <c r="J1078" t="str">
        <f>IF(COUNT('Hours Log'!$A$4:$A$5000)=0,"",IF(MIN('Hours Log'!$A$4:$A$5000)+7*(ROW()-10)&gt;MAX('Hours Log'!$A$4:$A$5000),"",MIN('Hours Log'!$A$4:$A$5000)+7*(ROW()-10)))</f>
        <v/>
      </c>
    </row>
    <row r="1079" spans="1:10" x14ac:dyDescent="0.25">
      <c r="A1079" t="str">
        <f>IF($J1079="","",YEAR($J1079-WEEKDAY($J1079,2)+4)&amp;"-W"&amp;TEXT(_xludf.ISOWEEKNUM($J1079),"00"))</f>
        <v/>
      </c>
      <c r="B1079"/>
      <c r="C1079" t="str">
        <f>IF($J1079="","",SUMIFS('Hours Log'!$C:$C,'Hours Log'!$A:$A,"&gt;="&amp;$J1079,'Hours Log'!$A:$A,"&lt;"&amp;$J1079+7)+SUMIFS('Hours Log'!$D:$D,'Hours Log'!$A:$A,"&gt;="&amp;$J1079,'Hours Log'!$A:$A,"&lt;"&amp;$J1079+7))</f>
        <v/>
      </c>
      <c r="D1079" t="str">
        <f>IF($J1079="","",SUMIFS('Hours Log'!$D:$D,'Hours Log'!$A:$A,"&gt;="&amp;$J1079,'Hours Log'!$A:$A,"&lt;"&amp;$J1079+7))</f>
        <v/>
      </c>
      <c r="E1079" t="str">
        <f t="shared" si="32"/>
        <v/>
      </c>
      <c r="F1079" t="str">
        <f t="shared" si="33"/>
        <v/>
      </c>
      <c r="G1079" t="str">
        <f>IF($J1079="","",SUMIFS('Hours Log'!$E:$E,'Hours Log'!$A:$A,"&gt;="&amp;$J1079,'Hours Log'!$A:$A,"&lt;"&amp;$J1079+7))</f>
        <v/>
      </c>
      <c r="J1079" t="str">
        <f>IF(COUNT('Hours Log'!$A$4:$A$5000)=0,"",IF(MIN('Hours Log'!$A$4:$A$5000)+7*(ROW()-10)&gt;MAX('Hours Log'!$A$4:$A$5000),"",MIN('Hours Log'!$A$4:$A$5000)+7*(ROW()-10)))</f>
        <v/>
      </c>
    </row>
    <row r="1080" spans="1:10" x14ac:dyDescent="0.25">
      <c r="A1080" t="str">
        <f>IF($J1080="","",YEAR($J1080-WEEKDAY($J1080,2)+4)&amp;"-W"&amp;TEXT(_xludf.ISOWEEKNUM($J1080),"00"))</f>
        <v/>
      </c>
      <c r="B1080"/>
      <c r="C1080" t="str">
        <f>IF($J1080="","",SUMIFS('Hours Log'!$C:$C,'Hours Log'!$A:$A,"&gt;="&amp;$J1080,'Hours Log'!$A:$A,"&lt;"&amp;$J1080+7)+SUMIFS('Hours Log'!$D:$D,'Hours Log'!$A:$A,"&gt;="&amp;$J1080,'Hours Log'!$A:$A,"&lt;"&amp;$J1080+7))</f>
        <v/>
      </c>
      <c r="D1080" t="str">
        <f>IF($J1080="","",SUMIFS('Hours Log'!$D:$D,'Hours Log'!$A:$A,"&gt;="&amp;$J1080,'Hours Log'!$A:$A,"&lt;"&amp;$J1080+7))</f>
        <v/>
      </c>
      <c r="E1080" t="str">
        <f t="shared" si="32"/>
        <v/>
      </c>
      <c r="F1080" t="str">
        <f t="shared" si="33"/>
        <v/>
      </c>
      <c r="G1080" t="str">
        <f>IF($J1080="","",SUMIFS('Hours Log'!$E:$E,'Hours Log'!$A:$A,"&gt;="&amp;$J1080,'Hours Log'!$A:$A,"&lt;"&amp;$J1080+7))</f>
        <v/>
      </c>
      <c r="J1080" t="str">
        <f>IF(COUNT('Hours Log'!$A$4:$A$5000)=0,"",IF(MIN('Hours Log'!$A$4:$A$5000)+7*(ROW()-10)&gt;MAX('Hours Log'!$A$4:$A$5000),"",MIN('Hours Log'!$A$4:$A$5000)+7*(ROW()-10)))</f>
        <v/>
      </c>
    </row>
    <row r="1081" spans="1:10" x14ac:dyDescent="0.25">
      <c r="A1081" t="str">
        <f>IF($J1081="","",YEAR($J1081-WEEKDAY($J1081,2)+4)&amp;"-W"&amp;TEXT(_xludf.ISOWEEKNUM($J1081),"00"))</f>
        <v/>
      </c>
      <c r="B1081"/>
      <c r="C1081" t="str">
        <f>IF($J1081="","",SUMIFS('Hours Log'!$C:$C,'Hours Log'!$A:$A,"&gt;="&amp;$J1081,'Hours Log'!$A:$A,"&lt;"&amp;$J1081+7)+SUMIFS('Hours Log'!$D:$D,'Hours Log'!$A:$A,"&gt;="&amp;$J1081,'Hours Log'!$A:$A,"&lt;"&amp;$J1081+7))</f>
        <v/>
      </c>
      <c r="D1081" t="str">
        <f>IF($J1081="","",SUMIFS('Hours Log'!$D:$D,'Hours Log'!$A:$A,"&gt;="&amp;$J1081,'Hours Log'!$A:$A,"&lt;"&amp;$J1081+7))</f>
        <v/>
      </c>
      <c r="E1081" t="str">
        <f t="shared" si="32"/>
        <v/>
      </c>
      <c r="F1081" t="str">
        <f t="shared" si="33"/>
        <v/>
      </c>
      <c r="G1081" t="str">
        <f>IF($J1081="","",SUMIFS('Hours Log'!$E:$E,'Hours Log'!$A:$A,"&gt;="&amp;$J1081,'Hours Log'!$A:$A,"&lt;"&amp;$J1081+7))</f>
        <v/>
      </c>
      <c r="J1081" t="str">
        <f>IF(COUNT('Hours Log'!$A$4:$A$5000)=0,"",IF(MIN('Hours Log'!$A$4:$A$5000)+7*(ROW()-10)&gt;MAX('Hours Log'!$A$4:$A$5000),"",MIN('Hours Log'!$A$4:$A$5000)+7*(ROW()-10)))</f>
        <v/>
      </c>
    </row>
    <row r="1082" spans="1:10" x14ac:dyDescent="0.25">
      <c r="A1082" t="str">
        <f>IF($J1082="","",YEAR($J1082-WEEKDAY($J1082,2)+4)&amp;"-W"&amp;TEXT(_xludf.ISOWEEKNUM($J1082),"00"))</f>
        <v/>
      </c>
      <c r="B1082"/>
      <c r="C1082" t="str">
        <f>IF($J1082="","",SUMIFS('Hours Log'!$C:$C,'Hours Log'!$A:$A,"&gt;="&amp;$J1082,'Hours Log'!$A:$A,"&lt;"&amp;$J1082+7)+SUMIFS('Hours Log'!$D:$D,'Hours Log'!$A:$A,"&gt;="&amp;$J1082,'Hours Log'!$A:$A,"&lt;"&amp;$J1082+7))</f>
        <v/>
      </c>
      <c r="D1082" t="str">
        <f>IF($J1082="","",SUMIFS('Hours Log'!$D:$D,'Hours Log'!$A:$A,"&gt;="&amp;$J1082,'Hours Log'!$A:$A,"&lt;"&amp;$J1082+7))</f>
        <v/>
      </c>
      <c r="E1082" t="str">
        <f t="shared" si="32"/>
        <v/>
      </c>
      <c r="F1082" t="str">
        <f t="shared" si="33"/>
        <v/>
      </c>
      <c r="G1082" t="str">
        <f>IF($J1082="","",SUMIFS('Hours Log'!$E:$E,'Hours Log'!$A:$A,"&gt;="&amp;$J1082,'Hours Log'!$A:$A,"&lt;"&amp;$J1082+7))</f>
        <v/>
      </c>
      <c r="J1082" t="str">
        <f>IF(COUNT('Hours Log'!$A$4:$A$5000)=0,"",IF(MIN('Hours Log'!$A$4:$A$5000)+7*(ROW()-10)&gt;MAX('Hours Log'!$A$4:$A$5000),"",MIN('Hours Log'!$A$4:$A$5000)+7*(ROW()-10)))</f>
        <v/>
      </c>
    </row>
    <row r="1083" spans="1:10" x14ac:dyDescent="0.25">
      <c r="A1083" t="str">
        <f>IF($J1083="","",YEAR($J1083-WEEKDAY($J1083,2)+4)&amp;"-W"&amp;TEXT(_xludf.ISOWEEKNUM($J1083),"00"))</f>
        <v/>
      </c>
      <c r="B1083"/>
      <c r="C1083" t="str">
        <f>IF($J1083="","",SUMIFS('Hours Log'!$C:$C,'Hours Log'!$A:$A,"&gt;="&amp;$J1083,'Hours Log'!$A:$A,"&lt;"&amp;$J1083+7)+SUMIFS('Hours Log'!$D:$D,'Hours Log'!$A:$A,"&gt;="&amp;$J1083,'Hours Log'!$A:$A,"&lt;"&amp;$J1083+7))</f>
        <v/>
      </c>
      <c r="D1083" t="str">
        <f>IF($J1083="","",SUMIFS('Hours Log'!$D:$D,'Hours Log'!$A:$A,"&gt;="&amp;$J1083,'Hours Log'!$A:$A,"&lt;"&amp;$J1083+7))</f>
        <v/>
      </c>
      <c r="E1083" t="str">
        <f t="shared" si="32"/>
        <v/>
      </c>
      <c r="F1083" t="str">
        <f t="shared" si="33"/>
        <v/>
      </c>
      <c r="G1083" t="str">
        <f>IF($J1083="","",SUMIFS('Hours Log'!$E:$E,'Hours Log'!$A:$A,"&gt;="&amp;$J1083,'Hours Log'!$A:$A,"&lt;"&amp;$J1083+7))</f>
        <v/>
      </c>
      <c r="J1083" t="str">
        <f>IF(COUNT('Hours Log'!$A$4:$A$5000)=0,"",IF(MIN('Hours Log'!$A$4:$A$5000)+7*(ROW()-10)&gt;MAX('Hours Log'!$A$4:$A$5000),"",MIN('Hours Log'!$A$4:$A$5000)+7*(ROW()-10)))</f>
        <v/>
      </c>
    </row>
    <row r="1084" spans="1:10" x14ac:dyDescent="0.25">
      <c r="A1084" t="str">
        <f>IF($J1084="","",YEAR($J1084-WEEKDAY($J1084,2)+4)&amp;"-W"&amp;TEXT(_xludf.ISOWEEKNUM($J1084),"00"))</f>
        <v/>
      </c>
      <c r="B1084"/>
      <c r="C1084" t="str">
        <f>IF($J1084="","",SUMIFS('Hours Log'!$C:$C,'Hours Log'!$A:$A,"&gt;="&amp;$J1084,'Hours Log'!$A:$A,"&lt;"&amp;$J1084+7)+SUMIFS('Hours Log'!$D:$D,'Hours Log'!$A:$A,"&gt;="&amp;$J1084,'Hours Log'!$A:$A,"&lt;"&amp;$J1084+7))</f>
        <v/>
      </c>
      <c r="D1084" t="str">
        <f>IF($J1084="","",SUMIFS('Hours Log'!$D:$D,'Hours Log'!$A:$A,"&gt;="&amp;$J1084,'Hours Log'!$A:$A,"&lt;"&amp;$J1084+7))</f>
        <v/>
      </c>
      <c r="E1084" t="str">
        <f t="shared" si="32"/>
        <v/>
      </c>
      <c r="F1084" t="str">
        <f t="shared" si="33"/>
        <v/>
      </c>
      <c r="G1084" t="str">
        <f>IF($J1084="","",SUMIFS('Hours Log'!$E:$E,'Hours Log'!$A:$A,"&gt;="&amp;$J1084,'Hours Log'!$A:$A,"&lt;"&amp;$J1084+7))</f>
        <v/>
      </c>
      <c r="J1084" t="str">
        <f>IF(COUNT('Hours Log'!$A$4:$A$5000)=0,"",IF(MIN('Hours Log'!$A$4:$A$5000)+7*(ROW()-10)&gt;MAX('Hours Log'!$A$4:$A$5000),"",MIN('Hours Log'!$A$4:$A$5000)+7*(ROW()-10)))</f>
        <v/>
      </c>
    </row>
    <row r="1085" spans="1:10" x14ac:dyDescent="0.25">
      <c r="A1085" t="str">
        <f>IF($J1085="","",YEAR($J1085-WEEKDAY($J1085,2)+4)&amp;"-W"&amp;TEXT(_xludf.ISOWEEKNUM($J1085),"00"))</f>
        <v/>
      </c>
      <c r="B1085"/>
      <c r="C1085" t="str">
        <f>IF($J1085="","",SUMIFS('Hours Log'!$C:$C,'Hours Log'!$A:$A,"&gt;="&amp;$J1085,'Hours Log'!$A:$A,"&lt;"&amp;$J1085+7)+SUMIFS('Hours Log'!$D:$D,'Hours Log'!$A:$A,"&gt;="&amp;$J1085,'Hours Log'!$A:$A,"&lt;"&amp;$J1085+7))</f>
        <v/>
      </c>
      <c r="D1085" t="str">
        <f>IF($J1085="","",SUMIFS('Hours Log'!$D:$D,'Hours Log'!$A:$A,"&gt;="&amp;$J1085,'Hours Log'!$A:$A,"&lt;"&amp;$J1085+7))</f>
        <v/>
      </c>
      <c r="E1085" t="str">
        <f t="shared" si="32"/>
        <v/>
      </c>
      <c r="F1085" t="str">
        <f t="shared" si="33"/>
        <v/>
      </c>
      <c r="G1085" t="str">
        <f>IF($J1085="","",SUMIFS('Hours Log'!$E:$E,'Hours Log'!$A:$A,"&gt;="&amp;$J1085,'Hours Log'!$A:$A,"&lt;"&amp;$J1085+7))</f>
        <v/>
      </c>
      <c r="J1085" t="str">
        <f>IF(COUNT('Hours Log'!$A$4:$A$5000)=0,"",IF(MIN('Hours Log'!$A$4:$A$5000)+7*(ROW()-10)&gt;MAX('Hours Log'!$A$4:$A$5000),"",MIN('Hours Log'!$A$4:$A$5000)+7*(ROW()-10)))</f>
        <v/>
      </c>
    </row>
    <row r="1086" spans="1:10" x14ac:dyDescent="0.25">
      <c r="A1086" t="str">
        <f>IF($J1086="","",YEAR($J1086-WEEKDAY($J1086,2)+4)&amp;"-W"&amp;TEXT(_xludf.ISOWEEKNUM($J1086),"00"))</f>
        <v/>
      </c>
      <c r="B1086"/>
      <c r="C1086" t="str">
        <f>IF($J1086="","",SUMIFS('Hours Log'!$C:$C,'Hours Log'!$A:$A,"&gt;="&amp;$J1086,'Hours Log'!$A:$A,"&lt;"&amp;$J1086+7)+SUMIFS('Hours Log'!$D:$D,'Hours Log'!$A:$A,"&gt;="&amp;$J1086,'Hours Log'!$A:$A,"&lt;"&amp;$J1086+7))</f>
        <v/>
      </c>
      <c r="D1086" t="str">
        <f>IF($J1086="","",SUMIFS('Hours Log'!$D:$D,'Hours Log'!$A:$A,"&gt;="&amp;$J1086,'Hours Log'!$A:$A,"&lt;"&amp;$J1086+7))</f>
        <v/>
      </c>
      <c r="E1086" t="str">
        <f t="shared" si="32"/>
        <v/>
      </c>
      <c r="F1086" t="str">
        <f t="shared" si="33"/>
        <v/>
      </c>
      <c r="G1086" t="str">
        <f>IF($J1086="","",SUMIFS('Hours Log'!$E:$E,'Hours Log'!$A:$A,"&gt;="&amp;$J1086,'Hours Log'!$A:$A,"&lt;"&amp;$J1086+7))</f>
        <v/>
      </c>
      <c r="J1086" t="str">
        <f>IF(COUNT('Hours Log'!$A$4:$A$5000)=0,"",IF(MIN('Hours Log'!$A$4:$A$5000)+7*(ROW()-10)&gt;MAX('Hours Log'!$A$4:$A$5000),"",MIN('Hours Log'!$A$4:$A$5000)+7*(ROW()-10)))</f>
        <v/>
      </c>
    </row>
    <row r="1087" spans="1:10" x14ac:dyDescent="0.25">
      <c r="A1087" t="str">
        <f>IF($J1087="","",YEAR($J1087-WEEKDAY($J1087,2)+4)&amp;"-W"&amp;TEXT(_xludf.ISOWEEKNUM($J1087),"00"))</f>
        <v/>
      </c>
      <c r="B1087"/>
      <c r="C1087" t="str">
        <f>IF($J1087="","",SUMIFS('Hours Log'!$C:$C,'Hours Log'!$A:$A,"&gt;="&amp;$J1087,'Hours Log'!$A:$A,"&lt;"&amp;$J1087+7)+SUMIFS('Hours Log'!$D:$D,'Hours Log'!$A:$A,"&gt;="&amp;$J1087,'Hours Log'!$A:$A,"&lt;"&amp;$J1087+7))</f>
        <v/>
      </c>
      <c r="D1087" t="str">
        <f>IF($J1087="","",SUMIFS('Hours Log'!$D:$D,'Hours Log'!$A:$A,"&gt;="&amp;$J1087,'Hours Log'!$A:$A,"&lt;"&amp;$J1087+7))</f>
        <v/>
      </c>
      <c r="E1087" t="str">
        <f t="shared" si="32"/>
        <v/>
      </c>
      <c r="F1087" t="str">
        <f t="shared" si="33"/>
        <v/>
      </c>
      <c r="G1087" t="str">
        <f>IF($J1087="","",SUMIFS('Hours Log'!$E:$E,'Hours Log'!$A:$A,"&gt;="&amp;$J1087,'Hours Log'!$A:$A,"&lt;"&amp;$J1087+7))</f>
        <v/>
      </c>
      <c r="J1087" t="str">
        <f>IF(COUNT('Hours Log'!$A$4:$A$5000)=0,"",IF(MIN('Hours Log'!$A$4:$A$5000)+7*(ROW()-10)&gt;MAX('Hours Log'!$A$4:$A$5000),"",MIN('Hours Log'!$A$4:$A$5000)+7*(ROW()-10)))</f>
        <v/>
      </c>
    </row>
    <row r="1088" spans="1:10" x14ac:dyDescent="0.25">
      <c r="A1088" t="str">
        <f>IF($J1088="","",YEAR($J1088-WEEKDAY($J1088,2)+4)&amp;"-W"&amp;TEXT(_xludf.ISOWEEKNUM($J1088),"00"))</f>
        <v/>
      </c>
      <c r="B1088"/>
      <c r="C1088" t="str">
        <f>IF($J1088="","",SUMIFS('Hours Log'!$C:$C,'Hours Log'!$A:$A,"&gt;="&amp;$J1088,'Hours Log'!$A:$A,"&lt;"&amp;$J1088+7)+SUMIFS('Hours Log'!$D:$D,'Hours Log'!$A:$A,"&gt;="&amp;$J1088,'Hours Log'!$A:$A,"&lt;"&amp;$J1088+7))</f>
        <v/>
      </c>
      <c r="D1088" t="str">
        <f>IF($J1088="","",SUMIFS('Hours Log'!$D:$D,'Hours Log'!$A:$A,"&gt;="&amp;$J1088,'Hours Log'!$A:$A,"&lt;"&amp;$J1088+7))</f>
        <v/>
      </c>
      <c r="E1088" t="str">
        <f t="shared" si="32"/>
        <v/>
      </c>
      <c r="F1088" t="str">
        <f t="shared" si="33"/>
        <v/>
      </c>
      <c r="G1088" t="str">
        <f>IF($J1088="","",SUMIFS('Hours Log'!$E:$E,'Hours Log'!$A:$A,"&gt;="&amp;$J1088,'Hours Log'!$A:$A,"&lt;"&amp;$J1088+7))</f>
        <v/>
      </c>
      <c r="J1088" t="str">
        <f>IF(COUNT('Hours Log'!$A$4:$A$5000)=0,"",IF(MIN('Hours Log'!$A$4:$A$5000)+7*(ROW()-10)&gt;MAX('Hours Log'!$A$4:$A$5000),"",MIN('Hours Log'!$A$4:$A$5000)+7*(ROW()-10)))</f>
        <v/>
      </c>
    </row>
    <row r="1089" spans="1:10" x14ac:dyDescent="0.25">
      <c r="A1089" t="str">
        <f>IF($J1089="","",YEAR($J1089-WEEKDAY($J1089,2)+4)&amp;"-W"&amp;TEXT(_xludf.ISOWEEKNUM($J1089),"00"))</f>
        <v/>
      </c>
      <c r="B1089"/>
      <c r="C1089" t="str">
        <f>IF($J1089="","",SUMIFS('Hours Log'!$C:$C,'Hours Log'!$A:$A,"&gt;="&amp;$J1089,'Hours Log'!$A:$A,"&lt;"&amp;$J1089+7)+SUMIFS('Hours Log'!$D:$D,'Hours Log'!$A:$A,"&gt;="&amp;$J1089,'Hours Log'!$A:$A,"&lt;"&amp;$J1089+7))</f>
        <v/>
      </c>
      <c r="D1089" t="str">
        <f>IF($J1089="","",SUMIFS('Hours Log'!$D:$D,'Hours Log'!$A:$A,"&gt;="&amp;$J1089,'Hours Log'!$A:$A,"&lt;"&amp;$J1089+7))</f>
        <v/>
      </c>
      <c r="E1089" t="str">
        <f t="shared" si="32"/>
        <v/>
      </c>
      <c r="F1089" t="str">
        <f t="shared" si="33"/>
        <v/>
      </c>
      <c r="G1089" t="str">
        <f>IF($J1089="","",SUMIFS('Hours Log'!$E:$E,'Hours Log'!$A:$A,"&gt;="&amp;$J1089,'Hours Log'!$A:$A,"&lt;"&amp;$J1089+7))</f>
        <v/>
      </c>
      <c r="J1089" t="str">
        <f>IF(COUNT('Hours Log'!$A$4:$A$5000)=0,"",IF(MIN('Hours Log'!$A$4:$A$5000)+7*(ROW()-10)&gt;MAX('Hours Log'!$A$4:$A$5000),"",MIN('Hours Log'!$A$4:$A$5000)+7*(ROW()-10)))</f>
        <v/>
      </c>
    </row>
    <row r="1090" spans="1:10" x14ac:dyDescent="0.25">
      <c r="A1090" t="str">
        <f>IF($J1090="","",YEAR($J1090-WEEKDAY($J1090,2)+4)&amp;"-W"&amp;TEXT(_xludf.ISOWEEKNUM($J1090),"00"))</f>
        <v/>
      </c>
      <c r="B1090"/>
      <c r="C1090" t="str">
        <f>IF($J1090="","",SUMIFS('Hours Log'!$C:$C,'Hours Log'!$A:$A,"&gt;="&amp;$J1090,'Hours Log'!$A:$A,"&lt;"&amp;$J1090+7)+SUMIFS('Hours Log'!$D:$D,'Hours Log'!$A:$A,"&gt;="&amp;$J1090,'Hours Log'!$A:$A,"&lt;"&amp;$J1090+7))</f>
        <v/>
      </c>
      <c r="D1090" t="str">
        <f>IF($J1090="","",SUMIFS('Hours Log'!$D:$D,'Hours Log'!$A:$A,"&gt;="&amp;$J1090,'Hours Log'!$A:$A,"&lt;"&amp;$J1090+7))</f>
        <v/>
      </c>
      <c r="E1090" t="str">
        <f t="shared" si="32"/>
        <v/>
      </c>
      <c r="F1090" t="str">
        <f t="shared" si="33"/>
        <v/>
      </c>
      <c r="G1090" t="str">
        <f>IF($J1090="","",SUMIFS('Hours Log'!$E:$E,'Hours Log'!$A:$A,"&gt;="&amp;$J1090,'Hours Log'!$A:$A,"&lt;"&amp;$J1090+7))</f>
        <v/>
      </c>
      <c r="J1090" t="str">
        <f>IF(COUNT('Hours Log'!$A$4:$A$5000)=0,"",IF(MIN('Hours Log'!$A$4:$A$5000)+7*(ROW()-10)&gt;MAX('Hours Log'!$A$4:$A$5000),"",MIN('Hours Log'!$A$4:$A$5000)+7*(ROW()-10)))</f>
        <v/>
      </c>
    </row>
    <row r="1091" spans="1:10" x14ac:dyDescent="0.25">
      <c r="A1091" t="str">
        <f>IF($J1091="","",YEAR($J1091-WEEKDAY($J1091,2)+4)&amp;"-W"&amp;TEXT(_xludf.ISOWEEKNUM($J1091),"00"))</f>
        <v/>
      </c>
      <c r="B1091"/>
      <c r="C1091" t="str">
        <f>IF($J1091="","",SUMIFS('Hours Log'!$C:$C,'Hours Log'!$A:$A,"&gt;="&amp;$J1091,'Hours Log'!$A:$A,"&lt;"&amp;$J1091+7)+SUMIFS('Hours Log'!$D:$D,'Hours Log'!$A:$A,"&gt;="&amp;$J1091,'Hours Log'!$A:$A,"&lt;"&amp;$J1091+7))</f>
        <v/>
      </c>
      <c r="D1091" t="str">
        <f>IF($J1091="","",SUMIFS('Hours Log'!$D:$D,'Hours Log'!$A:$A,"&gt;="&amp;$J1091,'Hours Log'!$A:$A,"&lt;"&amp;$J1091+7))</f>
        <v/>
      </c>
      <c r="E1091" t="str">
        <f t="shared" si="32"/>
        <v/>
      </c>
      <c r="F1091" t="str">
        <f t="shared" si="33"/>
        <v/>
      </c>
      <c r="G1091" t="str">
        <f>IF($J1091="","",SUMIFS('Hours Log'!$E:$E,'Hours Log'!$A:$A,"&gt;="&amp;$J1091,'Hours Log'!$A:$A,"&lt;"&amp;$J1091+7))</f>
        <v/>
      </c>
      <c r="J1091" t="str">
        <f>IF(COUNT('Hours Log'!$A$4:$A$5000)=0,"",IF(MIN('Hours Log'!$A$4:$A$5000)+7*(ROW()-10)&gt;MAX('Hours Log'!$A$4:$A$5000),"",MIN('Hours Log'!$A$4:$A$5000)+7*(ROW()-10)))</f>
        <v/>
      </c>
    </row>
    <row r="1092" spans="1:10" x14ac:dyDescent="0.25">
      <c r="A1092" t="str">
        <f>IF($J1092="","",YEAR($J1092-WEEKDAY($J1092,2)+4)&amp;"-W"&amp;TEXT(_xludf.ISOWEEKNUM($J1092),"00"))</f>
        <v/>
      </c>
      <c r="B1092"/>
      <c r="C1092" t="str">
        <f>IF($J1092="","",SUMIFS('Hours Log'!$C:$C,'Hours Log'!$A:$A,"&gt;="&amp;$J1092,'Hours Log'!$A:$A,"&lt;"&amp;$J1092+7)+SUMIFS('Hours Log'!$D:$D,'Hours Log'!$A:$A,"&gt;="&amp;$J1092,'Hours Log'!$A:$A,"&lt;"&amp;$J1092+7))</f>
        <v/>
      </c>
      <c r="D1092" t="str">
        <f>IF($J1092="","",SUMIFS('Hours Log'!$D:$D,'Hours Log'!$A:$A,"&gt;="&amp;$J1092,'Hours Log'!$A:$A,"&lt;"&amp;$J1092+7))</f>
        <v/>
      </c>
      <c r="E1092" t="str">
        <f t="shared" si="32"/>
        <v/>
      </c>
      <c r="F1092" t="str">
        <f t="shared" si="33"/>
        <v/>
      </c>
      <c r="G1092" t="str">
        <f>IF($J1092="","",SUMIFS('Hours Log'!$E:$E,'Hours Log'!$A:$A,"&gt;="&amp;$J1092,'Hours Log'!$A:$A,"&lt;"&amp;$J1092+7))</f>
        <v/>
      </c>
      <c r="J1092" t="str">
        <f>IF(COUNT('Hours Log'!$A$4:$A$5000)=0,"",IF(MIN('Hours Log'!$A$4:$A$5000)+7*(ROW()-10)&gt;MAX('Hours Log'!$A$4:$A$5000),"",MIN('Hours Log'!$A$4:$A$5000)+7*(ROW()-10)))</f>
        <v/>
      </c>
    </row>
    <row r="1093" spans="1:10" x14ac:dyDescent="0.25">
      <c r="A1093" t="str">
        <f>IF($J1093="","",YEAR($J1093-WEEKDAY($J1093,2)+4)&amp;"-W"&amp;TEXT(_xludf.ISOWEEKNUM($J1093),"00"))</f>
        <v/>
      </c>
      <c r="B1093"/>
      <c r="C1093" t="str">
        <f>IF($J1093="","",SUMIFS('Hours Log'!$C:$C,'Hours Log'!$A:$A,"&gt;="&amp;$J1093,'Hours Log'!$A:$A,"&lt;"&amp;$J1093+7)+SUMIFS('Hours Log'!$D:$D,'Hours Log'!$A:$A,"&gt;="&amp;$J1093,'Hours Log'!$A:$A,"&lt;"&amp;$J1093+7))</f>
        <v/>
      </c>
      <c r="D1093" t="str">
        <f>IF($J1093="","",SUMIFS('Hours Log'!$D:$D,'Hours Log'!$A:$A,"&gt;="&amp;$J1093,'Hours Log'!$A:$A,"&lt;"&amp;$J1093+7))</f>
        <v/>
      </c>
      <c r="E1093" t="str">
        <f t="shared" si="32"/>
        <v/>
      </c>
      <c r="F1093" t="str">
        <f t="shared" si="33"/>
        <v/>
      </c>
      <c r="G1093" t="str">
        <f>IF($J1093="","",SUMIFS('Hours Log'!$E:$E,'Hours Log'!$A:$A,"&gt;="&amp;$J1093,'Hours Log'!$A:$A,"&lt;"&amp;$J1093+7))</f>
        <v/>
      </c>
      <c r="J1093" t="str">
        <f>IF(COUNT('Hours Log'!$A$4:$A$5000)=0,"",IF(MIN('Hours Log'!$A$4:$A$5000)+7*(ROW()-10)&gt;MAX('Hours Log'!$A$4:$A$5000),"",MIN('Hours Log'!$A$4:$A$5000)+7*(ROW()-10)))</f>
        <v/>
      </c>
    </row>
    <row r="1094" spans="1:10" x14ac:dyDescent="0.25">
      <c r="A1094" t="str">
        <f>IF($J1094="","",YEAR($J1094-WEEKDAY($J1094,2)+4)&amp;"-W"&amp;TEXT(_xludf.ISOWEEKNUM($J1094),"00"))</f>
        <v/>
      </c>
      <c r="B1094"/>
      <c r="C1094" t="str">
        <f>IF($J1094="","",SUMIFS('Hours Log'!$C:$C,'Hours Log'!$A:$A,"&gt;="&amp;$J1094,'Hours Log'!$A:$A,"&lt;"&amp;$J1094+7)+SUMIFS('Hours Log'!$D:$D,'Hours Log'!$A:$A,"&gt;="&amp;$J1094,'Hours Log'!$A:$A,"&lt;"&amp;$J1094+7))</f>
        <v/>
      </c>
      <c r="D1094" t="str">
        <f>IF($J1094="","",SUMIFS('Hours Log'!$D:$D,'Hours Log'!$A:$A,"&gt;="&amp;$J1094,'Hours Log'!$A:$A,"&lt;"&amp;$J1094+7))</f>
        <v/>
      </c>
      <c r="E1094" t="str">
        <f t="shared" si="32"/>
        <v/>
      </c>
      <c r="F1094" t="str">
        <f t="shared" si="33"/>
        <v/>
      </c>
      <c r="G1094" t="str">
        <f>IF($J1094="","",SUMIFS('Hours Log'!$E:$E,'Hours Log'!$A:$A,"&gt;="&amp;$J1094,'Hours Log'!$A:$A,"&lt;"&amp;$J1094+7))</f>
        <v/>
      </c>
      <c r="J1094" t="str">
        <f>IF(COUNT('Hours Log'!$A$4:$A$5000)=0,"",IF(MIN('Hours Log'!$A$4:$A$5000)+7*(ROW()-10)&gt;MAX('Hours Log'!$A$4:$A$5000),"",MIN('Hours Log'!$A$4:$A$5000)+7*(ROW()-10)))</f>
        <v/>
      </c>
    </row>
    <row r="1095" spans="1:10" x14ac:dyDescent="0.25">
      <c r="A1095" t="str">
        <f>IF($J1095="","",YEAR($J1095-WEEKDAY($J1095,2)+4)&amp;"-W"&amp;TEXT(_xludf.ISOWEEKNUM($J1095),"00"))</f>
        <v/>
      </c>
      <c r="B1095"/>
      <c r="C1095" t="str">
        <f>IF($J1095="","",SUMIFS('Hours Log'!$C:$C,'Hours Log'!$A:$A,"&gt;="&amp;$J1095,'Hours Log'!$A:$A,"&lt;"&amp;$J1095+7)+SUMIFS('Hours Log'!$D:$D,'Hours Log'!$A:$A,"&gt;="&amp;$J1095,'Hours Log'!$A:$A,"&lt;"&amp;$J1095+7))</f>
        <v/>
      </c>
      <c r="D1095" t="str">
        <f>IF($J1095="","",SUMIFS('Hours Log'!$D:$D,'Hours Log'!$A:$A,"&gt;="&amp;$J1095,'Hours Log'!$A:$A,"&lt;"&amp;$J1095+7))</f>
        <v/>
      </c>
      <c r="E1095" t="str">
        <f t="shared" si="32"/>
        <v/>
      </c>
      <c r="F1095" t="str">
        <f t="shared" si="33"/>
        <v/>
      </c>
      <c r="G1095" t="str">
        <f>IF($J1095="","",SUMIFS('Hours Log'!$E:$E,'Hours Log'!$A:$A,"&gt;="&amp;$J1095,'Hours Log'!$A:$A,"&lt;"&amp;$J1095+7))</f>
        <v/>
      </c>
      <c r="J1095" t="str">
        <f>IF(COUNT('Hours Log'!$A$4:$A$5000)=0,"",IF(MIN('Hours Log'!$A$4:$A$5000)+7*(ROW()-10)&gt;MAX('Hours Log'!$A$4:$A$5000),"",MIN('Hours Log'!$A$4:$A$5000)+7*(ROW()-10)))</f>
        <v/>
      </c>
    </row>
    <row r="1096" spans="1:10" x14ac:dyDescent="0.25">
      <c r="A1096" t="str">
        <f>IF($J1096="","",YEAR($J1096-WEEKDAY($J1096,2)+4)&amp;"-W"&amp;TEXT(_xludf.ISOWEEKNUM($J1096),"00"))</f>
        <v/>
      </c>
      <c r="B1096"/>
      <c r="C1096" t="str">
        <f>IF($J1096="","",SUMIFS('Hours Log'!$C:$C,'Hours Log'!$A:$A,"&gt;="&amp;$J1096,'Hours Log'!$A:$A,"&lt;"&amp;$J1096+7)+SUMIFS('Hours Log'!$D:$D,'Hours Log'!$A:$A,"&gt;="&amp;$J1096,'Hours Log'!$A:$A,"&lt;"&amp;$J1096+7))</f>
        <v/>
      </c>
      <c r="D1096" t="str">
        <f>IF($J1096="","",SUMIFS('Hours Log'!$D:$D,'Hours Log'!$A:$A,"&gt;="&amp;$J1096,'Hours Log'!$A:$A,"&lt;"&amp;$J1096+7))</f>
        <v/>
      </c>
      <c r="E1096" t="str">
        <f t="shared" si="32"/>
        <v/>
      </c>
      <c r="F1096" t="str">
        <f t="shared" si="33"/>
        <v/>
      </c>
      <c r="G1096" t="str">
        <f>IF($J1096="","",SUMIFS('Hours Log'!$E:$E,'Hours Log'!$A:$A,"&gt;="&amp;$J1096,'Hours Log'!$A:$A,"&lt;"&amp;$J1096+7))</f>
        <v/>
      </c>
      <c r="J1096" t="str">
        <f>IF(COUNT('Hours Log'!$A$4:$A$5000)=0,"",IF(MIN('Hours Log'!$A$4:$A$5000)+7*(ROW()-10)&gt;MAX('Hours Log'!$A$4:$A$5000),"",MIN('Hours Log'!$A$4:$A$5000)+7*(ROW()-10)))</f>
        <v/>
      </c>
    </row>
    <row r="1097" spans="1:10" x14ac:dyDescent="0.25">
      <c r="A1097" t="str">
        <f>IF($J1097="","",YEAR($J1097-WEEKDAY($J1097,2)+4)&amp;"-W"&amp;TEXT(_xludf.ISOWEEKNUM($J1097),"00"))</f>
        <v/>
      </c>
      <c r="B1097"/>
      <c r="C1097" t="str">
        <f>IF($J1097="","",SUMIFS('Hours Log'!$C:$C,'Hours Log'!$A:$A,"&gt;="&amp;$J1097,'Hours Log'!$A:$A,"&lt;"&amp;$J1097+7)+SUMIFS('Hours Log'!$D:$D,'Hours Log'!$A:$A,"&gt;="&amp;$J1097,'Hours Log'!$A:$A,"&lt;"&amp;$J1097+7))</f>
        <v/>
      </c>
      <c r="D1097" t="str">
        <f>IF($J1097="","",SUMIFS('Hours Log'!$D:$D,'Hours Log'!$A:$A,"&gt;="&amp;$J1097,'Hours Log'!$A:$A,"&lt;"&amp;$J1097+7))</f>
        <v/>
      </c>
      <c r="E1097" t="str">
        <f t="shared" si="32"/>
        <v/>
      </c>
      <c r="F1097" t="str">
        <f t="shared" si="33"/>
        <v/>
      </c>
      <c r="G1097" t="str">
        <f>IF($J1097="","",SUMIFS('Hours Log'!$E:$E,'Hours Log'!$A:$A,"&gt;="&amp;$J1097,'Hours Log'!$A:$A,"&lt;"&amp;$J1097+7))</f>
        <v/>
      </c>
      <c r="J1097" t="str">
        <f>IF(COUNT('Hours Log'!$A$4:$A$5000)=0,"",IF(MIN('Hours Log'!$A$4:$A$5000)+7*(ROW()-10)&gt;MAX('Hours Log'!$A$4:$A$5000),"",MIN('Hours Log'!$A$4:$A$5000)+7*(ROW()-10)))</f>
        <v/>
      </c>
    </row>
    <row r="1098" spans="1:10" x14ac:dyDescent="0.25">
      <c r="A1098" t="str">
        <f>IF($J1098="","",YEAR($J1098-WEEKDAY($J1098,2)+4)&amp;"-W"&amp;TEXT(_xludf.ISOWEEKNUM($J1098),"00"))</f>
        <v/>
      </c>
      <c r="B1098"/>
      <c r="C1098" t="str">
        <f>IF($J1098="","",SUMIFS('Hours Log'!$C:$C,'Hours Log'!$A:$A,"&gt;="&amp;$J1098,'Hours Log'!$A:$A,"&lt;"&amp;$J1098+7)+SUMIFS('Hours Log'!$D:$D,'Hours Log'!$A:$A,"&gt;="&amp;$J1098,'Hours Log'!$A:$A,"&lt;"&amp;$J1098+7))</f>
        <v/>
      </c>
      <c r="D1098" t="str">
        <f>IF($J1098="","",SUMIFS('Hours Log'!$D:$D,'Hours Log'!$A:$A,"&gt;="&amp;$J1098,'Hours Log'!$A:$A,"&lt;"&amp;$J1098+7))</f>
        <v/>
      </c>
      <c r="E1098" t="str">
        <f t="shared" ref="E1098:E1161" si="34">IF($J1098="","",IFERROR(C1098/(B1098*40),0))</f>
        <v/>
      </c>
      <c r="F1098" t="str">
        <f t="shared" ref="F1098:F1161" si="35">IF($J1098="","",0)</f>
        <v/>
      </c>
      <c r="G1098" t="str">
        <f>IF($J1098="","",SUMIFS('Hours Log'!$E:$E,'Hours Log'!$A:$A,"&gt;="&amp;$J1098,'Hours Log'!$A:$A,"&lt;"&amp;$J1098+7))</f>
        <v/>
      </c>
      <c r="J1098" t="str">
        <f>IF(COUNT('Hours Log'!$A$4:$A$5000)=0,"",IF(MIN('Hours Log'!$A$4:$A$5000)+7*(ROW()-10)&gt;MAX('Hours Log'!$A$4:$A$5000),"",MIN('Hours Log'!$A$4:$A$5000)+7*(ROW()-10)))</f>
        <v/>
      </c>
    </row>
    <row r="1099" spans="1:10" x14ac:dyDescent="0.25">
      <c r="A1099" t="str">
        <f>IF($J1099="","",YEAR($J1099-WEEKDAY($J1099,2)+4)&amp;"-W"&amp;TEXT(_xludf.ISOWEEKNUM($J1099),"00"))</f>
        <v/>
      </c>
      <c r="B1099"/>
      <c r="C1099" t="str">
        <f>IF($J1099="","",SUMIFS('Hours Log'!$C:$C,'Hours Log'!$A:$A,"&gt;="&amp;$J1099,'Hours Log'!$A:$A,"&lt;"&amp;$J1099+7)+SUMIFS('Hours Log'!$D:$D,'Hours Log'!$A:$A,"&gt;="&amp;$J1099,'Hours Log'!$A:$A,"&lt;"&amp;$J1099+7))</f>
        <v/>
      </c>
      <c r="D1099" t="str">
        <f>IF($J1099="","",SUMIFS('Hours Log'!$D:$D,'Hours Log'!$A:$A,"&gt;="&amp;$J1099,'Hours Log'!$A:$A,"&lt;"&amp;$J1099+7))</f>
        <v/>
      </c>
      <c r="E1099" t="str">
        <f t="shared" si="34"/>
        <v/>
      </c>
      <c r="F1099" t="str">
        <f t="shared" si="35"/>
        <v/>
      </c>
      <c r="G1099" t="str">
        <f>IF($J1099="","",SUMIFS('Hours Log'!$E:$E,'Hours Log'!$A:$A,"&gt;="&amp;$J1099,'Hours Log'!$A:$A,"&lt;"&amp;$J1099+7))</f>
        <v/>
      </c>
      <c r="J1099" t="str">
        <f>IF(COUNT('Hours Log'!$A$4:$A$5000)=0,"",IF(MIN('Hours Log'!$A$4:$A$5000)+7*(ROW()-10)&gt;MAX('Hours Log'!$A$4:$A$5000),"",MIN('Hours Log'!$A$4:$A$5000)+7*(ROW()-10)))</f>
        <v/>
      </c>
    </row>
    <row r="1100" spans="1:10" x14ac:dyDescent="0.25">
      <c r="A1100" t="str">
        <f>IF($J1100="","",YEAR($J1100-WEEKDAY($J1100,2)+4)&amp;"-W"&amp;TEXT(_xludf.ISOWEEKNUM($J1100),"00"))</f>
        <v/>
      </c>
      <c r="B1100"/>
      <c r="C1100" t="str">
        <f>IF($J1100="","",SUMIFS('Hours Log'!$C:$C,'Hours Log'!$A:$A,"&gt;="&amp;$J1100,'Hours Log'!$A:$A,"&lt;"&amp;$J1100+7)+SUMIFS('Hours Log'!$D:$D,'Hours Log'!$A:$A,"&gt;="&amp;$J1100,'Hours Log'!$A:$A,"&lt;"&amp;$J1100+7))</f>
        <v/>
      </c>
      <c r="D1100" t="str">
        <f>IF($J1100="","",SUMIFS('Hours Log'!$D:$D,'Hours Log'!$A:$A,"&gt;="&amp;$J1100,'Hours Log'!$A:$A,"&lt;"&amp;$J1100+7))</f>
        <v/>
      </c>
      <c r="E1100" t="str">
        <f t="shared" si="34"/>
        <v/>
      </c>
      <c r="F1100" t="str">
        <f t="shared" si="35"/>
        <v/>
      </c>
      <c r="G1100" t="str">
        <f>IF($J1100="","",SUMIFS('Hours Log'!$E:$E,'Hours Log'!$A:$A,"&gt;="&amp;$J1100,'Hours Log'!$A:$A,"&lt;"&amp;$J1100+7))</f>
        <v/>
      </c>
      <c r="J1100" t="str">
        <f>IF(COUNT('Hours Log'!$A$4:$A$5000)=0,"",IF(MIN('Hours Log'!$A$4:$A$5000)+7*(ROW()-10)&gt;MAX('Hours Log'!$A$4:$A$5000),"",MIN('Hours Log'!$A$4:$A$5000)+7*(ROW()-10)))</f>
        <v/>
      </c>
    </row>
    <row r="1101" spans="1:10" x14ac:dyDescent="0.25">
      <c r="A1101" t="str">
        <f>IF($J1101="","",YEAR($J1101-WEEKDAY($J1101,2)+4)&amp;"-W"&amp;TEXT(_xludf.ISOWEEKNUM($J1101),"00"))</f>
        <v/>
      </c>
      <c r="B1101"/>
      <c r="C1101" t="str">
        <f>IF($J1101="","",SUMIFS('Hours Log'!$C:$C,'Hours Log'!$A:$A,"&gt;="&amp;$J1101,'Hours Log'!$A:$A,"&lt;"&amp;$J1101+7)+SUMIFS('Hours Log'!$D:$D,'Hours Log'!$A:$A,"&gt;="&amp;$J1101,'Hours Log'!$A:$A,"&lt;"&amp;$J1101+7))</f>
        <v/>
      </c>
      <c r="D1101" t="str">
        <f>IF($J1101="","",SUMIFS('Hours Log'!$D:$D,'Hours Log'!$A:$A,"&gt;="&amp;$J1101,'Hours Log'!$A:$A,"&lt;"&amp;$J1101+7))</f>
        <v/>
      </c>
      <c r="E1101" t="str">
        <f t="shared" si="34"/>
        <v/>
      </c>
      <c r="F1101" t="str">
        <f t="shared" si="35"/>
        <v/>
      </c>
      <c r="G1101" t="str">
        <f>IF($J1101="","",SUMIFS('Hours Log'!$E:$E,'Hours Log'!$A:$A,"&gt;="&amp;$J1101,'Hours Log'!$A:$A,"&lt;"&amp;$J1101+7))</f>
        <v/>
      </c>
      <c r="J1101" t="str">
        <f>IF(COUNT('Hours Log'!$A$4:$A$5000)=0,"",IF(MIN('Hours Log'!$A$4:$A$5000)+7*(ROW()-10)&gt;MAX('Hours Log'!$A$4:$A$5000),"",MIN('Hours Log'!$A$4:$A$5000)+7*(ROW()-10)))</f>
        <v/>
      </c>
    </row>
    <row r="1102" spans="1:10" x14ac:dyDescent="0.25">
      <c r="A1102" t="str">
        <f>IF($J1102="","",YEAR($J1102-WEEKDAY($J1102,2)+4)&amp;"-W"&amp;TEXT(_xludf.ISOWEEKNUM($J1102),"00"))</f>
        <v/>
      </c>
      <c r="B1102"/>
      <c r="C1102" t="str">
        <f>IF($J1102="","",SUMIFS('Hours Log'!$C:$C,'Hours Log'!$A:$A,"&gt;="&amp;$J1102,'Hours Log'!$A:$A,"&lt;"&amp;$J1102+7)+SUMIFS('Hours Log'!$D:$D,'Hours Log'!$A:$A,"&gt;="&amp;$J1102,'Hours Log'!$A:$A,"&lt;"&amp;$J1102+7))</f>
        <v/>
      </c>
      <c r="D1102" t="str">
        <f>IF($J1102="","",SUMIFS('Hours Log'!$D:$D,'Hours Log'!$A:$A,"&gt;="&amp;$J1102,'Hours Log'!$A:$A,"&lt;"&amp;$J1102+7))</f>
        <v/>
      </c>
      <c r="E1102" t="str">
        <f t="shared" si="34"/>
        <v/>
      </c>
      <c r="F1102" t="str">
        <f t="shared" si="35"/>
        <v/>
      </c>
      <c r="G1102" t="str">
        <f>IF($J1102="","",SUMIFS('Hours Log'!$E:$E,'Hours Log'!$A:$A,"&gt;="&amp;$J1102,'Hours Log'!$A:$A,"&lt;"&amp;$J1102+7))</f>
        <v/>
      </c>
      <c r="J1102" t="str">
        <f>IF(COUNT('Hours Log'!$A$4:$A$5000)=0,"",IF(MIN('Hours Log'!$A$4:$A$5000)+7*(ROW()-10)&gt;MAX('Hours Log'!$A$4:$A$5000),"",MIN('Hours Log'!$A$4:$A$5000)+7*(ROW()-10)))</f>
        <v/>
      </c>
    </row>
    <row r="1103" spans="1:10" x14ac:dyDescent="0.25">
      <c r="A1103" t="str">
        <f>IF($J1103="","",YEAR($J1103-WEEKDAY($J1103,2)+4)&amp;"-W"&amp;TEXT(_xludf.ISOWEEKNUM($J1103),"00"))</f>
        <v/>
      </c>
      <c r="B1103"/>
      <c r="C1103" t="str">
        <f>IF($J1103="","",SUMIFS('Hours Log'!$C:$C,'Hours Log'!$A:$A,"&gt;="&amp;$J1103,'Hours Log'!$A:$A,"&lt;"&amp;$J1103+7)+SUMIFS('Hours Log'!$D:$D,'Hours Log'!$A:$A,"&gt;="&amp;$J1103,'Hours Log'!$A:$A,"&lt;"&amp;$J1103+7))</f>
        <v/>
      </c>
      <c r="D1103" t="str">
        <f>IF($J1103="","",SUMIFS('Hours Log'!$D:$D,'Hours Log'!$A:$A,"&gt;="&amp;$J1103,'Hours Log'!$A:$A,"&lt;"&amp;$J1103+7))</f>
        <v/>
      </c>
      <c r="E1103" t="str">
        <f t="shared" si="34"/>
        <v/>
      </c>
      <c r="F1103" t="str">
        <f t="shared" si="35"/>
        <v/>
      </c>
      <c r="G1103" t="str">
        <f>IF($J1103="","",SUMIFS('Hours Log'!$E:$E,'Hours Log'!$A:$A,"&gt;="&amp;$J1103,'Hours Log'!$A:$A,"&lt;"&amp;$J1103+7))</f>
        <v/>
      </c>
      <c r="J1103" t="str">
        <f>IF(COUNT('Hours Log'!$A$4:$A$5000)=0,"",IF(MIN('Hours Log'!$A$4:$A$5000)+7*(ROW()-10)&gt;MAX('Hours Log'!$A$4:$A$5000),"",MIN('Hours Log'!$A$4:$A$5000)+7*(ROW()-10)))</f>
        <v/>
      </c>
    </row>
    <row r="1104" spans="1:10" x14ac:dyDescent="0.25">
      <c r="A1104" t="str">
        <f>IF($J1104="","",YEAR($J1104-WEEKDAY($J1104,2)+4)&amp;"-W"&amp;TEXT(_xludf.ISOWEEKNUM($J1104),"00"))</f>
        <v/>
      </c>
      <c r="B1104"/>
      <c r="C1104" t="str">
        <f>IF($J1104="","",SUMIFS('Hours Log'!$C:$C,'Hours Log'!$A:$A,"&gt;="&amp;$J1104,'Hours Log'!$A:$A,"&lt;"&amp;$J1104+7)+SUMIFS('Hours Log'!$D:$D,'Hours Log'!$A:$A,"&gt;="&amp;$J1104,'Hours Log'!$A:$A,"&lt;"&amp;$J1104+7))</f>
        <v/>
      </c>
      <c r="D1104" t="str">
        <f>IF($J1104="","",SUMIFS('Hours Log'!$D:$D,'Hours Log'!$A:$A,"&gt;="&amp;$J1104,'Hours Log'!$A:$A,"&lt;"&amp;$J1104+7))</f>
        <v/>
      </c>
      <c r="E1104" t="str">
        <f t="shared" si="34"/>
        <v/>
      </c>
      <c r="F1104" t="str">
        <f t="shared" si="35"/>
        <v/>
      </c>
      <c r="G1104" t="str">
        <f>IF($J1104="","",SUMIFS('Hours Log'!$E:$E,'Hours Log'!$A:$A,"&gt;="&amp;$J1104,'Hours Log'!$A:$A,"&lt;"&amp;$J1104+7))</f>
        <v/>
      </c>
      <c r="J1104" t="str">
        <f>IF(COUNT('Hours Log'!$A$4:$A$5000)=0,"",IF(MIN('Hours Log'!$A$4:$A$5000)+7*(ROW()-10)&gt;MAX('Hours Log'!$A$4:$A$5000),"",MIN('Hours Log'!$A$4:$A$5000)+7*(ROW()-10)))</f>
        <v/>
      </c>
    </row>
    <row r="1105" spans="1:10" x14ac:dyDescent="0.25">
      <c r="A1105" t="str">
        <f>IF($J1105="","",YEAR($J1105-WEEKDAY($J1105,2)+4)&amp;"-W"&amp;TEXT(_xludf.ISOWEEKNUM($J1105),"00"))</f>
        <v/>
      </c>
      <c r="B1105"/>
      <c r="C1105" t="str">
        <f>IF($J1105="","",SUMIFS('Hours Log'!$C:$C,'Hours Log'!$A:$A,"&gt;="&amp;$J1105,'Hours Log'!$A:$A,"&lt;"&amp;$J1105+7)+SUMIFS('Hours Log'!$D:$D,'Hours Log'!$A:$A,"&gt;="&amp;$J1105,'Hours Log'!$A:$A,"&lt;"&amp;$J1105+7))</f>
        <v/>
      </c>
      <c r="D1105" t="str">
        <f>IF($J1105="","",SUMIFS('Hours Log'!$D:$D,'Hours Log'!$A:$A,"&gt;="&amp;$J1105,'Hours Log'!$A:$A,"&lt;"&amp;$J1105+7))</f>
        <v/>
      </c>
      <c r="E1105" t="str">
        <f t="shared" si="34"/>
        <v/>
      </c>
      <c r="F1105" t="str">
        <f t="shared" si="35"/>
        <v/>
      </c>
      <c r="G1105" t="str">
        <f>IF($J1105="","",SUMIFS('Hours Log'!$E:$E,'Hours Log'!$A:$A,"&gt;="&amp;$J1105,'Hours Log'!$A:$A,"&lt;"&amp;$J1105+7))</f>
        <v/>
      </c>
      <c r="J1105" t="str">
        <f>IF(COUNT('Hours Log'!$A$4:$A$5000)=0,"",IF(MIN('Hours Log'!$A$4:$A$5000)+7*(ROW()-10)&gt;MAX('Hours Log'!$A$4:$A$5000),"",MIN('Hours Log'!$A$4:$A$5000)+7*(ROW()-10)))</f>
        <v/>
      </c>
    </row>
    <row r="1106" spans="1:10" x14ac:dyDescent="0.25">
      <c r="A1106" t="str">
        <f>IF($J1106="","",YEAR($J1106-WEEKDAY($J1106,2)+4)&amp;"-W"&amp;TEXT(_xludf.ISOWEEKNUM($J1106),"00"))</f>
        <v/>
      </c>
      <c r="B1106"/>
      <c r="C1106" t="str">
        <f>IF($J1106="","",SUMIFS('Hours Log'!$C:$C,'Hours Log'!$A:$A,"&gt;="&amp;$J1106,'Hours Log'!$A:$A,"&lt;"&amp;$J1106+7)+SUMIFS('Hours Log'!$D:$D,'Hours Log'!$A:$A,"&gt;="&amp;$J1106,'Hours Log'!$A:$A,"&lt;"&amp;$J1106+7))</f>
        <v/>
      </c>
      <c r="D1106" t="str">
        <f>IF($J1106="","",SUMIFS('Hours Log'!$D:$D,'Hours Log'!$A:$A,"&gt;="&amp;$J1106,'Hours Log'!$A:$A,"&lt;"&amp;$J1106+7))</f>
        <v/>
      </c>
      <c r="E1106" t="str">
        <f t="shared" si="34"/>
        <v/>
      </c>
      <c r="F1106" t="str">
        <f t="shared" si="35"/>
        <v/>
      </c>
      <c r="G1106" t="str">
        <f>IF($J1106="","",SUMIFS('Hours Log'!$E:$E,'Hours Log'!$A:$A,"&gt;="&amp;$J1106,'Hours Log'!$A:$A,"&lt;"&amp;$J1106+7))</f>
        <v/>
      </c>
      <c r="J1106" t="str">
        <f>IF(COUNT('Hours Log'!$A$4:$A$5000)=0,"",IF(MIN('Hours Log'!$A$4:$A$5000)+7*(ROW()-10)&gt;MAX('Hours Log'!$A$4:$A$5000),"",MIN('Hours Log'!$A$4:$A$5000)+7*(ROW()-10)))</f>
        <v/>
      </c>
    </row>
    <row r="1107" spans="1:10" x14ac:dyDescent="0.25">
      <c r="A1107" t="str">
        <f>IF($J1107="","",YEAR($J1107-WEEKDAY($J1107,2)+4)&amp;"-W"&amp;TEXT(_xludf.ISOWEEKNUM($J1107),"00"))</f>
        <v/>
      </c>
      <c r="B1107"/>
      <c r="C1107" t="str">
        <f>IF($J1107="","",SUMIFS('Hours Log'!$C:$C,'Hours Log'!$A:$A,"&gt;="&amp;$J1107,'Hours Log'!$A:$A,"&lt;"&amp;$J1107+7)+SUMIFS('Hours Log'!$D:$D,'Hours Log'!$A:$A,"&gt;="&amp;$J1107,'Hours Log'!$A:$A,"&lt;"&amp;$J1107+7))</f>
        <v/>
      </c>
      <c r="D1107" t="str">
        <f>IF($J1107="","",SUMIFS('Hours Log'!$D:$D,'Hours Log'!$A:$A,"&gt;="&amp;$J1107,'Hours Log'!$A:$A,"&lt;"&amp;$J1107+7))</f>
        <v/>
      </c>
      <c r="E1107" t="str">
        <f t="shared" si="34"/>
        <v/>
      </c>
      <c r="F1107" t="str">
        <f t="shared" si="35"/>
        <v/>
      </c>
      <c r="G1107" t="str">
        <f>IF($J1107="","",SUMIFS('Hours Log'!$E:$E,'Hours Log'!$A:$A,"&gt;="&amp;$J1107,'Hours Log'!$A:$A,"&lt;"&amp;$J1107+7))</f>
        <v/>
      </c>
      <c r="J1107" t="str">
        <f>IF(COUNT('Hours Log'!$A$4:$A$5000)=0,"",IF(MIN('Hours Log'!$A$4:$A$5000)+7*(ROW()-10)&gt;MAX('Hours Log'!$A$4:$A$5000),"",MIN('Hours Log'!$A$4:$A$5000)+7*(ROW()-10)))</f>
        <v/>
      </c>
    </row>
    <row r="1108" spans="1:10" x14ac:dyDescent="0.25">
      <c r="A1108" t="str">
        <f>IF($J1108="","",YEAR($J1108-WEEKDAY($J1108,2)+4)&amp;"-W"&amp;TEXT(_xludf.ISOWEEKNUM($J1108),"00"))</f>
        <v/>
      </c>
      <c r="B1108"/>
      <c r="C1108" t="str">
        <f>IF($J1108="","",SUMIFS('Hours Log'!$C:$C,'Hours Log'!$A:$A,"&gt;="&amp;$J1108,'Hours Log'!$A:$A,"&lt;"&amp;$J1108+7)+SUMIFS('Hours Log'!$D:$D,'Hours Log'!$A:$A,"&gt;="&amp;$J1108,'Hours Log'!$A:$A,"&lt;"&amp;$J1108+7))</f>
        <v/>
      </c>
      <c r="D1108" t="str">
        <f>IF($J1108="","",SUMIFS('Hours Log'!$D:$D,'Hours Log'!$A:$A,"&gt;="&amp;$J1108,'Hours Log'!$A:$A,"&lt;"&amp;$J1108+7))</f>
        <v/>
      </c>
      <c r="E1108" t="str">
        <f t="shared" si="34"/>
        <v/>
      </c>
      <c r="F1108" t="str">
        <f t="shared" si="35"/>
        <v/>
      </c>
      <c r="G1108" t="str">
        <f>IF($J1108="","",SUMIFS('Hours Log'!$E:$E,'Hours Log'!$A:$A,"&gt;="&amp;$J1108,'Hours Log'!$A:$A,"&lt;"&amp;$J1108+7))</f>
        <v/>
      </c>
      <c r="J1108" t="str">
        <f>IF(COUNT('Hours Log'!$A$4:$A$5000)=0,"",IF(MIN('Hours Log'!$A$4:$A$5000)+7*(ROW()-10)&gt;MAX('Hours Log'!$A$4:$A$5000),"",MIN('Hours Log'!$A$4:$A$5000)+7*(ROW()-10)))</f>
        <v/>
      </c>
    </row>
    <row r="1109" spans="1:10" x14ac:dyDescent="0.25">
      <c r="A1109" t="str">
        <f>IF($J1109="","",YEAR($J1109-WEEKDAY($J1109,2)+4)&amp;"-W"&amp;TEXT(_xludf.ISOWEEKNUM($J1109),"00"))</f>
        <v/>
      </c>
      <c r="B1109"/>
      <c r="C1109" t="str">
        <f>IF($J1109="","",SUMIFS('Hours Log'!$C:$C,'Hours Log'!$A:$A,"&gt;="&amp;$J1109,'Hours Log'!$A:$A,"&lt;"&amp;$J1109+7)+SUMIFS('Hours Log'!$D:$D,'Hours Log'!$A:$A,"&gt;="&amp;$J1109,'Hours Log'!$A:$A,"&lt;"&amp;$J1109+7))</f>
        <v/>
      </c>
      <c r="D1109" t="str">
        <f>IF($J1109="","",SUMIFS('Hours Log'!$D:$D,'Hours Log'!$A:$A,"&gt;="&amp;$J1109,'Hours Log'!$A:$A,"&lt;"&amp;$J1109+7))</f>
        <v/>
      </c>
      <c r="E1109" t="str">
        <f t="shared" si="34"/>
        <v/>
      </c>
      <c r="F1109" t="str">
        <f t="shared" si="35"/>
        <v/>
      </c>
      <c r="G1109" t="str">
        <f>IF($J1109="","",SUMIFS('Hours Log'!$E:$E,'Hours Log'!$A:$A,"&gt;="&amp;$J1109,'Hours Log'!$A:$A,"&lt;"&amp;$J1109+7))</f>
        <v/>
      </c>
      <c r="J1109" t="str">
        <f>IF(COUNT('Hours Log'!$A$4:$A$5000)=0,"",IF(MIN('Hours Log'!$A$4:$A$5000)+7*(ROW()-10)&gt;MAX('Hours Log'!$A$4:$A$5000),"",MIN('Hours Log'!$A$4:$A$5000)+7*(ROW()-10)))</f>
        <v/>
      </c>
    </row>
    <row r="1110" spans="1:10" x14ac:dyDescent="0.25">
      <c r="A1110" t="str">
        <f>IF($J1110="","",YEAR($J1110-WEEKDAY($J1110,2)+4)&amp;"-W"&amp;TEXT(_xludf.ISOWEEKNUM($J1110),"00"))</f>
        <v/>
      </c>
      <c r="B1110"/>
      <c r="C1110" t="str">
        <f>IF($J1110="","",SUMIFS('Hours Log'!$C:$C,'Hours Log'!$A:$A,"&gt;="&amp;$J1110,'Hours Log'!$A:$A,"&lt;"&amp;$J1110+7)+SUMIFS('Hours Log'!$D:$D,'Hours Log'!$A:$A,"&gt;="&amp;$J1110,'Hours Log'!$A:$A,"&lt;"&amp;$J1110+7))</f>
        <v/>
      </c>
      <c r="D1110" t="str">
        <f>IF($J1110="","",SUMIFS('Hours Log'!$D:$D,'Hours Log'!$A:$A,"&gt;="&amp;$J1110,'Hours Log'!$A:$A,"&lt;"&amp;$J1110+7))</f>
        <v/>
      </c>
      <c r="E1110" t="str">
        <f t="shared" si="34"/>
        <v/>
      </c>
      <c r="F1110" t="str">
        <f t="shared" si="35"/>
        <v/>
      </c>
      <c r="G1110" t="str">
        <f>IF($J1110="","",SUMIFS('Hours Log'!$E:$E,'Hours Log'!$A:$A,"&gt;="&amp;$J1110,'Hours Log'!$A:$A,"&lt;"&amp;$J1110+7))</f>
        <v/>
      </c>
      <c r="J1110" t="str">
        <f>IF(COUNT('Hours Log'!$A$4:$A$5000)=0,"",IF(MIN('Hours Log'!$A$4:$A$5000)+7*(ROW()-10)&gt;MAX('Hours Log'!$A$4:$A$5000),"",MIN('Hours Log'!$A$4:$A$5000)+7*(ROW()-10)))</f>
        <v/>
      </c>
    </row>
    <row r="1111" spans="1:10" x14ac:dyDescent="0.25">
      <c r="A1111" t="str">
        <f>IF($J1111="","",YEAR($J1111-WEEKDAY($J1111,2)+4)&amp;"-W"&amp;TEXT(_xludf.ISOWEEKNUM($J1111),"00"))</f>
        <v/>
      </c>
      <c r="B1111"/>
      <c r="C1111" t="str">
        <f>IF($J1111="","",SUMIFS('Hours Log'!$C:$C,'Hours Log'!$A:$A,"&gt;="&amp;$J1111,'Hours Log'!$A:$A,"&lt;"&amp;$J1111+7)+SUMIFS('Hours Log'!$D:$D,'Hours Log'!$A:$A,"&gt;="&amp;$J1111,'Hours Log'!$A:$A,"&lt;"&amp;$J1111+7))</f>
        <v/>
      </c>
      <c r="D1111" t="str">
        <f>IF($J1111="","",SUMIFS('Hours Log'!$D:$D,'Hours Log'!$A:$A,"&gt;="&amp;$J1111,'Hours Log'!$A:$A,"&lt;"&amp;$J1111+7))</f>
        <v/>
      </c>
      <c r="E1111" t="str">
        <f t="shared" si="34"/>
        <v/>
      </c>
      <c r="F1111" t="str">
        <f t="shared" si="35"/>
        <v/>
      </c>
      <c r="G1111" t="str">
        <f>IF($J1111="","",SUMIFS('Hours Log'!$E:$E,'Hours Log'!$A:$A,"&gt;="&amp;$J1111,'Hours Log'!$A:$A,"&lt;"&amp;$J1111+7))</f>
        <v/>
      </c>
      <c r="J1111" t="str">
        <f>IF(COUNT('Hours Log'!$A$4:$A$5000)=0,"",IF(MIN('Hours Log'!$A$4:$A$5000)+7*(ROW()-10)&gt;MAX('Hours Log'!$A$4:$A$5000),"",MIN('Hours Log'!$A$4:$A$5000)+7*(ROW()-10)))</f>
        <v/>
      </c>
    </row>
    <row r="1112" spans="1:10" x14ac:dyDescent="0.25">
      <c r="A1112" t="str">
        <f>IF($J1112="","",YEAR($J1112-WEEKDAY($J1112,2)+4)&amp;"-W"&amp;TEXT(_xludf.ISOWEEKNUM($J1112),"00"))</f>
        <v/>
      </c>
      <c r="B1112"/>
      <c r="C1112" t="str">
        <f>IF($J1112="","",SUMIFS('Hours Log'!$C:$C,'Hours Log'!$A:$A,"&gt;="&amp;$J1112,'Hours Log'!$A:$A,"&lt;"&amp;$J1112+7)+SUMIFS('Hours Log'!$D:$D,'Hours Log'!$A:$A,"&gt;="&amp;$J1112,'Hours Log'!$A:$A,"&lt;"&amp;$J1112+7))</f>
        <v/>
      </c>
      <c r="D1112" t="str">
        <f>IF($J1112="","",SUMIFS('Hours Log'!$D:$D,'Hours Log'!$A:$A,"&gt;="&amp;$J1112,'Hours Log'!$A:$A,"&lt;"&amp;$J1112+7))</f>
        <v/>
      </c>
      <c r="E1112" t="str">
        <f t="shared" si="34"/>
        <v/>
      </c>
      <c r="F1112" t="str">
        <f t="shared" si="35"/>
        <v/>
      </c>
      <c r="G1112" t="str">
        <f>IF($J1112="","",SUMIFS('Hours Log'!$E:$E,'Hours Log'!$A:$A,"&gt;="&amp;$J1112,'Hours Log'!$A:$A,"&lt;"&amp;$J1112+7))</f>
        <v/>
      </c>
      <c r="J1112" t="str">
        <f>IF(COUNT('Hours Log'!$A$4:$A$5000)=0,"",IF(MIN('Hours Log'!$A$4:$A$5000)+7*(ROW()-10)&gt;MAX('Hours Log'!$A$4:$A$5000),"",MIN('Hours Log'!$A$4:$A$5000)+7*(ROW()-10)))</f>
        <v/>
      </c>
    </row>
    <row r="1113" spans="1:10" x14ac:dyDescent="0.25">
      <c r="A1113" t="str">
        <f>IF($J1113="","",YEAR($J1113-WEEKDAY($J1113,2)+4)&amp;"-W"&amp;TEXT(_xludf.ISOWEEKNUM($J1113),"00"))</f>
        <v/>
      </c>
      <c r="B1113"/>
      <c r="C1113" t="str">
        <f>IF($J1113="","",SUMIFS('Hours Log'!$C:$C,'Hours Log'!$A:$A,"&gt;="&amp;$J1113,'Hours Log'!$A:$A,"&lt;"&amp;$J1113+7)+SUMIFS('Hours Log'!$D:$D,'Hours Log'!$A:$A,"&gt;="&amp;$J1113,'Hours Log'!$A:$A,"&lt;"&amp;$J1113+7))</f>
        <v/>
      </c>
      <c r="D1113" t="str">
        <f>IF($J1113="","",SUMIFS('Hours Log'!$D:$D,'Hours Log'!$A:$A,"&gt;="&amp;$J1113,'Hours Log'!$A:$A,"&lt;"&amp;$J1113+7))</f>
        <v/>
      </c>
      <c r="E1113" t="str">
        <f t="shared" si="34"/>
        <v/>
      </c>
      <c r="F1113" t="str">
        <f t="shared" si="35"/>
        <v/>
      </c>
      <c r="G1113" t="str">
        <f>IF($J1113="","",SUMIFS('Hours Log'!$E:$E,'Hours Log'!$A:$A,"&gt;="&amp;$J1113,'Hours Log'!$A:$A,"&lt;"&amp;$J1113+7))</f>
        <v/>
      </c>
      <c r="J1113" t="str">
        <f>IF(COUNT('Hours Log'!$A$4:$A$5000)=0,"",IF(MIN('Hours Log'!$A$4:$A$5000)+7*(ROW()-10)&gt;MAX('Hours Log'!$A$4:$A$5000),"",MIN('Hours Log'!$A$4:$A$5000)+7*(ROW()-10)))</f>
        <v/>
      </c>
    </row>
    <row r="1114" spans="1:10" x14ac:dyDescent="0.25">
      <c r="A1114" t="str">
        <f>IF($J1114="","",YEAR($J1114-WEEKDAY($J1114,2)+4)&amp;"-W"&amp;TEXT(_xludf.ISOWEEKNUM($J1114),"00"))</f>
        <v/>
      </c>
      <c r="B1114"/>
      <c r="C1114" t="str">
        <f>IF($J1114="","",SUMIFS('Hours Log'!$C:$C,'Hours Log'!$A:$A,"&gt;="&amp;$J1114,'Hours Log'!$A:$A,"&lt;"&amp;$J1114+7)+SUMIFS('Hours Log'!$D:$D,'Hours Log'!$A:$A,"&gt;="&amp;$J1114,'Hours Log'!$A:$A,"&lt;"&amp;$J1114+7))</f>
        <v/>
      </c>
      <c r="D1114" t="str">
        <f>IF($J1114="","",SUMIFS('Hours Log'!$D:$D,'Hours Log'!$A:$A,"&gt;="&amp;$J1114,'Hours Log'!$A:$A,"&lt;"&amp;$J1114+7))</f>
        <v/>
      </c>
      <c r="E1114" t="str">
        <f t="shared" si="34"/>
        <v/>
      </c>
      <c r="F1114" t="str">
        <f t="shared" si="35"/>
        <v/>
      </c>
      <c r="G1114" t="str">
        <f>IF($J1114="","",SUMIFS('Hours Log'!$E:$E,'Hours Log'!$A:$A,"&gt;="&amp;$J1114,'Hours Log'!$A:$A,"&lt;"&amp;$J1114+7))</f>
        <v/>
      </c>
      <c r="J1114" t="str">
        <f>IF(COUNT('Hours Log'!$A$4:$A$5000)=0,"",IF(MIN('Hours Log'!$A$4:$A$5000)+7*(ROW()-10)&gt;MAX('Hours Log'!$A$4:$A$5000),"",MIN('Hours Log'!$A$4:$A$5000)+7*(ROW()-10)))</f>
        <v/>
      </c>
    </row>
    <row r="1115" spans="1:10" x14ac:dyDescent="0.25">
      <c r="A1115" t="str">
        <f>IF($J1115="","",YEAR($J1115-WEEKDAY($J1115,2)+4)&amp;"-W"&amp;TEXT(_xludf.ISOWEEKNUM($J1115),"00"))</f>
        <v/>
      </c>
      <c r="B1115"/>
      <c r="C1115" t="str">
        <f>IF($J1115="","",SUMIFS('Hours Log'!$C:$C,'Hours Log'!$A:$A,"&gt;="&amp;$J1115,'Hours Log'!$A:$A,"&lt;"&amp;$J1115+7)+SUMIFS('Hours Log'!$D:$D,'Hours Log'!$A:$A,"&gt;="&amp;$J1115,'Hours Log'!$A:$A,"&lt;"&amp;$J1115+7))</f>
        <v/>
      </c>
      <c r="D1115" t="str">
        <f>IF($J1115="","",SUMIFS('Hours Log'!$D:$D,'Hours Log'!$A:$A,"&gt;="&amp;$J1115,'Hours Log'!$A:$A,"&lt;"&amp;$J1115+7))</f>
        <v/>
      </c>
      <c r="E1115" t="str">
        <f t="shared" si="34"/>
        <v/>
      </c>
      <c r="F1115" t="str">
        <f t="shared" si="35"/>
        <v/>
      </c>
      <c r="G1115" t="str">
        <f>IF($J1115="","",SUMIFS('Hours Log'!$E:$E,'Hours Log'!$A:$A,"&gt;="&amp;$J1115,'Hours Log'!$A:$A,"&lt;"&amp;$J1115+7))</f>
        <v/>
      </c>
      <c r="J1115" t="str">
        <f>IF(COUNT('Hours Log'!$A$4:$A$5000)=0,"",IF(MIN('Hours Log'!$A$4:$A$5000)+7*(ROW()-10)&gt;MAX('Hours Log'!$A$4:$A$5000),"",MIN('Hours Log'!$A$4:$A$5000)+7*(ROW()-10)))</f>
        <v/>
      </c>
    </row>
    <row r="1116" spans="1:10" x14ac:dyDescent="0.25">
      <c r="A1116" t="str">
        <f>IF($J1116="","",YEAR($J1116-WEEKDAY($J1116,2)+4)&amp;"-W"&amp;TEXT(_xludf.ISOWEEKNUM($J1116),"00"))</f>
        <v/>
      </c>
      <c r="B1116"/>
      <c r="C1116" t="str">
        <f>IF($J1116="","",SUMIFS('Hours Log'!$C:$C,'Hours Log'!$A:$A,"&gt;="&amp;$J1116,'Hours Log'!$A:$A,"&lt;"&amp;$J1116+7)+SUMIFS('Hours Log'!$D:$D,'Hours Log'!$A:$A,"&gt;="&amp;$J1116,'Hours Log'!$A:$A,"&lt;"&amp;$J1116+7))</f>
        <v/>
      </c>
      <c r="D1116" t="str">
        <f>IF($J1116="","",SUMIFS('Hours Log'!$D:$D,'Hours Log'!$A:$A,"&gt;="&amp;$J1116,'Hours Log'!$A:$A,"&lt;"&amp;$J1116+7))</f>
        <v/>
      </c>
      <c r="E1116" t="str">
        <f t="shared" si="34"/>
        <v/>
      </c>
      <c r="F1116" t="str">
        <f t="shared" si="35"/>
        <v/>
      </c>
      <c r="G1116" t="str">
        <f>IF($J1116="","",SUMIFS('Hours Log'!$E:$E,'Hours Log'!$A:$A,"&gt;="&amp;$J1116,'Hours Log'!$A:$A,"&lt;"&amp;$J1116+7))</f>
        <v/>
      </c>
      <c r="J1116" t="str">
        <f>IF(COUNT('Hours Log'!$A$4:$A$5000)=0,"",IF(MIN('Hours Log'!$A$4:$A$5000)+7*(ROW()-10)&gt;MAX('Hours Log'!$A$4:$A$5000),"",MIN('Hours Log'!$A$4:$A$5000)+7*(ROW()-10)))</f>
        <v/>
      </c>
    </row>
    <row r="1117" spans="1:10" x14ac:dyDescent="0.25">
      <c r="A1117" t="str">
        <f>IF($J1117="","",YEAR($J1117-WEEKDAY($J1117,2)+4)&amp;"-W"&amp;TEXT(_xludf.ISOWEEKNUM($J1117),"00"))</f>
        <v/>
      </c>
      <c r="B1117"/>
      <c r="C1117" t="str">
        <f>IF($J1117="","",SUMIFS('Hours Log'!$C:$C,'Hours Log'!$A:$A,"&gt;="&amp;$J1117,'Hours Log'!$A:$A,"&lt;"&amp;$J1117+7)+SUMIFS('Hours Log'!$D:$D,'Hours Log'!$A:$A,"&gt;="&amp;$J1117,'Hours Log'!$A:$A,"&lt;"&amp;$J1117+7))</f>
        <v/>
      </c>
      <c r="D1117" t="str">
        <f>IF($J1117="","",SUMIFS('Hours Log'!$D:$D,'Hours Log'!$A:$A,"&gt;="&amp;$J1117,'Hours Log'!$A:$A,"&lt;"&amp;$J1117+7))</f>
        <v/>
      </c>
      <c r="E1117" t="str">
        <f t="shared" si="34"/>
        <v/>
      </c>
      <c r="F1117" t="str">
        <f t="shared" si="35"/>
        <v/>
      </c>
      <c r="G1117" t="str">
        <f>IF($J1117="","",SUMIFS('Hours Log'!$E:$E,'Hours Log'!$A:$A,"&gt;="&amp;$J1117,'Hours Log'!$A:$A,"&lt;"&amp;$J1117+7))</f>
        <v/>
      </c>
      <c r="J1117" t="str">
        <f>IF(COUNT('Hours Log'!$A$4:$A$5000)=0,"",IF(MIN('Hours Log'!$A$4:$A$5000)+7*(ROW()-10)&gt;MAX('Hours Log'!$A$4:$A$5000),"",MIN('Hours Log'!$A$4:$A$5000)+7*(ROW()-10)))</f>
        <v/>
      </c>
    </row>
    <row r="1118" spans="1:10" x14ac:dyDescent="0.25">
      <c r="A1118" t="str">
        <f>IF($J1118="","",YEAR($J1118-WEEKDAY($J1118,2)+4)&amp;"-W"&amp;TEXT(_xludf.ISOWEEKNUM($J1118),"00"))</f>
        <v/>
      </c>
      <c r="B1118"/>
      <c r="C1118" t="str">
        <f>IF($J1118="","",SUMIFS('Hours Log'!$C:$C,'Hours Log'!$A:$A,"&gt;="&amp;$J1118,'Hours Log'!$A:$A,"&lt;"&amp;$J1118+7)+SUMIFS('Hours Log'!$D:$D,'Hours Log'!$A:$A,"&gt;="&amp;$J1118,'Hours Log'!$A:$A,"&lt;"&amp;$J1118+7))</f>
        <v/>
      </c>
      <c r="D1118" t="str">
        <f>IF($J1118="","",SUMIFS('Hours Log'!$D:$D,'Hours Log'!$A:$A,"&gt;="&amp;$J1118,'Hours Log'!$A:$A,"&lt;"&amp;$J1118+7))</f>
        <v/>
      </c>
      <c r="E1118" t="str">
        <f t="shared" si="34"/>
        <v/>
      </c>
      <c r="F1118" t="str">
        <f t="shared" si="35"/>
        <v/>
      </c>
      <c r="G1118" t="str">
        <f>IF($J1118="","",SUMIFS('Hours Log'!$E:$E,'Hours Log'!$A:$A,"&gt;="&amp;$J1118,'Hours Log'!$A:$A,"&lt;"&amp;$J1118+7))</f>
        <v/>
      </c>
      <c r="J1118" t="str">
        <f>IF(COUNT('Hours Log'!$A$4:$A$5000)=0,"",IF(MIN('Hours Log'!$A$4:$A$5000)+7*(ROW()-10)&gt;MAX('Hours Log'!$A$4:$A$5000),"",MIN('Hours Log'!$A$4:$A$5000)+7*(ROW()-10)))</f>
        <v/>
      </c>
    </row>
    <row r="1119" spans="1:10" x14ac:dyDescent="0.25">
      <c r="A1119" t="str">
        <f>IF($J1119="","",YEAR($J1119-WEEKDAY($J1119,2)+4)&amp;"-W"&amp;TEXT(_xludf.ISOWEEKNUM($J1119),"00"))</f>
        <v/>
      </c>
      <c r="B1119"/>
      <c r="C1119" t="str">
        <f>IF($J1119="","",SUMIFS('Hours Log'!$C:$C,'Hours Log'!$A:$A,"&gt;="&amp;$J1119,'Hours Log'!$A:$A,"&lt;"&amp;$J1119+7)+SUMIFS('Hours Log'!$D:$D,'Hours Log'!$A:$A,"&gt;="&amp;$J1119,'Hours Log'!$A:$A,"&lt;"&amp;$J1119+7))</f>
        <v/>
      </c>
      <c r="D1119" t="str">
        <f>IF($J1119="","",SUMIFS('Hours Log'!$D:$D,'Hours Log'!$A:$A,"&gt;="&amp;$J1119,'Hours Log'!$A:$A,"&lt;"&amp;$J1119+7))</f>
        <v/>
      </c>
      <c r="E1119" t="str">
        <f t="shared" si="34"/>
        <v/>
      </c>
      <c r="F1119" t="str">
        <f t="shared" si="35"/>
        <v/>
      </c>
      <c r="G1119" t="str">
        <f>IF($J1119="","",SUMIFS('Hours Log'!$E:$E,'Hours Log'!$A:$A,"&gt;="&amp;$J1119,'Hours Log'!$A:$A,"&lt;"&amp;$J1119+7))</f>
        <v/>
      </c>
      <c r="J1119" t="str">
        <f>IF(COUNT('Hours Log'!$A$4:$A$5000)=0,"",IF(MIN('Hours Log'!$A$4:$A$5000)+7*(ROW()-10)&gt;MAX('Hours Log'!$A$4:$A$5000),"",MIN('Hours Log'!$A$4:$A$5000)+7*(ROW()-10)))</f>
        <v/>
      </c>
    </row>
    <row r="1120" spans="1:10" x14ac:dyDescent="0.25">
      <c r="A1120" t="str">
        <f>IF($J1120="","",YEAR($J1120-WEEKDAY($J1120,2)+4)&amp;"-W"&amp;TEXT(_xludf.ISOWEEKNUM($J1120),"00"))</f>
        <v/>
      </c>
      <c r="B1120"/>
      <c r="C1120" t="str">
        <f>IF($J1120="","",SUMIFS('Hours Log'!$C:$C,'Hours Log'!$A:$A,"&gt;="&amp;$J1120,'Hours Log'!$A:$A,"&lt;"&amp;$J1120+7)+SUMIFS('Hours Log'!$D:$D,'Hours Log'!$A:$A,"&gt;="&amp;$J1120,'Hours Log'!$A:$A,"&lt;"&amp;$J1120+7))</f>
        <v/>
      </c>
      <c r="D1120" t="str">
        <f>IF($J1120="","",SUMIFS('Hours Log'!$D:$D,'Hours Log'!$A:$A,"&gt;="&amp;$J1120,'Hours Log'!$A:$A,"&lt;"&amp;$J1120+7))</f>
        <v/>
      </c>
      <c r="E1120" t="str">
        <f t="shared" si="34"/>
        <v/>
      </c>
      <c r="F1120" t="str">
        <f t="shared" si="35"/>
        <v/>
      </c>
      <c r="G1120" t="str">
        <f>IF($J1120="","",SUMIFS('Hours Log'!$E:$E,'Hours Log'!$A:$A,"&gt;="&amp;$J1120,'Hours Log'!$A:$A,"&lt;"&amp;$J1120+7))</f>
        <v/>
      </c>
      <c r="J1120" t="str">
        <f>IF(COUNT('Hours Log'!$A$4:$A$5000)=0,"",IF(MIN('Hours Log'!$A$4:$A$5000)+7*(ROW()-10)&gt;MAX('Hours Log'!$A$4:$A$5000),"",MIN('Hours Log'!$A$4:$A$5000)+7*(ROW()-10)))</f>
        <v/>
      </c>
    </row>
    <row r="1121" spans="1:10" x14ac:dyDescent="0.25">
      <c r="A1121" t="str">
        <f>IF($J1121="","",YEAR($J1121-WEEKDAY($J1121,2)+4)&amp;"-W"&amp;TEXT(_xludf.ISOWEEKNUM($J1121),"00"))</f>
        <v/>
      </c>
      <c r="B1121"/>
      <c r="C1121" t="str">
        <f>IF($J1121="","",SUMIFS('Hours Log'!$C:$C,'Hours Log'!$A:$A,"&gt;="&amp;$J1121,'Hours Log'!$A:$A,"&lt;"&amp;$J1121+7)+SUMIFS('Hours Log'!$D:$D,'Hours Log'!$A:$A,"&gt;="&amp;$J1121,'Hours Log'!$A:$A,"&lt;"&amp;$J1121+7))</f>
        <v/>
      </c>
      <c r="D1121" t="str">
        <f>IF($J1121="","",SUMIFS('Hours Log'!$D:$D,'Hours Log'!$A:$A,"&gt;="&amp;$J1121,'Hours Log'!$A:$A,"&lt;"&amp;$J1121+7))</f>
        <v/>
      </c>
      <c r="E1121" t="str">
        <f t="shared" si="34"/>
        <v/>
      </c>
      <c r="F1121" t="str">
        <f t="shared" si="35"/>
        <v/>
      </c>
      <c r="G1121" t="str">
        <f>IF($J1121="","",SUMIFS('Hours Log'!$E:$E,'Hours Log'!$A:$A,"&gt;="&amp;$J1121,'Hours Log'!$A:$A,"&lt;"&amp;$J1121+7))</f>
        <v/>
      </c>
      <c r="J1121" t="str">
        <f>IF(COUNT('Hours Log'!$A$4:$A$5000)=0,"",IF(MIN('Hours Log'!$A$4:$A$5000)+7*(ROW()-10)&gt;MAX('Hours Log'!$A$4:$A$5000),"",MIN('Hours Log'!$A$4:$A$5000)+7*(ROW()-10)))</f>
        <v/>
      </c>
    </row>
    <row r="1122" spans="1:10" x14ac:dyDescent="0.25">
      <c r="A1122" t="str">
        <f>IF($J1122="","",YEAR($J1122-WEEKDAY($J1122,2)+4)&amp;"-W"&amp;TEXT(_xludf.ISOWEEKNUM($J1122),"00"))</f>
        <v/>
      </c>
      <c r="B1122"/>
      <c r="C1122" t="str">
        <f>IF($J1122="","",SUMIFS('Hours Log'!$C:$C,'Hours Log'!$A:$A,"&gt;="&amp;$J1122,'Hours Log'!$A:$A,"&lt;"&amp;$J1122+7)+SUMIFS('Hours Log'!$D:$D,'Hours Log'!$A:$A,"&gt;="&amp;$J1122,'Hours Log'!$A:$A,"&lt;"&amp;$J1122+7))</f>
        <v/>
      </c>
      <c r="D1122" t="str">
        <f>IF($J1122="","",SUMIFS('Hours Log'!$D:$D,'Hours Log'!$A:$A,"&gt;="&amp;$J1122,'Hours Log'!$A:$A,"&lt;"&amp;$J1122+7))</f>
        <v/>
      </c>
      <c r="E1122" t="str">
        <f t="shared" si="34"/>
        <v/>
      </c>
      <c r="F1122" t="str">
        <f t="shared" si="35"/>
        <v/>
      </c>
      <c r="G1122" t="str">
        <f>IF($J1122="","",SUMIFS('Hours Log'!$E:$E,'Hours Log'!$A:$A,"&gt;="&amp;$J1122,'Hours Log'!$A:$A,"&lt;"&amp;$J1122+7))</f>
        <v/>
      </c>
      <c r="J1122" t="str">
        <f>IF(COUNT('Hours Log'!$A$4:$A$5000)=0,"",IF(MIN('Hours Log'!$A$4:$A$5000)+7*(ROW()-10)&gt;MAX('Hours Log'!$A$4:$A$5000),"",MIN('Hours Log'!$A$4:$A$5000)+7*(ROW()-10)))</f>
        <v/>
      </c>
    </row>
    <row r="1123" spans="1:10" x14ac:dyDescent="0.25">
      <c r="A1123" t="str">
        <f>IF($J1123="","",YEAR($J1123-WEEKDAY($J1123,2)+4)&amp;"-W"&amp;TEXT(_xludf.ISOWEEKNUM($J1123),"00"))</f>
        <v/>
      </c>
      <c r="B1123"/>
      <c r="C1123" t="str">
        <f>IF($J1123="","",SUMIFS('Hours Log'!$C:$C,'Hours Log'!$A:$A,"&gt;="&amp;$J1123,'Hours Log'!$A:$A,"&lt;"&amp;$J1123+7)+SUMIFS('Hours Log'!$D:$D,'Hours Log'!$A:$A,"&gt;="&amp;$J1123,'Hours Log'!$A:$A,"&lt;"&amp;$J1123+7))</f>
        <v/>
      </c>
      <c r="D1123" t="str">
        <f>IF($J1123="","",SUMIFS('Hours Log'!$D:$D,'Hours Log'!$A:$A,"&gt;="&amp;$J1123,'Hours Log'!$A:$A,"&lt;"&amp;$J1123+7))</f>
        <v/>
      </c>
      <c r="E1123" t="str">
        <f t="shared" si="34"/>
        <v/>
      </c>
      <c r="F1123" t="str">
        <f t="shared" si="35"/>
        <v/>
      </c>
      <c r="G1123" t="str">
        <f>IF($J1123="","",SUMIFS('Hours Log'!$E:$E,'Hours Log'!$A:$A,"&gt;="&amp;$J1123,'Hours Log'!$A:$A,"&lt;"&amp;$J1123+7))</f>
        <v/>
      </c>
      <c r="J1123" t="str">
        <f>IF(COUNT('Hours Log'!$A$4:$A$5000)=0,"",IF(MIN('Hours Log'!$A$4:$A$5000)+7*(ROW()-10)&gt;MAX('Hours Log'!$A$4:$A$5000),"",MIN('Hours Log'!$A$4:$A$5000)+7*(ROW()-10)))</f>
        <v/>
      </c>
    </row>
    <row r="1124" spans="1:10" x14ac:dyDescent="0.25">
      <c r="A1124" t="str">
        <f>IF($J1124="","",YEAR($J1124-WEEKDAY($J1124,2)+4)&amp;"-W"&amp;TEXT(_xludf.ISOWEEKNUM($J1124),"00"))</f>
        <v/>
      </c>
      <c r="B1124"/>
      <c r="C1124" t="str">
        <f>IF($J1124="","",SUMIFS('Hours Log'!$C:$C,'Hours Log'!$A:$A,"&gt;="&amp;$J1124,'Hours Log'!$A:$A,"&lt;"&amp;$J1124+7)+SUMIFS('Hours Log'!$D:$D,'Hours Log'!$A:$A,"&gt;="&amp;$J1124,'Hours Log'!$A:$A,"&lt;"&amp;$J1124+7))</f>
        <v/>
      </c>
      <c r="D1124" t="str">
        <f>IF($J1124="","",SUMIFS('Hours Log'!$D:$D,'Hours Log'!$A:$A,"&gt;="&amp;$J1124,'Hours Log'!$A:$A,"&lt;"&amp;$J1124+7))</f>
        <v/>
      </c>
      <c r="E1124" t="str">
        <f t="shared" si="34"/>
        <v/>
      </c>
      <c r="F1124" t="str">
        <f t="shared" si="35"/>
        <v/>
      </c>
      <c r="G1124" t="str">
        <f>IF($J1124="","",SUMIFS('Hours Log'!$E:$E,'Hours Log'!$A:$A,"&gt;="&amp;$J1124,'Hours Log'!$A:$A,"&lt;"&amp;$J1124+7))</f>
        <v/>
      </c>
      <c r="J1124" t="str">
        <f>IF(COUNT('Hours Log'!$A$4:$A$5000)=0,"",IF(MIN('Hours Log'!$A$4:$A$5000)+7*(ROW()-10)&gt;MAX('Hours Log'!$A$4:$A$5000),"",MIN('Hours Log'!$A$4:$A$5000)+7*(ROW()-10)))</f>
        <v/>
      </c>
    </row>
    <row r="1125" spans="1:10" x14ac:dyDescent="0.25">
      <c r="A1125" t="str">
        <f>IF($J1125="","",YEAR($J1125-WEEKDAY($J1125,2)+4)&amp;"-W"&amp;TEXT(_xludf.ISOWEEKNUM($J1125),"00"))</f>
        <v/>
      </c>
      <c r="B1125"/>
      <c r="C1125" t="str">
        <f>IF($J1125="","",SUMIFS('Hours Log'!$C:$C,'Hours Log'!$A:$A,"&gt;="&amp;$J1125,'Hours Log'!$A:$A,"&lt;"&amp;$J1125+7)+SUMIFS('Hours Log'!$D:$D,'Hours Log'!$A:$A,"&gt;="&amp;$J1125,'Hours Log'!$A:$A,"&lt;"&amp;$J1125+7))</f>
        <v/>
      </c>
      <c r="D1125" t="str">
        <f>IF($J1125="","",SUMIFS('Hours Log'!$D:$D,'Hours Log'!$A:$A,"&gt;="&amp;$J1125,'Hours Log'!$A:$A,"&lt;"&amp;$J1125+7))</f>
        <v/>
      </c>
      <c r="E1125" t="str">
        <f t="shared" si="34"/>
        <v/>
      </c>
      <c r="F1125" t="str">
        <f t="shared" si="35"/>
        <v/>
      </c>
      <c r="G1125" t="str">
        <f>IF($J1125="","",SUMIFS('Hours Log'!$E:$E,'Hours Log'!$A:$A,"&gt;="&amp;$J1125,'Hours Log'!$A:$A,"&lt;"&amp;$J1125+7))</f>
        <v/>
      </c>
      <c r="J1125" t="str">
        <f>IF(COUNT('Hours Log'!$A$4:$A$5000)=0,"",IF(MIN('Hours Log'!$A$4:$A$5000)+7*(ROW()-10)&gt;MAX('Hours Log'!$A$4:$A$5000),"",MIN('Hours Log'!$A$4:$A$5000)+7*(ROW()-10)))</f>
        <v/>
      </c>
    </row>
    <row r="1126" spans="1:10" x14ac:dyDescent="0.25">
      <c r="A1126" t="str">
        <f>IF($J1126="","",YEAR($J1126-WEEKDAY($J1126,2)+4)&amp;"-W"&amp;TEXT(_xludf.ISOWEEKNUM($J1126),"00"))</f>
        <v/>
      </c>
      <c r="B1126"/>
      <c r="C1126" t="str">
        <f>IF($J1126="","",SUMIFS('Hours Log'!$C:$C,'Hours Log'!$A:$A,"&gt;="&amp;$J1126,'Hours Log'!$A:$A,"&lt;"&amp;$J1126+7)+SUMIFS('Hours Log'!$D:$D,'Hours Log'!$A:$A,"&gt;="&amp;$J1126,'Hours Log'!$A:$A,"&lt;"&amp;$J1126+7))</f>
        <v/>
      </c>
      <c r="D1126" t="str">
        <f>IF($J1126="","",SUMIFS('Hours Log'!$D:$D,'Hours Log'!$A:$A,"&gt;="&amp;$J1126,'Hours Log'!$A:$A,"&lt;"&amp;$J1126+7))</f>
        <v/>
      </c>
      <c r="E1126" t="str">
        <f t="shared" si="34"/>
        <v/>
      </c>
      <c r="F1126" t="str">
        <f t="shared" si="35"/>
        <v/>
      </c>
      <c r="G1126" t="str">
        <f>IF($J1126="","",SUMIFS('Hours Log'!$E:$E,'Hours Log'!$A:$A,"&gt;="&amp;$J1126,'Hours Log'!$A:$A,"&lt;"&amp;$J1126+7))</f>
        <v/>
      </c>
      <c r="J1126" t="str">
        <f>IF(COUNT('Hours Log'!$A$4:$A$5000)=0,"",IF(MIN('Hours Log'!$A$4:$A$5000)+7*(ROW()-10)&gt;MAX('Hours Log'!$A$4:$A$5000),"",MIN('Hours Log'!$A$4:$A$5000)+7*(ROW()-10)))</f>
        <v/>
      </c>
    </row>
    <row r="1127" spans="1:10" x14ac:dyDescent="0.25">
      <c r="A1127" t="str">
        <f>IF($J1127="","",YEAR($J1127-WEEKDAY($J1127,2)+4)&amp;"-W"&amp;TEXT(_xludf.ISOWEEKNUM($J1127),"00"))</f>
        <v/>
      </c>
      <c r="B1127"/>
      <c r="C1127" t="str">
        <f>IF($J1127="","",SUMIFS('Hours Log'!$C:$C,'Hours Log'!$A:$A,"&gt;="&amp;$J1127,'Hours Log'!$A:$A,"&lt;"&amp;$J1127+7)+SUMIFS('Hours Log'!$D:$D,'Hours Log'!$A:$A,"&gt;="&amp;$J1127,'Hours Log'!$A:$A,"&lt;"&amp;$J1127+7))</f>
        <v/>
      </c>
      <c r="D1127" t="str">
        <f>IF($J1127="","",SUMIFS('Hours Log'!$D:$D,'Hours Log'!$A:$A,"&gt;="&amp;$J1127,'Hours Log'!$A:$A,"&lt;"&amp;$J1127+7))</f>
        <v/>
      </c>
      <c r="E1127" t="str">
        <f t="shared" si="34"/>
        <v/>
      </c>
      <c r="F1127" t="str">
        <f t="shared" si="35"/>
        <v/>
      </c>
      <c r="G1127" t="str">
        <f>IF($J1127="","",SUMIFS('Hours Log'!$E:$E,'Hours Log'!$A:$A,"&gt;="&amp;$J1127,'Hours Log'!$A:$A,"&lt;"&amp;$J1127+7))</f>
        <v/>
      </c>
      <c r="J1127" t="str">
        <f>IF(COUNT('Hours Log'!$A$4:$A$5000)=0,"",IF(MIN('Hours Log'!$A$4:$A$5000)+7*(ROW()-10)&gt;MAX('Hours Log'!$A$4:$A$5000),"",MIN('Hours Log'!$A$4:$A$5000)+7*(ROW()-10)))</f>
        <v/>
      </c>
    </row>
    <row r="1128" spans="1:10" x14ac:dyDescent="0.25">
      <c r="A1128" t="str">
        <f>IF($J1128="","",YEAR($J1128-WEEKDAY($J1128,2)+4)&amp;"-W"&amp;TEXT(_xludf.ISOWEEKNUM($J1128),"00"))</f>
        <v/>
      </c>
      <c r="B1128"/>
      <c r="C1128" t="str">
        <f>IF($J1128="","",SUMIFS('Hours Log'!$C:$C,'Hours Log'!$A:$A,"&gt;="&amp;$J1128,'Hours Log'!$A:$A,"&lt;"&amp;$J1128+7)+SUMIFS('Hours Log'!$D:$D,'Hours Log'!$A:$A,"&gt;="&amp;$J1128,'Hours Log'!$A:$A,"&lt;"&amp;$J1128+7))</f>
        <v/>
      </c>
      <c r="D1128" t="str">
        <f>IF($J1128="","",SUMIFS('Hours Log'!$D:$D,'Hours Log'!$A:$A,"&gt;="&amp;$J1128,'Hours Log'!$A:$A,"&lt;"&amp;$J1128+7))</f>
        <v/>
      </c>
      <c r="E1128" t="str">
        <f t="shared" si="34"/>
        <v/>
      </c>
      <c r="F1128" t="str">
        <f t="shared" si="35"/>
        <v/>
      </c>
      <c r="G1128" t="str">
        <f>IF($J1128="","",SUMIFS('Hours Log'!$E:$E,'Hours Log'!$A:$A,"&gt;="&amp;$J1128,'Hours Log'!$A:$A,"&lt;"&amp;$J1128+7))</f>
        <v/>
      </c>
      <c r="J1128" t="str">
        <f>IF(COUNT('Hours Log'!$A$4:$A$5000)=0,"",IF(MIN('Hours Log'!$A$4:$A$5000)+7*(ROW()-10)&gt;MAX('Hours Log'!$A$4:$A$5000),"",MIN('Hours Log'!$A$4:$A$5000)+7*(ROW()-10)))</f>
        <v/>
      </c>
    </row>
    <row r="1129" spans="1:10" x14ac:dyDescent="0.25">
      <c r="A1129" t="str">
        <f>IF($J1129="","",YEAR($J1129-WEEKDAY($J1129,2)+4)&amp;"-W"&amp;TEXT(_xludf.ISOWEEKNUM($J1129),"00"))</f>
        <v/>
      </c>
      <c r="B1129"/>
      <c r="C1129" t="str">
        <f>IF($J1129="","",SUMIFS('Hours Log'!$C:$C,'Hours Log'!$A:$A,"&gt;="&amp;$J1129,'Hours Log'!$A:$A,"&lt;"&amp;$J1129+7)+SUMIFS('Hours Log'!$D:$D,'Hours Log'!$A:$A,"&gt;="&amp;$J1129,'Hours Log'!$A:$A,"&lt;"&amp;$J1129+7))</f>
        <v/>
      </c>
      <c r="D1129" t="str">
        <f>IF($J1129="","",SUMIFS('Hours Log'!$D:$D,'Hours Log'!$A:$A,"&gt;="&amp;$J1129,'Hours Log'!$A:$A,"&lt;"&amp;$J1129+7))</f>
        <v/>
      </c>
      <c r="E1129" t="str">
        <f t="shared" si="34"/>
        <v/>
      </c>
      <c r="F1129" t="str">
        <f t="shared" si="35"/>
        <v/>
      </c>
      <c r="G1129" t="str">
        <f>IF($J1129="","",SUMIFS('Hours Log'!$E:$E,'Hours Log'!$A:$A,"&gt;="&amp;$J1129,'Hours Log'!$A:$A,"&lt;"&amp;$J1129+7))</f>
        <v/>
      </c>
      <c r="J1129" t="str">
        <f>IF(COUNT('Hours Log'!$A$4:$A$5000)=0,"",IF(MIN('Hours Log'!$A$4:$A$5000)+7*(ROW()-10)&gt;MAX('Hours Log'!$A$4:$A$5000),"",MIN('Hours Log'!$A$4:$A$5000)+7*(ROW()-10)))</f>
        <v/>
      </c>
    </row>
    <row r="1130" spans="1:10" x14ac:dyDescent="0.25">
      <c r="A1130" t="str">
        <f>IF($J1130="","",YEAR($J1130-WEEKDAY($J1130,2)+4)&amp;"-W"&amp;TEXT(_xludf.ISOWEEKNUM($J1130),"00"))</f>
        <v/>
      </c>
      <c r="B1130"/>
      <c r="C1130" t="str">
        <f>IF($J1130="","",SUMIFS('Hours Log'!$C:$C,'Hours Log'!$A:$A,"&gt;="&amp;$J1130,'Hours Log'!$A:$A,"&lt;"&amp;$J1130+7)+SUMIFS('Hours Log'!$D:$D,'Hours Log'!$A:$A,"&gt;="&amp;$J1130,'Hours Log'!$A:$A,"&lt;"&amp;$J1130+7))</f>
        <v/>
      </c>
      <c r="D1130" t="str">
        <f>IF($J1130="","",SUMIFS('Hours Log'!$D:$D,'Hours Log'!$A:$A,"&gt;="&amp;$J1130,'Hours Log'!$A:$A,"&lt;"&amp;$J1130+7))</f>
        <v/>
      </c>
      <c r="E1130" t="str">
        <f t="shared" si="34"/>
        <v/>
      </c>
      <c r="F1130" t="str">
        <f t="shared" si="35"/>
        <v/>
      </c>
      <c r="G1130" t="str">
        <f>IF($J1130="","",SUMIFS('Hours Log'!$E:$E,'Hours Log'!$A:$A,"&gt;="&amp;$J1130,'Hours Log'!$A:$A,"&lt;"&amp;$J1130+7))</f>
        <v/>
      </c>
      <c r="J1130" t="str">
        <f>IF(COUNT('Hours Log'!$A$4:$A$5000)=0,"",IF(MIN('Hours Log'!$A$4:$A$5000)+7*(ROW()-10)&gt;MAX('Hours Log'!$A$4:$A$5000),"",MIN('Hours Log'!$A$4:$A$5000)+7*(ROW()-10)))</f>
        <v/>
      </c>
    </row>
    <row r="1131" spans="1:10" x14ac:dyDescent="0.25">
      <c r="A1131" t="str">
        <f>IF($J1131="","",YEAR($J1131-WEEKDAY($J1131,2)+4)&amp;"-W"&amp;TEXT(_xludf.ISOWEEKNUM($J1131),"00"))</f>
        <v/>
      </c>
      <c r="B1131"/>
      <c r="C1131" t="str">
        <f>IF($J1131="","",SUMIFS('Hours Log'!$C:$C,'Hours Log'!$A:$A,"&gt;="&amp;$J1131,'Hours Log'!$A:$A,"&lt;"&amp;$J1131+7)+SUMIFS('Hours Log'!$D:$D,'Hours Log'!$A:$A,"&gt;="&amp;$J1131,'Hours Log'!$A:$A,"&lt;"&amp;$J1131+7))</f>
        <v/>
      </c>
      <c r="D1131" t="str">
        <f>IF($J1131="","",SUMIFS('Hours Log'!$D:$D,'Hours Log'!$A:$A,"&gt;="&amp;$J1131,'Hours Log'!$A:$A,"&lt;"&amp;$J1131+7))</f>
        <v/>
      </c>
      <c r="E1131" t="str">
        <f t="shared" si="34"/>
        <v/>
      </c>
      <c r="F1131" t="str">
        <f t="shared" si="35"/>
        <v/>
      </c>
      <c r="G1131" t="str">
        <f>IF($J1131="","",SUMIFS('Hours Log'!$E:$E,'Hours Log'!$A:$A,"&gt;="&amp;$J1131,'Hours Log'!$A:$A,"&lt;"&amp;$J1131+7))</f>
        <v/>
      </c>
      <c r="J1131" t="str">
        <f>IF(COUNT('Hours Log'!$A$4:$A$5000)=0,"",IF(MIN('Hours Log'!$A$4:$A$5000)+7*(ROW()-10)&gt;MAX('Hours Log'!$A$4:$A$5000),"",MIN('Hours Log'!$A$4:$A$5000)+7*(ROW()-10)))</f>
        <v/>
      </c>
    </row>
    <row r="1132" spans="1:10" x14ac:dyDescent="0.25">
      <c r="A1132" t="str">
        <f>IF($J1132="","",YEAR($J1132-WEEKDAY($J1132,2)+4)&amp;"-W"&amp;TEXT(_xludf.ISOWEEKNUM($J1132),"00"))</f>
        <v/>
      </c>
      <c r="B1132"/>
      <c r="C1132" t="str">
        <f>IF($J1132="","",SUMIFS('Hours Log'!$C:$C,'Hours Log'!$A:$A,"&gt;="&amp;$J1132,'Hours Log'!$A:$A,"&lt;"&amp;$J1132+7)+SUMIFS('Hours Log'!$D:$D,'Hours Log'!$A:$A,"&gt;="&amp;$J1132,'Hours Log'!$A:$A,"&lt;"&amp;$J1132+7))</f>
        <v/>
      </c>
      <c r="D1132" t="str">
        <f>IF($J1132="","",SUMIFS('Hours Log'!$D:$D,'Hours Log'!$A:$A,"&gt;="&amp;$J1132,'Hours Log'!$A:$A,"&lt;"&amp;$J1132+7))</f>
        <v/>
      </c>
      <c r="E1132" t="str">
        <f t="shared" si="34"/>
        <v/>
      </c>
      <c r="F1132" t="str">
        <f t="shared" si="35"/>
        <v/>
      </c>
      <c r="G1132" t="str">
        <f>IF($J1132="","",SUMIFS('Hours Log'!$E:$E,'Hours Log'!$A:$A,"&gt;="&amp;$J1132,'Hours Log'!$A:$A,"&lt;"&amp;$J1132+7))</f>
        <v/>
      </c>
      <c r="J1132" t="str">
        <f>IF(COUNT('Hours Log'!$A$4:$A$5000)=0,"",IF(MIN('Hours Log'!$A$4:$A$5000)+7*(ROW()-10)&gt;MAX('Hours Log'!$A$4:$A$5000),"",MIN('Hours Log'!$A$4:$A$5000)+7*(ROW()-10)))</f>
        <v/>
      </c>
    </row>
    <row r="1133" spans="1:10" x14ac:dyDescent="0.25">
      <c r="A1133" t="str">
        <f>IF($J1133="","",YEAR($J1133-WEEKDAY($J1133,2)+4)&amp;"-W"&amp;TEXT(_xludf.ISOWEEKNUM($J1133),"00"))</f>
        <v/>
      </c>
      <c r="B1133"/>
      <c r="C1133" t="str">
        <f>IF($J1133="","",SUMIFS('Hours Log'!$C:$C,'Hours Log'!$A:$A,"&gt;="&amp;$J1133,'Hours Log'!$A:$A,"&lt;"&amp;$J1133+7)+SUMIFS('Hours Log'!$D:$D,'Hours Log'!$A:$A,"&gt;="&amp;$J1133,'Hours Log'!$A:$A,"&lt;"&amp;$J1133+7))</f>
        <v/>
      </c>
      <c r="D1133" t="str">
        <f>IF($J1133="","",SUMIFS('Hours Log'!$D:$D,'Hours Log'!$A:$A,"&gt;="&amp;$J1133,'Hours Log'!$A:$A,"&lt;"&amp;$J1133+7))</f>
        <v/>
      </c>
      <c r="E1133" t="str">
        <f t="shared" si="34"/>
        <v/>
      </c>
      <c r="F1133" t="str">
        <f t="shared" si="35"/>
        <v/>
      </c>
      <c r="G1133" t="str">
        <f>IF($J1133="","",SUMIFS('Hours Log'!$E:$E,'Hours Log'!$A:$A,"&gt;="&amp;$J1133,'Hours Log'!$A:$A,"&lt;"&amp;$J1133+7))</f>
        <v/>
      </c>
      <c r="J1133" t="str">
        <f>IF(COUNT('Hours Log'!$A$4:$A$5000)=0,"",IF(MIN('Hours Log'!$A$4:$A$5000)+7*(ROW()-10)&gt;MAX('Hours Log'!$A$4:$A$5000),"",MIN('Hours Log'!$A$4:$A$5000)+7*(ROW()-10)))</f>
        <v/>
      </c>
    </row>
    <row r="1134" spans="1:10" x14ac:dyDescent="0.25">
      <c r="A1134" t="str">
        <f>IF($J1134="","",YEAR($J1134-WEEKDAY($J1134,2)+4)&amp;"-W"&amp;TEXT(_xludf.ISOWEEKNUM($J1134),"00"))</f>
        <v/>
      </c>
      <c r="B1134"/>
      <c r="C1134" t="str">
        <f>IF($J1134="","",SUMIFS('Hours Log'!$C:$C,'Hours Log'!$A:$A,"&gt;="&amp;$J1134,'Hours Log'!$A:$A,"&lt;"&amp;$J1134+7)+SUMIFS('Hours Log'!$D:$D,'Hours Log'!$A:$A,"&gt;="&amp;$J1134,'Hours Log'!$A:$A,"&lt;"&amp;$J1134+7))</f>
        <v/>
      </c>
      <c r="D1134" t="str">
        <f>IF($J1134="","",SUMIFS('Hours Log'!$D:$D,'Hours Log'!$A:$A,"&gt;="&amp;$J1134,'Hours Log'!$A:$A,"&lt;"&amp;$J1134+7))</f>
        <v/>
      </c>
      <c r="E1134" t="str">
        <f t="shared" si="34"/>
        <v/>
      </c>
      <c r="F1134" t="str">
        <f t="shared" si="35"/>
        <v/>
      </c>
      <c r="G1134" t="str">
        <f>IF($J1134="","",SUMIFS('Hours Log'!$E:$E,'Hours Log'!$A:$A,"&gt;="&amp;$J1134,'Hours Log'!$A:$A,"&lt;"&amp;$J1134+7))</f>
        <v/>
      </c>
      <c r="J1134" t="str">
        <f>IF(COUNT('Hours Log'!$A$4:$A$5000)=0,"",IF(MIN('Hours Log'!$A$4:$A$5000)+7*(ROW()-10)&gt;MAX('Hours Log'!$A$4:$A$5000),"",MIN('Hours Log'!$A$4:$A$5000)+7*(ROW()-10)))</f>
        <v/>
      </c>
    </row>
    <row r="1135" spans="1:10" x14ac:dyDescent="0.25">
      <c r="A1135" t="str">
        <f>IF($J1135="","",YEAR($J1135-WEEKDAY($J1135,2)+4)&amp;"-W"&amp;TEXT(_xludf.ISOWEEKNUM($J1135),"00"))</f>
        <v/>
      </c>
      <c r="B1135"/>
      <c r="C1135" t="str">
        <f>IF($J1135="","",SUMIFS('Hours Log'!$C:$C,'Hours Log'!$A:$A,"&gt;="&amp;$J1135,'Hours Log'!$A:$A,"&lt;"&amp;$J1135+7)+SUMIFS('Hours Log'!$D:$D,'Hours Log'!$A:$A,"&gt;="&amp;$J1135,'Hours Log'!$A:$A,"&lt;"&amp;$J1135+7))</f>
        <v/>
      </c>
      <c r="D1135" t="str">
        <f>IF($J1135="","",SUMIFS('Hours Log'!$D:$D,'Hours Log'!$A:$A,"&gt;="&amp;$J1135,'Hours Log'!$A:$A,"&lt;"&amp;$J1135+7))</f>
        <v/>
      </c>
      <c r="E1135" t="str">
        <f t="shared" si="34"/>
        <v/>
      </c>
      <c r="F1135" t="str">
        <f t="shared" si="35"/>
        <v/>
      </c>
      <c r="G1135" t="str">
        <f>IF($J1135="","",SUMIFS('Hours Log'!$E:$E,'Hours Log'!$A:$A,"&gt;="&amp;$J1135,'Hours Log'!$A:$A,"&lt;"&amp;$J1135+7))</f>
        <v/>
      </c>
      <c r="J1135" t="str">
        <f>IF(COUNT('Hours Log'!$A$4:$A$5000)=0,"",IF(MIN('Hours Log'!$A$4:$A$5000)+7*(ROW()-10)&gt;MAX('Hours Log'!$A$4:$A$5000),"",MIN('Hours Log'!$A$4:$A$5000)+7*(ROW()-10)))</f>
        <v/>
      </c>
    </row>
    <row r="1136" spans="1:10" x14ac:dyDescent="0.25">
      <c r="A1136" t="str">
        <f>IF($J1136="","",YEAR($J1136-WEEKDAY($J1136,2)+4)&amp;"-W"&amp;TEXT(_xludf.ISOWEEKNUM($J1136),"00"))</f>
        <v/>
      </c>
      <c r="B1136"/>
      <c r="C1136" t="str">
        <f>IF($J1136="","",SUMIFS('Hours Log'!$C:$C,'Hours Log'!$A:$A,"&gt;="&amp;$J1136,'Hours Log'!$A:$A,"&lt;"&amp;$J1136+7)+SUMIFS('Hours Log'!$D:$D,'Hours Log'!$A:$A,"&gt;="&amp;$J1136,'Hours Log'!$A:$A,"&lt;"&amp;$J1136+7))</f>
        <v/>
      </c>
      <c r="D1136" t="str">
        <f>IF($J1136="","",SUMIFS('Hours Log'!$D:$D,'Hours Log'!$A:$A,"&gt;="&amp;$J1136,'Hours Log'!$A:$A,"&lt;"&amp;$J1136+7))</f>
        <v/>
      </c>
      <c r="E1136" t="str">
        <f t="shared" si="34"/>
        <v/>
      </c>
      <c r="F1136" t="str">
        <f t="shared" si="35"/>
        <v/>
      </c>
      <c r="G1136" t="str">
        <f>IF($J1136="","",SUMIFS('Hours Log'!$E:$E,'Hours Log'!$A:$A,"&gt;="&amp;$J1136,'Hours Log'!$A:$A,"&lt;"&amp;$J1136+7))</f>
        <v/>
      </c>
      <c r="J1136" t="str">
        <f>IF(COUNT('Hours Log'!$A$4:$A$5000)=0,"",IF(MIN('Hours Log'!$A$4:$A$5000)+7*(ROW()-10)&gt;MAX('Hours Log'!$A$4:$A$5000),"",MIN('Hours Log'!$A$4:$A$5000)+7*(ROW()-10)))</f>
        <v/>
      </c>
    </row>
    <row r="1137" spans="1:10" x14ac:dyDescent="0.25">
      <c r="A1137" t="str">
        <f>IF($J1137="","",YEAR($J1137-WEEKDAY($J1137,2)+4)&amp;"-W"&amp;TEXT(_xludf.ISOWEEKNUM($J1137),"00"))</f>
        <v/>
      </c>
      <c r="B1137"/>
      <c r="C1137" t="str">
        <f>IF($J1137="","",SUMIFS('Hours Log'!$C:$C,'Hours Log'!$A:$A,"&gt;="&amp;$J1137,'Hours Log'!$A:$A,"&lt;"&amp;$J1137+7)+SUMIFS('Hours Log'!$D:$D,'Hours Log'!$A:$A,"&gt;="&amp;$J1137,'Hours Log'!$A:$A,"&lt;"&amp;$J1137+7))</f>
        <v/>
      </c>
      <c r="D1137" t="str">
        <f>IF($J1137="","",SUMIFS('Hours Log'!$D:$D,'Hours Log'!$A:$A,"&gt;="&amp;$J1137,'Hours Log'!$A:$A,"&lt;"&amp;$J1137+7))</f>
        <v/>
      </c>
      <c r="E1137" t="str">
        <f t="shared" si="34"/>
        <v/>
      </c>
      <c r="F1137" t="str">
        <f t="shared" si="35"/>
        <v/>
      </c>
      <c r="G1137" t="str">
        <f>IF($J1137="","",SUMIFS('Hours Log'!$E:$E,'Hours Log'!$A:$A,"&gt;="&amp;$J1137,'Hours Log'!$A:$A,"&lt;"&amp;$J1137+7))</f>
        <v/>
      </c>
      <c r="J1137" t="str">
        <f>IF(COUNT('Hours Log'!$A$4:$A$5000)=0,"",IF(MIN('Hours Log'!$A$4:$A$5000)+7*(ROW()-10)&gt;MAX('Hours Log'!$A$4:$A$5000),"",MIN('Hours Log'!$A$4:$A$5000)+7*(ROW()-10)))</f>
        <v/>
      </c>
    </row>
    <row r="1138" spans="1:10" x14ac:dyDescent="0.25">
      <c r="A1138" t="str">
        <f>IF($J1138="","",YEAR($J1138-WEEKDAY($J1138,2)+4)&amp;"-W"&amp;TEXT(_xludf.ISOWEEKNUM($J1138),"00"))</f>
        <v/>
      </c>
      <c r="B1138"/>
      <c r="C1138" t="str">
        <f>IF($J1138="","",SUMIFS('Hours Log'!$C:$C,'Hours Log'!$A:$A,"&gt;="&amp;$J1138,'Hours Log'!$A:$A,"&lt;"&amp;$J1138+7)+SUMIFS('Hours Log'!$D:$D,'Hours Log'!$A:$A,"&gt;="&amp;$J1138,'Hours Log'!$A:$A,"&lt;"&amp;$J1138+7))</f>
        <v/>
      </c>
      <c r="D1138" t="str">
        <f>IF($J1138="","",SUMIFS('Hours Log'!$D:$D,'Hours Log'!$A:$A,"&gt;="&amp;$J1138,'Hours Log'!$A:$A,"&lt;"&amp;$J1138+7))</f>
        <v/>
      </c>
      <c r="E1138" t="str">
        <f t="shared" si="34"/>
        <v/>
      </c>
      <c r="F1138" t="str">
        <f t="shared" si="35"/>
        <v/>
      </c>
      <c r="G1138" t="str">
        <f>IF($J1138="","",SUMIFS('Hours Log'!$E:$E,'Hours Log'!$A:$A,"&gt;="&amp;$J1138,'Hours Log'!$A:$A,"&lt;"&amp;$J1138+7))</f>
        <v/>
      </c>
      <c r="J1138" t="str">
        <f>IF(COUNT('Hours Log'!$A$4:$A$5000)=0,"",IF(MIN('Hours Log'!$A$4:$A$5000)+7*(ROW()-10)&gt;MAX('Hours Log'!$A$4:$A$5000),"",MIN('Hours Log'!$A$4:$A$5000)+7*(ROW()-10)))</f>
        <v/>
      </c>
    </row>
    <row r="1139" spans="1:10" x14ac:dyDescent="0.25">
      <c r="A1139" t="str">
        <f>IF($J1139="","",YEAR($J1139-WEEKDAY($J1139,2)+4)&amp;"-W"&amp;TEXT(_xludf.ISOWEEKNUM($J1139),"00"))</f>
        <v/>
      </c>
      <c r="B1139"/>
      <c r="C1139" t="str">
        <f>IF($J1139="","",SUMIFS('Hours Log'!$C:$C,'Hours Log'!$A:$A,"&gt;="&amp;$J1139,'Hours Log'!$A:$A,"&lt;"&amp;$J1139+7)+SUMIFS('Hours Log'!$D:$D,'Hours Log'!$A:$A,"&gt;="&amp;$J1139,'Hours Log'!$A:$A,"&lt;"&amp;$J1139+7))</f>
        <v/>
      </c>
      <c r="D1139" t="str">
        <f>IF($J1139="","",SUMIFS('Hours Log'!$D:$D,'Hours Log'!$A:$A,"&gt;="&amp;$J1139,'Hours Log'!$A:$A,"&lt;"&amp;$J1139+7))</f>
        <v/>
      </c>
      <c r="E1139" t="str">
        <f t="shared" si="34"/>
        <v/>
      </c>
      <c r="F1139" t="str">
        <f t="shared" si="35"/>
        <v/>
      </c>
      <c r="G1139" t="str">
        <f>IF($J1139="","",SUMIFS('Hours Log'!$E:$E,'Hours Log'!$A:$A,"&gt;="&amp;$J1139,'Hours Log'!$A:$A,"&lt;"&amp;$J1139+7))</f>
        <v/>
      </c>
      <c r="J1139" t="str">
        <f>IF(COUNT('Hours Log'!$A$4:$A$5000)=0,"",IF(MIN('Hours Log'!$A$4:$A$5000)+7*(ROW()-10)&gt;MAX('Hours Log'!$A$4:$A$5000),"",MIN('Hours Log'!$A$4:$A$5000)+7*(ROW()-10)))</f>
        <v/>
      </c>
    </row>
    <row r="1140" spans="1:10" x14ac:dyDescent="0.25">
      <c r="A1140" t="str">
        <f>IF($J1140="","",YEAR($J1140-WEEKDAY($J1140,2)+4)&amp;"-W"&amp;TEXT(_xludf.ISOWEEKNUM($J1140),"00"))</f>
        <v/>
      </c>
      <c r="B1140"/>
      <c r="C1140" t="str">
        <f>IF($J1140="","",SUMIFS('Hours Log'!$C:$C,'Hours Log'!$A:$A,"&gt;="&amp;$J1140,'Hours Log'!$A:$A,"&lt;"&amp;$J1140+7)+SUMIFS('Hours Log'!$D:$D,'Hours Log'!$A:$A,"&gt;="&amp;$J1140,'Hours Log'!$A:$A,"&lt;"&amp;$J1140+7))</f>
        <v/>
      </c>
      <c r="D1140" t="str">
        <f>IF($J1140="","",SUMIFS('Hours Log'!$D:$D,'Hours Log'!$A:$A,"&gt;="&amp;$J1140,'Hours Log'!$A:$A,"&lt;"&amp;$J1140+7))</f>
        <v/>
      </c>
      <c r="E1140" t="str">
        <f t="shared" si="34"/>
        <v/>
      </c>
      <c r="F1140" t="str">
        <f t="shared" si="35"/>
        <v/>
      </c>
      <c r="G1140" t="str">
        <f>IF($J1140="","",SUMIFS('Hours Log'!$E:$E,'Hours Log'!$A:$A,"&gt;="&amp;$J1140,'Hours Log'!$A:$A,"&lt;"&amp;$J1140+7))</f>
        <v/>
      </c>
      <c r="J1140" t="str">
        <f>IF(COUNT('Hours Log'!$A$4:$A$5000)=0,"",IF(MIN('Hours Log'!$A$4:$A$5000)+7*(ROW()-10)&gt;MAX('Hours Log'!$A$4:$A$5000),"",MIN('Hours Log'!$A$4:$A$5000)+7*(ROW()-10)))</f>
        <v/>
      </c>
    </row>
    <row r="1141" spans="1:10" x14ac:dyDescent="0.25">
      <c r="A1141" t="str">
        <f>IF($J1141="","",YEAR($J1141-WEEKDAY($J1141,2)+4)&amp;"-W"&amp;TEXT(_xludf.ISOWEEKNUM($J1141),"00"))</f>
        <v/>
      </c>
      <c r="B1141"/>
      <c r="C1141" t="str">
        <f>IF($J1141="","",SUMIFS('Hours Log'!$C:$C,'Hours Log'!$A:$A,"&gt;="&amp;$J1141,'Hours Log'!$A:$A,"&lt;"&amp;$J1141+7)+SUMIFS('Hours Log'!$D:$D,'Hours Log'!$A:$A,"&gt;="&amp;$J1141,'Hours Log'!$A:$A,"&lt;"&amp;$J1141+7))</f>
        <v/>
      </c>
      <c r="D1141" t="str">
        <f>IF($J1141="","",SUMIFS('Hours Log'!$D:$D,'Hours Log'!$A:$A,"&gt;="&amp;$J1141,'Hours Log'!$A:$A,"&lt;"&amp;$J1141+7))</f>
        <v/>
      </c>
      <c r="E1141" t="str">
        <f t="shared" si="34"/>
        <v/>
      </c>
      <c r="F1141" t="str">
        <f t="shared" si="35"/>
        <v/>
      </c>
      <c r="G1141" t="str">
        <f>IF($J1141="","",SUMIFS('Hours Log'!$E:$E,'Hours Log'!$A:$A,"&gt;="&amp;$J1141,'Hours Log'!$A:$A,"&lt;"&amp;$J1141+7))</f>
        <v/>
      </c>
      <c r="J1141" t="str">
        <f>IF(COUNT('Hours Log'!$A$4:$A$5000)=0,"",IF(MIN('Hours Log'!$A$4:$A$5000)+7*(ROW()-10)&gt;MAX('Hours Log'!$A$4:$A$5000),"",MIN('Hours Log'!$A$4:$A$5000)+7*(ROW()-10)))</f>
        <v/>
      </c>
    </row>
    <row r="1142" spans="1:10" x14ac:dyDescent="0.25">
      <c r="A1142" t="str">
        <f>IF($J1142="","",YEAR($J1142-WEEKDAY($J1142,2)+4)&amp;"-W"&amp;TEXT(_xludf.ISOWEEKNUM($J1142),"00"))</f>
        <v/>
      </c>
      <c r="B1142"/>
      <c r="C1142" t="str">
        <f>IF($J1142="","",SUMIFS('Hours Log'!$C:$C,'Hours Log'!$A:$A,"&gt;="&amp;$J1142,'Hours Log'!$A:$A,"&lt;"&amp;$J1142+7)+SUMIFS('Hours Log'!$D:$D,'Hours Log'!$A:$A,"&gt;="&amp;$J1142,'Hours Log'!$A:$A,"&lt;"&amp;$J1142+7))</f>
        <v/>
      </c>
      <c r="D1142" t="str">
        <f>IF($J1142="","",SUMIFS('Hours Log'!$D:$D,'Hours Log'!$A:$A,"&gt;="&amp;$J1142,'Hours Log'!$A:$A,"&lt;"&amp;$J1142+7))</f>
        <v/>
      </c>
      <c r="E1142" t="str">
        <f t="shared" si="34"/>
        <v/>
      </c>
      <c r="F1142" t="str">
        <f t="shared" si="35"/>
        <v/>
      </c>
      <c r="G1142" t="str">
        <f>IF($J1142="","",SUMIFS('Hours Log'!$E:$E,'Hours Log'!$A:$A,"&gt;="&amp;$J1142,'Hours Log'!$A:$A,"&lt;"&amp;$J1142+7))</f>
        <v/>
      </c>
      <c r="J1142" t="str">
        <f>IF(COUNT('Hours Log'!$A$4:$A$5000)=0,"",IF(MIN('Hours Log'!$A$4:$A$5000)+7*(ROW()-10)&gt;MAX('Hours Log'!$A$4:$A$5000),"",MIN('Hours Log'!$A$4:$A$5000)+7*(ROW()-10)))</f>
        <v/>
      </c>
    </row>
    <row r="1143" spans="1:10" x14ac:dyDescent="0.25">
      <c r="A1143" t="str">
        <f>IF($J1143="","",YEAR($J1143-WEEKDAY($J1143,2)+4)&amp;"-W"&amp;TEXT(_xludf.ISOWEEKNUM($J1143),"00"))</f>
        <v/>
      </c>
      <c r="B1143"/>
      <c r="C1143" t="str">
        <f>IF($J1143="","",SUMIFS('Hours Log'!$C:$C,'Hours Log'!$A:$A,"&gt;="&amp;$J1143,'Hours Log'!$A:$A,"&lt;"&amp;$J1143+7)+SUMIFS('Hours Log'!$D:$D,'Hours Log'!$A:$A,"&gt;="&amp;$J1143,'Hours Log'!$A:$A,"&lt;"&amp;$J1143+7))</f>
        <v/>
      </c>
      <c r="D1143" t="str">
        <f>IF($J1143="","",SUMIFS('Hours Log'!$D:$D,'Hours Log'!$A:$A,"&gt;="&amp;$J1143,'Hours Log'!$A:$A,"&lt;"&amp;$J1143+7))</f>
        <v/>
      </c>
      <c r="E1143" t="str">
        <f t="shared" si="34"/>
        <v/>
      </c>
      <c r="F1143" t="str">
        <f t="shared" si="35"/>
        <v/>
      </c>
      <c r="G1143" t="str">
        <f>IF($J1143="","",SUMIFS('Hours Log'!$E:$E,'Hours Log'!$A:$A,"&gt;="&amp;$J1143,'Hours Log'!$A:$A,"&lt;"&amp;$J1143+7))</f>
        <v/>
      </c>
      <c r="J1143" t="str">
        <f>IF(COUNT('Hours Log'!$A$4:$A$5000)=0,"",IF(MIN('Hours Log'!$A$4:$A$5000)+7*(ROW()-10)&gt;MAX('Hours Log'!$A$4:$A$5000),"",MIN('Hours Log'!$A$4:$A$5000)+7*(ROW()-10)))</f>
        <v/>
      </c>
    </row>
    <row r="1144" spans="1:10" x14ac:dyDescent="0.25">
      <c r="A1144" t="str">
        <f>IF($J1144="","",YEAR($J1144-WEEKDAY($J1144,2)+4)&amp;"-W"&amp;TEXT(_xludf.ISOWEEKNUM($J1144),"00"))</f>
        <v/>
      </c>
      <c r="B1144"/>
      <c r="C1144" t="str">
        <f>IF($J1144="","",SUMIFS('Hours Log'!$C:$C,'Hours Log'!$A:$A,"&gt;="&amp;$J1144,'Hours Log'!$A:$A,"&lt;"&amp;$J1144+7)+SUMIFS('Hours Log'!$D:$D,'Hours Log'!$A:$A,"&gt;="&amp;$J1144,'Hours Log'!$A:$A,"&lt;"&amp;$J1144+7))</f>
        <v/>
      </c>
      <c r="D1144" t="str">
        <f>IF($J1144="","",SUMIFS('Hours Log'!$D:$D,'Hours Log'!$A:$A,"&gt;="&amp;$J1144,'Hours Log'!$A:$A,"&lt;"&amp;$J1144+7))</f>
        <v/>
      </c>
      <c r="E1144" t="str">
        <f t="shared" si="34"/>
        <v/>
      </c>
      <c r="F1144" t="str">
        <f t="shared" si="35"/>
        <v/>
      </c>
      <c r="G1144" t="str">
        <f>IF($J1144="","",SUMIFS('Hours Log'!$E:$E,'Hours Log'!$A:$A,"&gt;="&amp;$J1144,'Hours Log'!$A:$A,"&lt;"&amp;$J1144+7))</f>
        <v/>
      </c>
      <c r="J1144" t="str">
        <f>IF(COUNT('Hours Log'!$A$4:$A$5000)=0,"",IF(MIN('Hours Log'!$A$4:$A$5000)+7*(ROW()-10)&gt;MAX('Hours Log'!$A$4:$A$5000),"",MIN('Hours Log'!$A$4:$A$5000)+7*(ROW()-10)))</f>
        <v/>
      </c>
    </row>
    <row r="1145" spans="1:10" x14ac:dyDescent="0.25">
      <c r="A1145" t="str">
        <f>IF($J1145="","",YEAR($J1145-WEEKDAY($J1145,2)+4)&amp;"-W"&amp;TEXT(_xludf.ISOWEEKNUM($J1145),"00"))</f>
        <v/>
      </c>
      <c r="B1145"/>
      <c r="C1145" t="str">
        <f>IF($J1145="","",SUMIFS('Hours Log'!$C:$C,'Hours Log'!$A:$A,"&gt;="&amp;$J1145,'Hours Log'!$A:$A,"&lt;"&amp;$J1145+7)+SUMIFS('Hours Log'!$D:$D,'Hours Log'!$A:$A,"&gt;="&amp;$J1145,'Hours Log'!$A:$A,"&lt;"&amp;$J1145+7))</f>
        <v/>
      </c>
      <c r="D1145" t="str">
        <f>IF($J1145="","",SUMIFS('Hours Log'!$D:$D,'Hours Log'!$A:$A,"&gt;="&amp;$J1145,'Hours Log'!$A:$A,"&lt;"&amp;$J1145+7))</f>
        <v/>
      </c>
      <c r="E1145" t="str">
        <f t="shared" si="34"/>
        <v/>
      </c>
      <c r="F1145" t="str">
        <f t="shared" si="35"/>
        <v/>
      </c>
      <c r="G1145" t="str">
        <f>IF($J1145="","",SUMIFS('Hours Log'!$E:$E,'Hours Log'!$A:$A,"&gt;="&amp;$J1145,'Hours Log'!$A:$A,"&lt;"&amp;$J1145+7))</f>
        <v/>
      </c>
      <c r="J1145" t="str">
        <f>IF(COUNT('Hours Log'!$A$4:$A$5000)=0,"",IF(MIN('Hours Log'!$A$4:$A$5000)+7*(ROW()-10)&gt;MAX('Hours Log'!$A$4:$A$5000),"",MIN('Hours Log'!$A$4:$A$5000)+7*(ROW()-10)))</f>
        <v/>
      </c>
    </row>
    <row r="1146" spans="1:10" x14ac:dyDescent="0.25">
      <c r="A1146" t="str">
        <f>IF($J1146="","",YEAR($J1146-WEEKDAY($J1146,2)+4)&amp;"-W"&amp;TEXT(_xludf.ISOWEEKNUM($J1146),"00"))</f>
        <v/>
      </c>
      <c r="B1146"/>
      <c r="C1146" t="str">
        <f>IF($J1146="","",SUMIFS('Hours Log'!$C:$C,'Hours Log'!$A:$A,"&gt;="&amp;$J1146,'Hours Log'!$A:$A,"&lt;"&amp;$J1146+7)+SUMIFS('Hours Log'!$D:$D,'Hours Log'!$A:$A,"&gt;="&amp;$J1146,'Hours Log'!$A:$A,"&lt;"&amp;$J1146+7))</f>
        <v/>
      </c>
      <c r="D1146" t="str">
        <f>IF($J1146="","",SUMIFS('Hours Log'!$D:$D,'Hours Log'!$A:$A,"&gt;="&amp;$J1146,'Hours Log'!$A:$A,"&lt;"&amp;$J1146+7))</f>
        <v/>
      </c>
      <c r="E1146" t="str">
        <f t="shared" si="34"/>
        <v/>
      </c>
      <c r="F1146" t="str">
        <f t="shared" si="35"/>
        <v/>
      </c>
      <c r="G1146" t="str">
        <f>IF($J1146="","",SUMIFS('Hours Log'!$E:$E,'Hours Log'!$A:$A,"&gt;="&amp;$J1146,'Hours Log'!$A:$A,"&lt;"&amp;$J1146+7))</f>
        <v/>
      </c>
      <c r="J1146" t="str">
        <f>IF(COUNT('Hours Log'!$A$4:$A$5000)=0,"",IF(MIN('Hours Log'!$A$4:$A$5000)+7*(ROW()-10)&gt;MAX('Hours Log'!$A$4:$A$5000),"",MIN('Hours Log'!$A$4:$A$5000)+7*(ROW()-10)))</f>
        <v/>
      </c>
    </row>
    <row r="1147" spans="1:10" x14ac:dyDescent="0.25">
      <c r="A1147" t="str">
        <f>IF($J1147="","",YEAR($J1147-WEEKDAY($J1147,2)+4)&amp;"-W"&amp;TEXT(_xludf.ISOWEEKNUM($J1147),"00"))</f>
        <v/>
      </c>
      <c r="B1147"/>
      <c r="C1147" t="str">
        <f>IF($J1147="","",SUMIFS('Hours Log'!$C:$C,'Hours Log'!$A:$A,"&gt;="&amp;$J1147,'Hours Log'!$A:$A,"&lt;"&amp;$J1147+7)+SUMIFS('Hours Log'!$D:$D,'Hours Log'!$A:$A,"&gt;="&amp;$J1147,'Hours Log'!$A:$A,"&lt;"&amp;$J1147+7))</f>
        <v/>
      </c>
      <c r="D1147" t="str">
        <f>IF($J1147="","",SUMIFS('Hours Log'!$D:$D,'Hours Log'!$A:$A,"&gt;="&amp;$J1147,'Hours Log'!$A:$A,"&lt;"&amp;$J1147+7))</f>
        <v/>
      </c>
      <c r="E1147" t="str">
        <f t="shared" si="34"/>
        <v/>
      </c>
      <c r="F1147" t="str">
        <f t="shared" si="35"/>
        <v/>
      </c>
      <c r="G1147" t="str">
        <f>IF($J1147="","",SUMIFS('Hours Log'!$E:$E,'Hours Log'!$A:$A,"&gt;="&amp;$J1147,'Hours Log'!$A:$A,"&lt;"&amp;$J1147+7))</f>
        <v/>
      </c>
      <c r="J1147" t="str">
        <f>IF(COUNT('Hours Log'!$A$4:$A$5000)=0,"",IF(MIN('Hours Log'!$A$4:$A$5000)+7*(ROW()-10)&gt;MAX('Hours Log'!$A$4:$A$5000),"",MIN('Hours Log'!$A$4:$A$5000)+7*(ROW()-10)))</f>
        <v/>
      </c>
    </row>
    <row r="1148" spans="1:10" x14ac:dyDescent="0.25">
      <c r="A1148" t="str">
        <f>IF($J1148="","",YEAR($J1148-WEEKDAY($J1148,2)+4)&amp;"-W"&amp;TEXT(_xludf.ISOWEEKNUM($J1148),"00"))</f>
        <v/>
      </c>
      <c r="B1148"/>
      <c r="C1148" t="str">
        <f>IF($J1148="","",SUMIFS('Hours Log'!$C:$C,'Hours Log'!$A:$A,"&gt;="&amp;$J1148,'Hours Log'!$A:$A,"&lt;"&amp;$J1148+7)+SUMIFS('Hours Log'!$D:$D,'Hours Log'!$A:$A,"&gt;="&amp;$J1148,'Hours Log'!$A:$A,"&lt;"&amp;$J1148+7))</f>
        <v/>
      </c>
      <c r="D1148" t="str">
        <f>IF($J1148="","",SUMIFS('Hours Log'!$D:$D,'Hours Log'!$A:$A,"&gt;="&amp;$J1148,'Hours Log'!$A:$A,"&lt;"&amp;$J1148+7))</f>
        <v/>
      </c>
      <c r="E1148" t="str">
        <f t="shared" si="34"/>
        <v/>
      </c>
      <c r="F1148" t="str">
        <f t="shared" si="35"/>
        <v/>
      </c>
      <c r="G1148" t="str">
        <f>IF($J1148="","",SUMIFS('Hours Log'!$E:$E,'Hours Log'!$A:$A,"&gt;="&amp;$J1148,'Hours Log'!$A:$A,"&lt;"&amp;$J1148+7))</f>
        <v/>
      </c>
      <c r="J1148" t="str">
        <f>IF(COUNT('Hours Log'!$A$4:$A$5000)=0,"",IF(MIN('Hours Log'!$A$4:$A$5000)+7*(ROW()-10)&gt;MAX('Hours Log'!$A$4:$A$5000),"",MIN('Hours Log'!$A$4:$A$5000)+7*(ROW()-10)))</f>
        <v/>
      </c>
    </row>
    <row r="1149" spans="1:10" x14ac:dyDescent="0.25">
      <c r="A1149" t="str">
        <f>IF($J1149="","",YEAR($J1149-WEEKDAY($J1149,2)+4)&amp;"-W"&amp;TEXT(_xludf.ISOWEEKNUM($J1149),"00"))</f>
        <v/>
      </c>
      <c r="B1149"/>
      <c r="C1149" t="str">
        <f>IF($J1149="","",SUMIFS('Hours Log'!$C:$C,'Hours Log'!$A:$A,"&gt;="&amp;$J1149,'Hours Log'!$A:$A,"&lt;"&amp;$J1149+7)+SUMIFS('Hours Log'!$D:$D,'Hours Log'!$A:$A,"&gt;="&amp;$J1149,'Hours Log'!$A:$A,"&lt;"&amp;$J1149+7))</f>
        <v/>
      </c>
      <c r="D1149" t="str">
        <f>IF($J1149="","",SUMIFS('Hours Log'!$D:$D,'Hours Log'!$A:$A,"&gt;="&amp;$J1149,'Hours Log'!$A:$A,"&lt;"&amp;$J1149+7))</f>
        <v/>
      </c>
      <c r="E1149" t="str">
        <f t="shared" si="34"/>
        <v/>
      </c>
      <c r="F1149" t="str">
        <f t="shared" si="35"/>
        <v/>
      </c>
      <c r="G1149" t="str">
        <f>IF($J1149="","",SUMIFS('Hours Log'!$E:$E,'Hours Log'!$A:$A,"&gt;="&amp;$J1149,'Hours Log'!$A:$A,"&lt;"&amp;$J1149+7))</f>
        <v/>
      </c>
      <c r="J1149" t="str">
        <f>IF(COUNT('Hours Log'!$A$4:$A$5000)=0,"",IF(MIN('Hours Log'!$A$4:$A$5000)+7*(ROW()-10)&gt;MAX('Hours Log'!$A$4:$A$5000),"",MIN('Hours Log'!$A$4:$A$5000)+7*(ROW()-10)))</f>
        <v/>
      </c>
    </row>
    <row r="1150" spans="1:10" x14ac:dyDescent="0.25">
      <c r="A1150" t="str">
        <f>IF($J1150="","",YEAR($J1150-WEEKDAY($J1150,2)+4)&amp;"-W"&amp;TEXT(_xludf.ISOWEEKNUM($J1150),"00"))</f>
        <v/>
      </c>
      <c r="B1150"/>
      <c r="C1150" t="str">
        <f>IF($J1150="","",SUMIFS('Hours Log'!$C:$C,'Hours Log'!$A:$A,"&gt;="&amp;$J1150,'Hours Log'!$A:$A,"&lt;"&amp;$J1150+7)+SUMIFS('Hours Log'!$D:$D,'Hours Log'!$A:$A,"&gt;="&amp;$J1150,'Hours Log'!$A:$A,"&lt;"&amp;$J1150+7))</f>
        <v/>
      </c>
      <c r="D1150" t="str">
        <f>IF($J1150="","",SUMIFS('Hours Log'!$D:$D,'Hours Log'!$A:$A,"&gt;="&amp;$J1150,'Hours Log'!$A:$A,"&lt;"&amp;$J1150+7))</f>
        <v/>
      </c>
      <c r="E1150" t="str">
        <f t="shared" si="34"/>
        <v/>
      </c>
      <c r="F1150" t="str">
        <f t="shared" si="35"/>
        <v/>
      </c>
      <c r="G1150" t="str">
        <f>IF($J1150="","",SUMIFS('Hours Log'!$E:$E,'Hours Log'!$A:$A,"&gt;="&amp;$J1150,'Hours Log'!$A:$A,"&lt;"&amp;$J1150+7))</f>
        <v/>
      </c>
      <c r="J1150" t="str">
        <f>IF(COUNT('Hours Log'!$A$4:$A$5000)=0,"",IF(MIN('Hours Log'!$A$4:$A$5000)+7*(ROW()-10)&gt;MAX('Hours Log'!$A$4:$A$5000),"",MIN('Hours Log'!$A$4:$A$5000)+7*(ROW()-10)))</f>
        <v/>
      </c>
    </row>
    <row r="1151" spans="1:10" x14ac:dyDescent="0.25">
      <c r="A1151" t="str">
        <f>IF($J1151="","",YEAR($J1151-WEEKDAY($J1151,2)+4)&amp;"-W"&amp;TEXT(_xludf.ISOWEEKNUM($J1151),"00"))</f>
        <v/>
      </c>
      <c r="B1151"/>
      <c r="C1151" t="str">
        <f>IF($J1151="","",SUMIFS('Hours Log'!$C:$C,'Hours Log'!$A:$A,"&gt;="&amp;$J1151,'Hours Log'!$A:$A,"&lt;"&amp;$J1151+7)+SUMIFS('Hours Log'!$D:$D,'Hours Log'!$A:$A,"&gt;="&amp;$J1151,'Hours Log'!$A:$A,"&lt;"&amp;$J1151+7))</f>
        <v/>
      </c>
      <c r="D1151" t="str">
        <f>IF($J1151="","",SUMIFS('Hours Log'!$D:$D,'Hours Log'!$A:$A,"&gt;="&amp;$J1151,'Hours Log'!$A:$A,"&lt;"&amp;$J1151+7))</f>
        <v/>
      </c>
      <c r="E1151" t="str">
        <f t="shared" si="34"/>
        <v/>
      </c>
      <c r="F1151" t="str">
        <f t="shared" si="35"/>
        <v/>
      </c>
      <c r="G1151" t="str">
        <f>IF($J1151="","",SUMIFS('Hours Log'!$E:$E,'Hours Log'!$A:$A,"&gt;="&amp;$J1151,'Hours Log'!$A:$A,"&lt;"&amp;$J1151+7))</f>
        <v/>
      </c>
      <c r="J1151" t="str">
        <f>IF(COUNT('Hours Log'!$A$4:$A$5000)=0,"",IF(MIN('Hours Log'!$A$4:$A$5000)+7*(ROW()-10)&gt;MAX('Hours Log'!$A$4:$A$5000),"",MIN('Hours Log'!$A$4:$A$5000)+7*(ROW()-10)))</f>
        <v/>
      </c>
    </row>
    <row r="1152" spans="1:10" x14ac:dyDescent="0.25">
      <c r="A1152" t="str">
        <f>IF($J1152="","",YEAR($J1152-WEEKDAY($J1152,2)+4)&amp;"-W"&amp;TEXT(_xludf.ISOWEEKNUM($J1152),"00"))</f>
        <v/>
      </c>
      <c r="B1152"/>
      <c r="C1152" t="str">
        <f>IF($J1152="","",SUMIFS('Hours Log'!$C:$C,'Hours Log'!$A:$A,"&gt;="&amp;$J1152,'Hours Log'!$A:$A,"&lt;"&amp;$J1152+7)+SUMIFS('Hours Log'!$D:$D,'Hours Log'!$A:$A,"&gt;="&amp;$J1152,'Hours Log'!$A:$A,"&lt;"&amp;$J1152+7))</f>
        <v/>
      </c>
      <c r="D1152" t="str">
        <f>IF($J1152="","",SUMIFS('Hours Log'!$D:$D,'Hours Log'!$A:$A,"&gt;="&amp;$J1152,'Hours Log'!$A:$A,"&lt;"&amp;$J1152+7))</f>
        <v/>
      </c>
      <c r="E1152" t="str">
        <f t="shared" si="34"/>
        <v/>
      </c>
      <c r="F1152" t="str">
        <f t="shared" si="35"/>
        <v/>
      </c>
      <c r="G1152" t="str">
        <f>IF($J1152="","",SUMIFS('Hours Log'!$E:$E,'Hours Log'!$A:$A,"&gt;="&amp;$J1152,'Hours Log'!$A:$A,"&lt;"&amp;$J1152+7))</f>
        <v/>
      </c>
      <c r="J1152" t="str">
        <f>IF(COUNT('Hours Log'!$A$4:$A$5000)=0,"",IF(MIN('Hours Log'!$A$4:$A$5000)+7*(ROW()-10)&gt;MAX('Hours Log'!$A$4:$A$5000),"",MIN('Hours Log'!$A$4:$A$5000)+7*(ROW()-10)))</f>
        <v/>
      </c>
    </row>
    <row r="1153" spans="1:10" x14ac:dyDescent="0.25">
      <c r="A1153" t="str">
        <f>IF($J1153="","",YEAR($J1153-WEEKDAY($J1153,2)+4)&amp;"-W"&amp;TEXT(_xludf.ISOWEEKNUM($J1153),"00"))</f>
        <v/>
      </c>
      <c r="B1153"/>
      <c r="C1153" t="str">
        <f>IF($J1153="","",SUMIFS('Hours Log'!$C:$C,'Hours Log'!$A:$A,"&gt;="&amp;$J1153,'Hours Log'!$A:$A,"&lt;"&amp;$J1153+7)+SUMIFS('Hours Log'!$D:$D,'Hours Log'!$A:$A,"&gt;="&amp;$J1153,'Hours Log'!$A:$A,"&lt;"&amp;$J1153+7))</f>
        <v/>
      </c>
      <c r="D1153" t="str">
        <f>IF($J1153="","",SUMIFS('Hours Log'!$D:$D,'Hours Log'!$A:$A,"&gt;="&amp;$J1153,'Hours Log'!$A:$A,"&lt;"&amp;$J1153+7))</f>
        <v/>
      </c>
      <c r="E1153" t="str">
        <f t="shared" si="34"/>
        <v/>
      </c>
      <c r="F1153" t="str">
        <f t="shared" si="35"/>
        <v/>
      </c>
      <c r="G1153" t="str">
        <f>IF($J1153="","",SUMIFS('Hours Log'!$E:$E,'Hours Log'!$A:$A,"&gt;="&amp;$J1153,'Hours Log'!$A:$A,"&lt;"&amp;$J1153+7))</f>
        <v/>
      </c>
      <c r="J1153" t="str">
        <f>IF(COUNT('Hours Log'!$A$4:$A$5000)=0,"",IF(MIN('Hours Log'!$A$4:$A$5000)+7*(ROW()-10)&gt;MAX('Hours Log'!$A$4:$A$5000),"",MIN('Hours Log'!$A$4:$A$5000)+7*(ROW()-10)))</f>
        <v/>
      </c>
    </row>
    <row r="1154" spans="1:10" x14ac:dyDescent="0.25">
      <c r="A1154" t="str">
        <f>IF($J1154="","",YEAR($J1154-WEEKDAY($J1154,2)+4)&amp;"-W"&amp;TEXT(_xludf.ISOWEEKNUM($J1154),"00"))</f>
        <v/>
      </c>
      <c r="B1154"/>
      <c r="C1154" t="str">
        <f>IF($J1154="","",SUMIFS('Hours Log'!$C:$C,'Hours Log'!$A:$A,"&gt;="&amp;$J1154,'Hours Log'!$A:$A,"&lt;"&amp;$J1154+7)+SUMIFS('Hours Log'!$D:$D,'Hours Log'!$A:$A,"&gt;="&amp;$J1154,'Hours Log'!$A:$A,"&lt;"&amp;$J1154+7))</f>
        <v/>
      </c>
      <c r="D1154" t="str">
        <f>IF($J1154="","",SUMIFS('Hours Log'!$D:$D,'Hours Log'!$A:$A,"&gt;="&amp;$J1154,'Hours Log'!$A:$A,"&lt;"&amp;$J1154+7))</f>
        <v/>
      </c>
      <c r="E1154" t="str">
        <f t="shared" si="34"/>
        <v/>
      </c>
      <c r="F1154" t="str">
        <f t="shared" si="35"/>
        <v/>
      </c>
      <c r="G1154" t="str">
        <f>IF($J1154="","",SUMIFS('Hours Log'!$E:$E,'Hours Log'!$A:$A,"&gt;="&amp;$J1154,'Hours Log'!$A:$A,"&lt;"&amp;$J1154+7))</f>
        <v/>
      </c>
      <c r="J1154" t="str">
        <f>IF(COUNT('Hours Log'!$A$4:$A$5000)=0,"",IF(MIN('Hours Log'!$A$4:$A$5000)+7*(ROW()-10)&gt;MAX('Hours Log'!$A$4:$A$5000),"",MIN('Hours Log'!$A$4:$A$5000)+7*(ROW()-10)))</f>
        <v/>
      </c>
    </row>
    <row r="1155" spans="1:10" x14ac:dyDescent="0.25">
      <c r="A1155" t="str">
        <f>IF($J1155="","",YEAR($J1155-WEEKDAY($J1155,2)+4)&amp;"-W"&amp;TEXT(_xludf.ISOWEEKNUM($J1155),"00"))</f>
        <v/>
      </c>
      <c r="B1155"/>
      <c r="C1155" t="str">
        <f>IF($J1155="","",SUMIFS('Hours Log'!$C:$C,'Hours Log'!$A:$A,"&gt;="&amp;$J1155,'Hours Log'!$A:$A,"&lt;"&amp;$J1155+7)+SUMIFS('Hours Log'!$D:$D,'Hours Log'!$A:$A,"&gt;="&amp;$J1155,'Hours Log'!$A:$A,"&lt;"&amp;$J1155+7))</f>
        <v/>
      </c>
      <c r="D1155" t="str">
        <f>IF($J1155="","",SUMIFS('Hours Log'!$D:$D,'Hours Log'!$A:$A,"&gt;="&amp;$J1155,'Hours Log'!$A:$A,"&lt;"&amp;$J1155+7))</f>
        <v/>
      </c>
      <c r="E1155" t="str">
        <f t="shared" si="34"/>
        <v/>
      </c>
      <c r="F1155" t="str">
        <f t="shared" si="35"/>
        <v/>
      </c>
      <c r="G1155" t="str">
        <f>IF($J1155="","",SUMIFS('Hours Log'!$E:$E,'Hours Log'!$A:$A,"&gt;="&amp;$J1155,'Hours Log'!$A:$A,"&lt;"&amp;$J1155+7))</f>
        <v/>
      </c>
      <c r="J1155" t="str">
        <f>IF(COUNT('Hours Log'!$A$4:$A$5000)=0,"",IF(MIN('Hours Log'!$A$4:$A$5000)+7*(ROW()-10)&gt;MAX('Hours Log'!$A$4:$A$5000),"",MIN('Hours Log'!$A$4:$A$5000)+7*(ROW()-10)))</f>
        <v/>
      </c>
    </row>
    <row r="1156" spans="1:10" x14ac:dyDescent="0.25">
      <c r="A1156" t="str">
        <f>IF($J1156="","",YEAR($J1156-WEEKDAY($J1156,2)+4)&amp;"-W"&amp;TEXT(_xludf.ISOWEEKNUM($J1156),"00"))</f>
        <v/>
      </c>
      <c r="B1156"/>
      <c r="C1156" t="str">
        <f>IF($J1156="","",SUMIFS('Hours Log'!$C:$C,'Hours Log'!$A:$A,"&gt;="&amp;$J1156,'Hours Log'!$A:$A,"&lt;"&amp;$J1156+7)+SUMIFS('Hours Log'!$D:$D,'Hours Log'!$A:$A,"&gt;="&amp;$J1156,'Hours Log'!$A:$A,"&lt;"&amp;$J1156+7))</f>
        <v/>
      </c>
      <c r="D1156" t="str">
        <f>IF($J1156="","",SUMIFS('Hours Log'!$D:$D,'Hours Log'!$A:$A,"&gt;="&amp;$J1156,'Hours Log'!$A:$A,"&lt;"&amp;$J1156+7))</f>
        <v/>
      </c>
      <c r="E1156" t="str">
        <f t="shared" si="34"/>
        <v/>
      </c>
      <c r="F1156" t="str">
        <f t="shared" si="35"/>
        <v/>
      </c>
      <c r="G1156" t="str">
        <f>IF($J1156="","",SUMIFS('Hours Log'!$E:$E,'Hours Log'!$A:$A,"&gt;="&amp;$J1156,'Hours Log'!$A:$A,"&lt;"&amp;$J1156+7))</f>
        <v/>
      </c>
      <c r="J1156" t="str">
        <f>IF(COUNT('Hours Log'!$A$4:$A$5000)=0,"",IF(MIN('Hours Log'!$A$4:$A$5000)+7*(ROW()-10)&gt;MAX('Hours Log'!$A$4:$A$5000),"",MIN('Hours Log'!$A$4:$A$5000)+7*(ROW()-10)))</f>
        <v/>
      </c>
    </row>
    <row r="1157" spans="1:10" x14ac:dyDescent="0.25">
      <c r="A1157" t="str">
        <f>IF($J1157="","",YEAR($J1157-WEEKDAY($J1157,2)+4)&amp;"-W"&amp;TEXT(_xludf.ISOWEEKNUM($J1157),"00"))</f>
        <v/>
      </c>
      <c r="B1157"/>
      <c r="C1157" t="str">
        <f>IF($J1157="","",SUMIFS('Hours Log'!$C:$C,'Hours Log'!$A:$A,"&gt;="&amp;$J1157,'Hours Log'!$A:$A,"&lt;"&amp;$J1157+7)+SUMIFS('Hours Log'!$D:$D,'Hours Log'!$A:$A,"&gt;="&amp;$J1157,'Hours Log'!$A:$A,"&lt;"&amp;$J1157+7))</f>
        <v/>
      </c>
      <c r="D1157" t="str">
        <f>IF($J1157="","",SUMIFS('Hours Log'!$D:$D,'Hours Log'!$A:$A,"&gt;="&amp;$J1157,'Hours Log'!$A:$A,"&lt;"&amp;$J1157+7))</f>
        <v/>
      </c>
      <c r="E1157" t="str">
        <f t="shared" si="34"/>
        <v/>
      </c>
      <c r="F1157" t="str">
        <f t="shared" si="35"/>
        <v/>
      </c>
      <c r="G1157" t="str">
        <f>IF($J1157="","",SUMIFS('Hours Log'!$E:$E,'Hours Log'!$A:$A,"&gt;="&amp;$J1157,'Hours Log'!$A:$A,"&lt;"&amp;$J1157+7))</f>
        <v/>
      </c>
      <c r="J1157" t="str">
        <f>IF(COUNT('Hours Log'!$A$4:$A$5000)=0,"",IF(MIN('Hours Log'!$A$4:$A$5000)+7*(ROW()-10)&gt;MAX('Hours Log'!$A$4:$A$5000),"",MIN('Hours Log'!$A$4:$A$5000)+7*(ROW()-10)))</f>
        <v/>
      </c>
    </row>
    <row r="1158" spans="1:10" x14ac:dyDescent="0.25">
      <c r="A1158" t="str">
        <f>IF($J1158="","",YEAR($J1158-WEEKDAY($J1158,2)+4)&amp;"-W"&amp;TEXT(_xludf.ISOWEEKNUM($J1158),"00"))</f>
        <v/>
      </c>
      <c r="B1158"/>
      <c r="C1158" t="str">
        <f>IF($J1158="","",SUMIFS('Hours Log'!$C:$C,'Hours Log'!$A:$A,"&gt;="&amp;$J1158,'Hours Log'!$A:$A,"&lt;"&amp;$J1158+7)+SUMIFS('Hours Log'!$D:$D,'Hours Log'!$A:$A,"&gt;="&amp;$J1158,'Hours Log'!$A:$A,"&lt;"&amp;$J1158+7))</f>
        <v/>
      </c>
      <c r="D1158" t="str">
        <f>IF($J1158="","",SUMIFS('Hours Log'!$D:$D,'Hours Log'!$A:$A,"&gt;="&amp;$J1158,'Hours Log'!$A:$A,"&lt;"&amp;$J1158+7))</f>
        <v/>
      </c>
      <c r="E1158" t="str">
        <f t="shared" si="34"/>
        <v/>
      </c>
      <c r="F1158" t="str">
        <f t="shared" si="35"/>
        <v/>
      </c>
      <c r="G1158" t="str">
        <f>IF($J1158="","",SUMIFS('Hours Log'!$E:$E,'Hours Log'!$A:$A,"&gt;="&amp;$J1158,'Hours Log'!$A:$A,"&lt;"&amp;$J1158+7))</f>
        <v/>
      </c>
      <c r="J1158" t="str">
        <f>IF(COUNT('Hours Log'!$A$4:$A$5000)=0,"",IF(MIN('Hours Log'!$A$4:$A$5000)+7*(ROW()-10)&gt;MAX('Hours Log'!$A$4:$A$5000),"",MIN('Hours Log'!$A$4:$A$5000)+7*(ROW()-10)))</f>
        <v/>
      </c>
    </row>
    <row r="1159" spans="1:10" x14ac:dyDescent="0.25">
      <c r="A1159" t="str">
        <f>IF($J1159="","",YEAR($J1159-WEEKDAY($J1159,2)+4)&amp;"-W"&amp;TEXT(_xludf.ISOWEEKNUM($J1159),"00"))</f>
        <v/>
      </c>
      <c r="B1159"/>
      <c r="C1159" t="str">
        <f>IF($J1159="","",SUMIFS('Hours Log'!$C:$C,'Hours Log'!$A:$A,"&gt;="&amp;$J1159,'Hours Log'!$A:$A,"&lt;"&amp;$J1159+7)+SUMIFS('Hours Log'!$D:$D,'Hours Log'!$A:$A,"&gt;="&amp;$J1159,'Hours Log'!$A:$A,"&lt;"&amp;$J1159+7))</f>
        <v/>
      </c>
      <c r="D1159" t="str">
        <f>IF($J1159="","",SUMIFS('Hours Log'!$D:$D,'Hours Log'!$A:$A,"&gt;="&amp;$J1159,'Hours Log'!$A:$A,"&lt;"&amp;$J1159+7))</f>
        <v/>
      </c>
      <c r="E1159" t="str">
        <f t="shared" si="34"/>
        <v/>
      </c>
      <c r="F1159" t="str">
        <f t="shared" si="35"/>
        <v/>
      </c>
      <c r="G1159" t="str">
        <f>IF($J1159="","",SUMIFS('Hours Log'!$E:$E,'Hours Log'!$A:$A,"&gt;="&amp;$J1159,'Hours Log'!$A:$A,"&lt;"&amp;$J1159+7))</f>
        <v/>
      </c>
      <c r="J1159" t="str">
        <f>IF(COUNT('Hours Log'!$A$4:$A$5000)=0,"",IF(MIN('Hours Log'!$A$4:$A$5000)+7*(ROW()-10)&gt;MAX('Hours Log'!$A$4:$A$5000),"",MIN('Hours Log'!$A$4:$A$5000)+7*(ROW()-10)))</f>
        <v/>
      </c>
    </row>
    <row r="1160" spans="1:10" x14ac:dyDescent="0.25">
      <c r="A1160" t="str">
        <f>IF($J1160="","",YEAR($J1160-WEEKDAY($J1160,2)+4)&amp;"-W"&amp;TEXT(_xludf.ISOWEEKNUM($J1160),"00"))</f>
        <v/>
      </c>
      <c r="B1160"/>
      <c r="C1160" t="str">
        <f>IF($J1160="","",SUMIFS('Hours Log'!$C:$C,'Hours Log'!$A:$A,"&gt;="&amp;$J1160,'Hours Log'!$A:$A,"&lt;"&amp;$J1160+7)+SUMIFS('Hours Log'!$D:$D,'Hours Log'!$A:$A,"&gt;="&amp;$J1160,'Hours Log'!$A:$A,"&lt;"&amp;$J1160+7))</f>
        <v/>
      </c>
      <c r="D1160" t="str">
        <f>IF($J1160="","",SUMIFS('Hours Log'!$D:$D,'Hours Log'!$A:$A,"&gt;="&amp;$J1160,'Hours Log'!$A:$A,"&lt;"&amp;$J1160+7))</f>
        <v/>
      </c>
      <c r="E1160" t="str">
        <f t="shared" si="34"/>
        <v/>
      </c>
      <c r="F1160" t="str">
        <f t="shared" si="35"/>
        <v/>
      </c>
      <c r="G1160" t="str">
        <f>IF($J1160="","",SUMIFS('Hours Log'!$E:$E,'Hours Log'!$A:$A,"&gt;="&amp;$J1160,'Hours Log'!$A:$A,"&lt;"&amp;$J1160+7))</f>
        <v/>
      </c>
      <c r="J1160" t="str">
        <f>IF(COUNT('Hours Log'!$A$4:$A$5000)=0,"",IF(MIN('Hours Log'!$A$4:$A$5000)+7*(ROW()-10)&gt;MAX('Hours Log'!$A$4:$A$5000),"",MIN('Hours Log'!$A$4:$A$5000)+7*(ROW()-10)))</f>
        <v/>
      </c>
    </row>
    <row r="1161" spans="1:10" x14ac:dyDescent="0.25">
      <c r="A1161" t="str">
        <f>IF($J1161="","",YEAR($J1161-WEEKDAY($J1161,2)+4)&amp;"-W"&amp;TEXT(_xludf.ISOWEEKNUM($J1161),"00"))</f>
        <v/>
      </c>
      <c r="B1161"/>
      <c r="C1161" t="str">
        <f>IF($J1161="","",SUMIFS('Hours Log'!$C:$C,'Hours Log'!$A:$A,"&gt;="&amp;$J1161,'Hours Log'!$A:$A,"&lt;"&amp;$J1161+7)+SUMIFS('Hours Log'!$D:$D,'Hours Log'!$A:$A,"&gt;="&amp;$J1161,'Hours Log'!$A:$A,"&lt;"&amp;$J1161+7))</f>
        <v/>
      </c>
      <c r="D1161" t="str">
        <f>IF($J1161="","",SUMIFS('Hours Log'!$D:$D,'Hours Log'!$A:$A,"&gt;="&amp;$J1161,'Hours Log'!$A:$A,"&lt;"&amp;$J1161+7))</f>
        <v/>
      </c>
      <c r="E1161" t="str">
        <f t="shared" si="34"/>
        <v/>
      </c>
      <c r="F1161" t="str">
        <f t="shared" si="35"/>
        <v/>
      </c>
      <c r="G1161" t="str">
        <f>IF($J1161="","",SUMIFS('Hours Log'!$E:$E,'Hours Log'!$A:$A,"&gt;="&amp;$J1161,'Hours Log'!$A:$A,"&lt;"&amp;$J1161+7))</f>
        <v/>
      </c>
      <c r="J1161" t="str">
        <f>IF(COUNT('Hours Log'!$A$4:$A$5000)=0,"",IF(MIN('Hours Log'!$A$4:$A$5000)+7*(ROW()-10)&gt;MAX('Hours Log'!$A$4:$A$5000),"",MIN('Hours Log'!$A$4:$A$5000)+7*(ROW()-10)))</f>
        <v/>
      </c>
    </row>
    <row r="1162" spans="1:10" x14ac:dyDescent="0.25">
      <c r="A1162" t="str">
        <f>IF($J1162="","",YEAR($J1162-WEEKDAY($J1162,2)+4)&amp;"-W"&amp;TEXT(_xludf.ISOWEEKNUM($J1162),"00"))</f>
        <v/>
      </c>
      <c r="B1162"/>
      <c r="C1162" t="str">
        <f>IF($J1162="","",SUMIFS('Hours Log'!$C:$C,'Hours Log'!$A:$A,"&gt;="&amp;$J1162,'Hours Log'!$A:$A,"&lt;"&amp;$J1162+7)+SUMIFS('Hours Log'!$D:$D,'Hours Log'!$A:$A,"&gt;="&amp;$J1162,'Hours Log'!$A:$A,"&lt;"&amp;$J1162+7))</f>
        <v/>
      </c>
      <c r="D1162" t="str">
        <f>IF($J1162="","",SUMIFS('Hours Log'!$D:$D,'Hours Log'!$A:$A,"&gt;="&amp;$J1162,'Hours Log'!$A:$A,"&lt;"&amp;$J1162+7))</f>
        <v/>
      </c>
      <c r="E1162" t="str">
        <f t="shared" ref="E1162:E1225" si="36">IF($J1162="","",IFERROR(C1162/(B1162*40),0))</f>
        <v/>
      </c>
      <c r="F1162" t="str">
        <f t="shared" ref="F1162:F1225" si="37">IF($J1162="","",0)</f>
        <v/>
      </c>
      <c r="G1162" t="str">
        <f>IF($J1162="","",SUMIFS('Hours Log'!$E:$E,'Hours Log'!$A:$A,"&gt;="&amp;$J1162,'Hours Log'!$A:$A,"&lt;"&amp;$J1162+7))</f>
        <v/>
      </c>
      <c r="J1162" t="str">
        <f>IF(COUNT('Hours Log'!$A$4:$A$5000)=0,"",IF(MIN('Hours Log'!$A$4:$A$5000)+7*(ROW()-10)&gt;MAX('Hours Log'!$A$4:$A$5000),"",MIN('Hours Log'!$A$4:$A$5000)+7*(ROW()-10)))</f>
        <v/>
      </c>
    </row>
    <row r="1163" spans="1:10" x14ac:dyDescent="0.25">
      <c r="A1163" t="str">
        <f>IF($J1163="","",YEAR($J1163-WEEKDAY($J1163,2)+4)&amp;"-W"&amp;TEXT(_xludf.ISOWEEKNUM($J1163),"00"))</f>
        <v/>
      </c>
      <c r="B1163"/>
      <c r="C1163" t="str">
        <f>IF($J1163="","",SUMIFS('Hours Log'!$C:$C,'Hours Log'!$A:$A,"&gt;="&amp;$J1163,'Hours Log'!$A:$A,"&lt;"&amp;$J1163+7)+SUMIFS('Hours Log'!$D:$D,'Hours Log'!$A:$A,"&gt;="&amp;$J1163,'Hours Log'!$A:$A,"&lt;"&amp;$J1163+7))</f>
        <v/>
      </c>
      <c r="D1163" t="str">
        <f>IF($J1163="","",SUMIFS('Hours Log'!$D:$D,'Hours Log'!$A:$A,"&gt;="&amp;$J1163,'Hours Log'!$A:$A,"&lt;"&amp;$J1163+7))</f>
        <v/>
      </c>
      <c r="E1163" t="str">
        <f t="shared" si="36"/>
        <v/>
      </c>
      <c r="F1163" t="str">
        <f t="shared" si="37"/>
        <v/>
      </c>
      <c r="G1163" t="str">
        <f>IF($J1163="","",SUMIFS('Hours Log'!$E:$E,'Hours Log'!$A:$A,"&gt;="&amp;$J1163,'Hours Log'!$A:$A,"&lt;"&amp;$J1163+7))</f>
        <v/>
      </c>
      <c r="J1163" t="str">
        <f>IF(COUNT('Hours Log'!$A$4:$A$5000)=0,"",IF(MIN('Hours Log'!$A$4:$A$5000)+7*(ROW()-10)&gt;MAX('Hours Log'!$A$4:$A$5000),"",MIN('Hours Log'!$A$4:$A$5000)+7*(ROW()-10)))</f>
        <v/>
      </c>
    </row>
    <row r="1164" spans="1:10" x14ac:dyDescent="0.25">
      <c r="A1164" t="str">
        <f>IF($J1164="","",YEAR($J1164-WEEKDAY($J1164,2)+4)&amp;"-W"&amp;TEXT(_xludf.ISOWEEKNUM($J1164),"00"))</f>
        <v/>
      </c>
      <c r="B1164"/>
      <c r="C1164" t="str">
        <f>IF($J1164="","",SUMIFS('Hours Log'!$C:$C,'Hours Log'!$A:$A,"&gt;="&amp;$J1164,'Hours Log'!$A:$A,"&lt;"&amp;$J1164+7)+SUMIFS('Hours Log'!$D:$D,'Hours Log'!$A:$A,"&gt;="&amp;$J1164,'Hours Log'!$A:$A,"&lt;"&amp;$J1164+7))</f>
        <v/>
      </c>
      <c r="D1164" t="str">
        <f>IF($J1164="","",SUMIFS('Hours Log'!$D:$D,'Hours Log'!$A:$A,"&gt;="&amp;$J1164,'Hours Log'!$A:$A,"&lt;"&amp;$J1164+7))</f>
        <v/>
      </c>
      <c r="E1164" t="str">
        <f t="shared" si="36"/>
        <v/>
      </c>
      <c r="F1164" t="str">
        <f t="shared" si="37"/>
        <v/>
      </c>
      <c r="G1164" t="str">
        <f>IF($J1164="","",SUMIFS('Hours Log'!$E:$E,'Hours Log'!$A:$A,"&gt;="&amp;$J1164,'Hours Log'!$A:$A,"&lt;"&amp;$J1164+7))</f>
        <v/>
      </c>
      <c r="J1164" t="str">
        <f>IF(COUNT('Hours Log'!$A$4:$A$5000)=0,"",IF(MIN('Hours Log'!$A$4:$A$5000)+7*(ROW()-10)&gt;MAX('Hours Log'!$A$4:$A$5000),"",MIN('Hours Log'!$A$4:$A$5000)+7*(ROW()-10)))</f>
        <v/>
      </c>
    </row>
    <row r="1165" spans="1:10" x14ac:dyDescent="0.25">
      <c r="A1165" t="str">
        <f>IF($J1165="","",YEAR($J1165-WEEKDAY($J1165,2)+4)&amp;"-W"&amp;TEXT(_xludf.ISOWEEKNUM($J1165),"00"))</f>
        <v/>
      </c>
      <c r="B1165"/>
      <c r="C1165" t="str">
        <f>IF($J1165="","",SUMIFS('Hours Log'!$C:$C,'Hours Log'!$A:$A,"&gt;="&amp;$J1165,'Hours Log'!$A:$A,"&lt;"&amp;$J1165+7)+SUMIFS('Hours Log'!$D:$D,'Hours Log'!$A:$A,"&gt;="&amp;$J1165,'Hours Log'!$A:$A,"&lt;"&amp;$J1165+7))</f>
        <v/>
      </c>
      <c r="D1165" t="str">
        <f>IF($J1165="","",SUMIFS('Hours Log'!$D:$D,'Hours Log'!$A:$A,"&gt;="&amp;$J1165,'Hours Log'!$A:$A,"&lt;"&amp;$J1165+7))</f>
        <v/>
      </c>
      <c r="E1165" t="str">
        <f t="shared" si="36"/>
        <v/>
      </c>
      <c r="F1165" t="str">
        <f t="shared" si="37"/>
        <v/>
      </c>
      <c r="G1165" t="str">
        <f>IF($J1165="","",SUMIFS('Hours Log'!$E:$E,'Hours Log'!$A:$A,"&gt;="&amp;$J1165,'Hours Log'!$A:$A,"&lt;"&amp;$J1165+7))</f>
        <v/>
      </c>
      <c r="J1165" t="str">
        <f>IF(COUNT('Hours Log'!$A$4:$A$5000)=0,"",IF(MIN('Hours Log'!$A$4:$A$5000)+7*(ROW()-10)&gt;MAX('Hours Log'!$A$4:$A$5000),"",MIN('Hours Log'!$A$4:$A$5000)+7*(ROW()-10)))</f>
        <v/>
      </c>
    </row>
    <row r="1166" spans="1:10" x14ac:dyDescent="0.25">
      <c r="A1166" t="str">
        <f>IF($J1166="","",YEAR($J1166-WEEKDAY($J1166,2)+4)&amp;"-W"&amp;TEXT(_xludf.ISOWEEKNUM($J1166),"00"))</f>
        <v/>
      </c>
      <c r="B1166"/>
      <c r="C1166" t="str">
        <f>IF($J1166="","",SUMIFS('Hours Log'!$C:$C,'Hours Log'!$A:$A,"&gt;="&amp;$J1166,'Hours Log'!$A:$A,"&lt;"&amp;$J1166+7)+SUMIFS('Hours Log'!$D:$D,'Hours Log'!$A:$A,"&gt;="&amp;$J1166,'Hours Log'!$A:$A,"&lt;"&amp;$J1166+7))</f>
        <v/>
      </c>
      <c r="D1166" t="str">
        <f>IF($J1166="","",SUMIFS('Hours Log'!$D:$D,'Hours Log'!$A:$A,"&gt;="&amp;$J1166,'Hours Log'!$A:$A,"&lt;"&amp;$J1166+7))</f>
        <v/>
      </c>
      <c r="E1166" t="str">
        <f t="shared" si="36"/>
        <v/>
      </c>
      <c r="F1166" t="str">
        <f t="shared" si="37"/>
        <v/>
      </c>
      <c r="G1166" t="str">
        <f>IF($J1166="","",SUMIFS('Hours Log'!$E:$E,'Hours Log'!$A:$A,"&gt;="&amp;$J1166,'Hours Log'!$A:$A,"&lt;"&amp;$J1166+7))</f>
        <v/>
      </c>
      <c r="J1166" t="str">
        <f>IF(COUNT('Hours Log'!$A$4:$A$5000)=0,"",IF(MIN('Hours Log'!$A$4:$A$5000)+7*(ROW()-10)&gt;MAX('Hours Log'!$A$4:$A$5000),"",MIN('Hours Log'!$A$4:$A$5000)+7*(ROW()-10)))</f>
        <v/>
      </c>
    </row>
    <row r="1167" spans="1:10" x14ac:dyDescent="0.25">
      <c r="A1167" t="str">
        <f>IF($J1167="","",YEAR($J1167-WEEKDAY($J1167,2)+4)&amp;"-W"&amp;TEXT(_xludf.ISOWEEKNUM($J1167),"00"))</f>
        <v/>
      </c>
      <c r="B1167"/>
      <c r="C1167" t="str">
        <f>IF($J1167="","",SUMIFS('Hours Log'!$C:$C,'Hours Log'!$A:$A,"&gt;="&amp;$J1167,'Hours Log'!$A:$A,"&lt;"&amp;$J1167+7)+SUMIFS('Hours Log'!$D:$D,'Hours Log'!$A:$A,"&gt;="&amp;$J1167,'Hours Log'!$A:$A,"&lt;"&amp;$J1167+7))</f>
        <v/>
      </c>
      <c r="D1167" t="str">
        <f>IF($J1167="","",SUMIFS('Hours Log'!$D:$D,'Hours Log'!$A:$A,"&gt;="&amp;$J1167,'Hours Log'!$A:$A,"&lt;"&amp;$J1167+7))</f>
        <v/>
      </c>
      <c r="E1167" t="str">
        <f t="shared" si="36"/>
        <v/>
      </c>
      <c r="F1167" t="str">
        <f t="shared" si="37"/>
        <v/>
      </c>
      <c r="G1167" t="str">
        <f>IF($J1167="","",SUMIFS('Hours Log'!$E:$E,'Hours Log'!$A:$A,"&gt;="&amp;$J1167,'Hours Log'!$A:$A,"&lt;"&amp;$J1167+7))</f>
        <v/>
      </c>
      <c r="J1167" t="str">
        <f>IF(COUNT('Hours Log'!$A$4:$A$5000)=0,"",IF(MIN('Hours Log'!$A$4:$A$5000)+7*(ROW()-10)&gt;MAX('Hours Log'!$A$4:$A$5000),"",MIN('Hours Log'!$A$4:$A$5000)+7*(ROW()-10)))</f>
        <v/>
      </c>
    </row>
    <row r="1168" spans="1:10" x14ac:dyDescent="0.25">
      <c r="A1168" t="str">
        <f>IF($J1168="","",YEAR($J1168-WEEKDAY($J1168,2)+4)&amp;"-W"&amp;TEXT(_xludf.ISOWEEKNUM($J1168),"00"))</f>
        <v/>
      </c>
      <c r="B1168"/>
      <c r="C1168" t="str">
        <f>IF($J1168="","",SUMIFS('Hours Log'!$C:$C,'Hours Log'!$A:$A,"&gt;="&amp;$J1168,'Hours Log'!$A:$A,"&lt;"&amp;$J1168+7)+SUMIFS('Hours Log'!$D:$D,'Hours Log'!$A:$A,"&gt;="&amp;$J1168,'Hours Log'!$A:$A,"&lt;"&amp;$J1168+7))</f>
        <v/>
      </c>
      <c r="D1168" t="str">
        <f>IF($J1168="","",SUMIFS('Hours Log'!$D:$D,'Hours Log'!$A:$A,"&gt;="&amp;$J1168,'Hours Log'!$A:$A,"&lt;"&amp;$J1168+7))</f>
        <v/>
      </c>
      <c r="E1168" t="str">
        <f t="shared" si="36"/>
        <v/>
      </c>
      <c r="F1168" t="str">
        <f t="shared" si="37"/>
        <v/>
      </c>
      <c r="G1168" t="str">
        <f>IF($J1168="","",SUMIFS('Hours Log'!$E:$E,'Hours Log'!$A:$A,"&gt;="&amp;$J1168,'Hours Log'!$A:$A,"&lt;"&amp;$J1168+7))</f>
        <v/>
      </c>
      <c r="J1168" t="str">
        <f>IF(COUNT('Hours Log'!$A$4:$A$5000)=0,"",IF(MIN('Hours Log'!$A$4:$A$5000)+7*(ROW()-10)&gt;MAX('Hours Log'!$A$4:$A$5000),"",MIN('Hours Log'!$A$4:$A$5000)+7*(ROW()-10)))</f>
        <v/>
      </c>
    </row>
    <row r="1169" spans="1:10" x14ac:dyDescent="0.25">
      <c r="A1169" t="str">
        <f>IF($J1169="","",YEAR($J1169-WEEKDAY($J1169,2)+4)&amp;"-W"&amp;TEXT(_xludf.ISOWEEKNUM($J1169),"00"))</f>
        <v/>
      </c>
      <c r="B1169"/>
      <c r="C1169" t="str">
        <f>IF($J1169="","",SUMIFS('Hours Log'!$C:$C,'Hours Log'!$A:$A,"&gt;="&amp;$J1169,'Hours Log'!$A:$A,"&lt;"&amp;$J1169+7)+SUMIFS('Hours Log'!$D:$D,'Hours Log'!$A:$A,"&gt;="&amp;$J1169,'Hours Log'!$A:$A,"&lt;"&amp;$J1169+7))</f>
        <v/>
      </c>
      <c r="D1169" t="str">
        <f>IF($J1169="","",SUMIFS('Hours Log'!$D:$D,'Hours Log'!$A:$A,"&gt;="&amp;$J1169,'Hours Log'!$A:$A,"&lt;"&amp;$J1169+7))</f>
        <v/>
      </c>
      <c r="E1169" t="str">
        <f t="shared" si="36"/>
        <v/>
      </c>
      <c r="F1169" t="str">
        <f t="shared" si="37"/>
        <v/>
      </c>
      <c r="G1169" t="str">
        <f>IF($J1169="","",SUMIFS('Hours Log'!$E:$E,'Hours Log'!$A:$A,"&gt;="&amp;$J1169,'Hours Log'!$A:$A,"&lt;"&amp;$J1169+7))</f>
        <v/>
      </c>
      <c r="J1169" t="str">
        <f>IF(COUNT('Hours Log'!$A$4:$A$5000)=0,"",IF(MIN('Hours Log'!$A$4:$A$5000)+7*(ROW()-10)&gt;MAX('Hours Log'!$A$4:$A$5000),"",MIN('Hours Log'!$A$4:$A$5000)+7*(ROW()-10)))</f>
        <v/>
      </c>
    </row>
    <row r="1170" spans="1:10" x14ac:dyDescent="0.25">
      <c r="A1170" t="str">
        <f>IF($J1170="","",YEAR($J1170-WEEKDAY($J1170,2)+4)&amp;"-W"&amp;TEXT(_xludf.ISOWEEKNUM($J1170),"00"))</f>
        <v/>
      </c>
      <c r="B1170"/>
      <c r="C1170" t="str">
        <f>IF($J1170="","",SUMIFS('Hours Log'!$C:$C,'Hours Log'!$A:$A,"&gt;="&amp;$J1170,'Hours Log'!$A:$A,"&lt;"&amp;$J1170+7)+SUMIFS('Hours Log'!$D:$D,'Hours Log'!$A:$A,"&gt;="&amp;$J1170,'Hours Log'!$A:$A,"&lt;"&amp;$J1170+7))</f>
        <v/>
      </c>
      <c r="D1170" t="str">
        <f>IF($J1170="","",SUMIFS('Hours Log'!$D:$D,'Hours Log'!$A:$A,"&gt;="&amp;$J1170,'Hours Log'!$A:$A,"&lt;"&amp;$J1170+7))</f>
        <v/>
      </c>
      <c r="E1170" t="str">
        <f t="shared" si="36"/>
        <v/>
      </c>
      <c r="F1170" t="str">
        <f t="shared" si="37"/>
        <v/>
      </c>
      <c r="G1170" t="str">
        <f>IF($J1170="","",SUMIFS('Hours Log'!$E:$E,'Hours Log'!$A:$A,"&gt;="&amp;$J1170,'Hours Log'!$A:$A,"&lt;"&amp;$J1170+7))</f>
        <v/>
      </c>
      <c r="J1170" t="str">
        <f>IF(COUNT('Hours Log'!$A$4:$A$5000)=0,"",IF(MIN('Hours Log'!$A$4:$A$5000)+7*(ROW()-10)&gt;MAX('Hours Log'!$A$4:$A$5000),"",MIN('Hours Log'!$A$4:$A$5000)+7*(ROW()-10)))</f>
        <v/>
      </c>
    </row>
    <row r="1171" spans="1:10" x14ac:dyDescent="0.25">
      <c r="A1171" t="str">
        <f>IF($J1171="","",YEAR($J1171-WEEKDAY($J1171,2)+4)&amp;"-W"&amp;TEXT(_xludf.ISOWEEKNUM($J1171),"00"))</f>
        <v/>
      </c>
      <c r="B1171"/>
      <c r="C1171" t="str">
        <f>IF($J1171="","",SUMIFS('Hours Log'!$C:$C,'Hours Log'!$A:$A,"&gt;="&amp;$J1171,'Hours Log'!$A:$A,"&lt;"&amp;$J1171+7)+SUMIFS('Hours Log'!$D:$D,'Hours Log'!$A:$A,"&gt;="&amp;$J1171,'Hours Log'!$A:$A,"&lt;"&amp;$J1171+7))</f>
        <v/>
      </c>
      <c r="D1171" t="str">
        <f>IF($J1171="","",SUMIFS('Hours Log'!$D:$D,'Hours Log'!$A:$A,"&gt;="&amp;$J1171,'Hours Log'!$A:$A,"&lt;"&amp;$J1171+7))</f>
        <v/>
      </c>
      <c r="E1171" t="str">
        <f t="shared" si="36"/>
        <v/>
      </c>
      <c r="F1171" t="str">
        <f t="shared" si="37"/>
        <v/>
      </c>
      <c r="G1171" t="str">
        <f>IF($J1171="","",SUMIFS('Hours Log'!$E:$E,'Hours Log'!$A:$A,"&gt;="&amp;$J1171,'Hours Log'!$A:$A,"&lt;"&amp;$J1171+7))</f>
        <v/>
      </c>
      <c r="J1171" t="str">
        <f>IF(COUNT('Hours Log'!$A$4:$A$5000)=0,"",IF(MIN('Hours Log'!$A$4:$A$5000)+7*(ROW()-10)&gt;MAX('Hours Log'!$A$4:$A$5000),"",MIN('Hours Log'!$A$4:$A$5000)+7*(ROW()-10)))</f>
        <v/>
      </c>
    </row>
    <row r="1172" spans="1:10" x14ac:dyDescent="0.25">
      <c r="A1172" t="str">
        <f>IF($J1172="","",YEAR($J1172-WEEKDAY($J1172,2)+4)&amp;"-W"&amp;TEXT(_xludf.ISOWEEKNUM($J1172),"00"))</f>
        <v/>
      </c>
      <c r="B1172"/>
      <c r="C1172" t="str">
        <f>IF($J1172="","",SUMIFS('Hours Log'!$C:$C,'Hours Log'!$A:$A,"&gt;="&amp;$J1172,'Hours Log'!$A:$A,"&lt;"&amp;$J1172+7)+SUMIFS('Hours Log'!$D:$D,'Hours Log'!$A:$A,"&gt;="&amp;$J1172,'Hours Log'!$A:$A,"&lt;"&amp;$J1172+7))</f>
        <v/>
      </c>
      <c r="D1172" t="str">
        <f>IF($J1172="","",SUMIFS('Hours Log'!$D:$D,'Hours Log'!$A:$A,"&gt;="&amp;$J1172,'Hours Log'!$A:$A,"&lt;"&amp;$J1172+7))</f>
        <v/>
      </c>
      <c r="E1172" t="str">
        <f t="shared" si="36"/>
        <v/>
      </c>
      <c r="F1172" t="str">
        <f t="shared" si="37"/>
        <v/>
      </c>
      <c r="G1172" t="str">
        <f>IF($J1172="","",SUMIFS('Hours Log'!$E:$E,'Hours Log'!$A:$A,"&gt;="&amp;$J1172,'Hours Log'!$A:$A,"&lt;"&amp;$J1172+7))</f>
        <v/>
      </c>
      <c r="J1172" t="str">
        <f>IF(COUNT('Hours Log'!$A$4:$A$5000)=0,"",IF(MIN('Hours Log'!$A$4:$A$5000)+7*(ROW()-10)&gt;MAX('Hours Log'!$A$4:$A$5000),"",MIN('Hours Log'!$A$4:$A$5000)+7*(ROW()-10)))</f>
        <v/>
      </c>
    </row>
    <row r="1173" spans="1:10" x14ac:dyDescent="0.25">
      <c r="A1173" t="str">
        <f>IF($J1173="","",YEAR($J1173-WEEKDAY($J1173,2)+4)&amp;"-W"&amp;TEXT(_xludf.ISOWEEKNUM($J1173),"00"))</f>
        <v/>
      </c>
      <c r="B1173"/>
      <c r="C1173" t="str">
        <f>IF($J1173="","",SUMIFS('Hours Log'!$C:$C,'Hours Log'!$A:$A,"&gt;="&amp;$J1173,'Hours Log'!$A:$A,"&lt;"&amp;$J1173+7)+SUMIFS('Hours Log'!$D:$D,'Hours Log'!$A:$A,"&gt;="&amp;$J1173,'Hours Log'!$A:$A,"&lt;"&amp;$J1173+7))</f>
        <v/>
      </c>
      <c r="D1173" t="str">
        <f>IF($J1173="","",SUMIFS('Hours Log'!$D:$D,'Hours Log'!$A:$A,"&gt;="&amp;$J1173,'Hours Log'!$A:$A,"&lt;"&amp;$J1173+7))</f>
        <v/>
      </c>
      <c r="E1173" t="str">
        <f t="shared" si="36"/>
        <v/>
      </c>
      <c r="F1173" t="str">
        <f t="shared" si="37"/>
        <v/>
      </c>
      <c r="G1173" t="str">
        <f>IF($J1173="","",SUMIFS('Hours Log'!$E:$E,'Hours Log'!$A:$A,"&gt;="&amp;$J1173,'Hours Log'!$A:$A,"&lt;"&amp;$J1173+7))</f>
        <v/>
      </c>
      <c r="J1173" t="str">
        <f>IF(COUNT('Hours Log'!$A$4:$A$5000)=0,"",IF(MIN('Hours Log'!$A$4:$A$5000)+7*(ROW()-10)&gt;MAX('Hours Log'!$A$4:$A$5000),"",MIN('Hours Log'!$A$4:$A$5000)+7*(ROW()-10)))</f>
        <v/>
      </c>
    </row>
    <row r="1174" spans="1:10" x14ac:dyDescent="0.25">
      <c r="A1174" t="str">
        <f>IF($J1174="","",YEAR($J1174-WEEKDAY($J1174,2)+4)&amp;"-W"&amp;TEXT(_xludf.ISOWEEKNUM($J1174),"00"))</f>
        <v/>
      </c>
      <c r="B1174"/>
      <c r="C1174" t="str">
        <f>IF($J1174="","",SUMIFS('Hours Log'!$C:$C,'Hours Log'!$A:$A,"&gt;="&amp;$J1174,'Hours Log'!$A:$A,"&lt;"&amp;$J1174+7)+SUMIFS('Hours Log'!$D:$D,'Hours Log'!$A:$A,"&gt;="&amp;$J1174,'Hours Log'!$A:$A,"&lt;"&amp;$J1174+7))</f>
        <v/>
      </c>
      <c r="D1174" t="str">
        <f>IF($J1174="","",SUMIFS('Hours Log'!$D:$D,'Hours Log'!$A:$A,"&gt;="&amp;$J1174,'Hours Log'!$A:$A,"&lt;"&amp;$J1174+7))</f>
        <v/>
      </c>
      <c r="E1174" t="str">
        <f t="shared" si="36"/>
        <v/>
      </c>
      <c r="F1174" t="str">
        <f t="shared" si="37"/>
        <v/>
      </c>
      <c r="G1174" t="str">
        <f>IF($J1174="","",SUMIFS('Hours Log'!$E:$E,'Hours Log'!$A:$A,"&gt;="&amp;$J1174,'Hours Log'!$A:$A,"&lt;"&amp;$J1174+7))</f>
        <v/>
      </c>
      <c r="J1174" t="str">
        <f>IF(COUNT('Hours Log'!$A$4:$A$5000)=0,"",IF(MIN('Hours Log'!$A$4:$A$5000)+7*(ROW()-10)&gt;MAX('Hours Log'!$A$4:$A$5000),"",MIN('Hours Log'!$A$4:$A$5000)+7*(ROW()-10)))</f>
        <v/>
      </c>
    </row>
    <row r="1175" spans="1:10" x14ac:dyDescent="0.25">
      <c r="A1175" t="str">
        <f>IF($J1175="","",YEAR($J1175-WEEKDAY($J1175,2)+4)&amp;"-W"&amp;TEXT(_xludf.ISOWEEKNUM($J1175),"00"))</f>
        <v/>
      </c>
      <c r="B1175"/>
      <c r="C1175" t="str">
        <f>IF($J1175="","",SUMIFS('Hours Log'!$C:$C,'Hours Log'!$A:$A,"&gt;="&amp;$J1175,'Hours Log'!$A:$A,"&lt;"&amp;$J1175+7)+SUMIFS('Hours Log'!$D:$D,'Hours Log'!$A:$A,"&gt;="&amp;$J1175,'Hours Log'!$A:$A,"&lt;"&amp;$J1175+7))</f>
        <v/>
      </c>
      <c r="D1175" t="str">
        <f>IF($J1175="","",SUMIFS('Hours Log'!$D:$D,'Hours Log'!$A:$A,"&gt;="&amp;$J1175,'Hours Log'!$A:$A,"&lt;"&amp;$J1175+7))</f>
        <v/>
      </c>
      <c r="E1175" t="str">
        <f t="shared" si="36"/>
        <v/>
      </c>
      <c r="F1175" t="str">
        <f t="shared" si="37"/>
        <v/>
      </c>
      <c r="G1175" t="str">
        <f>IF($J1175="","",SUMIFS('Hours Log'!$E:$E,'Hours Log'!$A:$A,"&gt;="&amp;$J1175,'Hours Log'!$A:$A,"&lt;"&amp;$J1175+7))</f>
        <v/>
      </c>
      <c r="J1175" t="str">
        <f>IF(COUNT('Hours Log'!$A$4:$A$5000)=0,"",IF(MIN('Hours Log'!$A$4:$A$5000)+7*(ROW()-10)&gt;MAX('Hours Log'!$A$4:$A$5000),"",MIN('Hours Log'!$A$4:$A$5000)+7*(ROW()-10)))</f>
        <v/>
      </c>
    </row>
    <row r="1176" spans="1:10" x14ac:dyDescent="0.25">
      <c r="A1176" t="str">
        <f>IF($J1176="","",YEAR($J1176-WEEKDAY($J1176,2)+4)&amp;"-W"&amp;TEXT(_xludf.ISOWEEKNUM($J1176),"00"))</f>
        <v/>
      </c>
      <c r="B1176"/>
      <c r="C1176" t="str">
        <f>IF($J1176="","",SUMIFS('Hours Log'!$C:$C,'Hours Log'!$A:$A,"&gt;="&amp;$J1176,'Hours Log'!$A:$A,"&lt;"&amp;$J1176+7)+SUMIFS('Hours Log'!$D:$D,'Hours Log'!$A:$A,"&gt;="&amp;$J1176,'Hours Log'!$A:$A,"&lt;"&amp;$J1176+7))</f>
        <v/>
      </c>
      <c r="D1176" t="str">
        <f>IF($J1176="","",SUMIFS('Hours Log'!$D:$D,'Hours Log'!$A:$A,"&gt;="&amp;$J1176,'Hours Log'!$A:$A,"&lt;"&amp;$J1176+7))</f>
        <v/>
      </c>
      <c r="E1176" t="str">
        <f t="shared" si="36"/>
        <v/>
      </c>
      <c r="F1176" t="str">
        <f t="shared" si="37"/>
        <v/>
      </c>
      <c r="G1176" t="str">
        <f>IF($J1176="","",SUMIFS('Hours Log'!$E:$E,'Hours Log'!$A:$A,"&gt;="&amp;$J1176,'Hours Log'!$A:$A,"&lt;"&amp;$J1176+7))</f>
        <v/>
      </c>
      <c r="J1176" t="str">
        <f>IF(COUNT('Hours Log'!$A$4:$A$5000)=0,"",IF(MIN('Hours Log'!$A$4:$A$5000)+7*(ROW()-10)&gt;MAX('Hours Log'!$A$4:$A$5000),"",MIN('Hours Log'!$A$4:$A$5000)+7*(ROW()-10)))</f>
        <v/>
      </c>
    </row>
    <row r="1177" spans="1:10" x14ac:dyDescent="0.25">
      <c r="A1177" t="str">
        <f>IF($J1177="","",YEAR($J1177-WEEKDAY($J1177,2)+4)&amp;"-W"&amp;TEXT(_xludf.ISOWEEKNUM($J1177),"00"))</f>
        <v/>
      </c>
      <c r="B1177"/>
      <c r="C1177" t="str">
        <f>IF($J1177="","",SUMIFS('Hours Log'!$C:$C,'Hours Log'!$A:$A,"&gt;="&amp;$J1177,'Hours Log'!$A:$A,"&lt;"&amp;$J1177+7)+SUMIFS('Hours Log'!$D:$D,'Hours Log'!$A:$A,"&gt;="&amp;$J1177,'Hours Log'!$A:$A,"&lt;"&amp;$J1177+7))</f>
        <v/>
      </c>
      <c r="D1177" t="str">
        <f>IF($J1177="","",SUMIFS('Hours Log'!$D:$D,'Hours Log'!$A:$A,"&gt;="&amp;$J1177,'Hours Log'!$A:$A,"&lt;"&amp;$J1177+7))</f>
        <v/>
      </c>
      <c r="E1177" t="str">
        <f t="shared" si="36"/>
        <v/>
      </c>
      <c r="F1177" t="str">
        <f t="shared" si="37"/>
        <v/>
      </c>
      <c r="G1177" t="str">
        <f>IF($J1177="","",SUMIFS('Hours Log'!$E:$E,'Hours Log'!$A:$A,"&gt;="&amp;$J1177,'Hours Log'!$A:$A,"&lt;"&amp;$J1177+7))</f>
        <v/>
      </c>
      <c r="J1177" t="str">
        <f>IF(COUNT('Hours Log'!$A$4:$A$5000)=0,"",IF(MIN('Hours Log'!$A$4:$A$5000)+7*(ROW()-10)&gt;MAX('Hours Log'!$A$4:$A$5000),"",MIN('Hours Log'!$A$4:$A$5000)+7*(ROW()-10)))</f>
        <v/>
      </c>
    </row>
    <row r="1178" spans="1:10" x14ac:dyDescent="0.25">
      <c r="A1178" t="str">
        <f>IF($J1178="","",YEAR($J1178-WEEKDAY($J1178,2)+4)&amp;"-W"&amp;TEXT(_xludf.ISOWEEKNUM($J1178),"00"))</f>
        <v/>
      </c>
      <c r="B1178"/>
      <c r="C1178" t="str">
        <f>IF($J1178="","",SUMIFS('Hours Log'!$C:$C,'Hours Log'!$A:$A,"&gt;="&amp;$J1178,'Hours Log'!$A:$A,"&lt;"&amp;$J1178+7)+SUMIFS('Hours Log'!$D:$D,'Hours Log'!$A:$A,"&gt;="&amp;$J1178,'Hours Log'!$A:$A,"&lt;"&amp;$J1178+7))</f>
        <v/>
      </c>
      <c r="D1178" t="str">
        <f>IF($J1178="","",SUMIFS('Hours Log'!$D:$D,'Hours Log'!$A:$A,"&gt;="&amp;$J1178,'Hours Log'!$A:$A,"&lt;"&amp;$J1178+7))</f>
        <v/>
      </c>
      <c r="E1178" t="str">
        <f t="shared" si="36"/>
        <v/>
      </c>
      <c r="F1178" t="str">
        <f t="shared" si="37"/>
        <v/>
      </c>
      <c r="G1178" t="str">
        <f>IF($J1178="","",SUMIFS('Hours Log'!$E:$E,'Hours Log'!$A:$A,"&gt;="&amp;$J1178,'Hours Log'!$A:$A,"&lt;"&amp;$J1178+7))</f>
        <v/>
      </c>
      <c r="J1178" t="str">
        <f>IF(COUNT('Hours Log'!$A$4:$A$5000)=0,"",IF(MIN('Hours Log'!$A$4:$A$5000)+7*(ROW()-10)&gt;MAX('Hours Log'!$A$4:$A$5000),"",MIN('Hours Log'!$A$4:$A$5000)+7*(ROW()-10)))</f>
        <v/>
      </c>
    </row>
    <row r="1179" spans="1:10" x14ac:dyDescent="0.25">
      <c r="A1179" t="str">
        <f>IF($J1179="","",YEAR($J1179-WEEKDAY($J1179,2)+4)&amp;"-W"&amp;TEXT(_xludf.ISOWEEKNUM($J1179),"00"))</f>
        <v/>
      </c>
      <c r="B1179"/>
      <c r="C1179" t="str">
        <f>IF($J1179="","",SUMIFS('Hours Log'!$C:$C,'Hours Log'!$A:$A,"&gt;="&amp;$J1179,'Hours Log'!$A:$A,"&lt;"&amp;$J1179+7)+SUMIFS('Hours Log'!$D:$D,'Hours Log'!$A:$A,"&gt;="&amp;$J1179,'Hours Log'!$A:$A,"&lt;"&amp;$J1179+7))</f>
        <v/>
      </c>
      <c r="D1179" t="str">
        <f>IF($J1179="","",SUMIFS('Hours Log'!$D:$D,'Hours Log'!$A:$A,"&gt;="&amp;$J1179,'Hours Log'!$A:$A,"&lt;"&amp;$J1179+7))</f>
        <v/>
      </c>
      <c r="E1179" t="str">
        <f t="shared" si="36"/>
        <v/>
      </c>
      <c r="F1179" t="str">
        <f t="shared" si="37"/>
        <v/>
      </c>
      <c r="G1179" t="str">
        <f>IF($J1179="","",SUMIFS('Hours Log'!$E:$E,'Hours Log'!$A:$A,"&gt;="&amp;$J1179,'Hours Log'!$A:$A,"&lt;"&amp;$J1179+7))</f>
        <v/>
      </c>
      <c r="J1179" t="str">
        <f>IF(COUNT('Hours Log'!$A$4:$A$5000)=0,"",IF(MIN('Hours Log'!$A$4:$A$5000)+7*(ROW()-10)&gt;MAX('Hours Log'!$A$4:$A$5000),"",MIN('Hours Log'!$A$4:$A$5000)+7*(ROW()-10)))</f>
        <v/>
      </c>
    </row>
    <row r="1180" spans="1:10" x14ac:dyDescent="0.25">
      <c r="A1180" t="str">
        <f>IF($J1180="","",YEAR($J1180-WEEKDAY($J1180,2)+4)&amp;"-W"&amp;TEXT(_xludf.ISOWEEKNUM($J1180),"00"))</f>
        <v/>
      </c>
      <c r="B1180"/>
      <c r="C1180" t="str">
        <f>IF($J1180="","",SUMIFS('Hours Log'!$C:$C,'Hours Log'!$A:$A,"&gt;="&amp;$J1180,'Hours Log'!$A:$A,"&lt;"&amp;$J1180+7)+SUMIFS('Hours Log'!$D:$D,'Hours Log'!$A:$A,"&gt;="&amp;$J1180,'Hours Log'!$A:$A,"&lt;"&amp;$J1180+7))</f>
        <v/>
      </c>
      <c r="D1180" t="str">
        <f>IF($J1180="","",SUMIFS('Hours Log'!$D:$D,'Hours Log'!$A:$A,"&gt;="&amp;$J1180,'Hours Log'!$A:$A,"&lt;"&amp;$J1180+7))</f>
        <v/>
      </c>
      <c r="E1180" t="str">
        <f t="shared" si="36"/>
        <v/>
      </c>
      <c r="F1180" t="str">
        <f t="shared" si="37"/>
        <v/>
      </c>
      <c r="G1180" t="str">
        <f>IF($J1180="","",SUMIFS('Hours Log'!$E:$E,'Hours Log'!$A:$A,"&gt;="&amp;$J1180,'Hours Log'!$A:$A,"&lt;"&amp;$J1180+7))</f>
        <v/>
      </c>
      <c r="J1180" t="str">
        <f>IF(COUNT('Hours Log'!$A$4:$A$5000)=0,"",IF(MIN('Hours Log'!$A$4:$A$5000)+7*(ROW()-10)&gt;MAX('Hours Log'!$A$4:$A$5000),"",MIN('Hours Log'!$A$4:$A$5000)+7*(ROW()-10)))</f>
        <v/>
      </c>
    </row>
    <row r="1181" spans="1:10" x14ac:dyDescent="0.25">
      <c r="A1181" t="str">
        <f>IF($J1181="","",YEAR($J1181-WEEKDAY($J1181,2)+4)&amp;"-W"&amp;TEXT(_xludf.ISOWEEKNUM($J1181),"00"))</f>
        <v/>
      </c>
      <c r="B1181"/>
      <c r="C1181" t="str">
        <f>IF($J1181="","",SUMIFS('Hours Log'!$C:$C,'Hours Log'!$A:$A,"&gt;="&amp;$J1181,'Hours Log'!$A:$A,"&lt;"&amp;$J1181+7)+SUMIFS('Hours Log'!$D:$D,'Hours Log'!$A:$A,"&gt;="&amp;$J1181,'Hours Log'!$A:$A,"&lt;"&amp;$J1181+7))</f>
        <v/>
      </c>
      <c r="D1181" t="str">
        <f>IF($J1181="","",SUMIFS('Hours Log'!$D:$D,'Hours Log'!$A:$A,"&gt;="&amp;$J1181,'Hours Log'!$A:$A,"&lt;"&amp;$J1181+7))</f>
        <v/>
      </c>
      <c r="E1181" t="str">
        <f t="shared" si="36"/>
        <v/>
      </c>
      <c r="F1181" t="str">
        <f t="shared" si="37"/>
        <v/>
      </c>
      <c r="G1181" t="str">
        <f>IF($J1181="","",SUMIFS('Hours Log'!$E:$E,'Hours Log'!$A:$A,"&gt;="&amp;$J1181,'Hours Log'!$A:$A,"&lt;"&amp;$J1181+7))</f>
        <v/>
      </c>
      <c r="J1181" t="str">
        <f>IF(COUNT('Hours Log'!$A$4:$A$5000)=0,"",IF(MIN('Hours Log'!$A$4:$A$5000)+7*(ROW()-10)&gt;MAX('Hours Log'!$A$4:$A$5000),"",MIN('Hours Log'!$A$4:$A$5000)+7*(ROW()-10)))</f>
        <v/>
      </c>
    </row>
    <row r="1182" spans="1:10" x14ac:dyDescent="0.25">
      <c r="A1182" t="str">
        <f>IF($J1182="","",YEAR($J1182-WEEKDAY($J1182,2)+4)&amp;"-W"&amp;TEXT(_xludf.ISOWEEKNUM($J1182),"00"))</f>
        <v/>
      </c>
      <c r="B1182"/>
      <c r="C1182" t="str">
        <f>IF($J1182="","",SUMIFS('Hours Log'!$C:$C,'Hours Log'!$A:$A,"&gt;="&amp;$J1182,'Hours Log'!$A:$A,"&lt;"&amp;$J1182+7)+SUMIFS('Hours Log'!$D:$D,'Hours Log'!$A:$A,"&gt;="&amp;$J1182,'Hours Log'!$A:$A,"&lt;"&amp;$J1182+7))</f>
        <v/>
      </c>
      <c r="D1182" t="str">
        <f>IF($J1182="","",SUMIFS('Hours Log'!$D:$D,'Hours Log'!$A:$A,"&gt;="&amp;$J1182,'Hours Log'!$A:$A,"&lt;"&amp;$J1182+7))</f>
        <v/>
      </c>
      <c r="E1182" t="str">
        <f t="shared" si="36"/>
        <v/>
      </c>
      <c r="F1182" t="str">
        <f t="shared" si="37"/>
        <v/>
      </c>
      <c r="G1182" t="str">
        <f>IF($J1182="","",SUMIFS('Hours Log'!$E:$E,'Hours Log'!$A:$A,"&gt;="&amp;$J1182,'Hours Log'!$A:$A,"&lt;"&amp;$J1182+7))</f>
        <v/>
      </c>
      <c r="J1182" t="str">
        <f>IF(COUNT('Hours Log'!$A$4:$A$5000)=0,"",IF(MIN('Hours Log'!$A$4:$A$5000)+7*(ROW()-10)&gt;MAX('Hours Log'!$A$4:$A$5000),"",MIN('Hours Log'!$A$4:$A$5000)+7*(ROW()-10)))</f>
        <v/>
      </c>
    </row>
    <row r="1183" spans="1:10" x14ac:dyDescent="0.25">
      <c r="A1183" t="str">
        <f>IF($J1183="","",YEAR($J1183-WEEKDAY($J1183,2)+4)&amp;"-W"&amp;TEXT(_xludf.ISOWEEKNUM($J1183),"00"))</f>
        <v/>
      </c>
      <c r="B1183"/>
      <c r="C1183" t="str">
        <f>IF($J1183="","",SUMIFS('Hours Log'!$C:$C,'Hours Log'!$A:$A,"&gt;="&amp;$J1183,'Hours Log'!$A:$A,"&lt;"&amp;$J1183+7)+SUMIFS('Hours Log'!$D:$D,'Hours Log'!$A:$A,"&gt;="&amp;$J1183,'Hours Log'!$A:$A,"&lt;"&amp;$J1183+7))</f>
        <v/>
      </c>
      <c r="D1183" t="str">
        <f>IF($J1183="","",SUMIFS('Hours Log'!$D:$D,'Hours Log'!$A:$A,"&gt;="&amp;$J1183,'Hours Log'!$A:$A,"&lt;"&amp;$J1183+7))</f>
        <v/>
      </c>
      <c r="E1183" t="str">
        <f t="shared" si="36"/>
        <v/>
      </c>
      <c r="F1183" t="str">
        <f t="shared" si="37"/>
        <v/>
      </c>
      <c r="G1183" t="str">
        <f>IF($J1183="","",SUMIFS('Hours Log'!$E:$E,'Hours Log'!$A:$A,"&gt;="&amp;$J1183,'Hours Log'!$A:$A,"&lt;"&amp;$J1183+7))</f>
        <v/>
      </c>
      <c r="J1183" t="str">
        <f>IF(COUNT('Hours Log'!$A$4:$A$5000)=0,"",IF(MIN('Hours Log'!$A$4:$A$5000)+7*(ROW()-10)&gt;MAX('Hours Log'!$A$4:$A$5000),"",MIN('Hours Log'!$A$4:$A$5000)+7*(ROW()-10)))</f>
        <v/>
      </c>
    </row>
    <row r="1184" spans="1:10" x14ac:dyDescent="0.25">
      <c r="A1184" t="str">
        <f>IF($J1184="","",YEAR($J1184-WEEKDAY($J1184,2)+4)&amp;"-W"&amp;TEXT(_xludf.ISOWEEKNUM($J1184),"00"))</f>
        <v/>
      </c>
      <c r="B1184"/>
      <c r="C1184" t="str">
        <f>IF($J1184="","",SUMIFS('Hours Log'!$C:$C,'Hours Log'!$A:$A,"&gt;="&amp;$J1184,'Hours Log'!$A:$A,"&lt;"&amp;$J1184+7)+SUMIFS('Hours Log'!$D:$D,'Hours Log'!$A:$A,"&gt;="&amp;$J1184,'Hours Log'!$A:$A,"&lt;"&amp;$J1184+7))</f>
        <v/>
      </c>
      <c r="D1184" t="str">
        <f>IF($J1184="","",SUMIFS('Hours Log'!$D:$D,'Hours Log'!$A:$A,"&gt;="&amp;$J1184,'Hours Log'!$A:$A,"&lt;"&amp;$J1184+7))</f>
        <v/>
      </c>
      <c r="E1184" t="str">
        <f t="shared" si="36"/>
        <v/>
      </c>
      <c r="F1184" t="str">
        <f t="shared" si="37"/>
        <v/>
      </c>
      <c r="G1184" t="str">
        <f>IF($J1184="","",SUMIFS('Hours Log'!$E:$E,'Hours Log'!$A:$A,"&gt;="&amp;$J1184,'Hours Log'!$A:$A,"&lt;"&amp;$J1184+7))</f>
        <v/>
      </c>
      <c r="J1184" t="str">
        <f>IF(COUNT('Hours Log'!$A$4:$A$5000)=0,"",IF(MIN('Hours Log'!$A$4:$A$5000)+7*(ROW()-10)&gt;MAX('Hours Log'!$A$4:$A$5000),"",MIN('Hours Log'!$A$4:$A$5000)+7*(ROW()-10)))</f>
        <v/>
      </c>
    </row>
    <row r="1185" spans="1:10" x14ac:dyDescent="0.25">
      <c r="A1185" t="str">
        <f>IF($J1185="","",YEAR($J1185-WEEKDAY($J1185,2)+4)&amp;"-W"&amp;TEXT(_xludf.ISOWEEKNUM($J1185),"00"))</f>
        <v/>
      </c>
      <c r="B1185"/>
      <c r="C1185" t="str">
        <f>IF($J1185="","",SUMIFS('Hours Log'!$C:$C,'Hours Log'!$A:$A,"&gt;="&amp;$J1185,'Hours Log'!$A:$A,"&lt;"&amp;$J1185+7)+SUMIFS('Hours Log'!$D:$D,'Hours Log'!$A:$A,"&gt;="&amp;$J1185,'Hours Log'!$A:$A,"&lt;"&amp;$J1185+7))</f>
        <v/>
      </c>
      <c r="D1185" t="str">
        <f>IF($J1185="","",SUMIFS('Hours Log'!$D:$D,'Hours Log'!$A:$A,"&gt;="&amp;$J1185,'Hours Log'!$A:$A,"&lt;"&amp;$J1185+7))</f>
        <v/>
      </c>
      <c r="E1185" t="str">
        <f t="shared" si="36"/>
        <v/>
      </c>
      <c r="F1185" t="str">
        <f t="shared" si="37"/>
        <v/>
      </c>
      <c r="G1185" t="str">
        <f>IF($J1185="","",SUMIFS('Hours Log'!$E:$E,'Hours Log'!$A:$A,"&gt;="&amp;$J1185,'Hours Log'!$A:$A,"&lt;"&amp;$J1185+7))</f>
        <v/>
      </c>
      <c r="J1185" t="str">
        <f>IF(COUNT('Hours Log'!$A$4:$A$5000)=0,"",IF(MIN('Hours Log'!$A$4:$A$5000)+7*(ROW()-10)&gt;MAX('Hours Log'!$A$4:$A$5000),"",MIN('Hours Log'!$A$4:$A$5000)+7*(ROW()-10)))</f>
        <v/>
      </c>
    </row>
    <row r="1186" spans="1:10" x14ac:dyDescent="0.25">
      <c r="A1186" t="str">
        <f>IF($J1186="","",YEAR($J1186-WEEKDAY($J1186,2)+4)&amp;"-W"&amp;TEXT(_xludf.ISOWEEKNUM($J1186),"00"))</f>
        <v/>
      </c>
      <c r="B1186"/>
      <c r="C1186" t="str">
        <f>IF($J1186="","",SUMIFS('Hours Log'!$C:$C,'Hours Log'!$A:$A,"&gt;="&amp;$J1186,'Hours Log'!$A:$A,"&lt;"&amp;$J1186+7)+SUMIFS('Hours Log'!$D:$D,'Hours Log'!$A:$A,"&gt;="&amp;$J1186,'Hours Log'!$A:$A,"&lt;"&amp;$J1186+7))</f>
        <v/>
      </c>
      <c r="D1186" t="str">
        <f>IF($J1186="","",SUMIFS('Hours Log'!$D:$D,'Hours Log'!$A:$A,"&gt;="&amp;$J1186,'Hours Log'!$A:$A,"&lt;"&amp;$J1186+7))</f>
        <v/>
      </c>
      <c r="E1186" t="str">
        <f t="shared" si="36"/>
        <v/>
      </c>
      <c r="F1186" t="str">
        <f t="shared" si="37"/>
        <v/>
      </c>
      <c r="G1186" t="str">
        <f>IF($J1186="","",SUMIFS('Hours Log'!$E:$E,'Hours Log'!$A:$A,"&gt;="&amp;$J1186,'Hours Log'!$A:$A,"&lt;"&amp;$J1186+7))</f>
        <v/>
      </c>
      <c r="J1186" t="str">
        <f>IF(COUNT('Hours Log'!$A$4:$A$5000)=0,"",IF(MIN('Hours Log'!$A$4:$A$5000)+7*(ROW()-10)&gt;MAX('Hours Log'!$A$4:$A$5000),"",MIN('Hours Log'!$A$4:$A$5000)+7*(ROW()-10)))</f>
        <v/>
      </c>
    </row>
    <row r="1187" spans="1:10" x14ac:dyDescent="0.25">
      <c r="A1187" t="str">
        <f>IF($J1187="","",YEAR($J1187-WEEKDAY($J1187,2)+4)&amp;"-W"&amp;TEXT(_xludf.ISOWEEKNUM($J1187),"00"))</f>
        <v/>
      </c>
      <c r="B1187"/>
      <c r="C1187" t="str">
        <f>IF($J1187="","",SUMIFS('Hours Log'!$C:$C,'Hours Log'!$A:$A,"&gt;="&amp;$J1187,'Hours Log'!$A:$A,"&lt;"&amp;$J1187+7)+SUMIFS('Hours Log'!$D:$D,'Hours Log'!$A:$A,"&gt;="&amp;$J1187,'Hours Log'!$A:$A,"&lt;"&amp;$J1187+7))</f>
        <v/>
      </c>
      <c r="D1187" t="str">
        <f>IF($J1187="","",SUMIFS('Hours Log'!$D:$D,'Hours Log'!$A:$A,"&gt;="&amp;$J1187,'Hours Log'!$A:$A,"&lt;"&amp;$J1187+7))</f>
        <v/>
      </c>
      <c r="E1187" t="str">
        <f t="shared" si="36"/>
        <v/>
      </c>
      <c r="F1187" t="str">
        <f t="shared" si="37"/>
        <v/>
      </c>
      <c r="G1187" t="str">
        <f>IF($J1187="","",SUMIFS('Hours Log'!$E:$E,'Hours Log'!$A:$A,"&gt;="&amp;$J1187,'Hours Log'!$A:$A,"&lt;"&amp;$J1187+7))</f>
        <v/>
      </c>
      <c r="J1187" t="str">
        <f>IF(COUNT('Hours Log'!$A$4:$A$5000)=0,"",IF(MIN('Hours Log'!$A$4:$A$5000)+7*(ROW()-10)&gt;MAX('Hours Log'!$A$4:$A$5000),"",MIN('Hours Log'!$A$4:$A$5000)+7*(ROW()-10)))</f>
        <v/>
      </c>
    </row>
    <row r="1188" spans="1:10" x14ac:dyDescent="0.25">
      <c r="A1188" t="str">
        <f>IF($J1188="","",YEAR($J1188-WEEKDAY($J1188,2)+4)&amp;"-W"&amp;TEXT(_xludf.ISOWEEKNUM($J1188),"00"))</f>
        <v/>
      </c>
      <c r="B1188"/>
      <c r="C1188" t="str">
        <f>IF($J1188="","",SUMIFS('Hours Log'!$C:$C,'Hours Log'!$A:$A,"&gt;="&amp;$J1188,'Hours Log'!$A:$A,"&lt;"&amp;$J1188+7)+SUMIFS('Hours Log'!$D:$D,'Hours Log'!$A:$A,"&gt;="&amp;$J1188,'Hours Log'!$A:$A,"&lt;"&amp;$J1188+7))</f>
        <v/>
      </c>
      <c r="D1188" t="str">
        <f>IF($J1188="","",SUMIFS('Hours Log'!$D:$D,'Hours Log'!$A:$A,"&gt;="&amp;$J1188,'Hours Log'!$A:$A,"&lt;"&amp;$J1188+7))</f>
        <v/>
      </c>
      <c r="E1188" t="str">
        <f t="shared" si="36"/>
        <v/>
      </c>
      <c r="F1188" t="str">
        <f t="shared" si="37"/>
        <v/>
      </c>
      <c r="G1188" t="str">
        <f>IF($J1188="","",SUMIFS('Hours Log'!$E:$E,'Hours Log'!$A:$A,"&gt;="&amp;$J1188,'Hours Log'!$A:$A,"&lt;"&amp;$J1188+7))</f>
        <v/>
      </c>
      <c r="J1188" t="str">
        <f>IF(COUNT('Hours Log'!$A$4:$A$5000)=0,"",IF(MIN('Hours Log'!$A$4:$A$5000)+7*(ROW()-10)&gt;MAX('Hours Log'!$A$4:$A$5000),"",MIN('Hours Log'!$A$4:$A$5000)+7*(ROW()-10)))</f>
        <v/>
      </c>
    </row>
    <row r="1189" spans="1:10" x14ac:dyDescent="0.25">
      <c r="A1189" t="str">
        <f>IF($J1189="","",YEAR($J1189-WEEKDAY($J1189,2)+4)&amp;"-W"&amp;TEXT(_xludf.ISOWEEKNUM($J1189),"00"))</f>
        <v/>
      </c>
      <c r="B1189"/>
      <c r="C1189" t="str">
        <f>IF($J1189="","",SUMIFS('Hours Log'!$C:$C,'Hours Log'!$A:$A,"&gt;="&amp;$J1189,'Hours Log'!$A:$A,"&lt;"&amp;$J1189+7)+SUMIFS('Hours Log'!$D:$D,'Hours Log'!$A:$A,"&gt;="&amp;$J1189,'Hours Log'!$A:$A,"&lt;"&amp;$J1189+7))</f>
        <v/>
      </c>
      <c r="D1189" t="str">
        <f>IF($J1189="","",SUMIFS('Hours Log'!$D:$D,'Hours Log'!$A:$A,"&gt;="&amp;$J1189,'Hours Log'!$A:$A,"&lt;"&amp;$J1189+7))</f>
        <v/>
      </c>
      <c r="E1189" t="str">
        <f t="shared" si="36"/>
        <v/>
      </c>
      <c r="F1189" t="str">
        <f t="shared" si="37"/>
        <v/>
      </c>
      <c r="G1189" t="str">
        <f>IF($J1189="","",SUMIFS('Hours Log'!$E:$E,'Hours Log'!$A:$A,"&gt;="&amp;$J1189,'Hours Log'!$A:$A,"&lt;"&amp;$J1189+7))</f>
        <v/>
      </c>
      <c r="J1189" t="str">
        <f>IF(COUNT('Hours Log'!$A$4:$A$5000)=0,"",IF(MIN('Hours Log'!$A$4:$A$5000)+7*(ROW()-10)&gt;MAX('Hours Log'!$A$4:$A$5000),"",MIN('Hours Log'!$A$4:$A$5000)+7*(ROW()-10)))</f>
        <v/>
      </c>
    </row>
    <row r="1190" spans="1:10" x14ac:dyDescent="0.25">
      <c r="A1190" t="str">
        <f>IF($J1190="","",YEAR($J1190-WEEKDAY($J1190,2)+4)&amp;"-W"&amp;TEXT(_xludf.ISOWEEKNUM($J1190),"00"))</f>
        <v/>
      </c>
      <c r="B1190"/>
      <c r="C1190" t="str">
        <f>IF($J1190="","",SUMIFS('Hours Log'!$C:$C,'Hours Log'!$A:$A,"&gt;="&amp;$J1190,'Hours Log'!$A:$A,"&lt;"&amp;$J1190+7)+SUMIFS('Hours Log'!$D:$D,'Hours Log'!$A:$A,"&gt;="&amp;$J1190,'Hours Log'!$A:$A,"&lt;"&amp;$J1190+7))</f>
        <v/>
      </c>
      <c r="D1190" t="str">
        <f>IF($J1190="","",SUMIFS('Hours Log'!$D:$D,'Hours Log'!$A:$A,"&gt;="&amp;$J1190,'Hours Log'!$A:$A,"&lt;"&amp;$J1190+7))</f>
        <v/>
      </c>
      <c r="E1190" t="str">
        <f t="shared" si="36"/>
        <v/>
      </c>
      <c r="F1190" t="str">
        <f t="shared" si="37"/>
        <v/>
      </c>
      <c r="G1190" t="str">
        <f>IF($J1190="","",SUMIFS('Hours Log'!$E:$E,'Hours Log'!$A:$A,"&gt;="&amp;$J1190,'Hours Log'!$A:$A,"&lt;"&amp;$J1190+7))</f>
        <v/>
      </c>
      <c r="J1190" t="str">
        <f>IF(COUNT('Hours Log'!$A$4:$A$5000)=0,"",IF(MIN('Hours Log'!$A$4:$A$5000)+7*(ROW()-10)&gt;MAX('Hours Log'!$A$4:$A$5000),"",MIN('Hours Log'!$A$4:$A$5000)+7*(ROW()-10)))</f>
        <v/>
      </c>
    </row>
    <row r="1191" spans="1:10" x14ac:dyDescent="0.25">
      <c r="A1191" t="str">
        <f>IF($J1191="","",YEAR($J1191-WEEKDAY($J1191,2)+4)&amp;"-W"&amp;TEXT(_xludf.ISOWEEKNUM($J1191),"00"))</f>
        <v/>
      </c>
      <c r="B1191"/>
      <c r="C1191" t="str">
        <f>IF($J1191="","",SUMIFS('Hours Log'!$C:$C,'Hours Log'!$A:$A,"&gt;="&amp;$J1191,'Hours Log'!$A:$A,"&lt;"&amp;$J1191+7)+SUMIFS('Hours Log'!$D:$D,'Hours Log'!$A:$A,"&gt;="&amp;$J1191,'Hours Log'!$A:$A,"&lt;"&amp;$J1191+7))</f>
        <v/>
      </c>
      <c r="D1191" t="str">
        <f>IF($J1191="","",SUMIFS('Hours Log'!$D:$D,'Hours Log'!$A:$A,"&gt;="&amp;$J1191,'Hours Log'!$A:$A,"&lt;"&amp;$J1191+7))</f>
        <v/>
      </c>
      <c r="E1191" t="str">
        <f t="shared" si="36"/>
        <v/>
      </c>
      <c r="F1191" t="str">
        <f t="shared" si="37"/>
        <v/>
      </c>
      <c r="G1191" t="str">
        <f>IF($J1191="","",SUMIFS('Hours Log'!$E:$E,'Hours Log'!$A:$A,"&gt;="&amp;$J1191,'Hours Log'!$A:$A,"&lt;"&amp;$J1191+7))</f>
        <v/>
      </c>
      <c r="J1191" t="str">
        <f>IF(COUNT('Hours Log'!$A$4:$A$5000)=0,"",IF(MIN('Hours Log'!$A$4:$A$5000)+7*(ROW()-10)&gt;MAX('Hours Log'!$A$4:$A$5000),"",MIN('Hours Log'!$A$4:$A$5000)+7*(ROW()-10)))</f>
        <v/>
      </c>
    </row>
    <row r="1192" spans="1:10" x14ac:dyDescent="0.25">
      <c r="A1192" t="str">
        <f>IF($J1192="","",YEAR($J1192-WEEKDAY($J1192,2)+4)&amp;"-W"&amp;TEXT(_xludf.ISOWEEKNUM($J1192),"00"))</f>
        <v/>
      </c>
      <c r="B1192"/>
      <c r="C1192" t="str">
        <f>IF($J1192="","",SUMIFS('Hours Log'!$C:$C,'Hours Log'!$A:$A,"&gt;="&amp;$J1192,'Hours Log'!$A:$A,"&lt;"&amp;$J1192+7)+SUMIFS('Hours Log'!$D:$D,'Hours Log'!$A:$A,"&gt;="&amp;$J1192,'Hours Log'!$A:$A,"&lt;"&amp;$J1192+7))</f>
        <v/>
      </c>
      <c r="D1192" t="str">
        <f>IF($J1192="","",SUMIFS('Hours Log'!$D:$D,'Hours Log'!$A:$A,"&gt;="&amp;$J1192,'Hours Log'!$A:$A,"&lt;"&amp;$J1192+7))</f>
        <v/>
      </c>
      <c r="E1192" t="str">
        <f t="shared" si="36"/>
        <v/>
      </c>
      <c r="F1192" t="str">
        <f t="shared" si="37"/>
        <v/>
      </c>
      <c r="G1192" t="str">
        <f>IF($J1192="","",SUMIFS('Hours Log'!$E:$E,'Hours Log'!$A:$A,"&gt;="&amp;$J1192,'Hours Log'!$A:$A,"&lt;"&amp;$J1192+7))</f>
        <v/>
      </c>
      <c r="J1192" t="str">
        <f>IF(COUNT('Hours Log'!$A$4:$A$5000)=0,"",IF(MIN('Hours Log'!$A$4:$A$5000)+7*(ROW()-10)&gt;MAX('Hours Log'!$A$4:$A$5000),"",MIN('Hours Log'!$A$4:$A$5000)+7*(ROW()-10)))</f>
        <v/>
      </c>
    </row>
    <row r="1193" spans="1:10" x14ac:dyDescent="0.25">
      <c r="A1193" t="str">
        <f>IF($J1193="","",YEAR($J1193-WEEKDAY($J1193,2)+4)&amp;"-W"&amp;TEXT(_xludf.ISOWEEKNUM($J1193),"00"))</f>
        <v/>
      </c>
      <c r="B1193"/>
      <c r="C1193" t="str">
        <f>IF($J1193="","",SUMIFS('Hours Log'!$C:$C,'Hours Log'!$A:$A,"&gt;="&amp;$J1193,'Hours Log'!$A:$A,"&lt;"&amp;$J1193+7)+SUMIFS('Hours Log'!$D:$D,'Hours Log'!$A:$A,"&gt;="&amp;$J1193,'Hours Log'!$A:$A,"&lt;"&amp;$J1193+7))</f>
        <v/>
      </c>
      <c r="D1193" t="str">
        <f>IF($J1193="","",SUMIFS('Hours Log'!$D:$D,'Hours Log'!$A:$A,"&gt;="&amp;$J1193,'Hours Log'!$A:$A,"&lt;"&amp;$J1193+7))</f>
        <v/>
      </c>
      <c r="E1193" t="str">
        <f t="shared" si="36"/>
        <v/>
      </c>
      <c r="F1193" t="str">
        <f t="shared" si="37"/>
        <v/>
      </c>
      <c r="G1193" t="str">
        <f>IF($J1193="","",SUMIFS('Hours Log'!$E:$E,'Hours Log'!$A:$A,"&gt;="&amp;$J1193,'Hours Log'!$A:$A,"&lt;"&amp;$J1193+7))</f>
        <v/>
      </c>
      <c r="J1193" t="str">
        <f>IF(COUNT('Hours Log'!$A$4:$A$5000)=0,"",IF(MIN('Hours Log'!$A$4:$A$5000)+7*(ROW()-10)&gt;MAX('Hours Log'!$A$4:$A$5000),"",MIN('Hours Log'!$A$4:$A$5000)+7*(ROW()-10)))</f>
        <v/>
      </c>
    </row>
    <row r="1194" spans="1:10" x14ac:dyDescent="0.25">
      <c r="A1194" t="str">
        <f>IF($J1194="","",YEAR($J1194-WEEKDAY($J1194,2)+4)&amp;"-W"&amp;TEXT(_xludf.ISOWEEKNUM($J1194),"00"))</f>
        <v/>
      </c>
      <c r="B1194"/>
      <c r="C1194" t="str">
        <f>IF($J1194="","",SUMIFS('Hours Log'!$C:$C,'Hours Log'!$A:$A,"&gt;="&amp;$J1194,'Hours Log'!$A:$A,"&lt;"&amp;$J1194+7)+SUMIFS('Hours Log'!$D:$D,'Hours Log'!$A:$A,"&gt;="&amp;$J1194,'Hours Log'!$A:$A,"&lt;"&amp;$J1194+7))</f>
        <v/>
      </c>
      <c r="D1194" t="str">
        <f>IF($J1194="","",SUMIFS('Hours Log'!$D:$D,'Hours Log'!$A:$A,"&gt;="&amp;$J1194,'Hours Log'!$A:$A,"&lt;"&amp;$J1194+7))</f>
        <v/>
      </c>
      <c r="E1194" t="str">
        <f t="shared" si="36"/>
        <v/>
      </c>
      <c r="F1194" t="str">
        <f t="shared" si="37"/>
        <v/>
      </c>
      <c r="G1194" t="str">
        <f>IF($J1194="","",SUMIFS('Hours Log'!$E:$E,'Hours Log'!$A:$A,"&gt;="&amp;$J1194,'Hours Log'!$A:$A,"&lt;"&amp;$J1194+7))</f>
        <v/>
      </c>
      <c r="J1194" t="str">
        <f>IF(COUNT('Hours Log'!$A$4:$A$5000)=0,"",IF(MIN('Hours Log'!$A$4:$A$5000)+7*(ROW()-10)&gt;MAX('Hours Log'!$A$4:$A$5000),"",MIN('Hours Log'!$A$4:$A$5000)+7*(ROW()-10)))</f>
        <v/>
      </c>
    </row>
    <row r="1195" spans="1:10" x14ac:dyDescent="0.25">
      <c r="A1195" t="str">
        <f>IF($J1195="","",YEAR($J1195-WEEKDAY($J1195,2)+4)&amp;"-W"&amp;TEXT(_xludf.ISOWEEKNUM($J1195),"00"))</f>
        <v/>
      </c>
      <c r="B1195"/>
      <c r="C1195" t="str">
        <f>IF($J1195="","",SUMIFS('Hours Log'!$C:$C,'Hours Log'!$A:$A,"&gt;="&amp;$J1195,'Hours Log'!$A:$A,"&lt;"&amp;$J1195+7)+SUMIFS('Hours Log'!$D:$D,'Hours Log'!$A:$A,"&gt;="&amp;$J1195,'Hours Log'!$A:$A,"&lt;"&amp;$J1195+7))</f>
        <v/>
      </c>
      <c r="D1195" t="str">
        <f>IF($J1195="","",SUMIFS('Hours Log'!$D:$D,'Hours Log'!$A:$A,"&gt;="&amp;$J1195,'Hours Log'!$A:$A,"&lt;"&amp;$J1195+7))</f>
        <v/>
      </c>
      <c r="E1195" t="str">
        <f t="shared" si="36"/>
        <v/>
      </c>
      <c r="F1195" t="str">
        <f t="shared" si="37"/>
        <v/>
      </c>
      <c r="G1195" t="str">
        <f>IF($J1195="","",SUMIFS('Hours Log'!$E:$E,'Hours Log'!$A:$A,"&gt;="&amp;$J1195,'Hours Log'!$A:$A,"&lt;"&amp;$J1195+7))</f>
        <v/>
      </c>
      <c r="J1195" t="str">
        <f>IF(COUNT('Hours Log'!$A$4:$A$5000)=0,"",IF(MIN('Hours Log'!$A$4:$A$5000)+7*(ROW()-10)&gt;MAX('Hours Log'!$A$4:$A$5000),"",MIN('Hours Log'!$A$4:$A$5000)+7*(ROW()-10)))</f>
        <v/>
      </c>
    </row>
    <row r="1196" spans="1:10" x14ac:dyDescent="0.25">
      <c r="A1196" t="str">
        <f>IF($J1196="","",YEAR($J1196-WEEKDAY($J1196,2)+4)&amp;"-W"&amp;TEXT(_xludf.ISOWEEKNUM($J1196),"00"))</f>
        <v/>
      </c>
      <c r="B1196"/>
      <c r="C1196" t="str">
        <f>IF($J1196="","",SUMIFS('Hours Log'!$C:$C,'Hours Log'!$A:$A,"&gt;="&amp;$J1196,'Hours Log'!$A:$A,"&lt;"&amp;$J1196+7)+SUMIFS('Hours Log'!$D:$D,'Hours Log'!$A:$A,"&gt;="&amp;$J1196,'Hours Log'!$A:$A,"&lt;"&amp;$J1196+7))</f>
        <v/>
      </c>
      <c r="D1196" t="str">
        <f>IF($J1196="","",SUMIFS('Hours Log'!$D:$D,'Hours Log'!$A:$A,"&gt;="&amp;$J1196,'Hours Log'!$A:$A,"&lt;"&amp;$J1196+7))</f>
        <v/>
      </c>
      <c r="E1196" t="str">
        <f t="shared" si="36"/>
        <v/>
      </c>
      <c r="F1196" t="str">
        <f t="shared" si="37"/>
        <v/>
      </c>
      <c r="G1196" t="str">
        <f>IF($J1196="","",SUMIFS('Hours Log'!$E:$E,'Hours Log'!$A:$A,"&gt;="&amp;$J1196,'Hours Log'!$A:$A,"&lt;"&amp;$J1196+7))</f>
        <v/>
      </c>
      <c r="J1196" t="str">
        <f>IF(COUNT('Hours Log'!$A$4:$A$5000)=0,"",IF(MIN('Hours Log'!$A$4:$A$5000)+7*(ROW()-10)&gt;MAX('Hours Log'!$A$4:$A$5000),"",MIN('Hours Log'!$A$4:$A$5000)+7*(ROW()-10)))</f>
        <v/>
      </c>
    </row>
    <row r="1197" spans="1:10" x14ac:dyDescent="0.25">
      <c r="A1197" t="str">
        <f>IF($J1197="","",YEAR($J1197-WEEKDAY($J1197,2)+4)&amp;"-W"&amp;TEXT(_xludf.ISOWEEKNUM($J1197),"00"))</f>
        <v/>
      </c>
      <c r="B1197"/>
      <c r="C1197" t="str">
        <f>IF($J1197="","",SUMIFS('Hours Log'!$C:$C,'Hours Log'!$A:$A,"&gt;="&amp;$J1197,'Hours Log'!$A:$A,"&lt;"&amp;$J1197+7)+SUMIFS('Hours Log'!$D:$D,'Hours Log'!$A:$A,"&gt;="&amp;$J1197,'Hours Log'!$A:$A,"&lt;"&amp;$J1197+7))</f>
        <v/>
      </c>
      <c r="D1197" t="str">
        <f>IF($J1197="","",SUMIFS('Hours Log'!$D:$D,'Hours Log'!$A:$A,"&gt;="&amp;$J1197,'Hours Log'!$A:$A,"&lt;"&amp;$J1197+7))</f>
        <v/>
      </c>
      <c r="E1197" t="str">
        <f t="shared" si="36"/>
        <v/>
      </c>
      <c r="F1197" t="str">
        <f t="shared" si="37"/>
        <v/>
      </c>
      <c r="G1197" t="str">
        <f>IF($J1197="","",SUMIFS('Hours Log'!$E:$E,'Hours Log'!$A:$A,"&gt;="&amp;$J1197,'Hours Log'!$A:$A,"&lt;"&amp;$J1197+7))</f>
        <v/>
      </c>
      <c r="J1197" t="str">
        <f>IF(COUNT('Hours Log'!$A$4:$A$5000)=0,"",IF(MIN('Hours Log'!$A$4:$A$5000)+7*(ROW()-10)&gt;MAX('Hours Log'!$A$4:$A$5000),"",MIN('Hours Log'!$A$4:$A$5000)+7*(ROW()-10)))</f>
        <v/>
      </c>
    </row>
    <row r="1198" spans="1:10" x14ac:dyDescent="0.25">
      <c r="A1198" t="str">
        <f>IF($J1198="","",YEAR($J1198-WEEKDAY($J1198,2)+4)&amp;"-W"&amp;TEXT(_xludf.ISOWEEKNUM($J1198),"00"))</f>
        <v/>
      </c>
      <c r="B1198"/>
      <c r="C1198" t="str">
        <f>IF($J1198="","",SUMIFS('Hours Log'!$C:$C,'Hours Log'!$A:$A,"&gt;="&amp;$J1198,'Hours Log'!$A:$A,"&lt;"&amp;$J1198+7)+SUMIFS('Hours Log'!$D:$D,'Hours Log'!$A:$A,"&gt;="&amp;$J1198,'Hours Log'!$A:$A,"&lt;"&amp;$J1198+7))</f>
        <v/>
      </c>
      <c r="D1198" t="str">
        <f>IF($J1198="","",SUMIFS('Hours Log'!$D:$D,'Hours Log'!$A:$A,"&gt;="&amp;$J1198,'Hours Log'!$A:$A,"&lt;"&amp;$J1198+7))</f>
        <v/>
      </c>
      <c r="E1198" t="str">
        <f t="shared" si="36"/>
        <v/>
      </c>
      <c r="F1198" t="str">
        <f t="shared" si="37"/>
        <v/>
      </c>
      <c r="G1198" t="str">
        <f>IF($J1198="","",SUMIFS('Hours Log'!$E:$E,'Hours Log'!$A:$A,"&gt;="&amp;$J1198,'Hours Log'!$A:$A,"&lt;"&amp;$J1198+7))</f>
        <v/>
      </c>
      <c r="J1198" t="str">
        <f>IF(COUNT('Hours Log'!$A$4:$A$5000)=0,"",IF(MIN('Hours Log'!$A$4:$A$5000)+7*(ROW()-10)&gt;MAX('Hours Log'!$A$4:$A$5000),"",MIN('Hours Log'!$A$4:$A$5000)+7*(ROW()-10)))</f>
        <v/>
      </c>
    </row>
    <row r="1199" spans="1:10" x14ac:dyDescent="0.25">
      <c r="A1199" t="str">
        <f>IF($J1199="","",YEAR($J1199-WEEKDAY($J1199,2)+4)&amp;"-W"&amp;TEXT(_xludf.ISOWEEKNUM($J1199),"00"))</f>
        <v/>
      </c>
      <c r="B1199"/>
      <c r="C1199" t="str">
        <f>IF($J1199="","",SUMIFS('Hours Log'!$C:$C,'Hours Log'!$A:$A,"&gt;="&amp;$J1199,'Hours Log'!$A:$A,"&lt;"&amp;$J1199+7)+SUMIFS('Hours Log'!$D:$D,'Hours Log'!$A:$A,"&gt;="&amp;$J1199,'Hours Log'!$A:$A,"&lt;"&amp;$J1199+7))</f>
        <v/>
      </c>
      <c r="D1199" t="str">
        <f>IF($J1199="","",SUMIFS('Hours Log'!$D:$D,'Hours Log'!$A:$A,"&gt;="&amp;$J1199,'Hours Log'!$A:$A,"&lt;"&amp;$J1199+7))</f>
        <v/>
      </c>
      <c r="E1199" t="str">
        <f t="shared" si="36"/>
        <v/>
      </c>
      <c r="F1199" t="str">
        <f t="shared" si="37"/>
        <v/>
      </c>
      <c r="G1199" t="str">
        <f>IF($J1199="","",SUMIFS('Hours Log'!$E:$E,'Hours Log'!$A:$A,"&gt;="&amp;$J1199,'Hours Log'!$A:$A,"&lt;"&amp;$J1199+7))</f>
        <v/>
      </c>
      <c r="J1199" t="str">
        <f>IF(COUNT('Hours Log'!$A$4:$A$5000)=0,"",IF(MIN('Hours Log'!$A$4:$A$5000)+7*(ROW()-10)&gt;MAX('Hours Log'!$A$4:$A$5000),"",MIN('Hours Log'!$A$4:$A$5000)+7*(ROW()-10)))</f>
        <v/>
      </c>
    </row>
    <row r="1200" spans="1:10" x14ac:dyDescent="0.25">
      <c r="A1200" t="str">
        <f>IF($J1200="","",YEAR($J1200-WEEKDAY($J1200,2)+4)&amp;"-W"&amp;TEXT(_xludf.ISOWEEKNUM($J1200),"00"))</f>
        <v/>
      </c>
      <c r="B1200"/>
      <c r="C1200" t="str">
        <f>IF($J1200="","",SUMIFS('Hours Log'!$C:$C,'Hours Log'!$A:$A,"&gt;="&amp;$J1200,'Hours Log'!$A:$A,"&lt;"&amp;$J1200+7)+SUMIFS('Hours Log'!$D:$D,'Hours Log'!$A:$A,"&gt;="&amp;$J1200,'Hours Log'!$A:$A,"&lt;"&amp;$J1200+7))</f>
        <v/>
      </c>
      <c r="D1200" t="str">
        <f>IF($J1200="","",SUMIFS('Hours Log'!$D:$D,'Hours Log'!$A:$A,"&gt;="&amp;$J1200,'Hours Log'!$A:$A,"&lt;"&amp;$J1200+7))</f>
        <v/>
      </c>
      <c r="E1200" t="str">
        <f t="shared" si="36"/>
        <v/>
      </c>
      <c r="F1200" t="str">
        <f t="shared" si="37"/>
        <v/>
      </c>
      <c r="G1200" t="str">
        <f>IF($J1200="","",SUMIFS('Hours Log'!$E:$E,'Hours Log'!$A:$A,"&gt;="&amp;$J1200,'Hours Log'!$A:$A,"&lt;"&amp;$J1200+7))</f>
        <v/>
      </c>
      <c r="J1200" t="str">
        <f>IF(COUNT('Hours Log'!$A$4:$A$5000)=0,"",IF(MIN('Hours Log'!$A$4:$A$5000)+7*(ROW()-10)&gt;MAX('Hours Log'!$A$4:$A$5000),"",MIN('Hours Log'!$A$4:$A$5000)+7*(ROW()-10)))</f>
        <v/>
      </c>
    </row>
    <row r="1201" spans="1:10" x14ac:dyDescent="0.25">
      <c r="A1201" t="str">
        <f>IF($J1201="","",YEAR($J1201-WEEKDAY($J1201,2)+4)&amp;"-W"&amp;TEXT(_xludf.ISOWEEKNUM($J1201),"00"))</f>
        <v/>
      </c>
      <c r="B1201"/>
      <c r="C1201" t="str">
        <f>IF($J1201="","",SUMIFS('Hours Log'!$C:$C,'Hours Log'!$A:$A,"&gt;="&amp;$J1201,'Hours Log'!$A:$A,"&lt;"&amp;$J1201+7)+SUMIFS('Hours Log'!$D:$D,'Hours Log'!$A:$A,"&gt;="&amp;$J1201,'Hours Log'!$A:$A,"&lt;"&amp;$J1201+7))</f>
        <v/>
      </c>
      <c r="D1201" t="str">
        <f>IF($J1201="","",SUMIFS('Hours Log'!$D:$D,'Hours Log'!$A:$A,"&gt;="&amp;$J1201,'Hours Log'!$A:$A,"&lt;"&amp;$J1201+7))</f>
        <v/>
      </c>
      <c r="E1201" t="str">
        <f t="shared" si="36"/>
        <v/>
      </c>
      <c r="F1201" t="str">
        <f t="shared" si="37"/>
        <v/>
      </c>
      <c r="G1201" t="str">
        <f>IF($J1201="","",SUMIFS('Hours Log'!$E:$E,'Hours Log'!$A:$A,"&gt;="&amp;$J1201,'Hours Log'!$A:$A,"&lt;"&amp;$J1201+7))</f>
        <v/>
      </c>
      <c r="J1201" t="str">
        <f>IF(COUNT('Hours Log'!$A$4:$A$5000)=0,"",IF(MIN('Hours Log'!$A$4:$A$5000)+7*(ROW()-10)&gt;MAX('Hours Log'!$A$4:$A$5000),"",MIN('Hours Log'!$A$4:$A$5000)+7*(ROW()-10)))</f>
        <v/>
      </c>
    </row>
    <row r="1202" spans="1:10" x14ac:dyDescent="0.25">
      <c r="A1202" t="str">
        <f>IF($J1202="","",YEAR($J1202-WEEKDAY($J1202,2)+4)&amp;"-W"&amp;TEXT(_xludf.ISOWEEKNUM($J1202),"00"))</f>
        <v/>
      </c>
      <c r="B1202"/>
      <c r="C1202" t="str">
        <f>IF($J1202="","",SUMIFS('Hours Log'!$C:$C,'Hours Log'!$A:$A,"&gt;="&amp;$J1202,'Hours Log'!$A:$A,"&lt;"&amp;$J1202+7)+SUMIFS('Hours Log'!$D:$D,'Hours Log'!$A:$A,"&gt;="&amp;$J1202,'Hours Log'!$A:$A,"&lt;"&amp;$J1202+7))</f>
        <v/>
      </c>
      <c r="D1202" t="str">
        <f>IF($J1202="","",SUMIFS('Hours Log'!$D:$D,'Hours Log'!$A:$A,"&gt;="&amp;$J1202,'Hours Log'!$A:$A,"&lt;"&amp;$J1202+7))</f>
        <v/>
      </c>
      <c r="E1202" t="str">
        <f t="shared" si="36"/>
        <v/>
      </c>
      <c r="F1202" t="str">
        <f t="shared" si="37"/>
        <v/>
      </c>
      <c r="G1202" t="str">
        <f>IF($J1202="","",SUMIFS('Hours Log'!$E:$E,'Hours Log'!$A:$A,"&gt;="&amp;$J1202,'Hours Log'!$A:$A,"&lt;"&amp;$J1202+7))</f>
        <v/>
      </c>
      <c r="J1202" t="str">
        <f>IF(COUNT('Hours Log'!$A$4:$A$5000)=0,"",IF(MIN('Hours Log'!$A$4:$A$5000)+7*(ROW()-10)&gt;MAX('Hours Log'!$A$4:$A$5000),"",MIN('Hours Log'!$A$4:$A$5000)+7*(ROW()-10)))</f>
        <v/>
      </c>
    </row>
    <row r="1203" spans="1:10" x14ac:dyDescent="0.25">
      <c r="A1203" t="str">
        <f>IF($J1203="","",YEAR($J1203-WEEKDAY($J1203,2)+4)&amp;"-W"&amp;TEXT(_xludf.ISOWEEKNUM($J1203),"00"))</f>
        <v/>
      </c>
      <c r="B1203"/>
      <c r="C1203" t="str">
        <f>IF($J1203="","",SUMIFS('Hours Log'!$C:$C,'Hours Log'!$A:$A,"&gt;="&amp;$J1203,'Hours Log'!$A:$A,"&lt;"&amp;$J1203+7)+SUMIFS('Hours Log'!$D:$D,'Hours Log'!$A:$A,"&gt;="&amp;$J1203,'Hours Log'!$A:$A,"&lt;"&amp;$J1203+7))</f>
        <v/>
      </c>
      <c r="D1203" t="str">
        <f>IF($J1203="","",SUMIFS('Hours Log'!$D:$D,'Hours Log'!$A:$A,"&gt;="&amp;$J1203,'Hours Log'!$A:$A,"&lt;"&amp;$J1203+7))</f>
        <v/>
      </c>
      <c r="E1203" t="str">
        <f t="shared" si="36"/>
        <v/>
      </c>
      <c r="F1203" t="str">
        <f t="shared" si="37"/>
        <v/>
      </c>
      <c r="G1203" t="str">
        <f>IF($J1203="","",SUMIFS('Hours Log'!$E:$E,'Hours Log'!$A:$A,"&gt;="&amp;$J1203,'Hours Log'!$A:$A,"&lt;"&amp;$J1203+7))</f>
        <v/>
      </c>
      <c r="J1203" t="str">
        <f>IF(COUNT('Hours Log'!$A$4:$A$5000)=0,"",IF(MIN('Hours Log'!$A$4:$A$5000)+7*(ROW()-10)&gt;MAX('Hours Log'!$A$4:$A$5000),"",MIN('Hours Log'!$A$4:$A$5000)+7*(ROW()-10)))</f>
        <v/>
      </c>
    </row>
    <row r="1204" spans="1:10" x14ac:dyDescent="0.25">
      <c r="A1204" t="str">
        <f>IF($J1204="","",YEAR($J1204-WEEKDAY($J1204,2)+4)&amp;"-W"&amp;TEXT(_xludf.ISOWEEKNUM($J1204),"00"))</f>
        <v/>
      </c>
      <c r="B1204"/>
      <c r="C1204" t="str">
        <f>IF($J1204="","",SUMIFS('Hours Log'!$C:$C,'Hours Log'!$A:$A,"&gt;="&amp;$J1204,'Hours Log'!$A:$A,"&lt;"&amp;$J1204+7)+SUMIFS('Hours Log'!$D:$D,'Hours Log'!$A:$A,"&gt;="&amp;$J1204,'Hours Log'!$A:$A,"&lt;"&amp;$J1204+7))</f>
        <v/>
      </c>
      <c r="D1204" t="str">
        <f>IF($J1204="","",SUMIFS('Hours Log'!$D:$D,'Hours Log'!$A:$A,"&gt;="&amp;$J1204,'Hours Log'!$A:$A,"&lt;"&amp;$J1204+7))</f>
        <v/>
      </c>
      <c r="E1204" t="str">
        <f t="shared" si="36"/>
        <v/>
      </c>
      <c r="F1204" t="str">
        <f t="shared" si="37"/>
        <v/>
      </c>
      <c r="G1204" t="str">
        <f>IF($J1204="","",SUMIFS('Hours Log'!$E:$E,'Hours Log'!$A:$A,"&gt;="&amp;$J1204,'Hours Log'!$A:$A,"&lt;"&amp;$J1204+7))</f>
        <v/>
      </c>
      <c r="J1204" t="str">
        <f>IF(COUNT('Hours Log'!$A$4:$A$5000)=0,"",IF(MIN('Hours Log'!$A$4:$A$5000)+7*(ROW()-10)&gt;MAX('Hours Log'!$A$4:$A$5000),"",MIN('Hours Log'!$A$4:$A$5000)+7*(ROW()-10)))</f>
        <v/>
      </c>
    </row>
    <row r="1205" spans="1:10" x14ac:dyDescent="0.25">
      <c r="A1205" t="str">
        <f>IF($J1205="","",YEAR($J1205-WEEKDAY($J1205,2)+4)&amp;"-W"&amp;TEXT(_xludf.ISOWEEKNUM($J1205),"00"))</f>
        <v/>
      </c>
      <c r="B1205"/>
      <c r="C1205" t="str">
        <f>IF($J1205="","",SUMIFS('Hours Log'!$C:$C,'Hours Log'!$A:$A,"&gt;="&amp;$J1205,'Hours Log'!$A:$A,"&lt;"&amp;$J1205+7)+SUMIFS('Hours Log'!$D:$D,'Hours Log'!$A:$A,"&gt;="&amp;$J1205,'Hours Log'!$A:$A,"&lt;"&amp;$J1205+7))</f>
        <v/>
      </c>
      <c r="D1205" t="str">
        <f>IF($J1205="","",SUMIFS('Hours Log'!$D:$D,'Hours Log'!$A:$A,"&gt;="&amp;$J1205,'Hours Log'!$A:$A,"&lt;"&amp;$J1205+7))</f>
        <v/>
      </c>
      <c r="E1205" t="str">
        <f t="shared" si="36"/>
        <v/>
      </c>
      <c r="F1205" t="str">
        <f t="shared" si="37"/>
        <v/>
      </c>
      <c r="G1205" t="str">
        <f>IF($J1205="","",SUMIFS('Hours Log'!$E:$E,'Hours Log'!$A:$A,"&gt;="&amp;$J1205,'Hours Log'!$A:$A,"&lt;"&amp;$J1205+7))</f>
        <v/>
      </c>
      <c r="J1205" t="str">
        <f>IF(COUNT('Hours Log'!$A$4:$A$5000)=0,"",IF(MIN('Hours Log'!$A$4:$A$5000)+7*(ROW()-10)&gt;MAX('Hours Log'!$A$4:$A$5000),"",MIN('Hours Log'!$A$4:$A$5000)+7*(ROW()-10)))</f>
        <v/>
      </c>
    </row>
    <row r="1206" spans="1:10" x14ac:dyDescent="0.25">
      <c r="A1206" t="str">
        <f>IF($J1206="","",YEAR($J1206-WEEKDAY($J1206,2)+4)&amp;"-W"&amp;TEXT(_xludf.ISOWEEKNUM($J1206),"00"))</f>
        <v/>
      </c>
      <c r="B1206"/>
      <c r="C1206" t="str">
        <f>IF($J1206="","",SUMIFS('Hours Log'!$C:$C,'Hours Log'!$A:$A,"&gt;="&amp;$J1206,'Hours Log'!$A:$A,"&lt;"&amp;$J1206+7)+SUMIFS('Hours Log'!$D:$D,'Hours Log'!$A:$A,"&gt;="&amp;$J1206,'Hours Log'!$A:$A,"&lt;"&amp;$J1206+7))</f>
        <v/>
      </c>
      <c r="D1206" t="str">
        <f>IF($J1206="","",SUMIFS('Hours Log'!$D:$D,'Hours Log'!$A:$A,"&gt;="&amp;$J1206,'Hours Log'!$A:$A,"&lt;"&amp;$J1206+7))</f>
        <v/>
      </c>
      <c r="E1206" t="str">
        <f t="shared" si="36"/>
        <v/>
      </c>
      <c r="F1206" t="str">
        <f t="shared" si="37"/>
        <v/>
      </c>
      <c r="G1206" t="str">
        <f>IF($J1206="","",SUMIFS('Hours Log'!$E:$E,'Hours Log'!$A:$A,"&gt;="&amp;$J1206,'Hours Log'!$A:$A,"&lt;"&amp;$J1206+7))</f>
        <v/>
      </c>
      <c r="J1206" t="str">
        <f>IF(COUNT('Hours Log'!$A$4:$A$5000)=0,"",IF(MIN('Hours Log'!$A$4:$A$5000)+7*(ROW()-10)&gt;MAX('Hours Log'!$A$4:$A$5000),"",MIN('Hours Log'!$A$4:$A$5000)+7*(ROW()-10)))</f>
        <v/>
      </c>
    </row>
    <row r="1207" spans="1:10" x14ac:dyDescent="0.25">
      <c r="A1207" t="str">
        <f>IF($J1207="","",YEAR($J1207-WEEKDAY($J1207,2)+4)&amp;"-W"&amp;TEXT(_xludf.ISOWEEKNUM($J1207),"00"))</f>
        <v/>
      </c>
      <c r="B1207"/>
      <c r="C1207" t="str">
        <f>IF($J1207="","",SUMIFS('Hours Log'!$C:$C,'Hours Log'!$A:$A,"&gt;="&amp;$J1207,'Hours Log'!$A:$A,"&lt;"&amp;$J1207+7)+SUMIFS('Hours Log'!$D:$D,'Hours Log'!$A:$A,"&gt;="&amp;$J1207,'Hours Log'!$A:$A,"&lt;"&amp;$J1207+7))</f>
        <v/>
      </c>
      <c r="D1207" t="str">
        <f>IF($J1207="","",SUMIFS('Hours Log'!$D:$D,'Hours Log'!$A:$A,"&gt;="&amp;$J1207,'Hours Log'!$A:$A,"&lt;"&amp;$J1207+7))</f>
        <v/>
      </c>
      <c r="E1207" t="str">
        <f t="shared" si="36"/>
        <v/>
      </c>
      <c r="F1207" t="str">
        <f t="shared" si="37"/>
        <v/>
      </c>
      <c r="G1207" t="str">
        <f>IF($J1207="","",SUMIFS('Hours Log'!$E:$E,'Hours Log'!$A:$A,"&gt;="&amp;$J1207,'Hours Log'!$A:$A,"&lt;"&amp;$J1207+7))</f>
        <v/>
      </c>
      <c r="J1207" t="str">
        <f>IF(COUNT('Hours Log'!$A$4:$A$5000)=0,"",IF(MIN('Hours Log'!$A$4:$A$5000)+7*(ROW()-10)&gt;MAX('Hours Log'!$A$4:$A$5000),"",MIN('Hours Log'!$A$4:$A$5000)+7*(ROW()-10)))</f>
        <v/>
      </c>
    </row>
    <row r="1208" spans="1:10" x14ac:dyDescent="0.25">
      <c r="A1208" t="str">
        <f>IF($J1208="","",YEAR($J1208-WEEKDAY($J1208,2)+4)&amp;"-W"&amp;TEXT(_xludf.ISOWEEKNUM($J1208),"00"))</f>
        <v/>
      </c>
      <c r="B1208"/>
      <c r="C1208" t="str">
        <f>IF($J1208="","",SUMIFS('Hours Log'!$C:$C,'Hours Log'!$A:$A,"&gt;="&amp;$J1208,'Hours Log'!$A:$A,"&lt;"&amp;$J1208+7)+SUMIFS('Hours Log'!$D:$D,'Hours Log'!$A:$A,"&gt;="&amp;$J1208,'Hours Log'!$A:$A,"&lt;"&amp;$J1208+7))</f>
        <v/>
      </c>
      <c r="D1208" t="str">
        <f>IF($J1208="","",SUMIFS('Hours Log'!$D:$D,'Hours Log'!$A:$A,"&gt;="&amp;$J1208,'Hours Log'!$A:$A,"&lt;"&amp;$J1208+7))</f>
        <v/>
      </c>
      <c r="E1208" t="str">
        <f t="shared" si="36"/>
        <v/>
      </c>
      <c r="F1208" t="str">
        <f t="shared" si="37"/>
        <v/>
      </c>
      <c r="G1208" t="str">
        <f>IF($J1208="","",SUMIFS('Hours Log'!$E:$E,'Hours Log'!$A:$A,"&gt;="&amp;$J1208,'Hours Log'!$A:$A,"&lt;"&amp;$J1208+7))</f>
        <v/>
      </c>
      <c r="J1208" t="str">
        <f>IF(COUNT('Hours Log'!$A$4:$A$5000)=0,"",IF(MIN('Hours Log'!$A$4:$A$5000)+7*(ROW()-10)&gt;MAX('Hours Log'!$A$4:$A$5000),"",MIN('Hours Log'!$A$4:$A$5000)+7*(ROW()-10)))</f>
        <v/>
      </c>
    </row>
    <row r="1209" spans="1:10" x14ac:dyDescent="0.25">
      <c r="A1209" t="str">
        <f>IF($J1209="","",YEAR($J1209-WEEKDAY($J1209,2)+4)&amp;"-W"&amp;TEXT(_xludf.ISOWEEKNUM($J1209),"00"))</f>
        <v/>
      </c>
      <c r="B1209"/>
      <c r="C1209" t="str">
        <f>IF($J1209="","",SUMIFS('Hours Log'!$C:$C,'Hours Log'!$A:$A,"&gt;="&amp;$J1209,'Hours Log'!$A:$A,"&lt;"&amp;$J1209+7)+SUMIFS('Hours Log'!$D:$D,'Hours Log'!$A:$A,"&gt;="&amp;$J1209,'Hours Log'!$A:$A,"&lt;"&amp;$J1209+7))</f>
        <v/>
      </c>
      <c r="D1209" t="str">
        <f>IF($J1209="","",SUMIFS('Hours Log'!$D:$D,'Hours Log'!$A:$A,"&gt;="&amp;$J1209,'Hours Log'!$A:$A,"&lt;"&amp;$J1209+7))</f>
        <v/>
      </c>
      <c r="E1209" t="str">
        <f t="shared" si="36"/>
        <v/>
      </c>
      <c r="F1209" t="str">
        <f t="shared" si="37"/>
        <v/>
      </c>
      <c r="G1209" t="str">
        <f>IF($J1209="","",SUMIFS('Hours Log'!$E:$E,'Hours Log'!$A:$A,"&gt;="&amp;$J1209,'Hours Log'!$A:$A,"&lt;"&amp;$J1209+7))</f>
        <v/>
      </c>
      <c r="J1209" t="str">
        <f>IF(COUNT('Hours Log'!$A$4:$A$5000)=0,"",IF(MIN('Hours Log'!$A$4:$A$5000)+7*(ROW()-10)&gt;MAX('Hours Log'!$A$4:$A$5000),"",MIN('Hours Log'!$A$4:$A$5000)+7*(ROW()-10)))</f>
        <v/>
      </c>
    </row>
    <row r="1210" spans="1:10" x14ac:dyDescent="0.25">
      <c r="A1210" t="str">
        <f>IF($J1210="","",YEAR($J1210-WEEKDAY($J1210,2)+4)&amp;"-W"&amp;TEXT(_xludf.ISOWEEKNUM($J1210),"00"))</f>
        <v/>
      </c>
      <c r="B1210"/>
      <c r="C1210" t="str">
        <f>IF($J1210="","",SUMIFS('Hours Log'!$C:$C,'Hours Log'!$A:$A,"&gt;="&amp;$J1210,'Hours Log'!$A:$A,"&lt;"&amp;$J1210+7)+SUMIFS('Hours Log'!$D:$D,'Hours Log'!$A:$A,"&gt;="&amp;$J1210,'Hours Log'!$A:$A,"&lt;"&amp;$J1210+7))</f>
        <v/>
      </c>
      <c r="D1210" t="str">
        <f>IF($J1210="","",SUMIFS('Hours Log'!$D:$D,'Hours Log'!$A:$A,"&gt;="&amp;$J1210,'Hours Log'!$A:$A,"&lt;"&amp;$J1210+7))</f>
        <v/>
      </c>
      <c r="E1210" t="str">
        <f t="shared" si="36"/>
        <v/>
      </c>
      <c r="F1210" t="str">
        <f t="shared" si="37"/>
        <v/>
      </c>
      <c r="G1210" t="str">
        <f>IF($J1210="","",SUMIFS('Hours Log'!$E:$E,'Hours Log'!$A:$A,"&gt;="&amp;$J1210,'Hours Log'!$A:$A,"&lt;"&amp;$J1210+7))</f>
        <v/>
      </c>
      <c r="J1210" t="str">
        <f>IF(COUNT('Hours Log'!$A$4:$A$5000)=0,"",IF(MIN('Hours Log'!$A$4:$A$5000)+7*(ROW()-10)&gt;MAX('Hours Log'!$A$4:$A$5000),"",MIN('Hours Log'!$A$4:$A$5000)+7*(ROW()-10)))</f>
        <v/>
      </c>
    </row>
    <row r="1211" spans="1:10" x14ac:dyDescent="0.25">
      <c r="A1211" t="str">
        <f>IF($J1211="","",YEAR($J1211-WEEKDAY($J1211,2)+4)&amp;"-W"&amp;TEXT(_xludf.ISOWEEKNUM($J1211),"00"))</f>
        <v/>
      </c>
      <c r="B1211"/>
      <c r="C1211" t="str">
        <f>IF($J1211="","",SUMIFS('Hours Log'!$C:$C,'Hours Log'!$A:$A,"&gt;="&amp;$J1211,'Hours Log'!$A:$A,"&lt;"&amp;$J1211+7)+SUMIFS('Hours Log'!$D:$D,'Hours Log'!$A:$A,"&gt;="&amp;$J1211,'Hours Log'!$A:$A,"&lt;"&amp;$J1211+7))</f>
        <v/>
      </c>
      <c r="D1211" t="str">
        <f>IF($J1211="","",SUMIFS('Hours Log'!$D:$D,'Hours Log'!$A:$A,"&gt;="&amp;$J1211,'Hours Log'!$A:$A,"&lt;"&amp;$J1211+7))</f>
        <v/>
      </c>
      <c r="E1211" t="str">
        <f t="shared" si="36"/>
        <v/>
      </c>
      <c r="F1211" t="str">
        <f t="shared" si="37"/>
        <v/>
      </c>
      <c r="G1211" t="str">
        <f>IF($J1211="","",SUMIFS('Hours Log'!$E:$E,'Hours Log'!$A:$A,"&gt;="&amp;$J1211,'Hours Log'!$A:$A,"&lt;"&amp;$J1211+7))</f>
        <v/>
      </c>
      <c r="J1211" t="str">
        <f>IF(COUNT('Hours Log'!$A$4:$A$5000)=0,"",IF(MIN('Hours Log'!$A$4:$A$5000)+7*(ROW()-10)&gt;MAX('Hours Log'!$A$4:$A$5000),"",MIN('Hours Log'!$A$4:$A$5000)+7*(ROW()-10)))</f>
        <v/>
      </c>
    </row>
    <row r="1212" spans="1:10" x14ac:dyDescent="0.25">
      <c r="A1212" t="str">
        <f>IF($J1212="","",YEAR($J1212-WEEKDAY($J1212,2)+4)&amp;"-W"&amp;TEXT(_xludf.ISOWEEKNUM($J1212),"00"))</f>
        <v/>
      </c>
      <c r="B1212"/>
      <c r="C1212" t="str">
        <f>IF($J1212="","",SUMIFS('Hours Log'!$C:$C,'Hours Log'!$A:$A,"&gt;="&amp;$J1212,'Hours Log'!$A:$A,"&lt;"&amp;$J1212+7)+SUMIFS('Hours Log'!$D:$D,'Hours Log'!$A:$A,"&gt;="&amp;$J1212,'Hours Log'!$A:$A,"&lt;"&amp;$J1212+7))</f>
        <v/>
      </c>
      <c r="D1212" t="str">
        <f>IF($J1212="","",SUMIFS('Hours Log'!$D:$D,'Hours Log'!$A:$A,"&gt;="&amp;$J1212,'Hours Log'!$A:$A,"&lt;"&amp;$J1212+7))</f>
        <v/>
      </c>
      <c r="E1212" t="str">
        <f t="shared" si="36"/>
        <v/>
      </c>
      <c r="F1212" t="str">
        <f t="shared" si="37"/>
        <v/>
      </c>
      <c r="G1212" t="str">
        <f>IF($J1212="","",SUMIFS('Hours Log'!$E:$E,'Hours Log'!$A:$A,"&gt;="&amp;$J1212,'Hours Log'!$A:$A,"&lt;"&amp;$J1212+7))</f>
        <v/>
      </c>
      <c r="J1212" t="str">
        <f>IF(COUNT('Hours Log'!$A$4:$A$5000)=0,"",IF(MIN('Hours Log'!$A$4:$A$5000)+7*(ROW()-10)&gt;MAX('Hours Log'!$A$4:$A$5000),"",MIN('Hours Log'!$A$4:$A$5000)+7*(ROW()-10)))</f>
        <v/>
      </c>
    </row>
    <row r="1213" spans="1:10" x14ac:dyDescent="0.25">
      <c r="A1213" t="str">
        <f>IF($J1213="","",YEAR($J1213-WEEKDAY($J1213,2)+4)&amp;"-W"&amp;TEXT(_xludf.ISOWEEKNUM($J1213),"00"))</f>
        <v/>
      </c>
      <c r="B1213"/>
      <c r="C1213" t="str">
        <f>IF($J1213="","",SUMIFS('Hours Log'!$C:$C,'Hours Log'!$A:$A,"&gt;="&amp;$J1213,'Hours Log'!$A:$A,"&lt;"&amp;$J1213+7)+SUMIFS('Hours Log'!$D:$D,'Hours Log'!$A:$A,"&gt;="&amp;$J1213,'Hours Log'!$A:$A,"&lt;"&amp;$J1213+7))</f>
        <v/>
      </c>
      <c r="D1213" t="str">
        <f>IF($J1213="","",SUMIFS('Hours Log'!$D:$D,'Hours Log'!$A:$A,"&gt;="&amp;$J1213,'Hours Log'!$A:$A,"&lt;"&amp;$J1213+7))</f>
        <v/>
      </c>
      <c r="E1213" t="str">
        <f t="shared" si="36"/>
        <v/>
      </c>
      <c r="F1213" t="str">
        <f t="shared" si="37"/>
        <v/>
      </c>
      <c r="G1213" t="str">
        <f>IF($J1213="","",SUMIFS('Hours Log'!$E:$E,'Hours Log'!$A:$A,"&gt;="&amp;$J1213,'Hours Log'!$A:$A,"&lt;"&amp;$J1213+7))</f>
        <v/>
      </c>
      <c r="J1213" t="str">
        <f>IF(COUNT('Hours Log'!$A$4:$A$5000)=0,"",IF(MIN('Hours Log'!$A$4:$A$5000)+7*(ROW()-10)&gt;MAX('Hours Log'!$A$4:$A$5000),"",MIN('Hours Log'!$A$4:$A$5000)+7*(ROW()-10)))</f>
        <v/>
      </c>
    </row>
    <row r="1214" spans="1:10" x14ac:dyDescent="0.25">
      <c r="A1214" t="str">
        <f>IF($J1214="","",YEAR($J1214-WEEKDAY($J1214,2)+4)&amp;"-W"&amp;TEXT(_xludf.ISOWEEKNUM($J1214),"00"))</f>
        <v/>
      </c>
      <c r="B1214"/>
      <c r="C1214" t="str">
        <f>IF($J1214="","",SUMIFS('Hours Log'!$C:$C,'Hours Log'!$A:$A,"&gt;="&amp;$J1214,'Hours Log'!$A:$A,"&lt;"&amp;$J1214+7)+SUMIFS('Hours Log'!$D:$D,'Hours Log'!$A:$A,"&gt;="&amp;$J1214,'Hours Log'!$A:$A,"&lt;"&amp;$J1214+7))</f>
        <v/>
      </c>
      <c r="D1214" t="str">
        <f>IF($J1214="","",SUMIFS('Hours Log'!$D:$D,'Hours Log'!$A:$A,"&gt;="&amp;$J1214,'Hours Log'!$A:$A,"&lt;"&amp;$J1214+7))</f>
        <v/>
      </c>
      <c r="E1214" t="str">
        <f t="shared" si="36"/>
        <v/>
      </c>
      <c r="F1214" t="str">
        <f t="shared" si="37"/>
        <v/>
      </c>
      <c r="G1214" t="str">
        <f>IF($J1214="","",SUMIFS('Hours Log'!$E:$E,'Hours Log'!$A:$A,"&gt;="&amp;$J1214,'Hours Log'!$A:$A,"&lt;"&amp;$J1214+7))</f>
        <v/>
      </c>
      <c r="J1214" t="str">
        <f>IF(COUNT('Hours Log'!$A$4:$A$5000)=0,"",IF(MIN('Hours Log'!$A$4:$A$5000)+7*(ROW()-10)&gt;MAX('Hours Log'!$A$4:$A$5000),"",MIN('Hours Log'!$A$4:$A$5000)+7*(ROW()-10)))</f>
        <v/>
      </c>
    </row>
    <row r="1215" spans="1:10" x14ac:dyDescent="0.25">
      <c r="A1215" t="str">
        <f>IF($J1215="","",YEAR($J1215-WEEKDAY($J1215,2)+4)&amp;"-W"&amp;TEXT(_xludf.ISOWEEKNUM($J1215),"00"))</f>
        <v/>
      </c>
      <c r="B1215"/>
      <c r="C1215" t="str">
        <f>IF($J1215="","",SUMIFS('Hours Log'!$C:$C,'Hours Log'!$A:$A,"&gt;="&amp;$J1215,'Hours Log'!$A:$A,"&lt;"&amp;$J1215+7)+SUMIFS('Hours Log'!$D:$D,'Hours Log'!$A:$A,"&gt;="&amp;$J1215,'Hours Log'!$A:$A,"&lt;"&amp;$J1215+7))</f>
        <v/>
      </c>
      <c r="D1215" t="str">
        <f>IF($J1215="","",SUMIFS('Hours Log'!$D:$D,'Hours Log'!$A:$A,"&gt;="&amp;$J1215,'Hours Log'!$A:$A,"&lt;"&amp;$J1215+7))</f>
        <v/>
      </c>
      <c r="E1215" t="str">
        <f t="shared" si="36"/>
        <v/>
      </c>
      <c r="F1215" t="str">
        <f t="shared" si="37"/>
        <v/>
      </c>
      <c r="G1215" t="str">
        <f>IF($J1215="","",SUMIFS('Hours Log'!$E:$E,'Hours Log'!$A:$A,"&gt;="&amp;$J1215,'Hours Log'!$A:$A,"&lt;"&amp;$J1215+7))</f>
        <v/>
      </c>
      <c r="J1215" t="str">
        <f>IF(COUNT('Hours Log'!$A$4:$A$5000)=0,"",IF(MIN('Hours Log'!$A$4:$A$5000)+7*(ROW()-10)&gt;MAX('Hours Log'!$A$4:$A$5000),"",MIN('Hours Log'!$A$4:$A$5000)+7*(ROW()-10)))</f>
        <v/>
      </c>
    </row>
    <row r="1216" spans="1:10" x14ac:dyDescent="0.25">
      <c r="A1216" t="str">
        <f>IF($J1216="","",YEAR($J1216-WEEKDAY($J1216,2)+4)&amp;"-W"&amp;TEXT(_xludf.ISOWEEKNUM($J1216),"00"))</f>
        <v/>
      </c>
      <c r="B1216"/>
      <c r="C1216" t="str">
        <f>IF($J1216="","",SUMIFS('Hours Log'!$C:$C,'Hours Log'!$A:$A,"&gt;="&amp;$J1216,'Hours Log'!$A:$A,"&lt;"&amp;$J1216+7)+SUMIFS('Hours Log'!$D:$D,'Hours Log'!$A:$A,"&gt;="&amp;$J1216,'Hours Log'!$A:$A,"&lt;"&amp;$J1216+7))</f>
        <v/>
      </c>
      <c r="D1216" t="str">
        <f>IF($J1216="","",SUMIFS('Hours Log'!$D:$D,'Hours Log'!$A:$A,"&gt;="&amp;$J1216,'Hours Log'!$A:$A,"&lt;"&amp;$J1216+7))</f>
        <v/>
      </c>
      <c r="E1216" t="str">
        <f t="shared" si="36"/>
        <v/>
      </c>
      <c r="F1216" t="str">
        <f t="shared" si="37"/>
        <v/>
      </c>
      <c r="G1216" t="str">
        <f>IF($J1216="","",SUMIFS('Hours Log'!$E:$E,'Hours Log'!$A:$A,"&gt;="&amp;$J1216,'Hours Log'!$A:$A,"&lt;"&amp;$J1216+7))</f>
        <v/>
      </c>
      <c r="J1216" t="str">
        <f>IF(COUNT('Hours Log'!$A$4:$A$5000)=0,"",IF(MIN('Hours Log'!$A$4:$A$5000)+7*(ROW()-10)&gt;MAX('Hours Log'!$A$4:$A$5000),"",MIN('Hours Log'!$A$4:$A$5000)+7*(ROW()-10)))</f>
        <v/>
      </c>
    </row>
    <row r="1217" spans="1:10" x14ac:dyDescent="0.25">
      <c r="A1217" t="str">
        <f>IF($J1217="","",YEAR($J1217-WEEKDAY($J1217,2)+4)&amp;"-W"&amp;TEXT(_xludf.ISOWEEKNUM($J1217),"00"))</f>
        <v/>
      </c>
      <c r="B1217"/>
      <c r="C1217" t="str">
        <f>IF($J1217="","",SUMIFS('Hours Log'!$C:$C,'Hours Log'!$A:$A,"&gt;="&amp;$J1217,'Hours Log'!$A:$A,"&lt;"&amp;$J1217+7)+SUMIFS('Hours Log'!$D:$D,'Hours Log'!$A:$A,"&gt;="&amp;$J1217,'Hours Log'!$A:$A,"&lt;"&amp;$J1217+7))</f>
        <v/>
      </c>
      <c r="D1217" t="str">
        <f>IF($J1217="","",SUMIFS('Hours Log'!$D:$D,'Hours Log'!$A:$A,"&gt;="&amp;$J1217,'Hours Log'!$A:$A,"&lt;"&amp;$J1217+7))</f>
        <v/>
      </c>
      <c r="E1217" t="str">
        <f t="shared" si="36"/>
        <v/>
      </c>
      <c r="F1217" t="str">
        <f t="shared" si="37"/>
        <v/>
      </c>
      <c r="G1217" t="str">
        <f>IF($J1217="","",SUMIFS('Hours Log'!$E:$E,'Hours Log'!$A:$A,"&gt;="&amp;$J1217,'Hours Log'!$A:$A,"&lt;"&amp;$J1217+7))</f>
        <v/>
      </c>
      <c r="J1217" t="str">
        <f>IF(COUNT('Hours Log'!$A$4:$A$5000)=0,"",IF(MIN('Hours Log'!$A$4:$A$5000)+7*(ROW()-10)&gt;MAX('Hours Log'!$A$4:$A$5000),"",MIN('Hours Log'!$A$4:$A$5000)+7*(ROW()-10)))</f>
        <v/>
      </c>
    </row>
    <row r="1218" spans="1:10" x14ac:dyDescent="0.25">
      <c r="A1218" t="str">
        <f>IF($J1218="","",YEAR($J1218-WEEKDAY($J1218,2)+4)&amp;"-W"&amp;TEXT(_xludf.ISOWEEKNUM($J1218),"00"))</f>
        <v/>
      </c>
      <c r="B1218"/>
      <c r="C1218" t="str">
        <f>IF($J1218="","",SUMIFS('Hours Log'!$C:$C,'Hours Log'!$A:$A,"&gt;="&amp;$J1218,'Hours Log'!$A:$A,"&lt;"&amp;$J1218+7)+SUMIFS('Hours Log'!$D:$D,'Hours Log'!$A:$A,"&gt;="&amp;$J1218,'Hours Log'!$A:$A,"&lt;"&amp;$J1218+7))</f>
        <v/>
      </c>
      <c r="D1218" t="str">
        <f>IF($J1218="","",SUMIFS('Hours Log'!$D:$D,'Hours Log'!$A:$A,"&gt;="&amp;$J1218,'Hours Log'!$A:$A,"&lt;"&amp;$J1218+7))</f>
        <v/>
      </c>
      <c r="E1218" t="str">
        <f t="shared" si="36"/>
        <v/>
      </c>
      <c r="F1218" t="str">
        <f t="shared" si="37"/>
        <v/>
      </c>
      <c r="G1218" t="str">
        <f>IF($J1218="","",SUMIFS('Hours Log'!$E:$E,'Hours Log'!$A:$A,"&gt;="&amp;$J1218,'Hours Log'!$A:$A,"&lt;"&amp;$J1218+7))</f>
        <v/>
      </c>
      <c r="J1218" t="str">
        <f>IF(COUNT('Hours Log'!$A$4:$A$5000)=0,"",IF(MIN('Hours Log'!$A$4:$A$5000)+7*(ROW()-10)&gt;MAX('Hours Log'!$A$4:$A$5000),"",MIN('Hours Log'!$A$4:$A$5000)+7*(ROW()-10)))</f>
        <v/>
      </c>
    </row>
    <row r="1219" spans="1:10" x14ac:dyDescent="0.25">
      <c r="A1219" t="str">
        <f>IF($J1219="","",YEAR($J1219-WEEKDAY($J1219,2)+4)&amp;"-W"&amp;TEXT(_xludf.ISOWEEKNUM($J1219),"00"))</f>
        <v/>
      </c>
      <c r="B1219"/>
      <c r="C1219" t="str">
        <f>IF($J1219="","",SUMIFS('Hours Log'!$C:$C,'Hours Log'!$A:$A,"&gt;="&amp;$J1219,'Hours Log'!$A:$A,"&lt;"&amp;$J1219+7)+SUMIFS('Hours Log'!$D:$D,'Hours Log'!$A:$A,"&gt;="&amp;$J1219,'Hours Log'!$A:$A,"&lt;"&amp;$J1219+7))</f>
        <v/>
      </c>
      <c r="D1219" t="str">
        <f>IF($J1219="","",SUMIFS('Hours Log'!$D:$D,'Hours Log'!$A:$A,"&gt;="&amp;$J1219,'Hours Log'!$A:$A,"&lt;"&amp;$J1219+7))</f>
        <v/>
      </c>
      <c r="E1219" t="str">
        <f t="shared" si="36"/>
        <v/>
      </c>
      <c r="F1219" t="str">
        <f t="shared" si="37"/>
        <v/>
      </c>
      <c r="G1219" t="str">
        <f>IF($J1219="","",SUMIFS('Hours Log'!$E:$E,'Hours Log'!$A:$A,"&gt;="&amp;$J1219,'Hours Log'!$A:$A,"&lt;"&amp;$J1219+7))</f>
        <v/>
      </c>
      <c r="J1219" t="str">
        <f>IF(COUNT('Hours Log'!$A$4:$A$5000)=0,"",IF(MIN('Hours Log'!$A$4:$A$5000)+7*(ROW()-10)&gt;MAX('Hours Log'!$A$4:$A$5000),"",MIN('Hours Log'!$A$4:$A$5000)+7*(ROW()-10)))</f>
        <v/>
      </c>
    </row>
    <row r="1220" spans="1:10" x14ac:dyDescent="0.25">
      <c r="A1220" t="str">
        <f>IF($J1220="","",YEAR($J1220-WEEKDAY($J1220,2)+4)&amp;"-W"&amp;TEXT(_xludf.ISOWEEKNUM($J1220),"00"))</f>
        <v/>
      </c>
      <c r="B1220"/>
      <c r="C1220" t="str">
        <f>IF($J1220="","",SUMIFS('Hours Log'!$C:$C,'Hours Log'!$A:$A,"&gt;="&amp;$J1220,'Hours Log'!$A:$A,"&lt;"&amp;$J1220+7)+SUMIFS('Hours Log'!$D:$D,'Hours Log'!$A:$A,"&gt;="&amp;$J1220,'Hours Log'!$A:$A,"&lt;"&amp;$J1220+7))</f>
        <v/>
      </c>
      <c r="D1220" t="str">
        <f>IF($J1220="","",SUMIFS('Hours Log'!$D:$D,'Hours Log'!$A:$A,"&gt;="&amp;$J1220,'Hours Log'!$A:$A,"&lt;"&amp;$J1220+7))</f>
        <v/>
      </c>
      <c r="E1220" t="str">
        <f t="shared" si="36"/>
        <v/>
      </c>
      <c r="F1220" t="str">
        <f t="shared" si="37"/>
        <v/>
      </c>
      <c r="G1220" t="str">
        <f>IF($J1220="","",SUMIFS('Hours Log'!$E:$E,'Hours Log'!$A:$A,"&gt;="&amp;$J1220,'Hours Log'!$A:$A,"&lt;"&amp;$J1220+7))</f>
        <v/>
      </c>
      <c r="J1220" t="str">
        <f>IF(COUNT('Hours Log'!$A$4:$A$5000)=0,"",IF(MIN('Hours Log'!$A$4:$A$5000)+7*(ROW()-10)&gt;MAX('Hours Log'!$A$4:$A$5000),"",MIN('Hours Log'!$A$4:$A$5000)+7*(ROW()-10)))</f>
        <v/>
      </c>
    </row>
    <row r="1221" spans="1:10" x14ac:dyDescent="0.25">
      <c r="A1221" t="str">
        <f>IF($J1221="","",YEAR($J1221-WEEKDAY($J1221,2)+4)&amp;"-W"&amp;TEXT(_xludf.ISOWEEKNUM($J1221),"00"))</f>
        <v/>
      </c>
      <c r="B1221"/>
      <c r="C1221" t="str">
        <f>IF($J1221="","",SUMIFS('Hours Log'!$C:$C,'Hours Log'!$A:$A,"&gt;="&amp;$J1221,'Hours Log'!$A:$A,"&lt;"&amp;$J1221+7)+SUMIFS('Hours Log'!$D:$D,'Hours Log'!$A:$A,"&gt;="&amp;$J1221,'Hours Log'!$A:$A,"&lt;"&amp;$J1221+7))</f>
        <v/>
      </c>
      <c r="D1221" t="str">
        <f>IF($J1221="","",SUMIFS('Hours Log'!$D:$D,'Hours Log'!$A:$A,"&gt;="&amp;$J1221,'Hours Log'!$A:$A,"&lt;"&amp;$J1221+7))</f>
        <v/>
      </c>
      <c r="E1221" t="str">
        <f t="shared" si="36"/>
        <v/>
      </c>
      <c r="F1221" t="str">
        <f t="shared" si="37"/>
        <v/>
      </c>
      <c r="G1221" t="str">
        <f>IF($J1221="","",SUMIFS('Hours Log'!$E:$E,'Hours Log'!$A:$A,"&gt;="&amp;$J1221,'Hours Log'!$A:$A,"&lt;"&amp;$J1221+7))</f>
        <v/>
      </c>
      <c r="J1221" t="str">
        <f>IF(COUNT('Hours Log'!$A$4:$A$5000)=0,"",IF(MIN('Hours Log'!$A$4:$A$5000)+7*(ROW()-10)&gt;MAX('Hours Log'!$A$4:$A$5000),"",MIN('Hours Log'!$A$4:$A$5000)+7*(ROW()-10)))</f>
        <v/>
      </c>
    </row>
    <row r="1222" spans="1:10" x14ac:dyDescent="0.25">
      <c r="A1222" t="str">
        <f>IF($J1222="","",YEAR($J1222-WEEKDAY($J1222,2)+4)&amp;"-W"&amp;TEXT(_xludf.ISOWEEKNUM($J1222),"00"))</f>
        <v/>
      </c>
      <c r="B1222"/>
      <c r="C1222" t="str">
        <f>IF($J1222="","",SUMIFS('Hours Log'!$C:$C,'Hours Log'!$A:$A,"&gt;="&amp;$J1222,'Hours Log'!$A:$A,"&lt;"&amp;$J1222+7)+SUMIFS('Hours Log'!$D:$D,'Hours Log'!$A:$A,"&gt;="&amp;$J1222,'Hours Log'!$A:$A,"&lt;"&amp;$J1222+7))</f>
        <v/>
      </c>
      <c r="D1222" t="str">
        <f>IF($J1222="","",SUMIFS('Hours Log'!$D:$D,'Hours Log'!$A:$A,"&gt;="&amp;$J1222,'Hours Log'!$A:$A,"&lt;"&amp;$J1222+7))</f>
        <v/>
      </c>
      <c r="E1222" t="str">
        <f t="shared" si="36"/>
        <v/>
      </c>
      <c r="F1222" t="str">
        <f t="shared" si="37"/>
        <v/>
      </c>
      <c r="G1222" t="str">
        <f>IF($J1222="","",SUMIFS('Hours Log'!$E:$E,'Hours Log'!$A:$A,"&gt;="&amp;$J1222,'Hours Log'!$A:$A,"&lt;"&amp;$J1222+7))</f>
        <v/>
      </c>
      <c r="J1222" t="str">
        <f>IF(COUNT('Hours Log'!$A$4:$A$5000)=0,"",IF(MIN('Hours Log'!$A$4:$A$5000)+7*(ROW()-10)&gt;MAX('Hours Log'!$A$4:$A$5000),"",MIN('Hours Log'!$A$4:$A$5000)+7*(ROW()-10)))</f>
        <v/>
      </c>
    </row>
    <row r="1223" spans="1:10" x14ac:dyDescent="0.25">
      <c r="A1223" t="str">
        <f>IF($J1223="","",YEAR($J1223-WEEKDAY($J1223,2)+4)&amp;"-W"&amp;TEXT(_xludf.ISOWEEKNUM($J1223),"00"))</f>
        <v/>
      </c>
      <c r="B1223"/>
      <c r="C1223" t="str">
        <f>IF($J1223="","",SUMIFS('Hours Log'!$C:$C,'Hours Log'!$A:$A,"&gt;="&amp;$J1223,'Hours Log'!$A:$A,"&lt;"&amp;$J1223+7)+SUMIFS('Hours Log'!$D:$D,'Hours Log'!$A:$A,"&gt;="&amp;$J1223,'Hours Log'!$A:$A,"&lt;"&amp;$J1223+7))</f>
        <v/>
      </c>
      <c r="D1223" t="str">
        <f>IF($J1223="","",SUMIFS('Hours Log'!$D:$D,'Hours Log'!$A:$A,"&gt;="&amp;$J1223,'Hours Log'!$A:$A,"&lt;"&amp;$J1223+7))</f>
        <v/>
      </c>
      <c r="E1223" t="str">
        <f t="shared" si="36"/>
        <v/>
      </c>
      <c r="F1223" t="str">
        <f t="shared" si="37"/>
        <v/>
      </c>
      <c r="G1223" t="str">
        <f>IF($J1223="","",SUMIFS('Hours Log'!$E:$E,'Hours Log'!$A:$A,"&gt;="&amp;$J1223,'Hours Log'!$A:$A,"&lt;"&amp;$J1223+7))</f>
        <v/>
      </c>
      <c r="J1223" t="str">
        <f>IF(COUNT('Hours Log'!$A$4:$A$5000)=0,"",IF(MIN('Hours Log'!$A$4:$A$5000)+7*(ROW()-10)&gt;MAX('Hours Log'!$A$4:$A$5000),"",MIN('Hours Log'!$A$4:$A$5000)+7*(ROW()-10)))</f>
        <v/>
      </c>
    </row>
    <row r="1224" spans="1:10" x14ac:dyDescent="0.25">
      <c r="A1224" t="str">
        <f>IF($J1224="","",YEAR($J1224-WEEKDAY($J1224,2)+4)&amp;"-W"&amp;TEXT(_xludf.ISOWEEKNUM($J1224),"00"))</f>
        <v/>
      </c>
      <c r="B1224"/>
      <c r="C1224" t="str">
        <f>IF($J1224="","",SUMIFS('Hours Log'!$C:$C,'Hours Log'!$A:$A,"&gt;="&amp;$J1224,'Hours Log'!$A:$A,"&lt;"&amp;$J1224+7)+SUMIFS('Hours Log'!$D:$D,'Hours Log'!$A:$A,"&gt;="&amp;$J1224,'Hours Log'!$A:$A,"&lt;"&amp;$J1224+7))</f>
        <v/>
      </c>
      <c r="D1224" t="str">
        <f>IF($J1224="","",SUMIFS('Hours Log'!$D:$D,'Hours Log'!$A:$A,"&gt;="&amp;$J1224,'Hours Log'!$A:$A,"&lt;"&amp;$J1224+7))</f>
        <v/>
      </c>
      <c r="E1224" t="str">
        <f t="shared" si="36"/>
        <v/>
      </c>
      <c r="F1224" t="str">
        <f t="shared" si="37"/>
        <v/>
      </c>
      <c r="G1224" t="str">
        <f>IF($J1224="","",SUMIFS('Hours Log'!$E:$E,'Hours Log'!$A:$A,"&gt;="&amp;$J1224,'Hours Log'!$A:$A,"&lt;"&amp;$J1224+7))</f>
        <v/>
      </c>
      <c r="J1224" t="str">
        <f>IF(COUNT('Hours Log'!$A$4:$A$5000)=0,"",IF(MIN('Hours Log'!$A$4:$A$5000)+7*(ROW()-10)&gt;MAX('Hours Log'!$A$4:$A$5000),"",MIN('Hours Log'!$A$4:$A$5000)+7*(ROW()-10)))</f>
        <v/>
      </c>
    </row>
    <row r="1225" spans="1:10" x14ac:dyDescent="0.25">
      <c r="A1225" t="str">
        <f>IF($J1225="","",YEAR($J1225-WEEKDAY($J1225,2)+4)&amp;"-W"&amp;TEXT(_xludf.ISOWEEKNUM($J1225),"00"))</f>
        <v/>
      </c>
      <c r="B1225"/>
      <c r="C1225" t="str">
        <f>IF($J1225="","",SUMIFS('Hours Log'!$C:$C,'Hours Log'!$A:$A,"&gt;="&amp;$J1225,'Hours Log'!$A:$A,"&lt;"&amp;$J1225+7)+SUMIFS('Hours Log'!$D:$D,'Hours Log'!$A:$A,"&gt;="&amp;$J1225,'Hours Log'!$A:$A,"&lt;"&amp;$J1225+7))</f>
        <v/>
      </c>
      <c r="D1225" t="str">
        <f>IF($J1225="","",SUMIFS('Hours Log'!$D:$D,'Hours Log'!$A:$A,"&gt;="&amp;$J1225,'Hours Log'!$A:$A,"&lt;"&amp;$J1225+7))</f>
        <v/>
      </c>
      <c r="E1225" t="str">
        <f t="shared" si="36"/>
        <v/>
      </c>
      <c r="F1225" t="str">
        <f t="shared" si="37"/>
        <v/>
      </c>
      <c r="G1225" t="str">
        <f>IF($J1225="","",SUMIFS('Hours Log'!$E:$E,'Hours Log'!$A:$A,"&gt;="&amp;$J1225,'Hours Log'!$A:$A,"&lt;"&amp;$J1225+7))</f>
        <v/>
      </c>
      <c r="J1225" t="str">
        <f>IF(COUNT('Hours Log'!$A$4:$A$5000)=0,"",IF(MIN('Hours Log'!$A$4:$A$5000)+7*(ROW()-10)&gt;MAX('Hours Log'!$A$4:$A$5000),"",MIN('Hours Log'!$A$4:$A$5000)+7*(ROW()-10)))</f>
        <v/>
      </c>
    </row>
    <row r="1226" spans="1:10" x14ac:dyDescent="0.25">
      <c r="A1226" t="str">
        <f>IF($J1226="","",YEAR($J1226-WEEKDAY($J1226,2)+4)&amp;"-W"&amp;TEXT(_xludf.ISOWEEKNUM($J1226),"00"))</f>
        <v/>
      </c>
      <c r="B1226"/>
      <c r="C1226" t="str">
        <f>IF($J1226="","",SUMIFS('Hours Log'!$C:$C,'Hours Log'!$A:$A,"&gt;="&amp;$J1226,'Hours Log'!$A:$A,"&lt;"&amp;$J1226+7)+SUMIFS('Hours Log'!$D:$D,'Hours Log'!$A:$A,"&gt;="&amp;$J1226,'Hours Log'!$A:$A,"&lt;"&amp;$J1226+7))</f>
        <v/>
      </c>
      <c r="D1226" t="str">
        <f>IF($J1226="","",SUMIFS('Hours Log'!$D:$D,'Hours Log'!$A:$A,"&gt;="&amp;$J1226,'Hours Log'!$A:$A,"&lt;"&amp;$J1226+7))</f>
        <v/>
      </c>
      <c r="E1226" t="str">
        <f t="shared" ref="E1226:E1289" si="38">IF($J1226="","",IFERROR(C1226/(B1226*40),0))</f>
        <v/>
      </c>
      <c r="F1226" t="str">
        <f t="shared" ref="F1226:F1289" si="39">IF($J1226="","",0)</f>
        <v/>
      </c>
      <c r="G1226" t="str">
        <f>IF($J1226="","",SUMIFS('Hours Log'!$E:$E,'Hours Log'!$A:$A,"&gt;="&amp;$J1226,'Hours Log'!$A:$A,"&lt;"&amp;$J1226+7))</f>
        <v/>
      </c>
      <c r="J1226" t="str">
        <f>IF(COUNT('Hours Log'!$A$4:$A$5000)=0,"",IF(MIN('Hours Log'!$A$4:$A$5000)+7*(ROW()-10)&gt;MAX('Hours Log'!$A$4:$A$5000),"",MIN('Hours Log'!$A$4:$A$5000)+7*(ROW()-10)))</f>
        <v/>
      </c>
    </row>
    <row r="1227" spans="1:10" x14ac:dyDescent="0.25">
      <c r="A1227" t="str">
        <f>IF($J1227="","",YEAR($J1227-WEEKDAY($J1227,2)+4)&amp;"-W"&amp;TEXT(_xludf.ISOWEEKNUM($J1227),"00"))</f>
        <v/>
      </c>
      <c r="B1227"/>
      <c r="C1227" t="str">
        <f>IF($J1227="","",SUMIFS('Hours Log'!$C:$C,'Hours Log'!$A:$A,"&gt;="&amp;$J1227,'Hours Log'!$A:$A,"&lt;"&amp;$J1227+7)+SUMIFS('Hours Log'!$D:$D,'Hours Log'!$A:$A,"&gt;="&amp;$J1227,'Hours Log'!$A:$A,"&lt;"&amp;$J1227+7))</f>
        <v/>
      </c>
      <c r="D1227" t="str">
        <f>IF($J1227="","",SUMIFS('Hours Log'!$D:$D,'Hours Log'!$A:$A,"&gt;="&amp;$J1227,'Hours Log'!$A:$A,"&lt;"&amp;$J1227+7))</f>
        <v/>
      </c>
      <c r="E1227" t="str">
        <f t="shared" si="38"/>
        <v/>
      </c>
      <c r="F1227" t="str">
        <f t="shared" si="39"/>
        <v/>
      </c>
      <c r="G1227" t="str">
        <f>IF($J1227="","",SUMIFS('Hours Log'!$E:$E,'Hours Log'!$A:$A,"&gt;="&amp;$J1227,'Hours Log'!$A:$A,"&lt;"&amp;$J1227+7))</f>
        <v/>
      </c>
      <c r="J1227" t="str">
        <f>IF(COUNT('Hours Log'!$A$4:$A$5000)=0,"",IF(MIN('Hours Log'!$A$4:$A$5000)+7*(ROW()-10)&gt;MAX('Hours Log'!$A$4:$A$5000),"",MIN('Hours Log'!$A$4:$A$5000)+7*(ROW()-10)))</f>
        <v/>
      </c>
    </row>
    <row r="1228" spans="1:10" x14ac:dyDescent="0.25">
      <c r="A1228" t="str">
        <f>IF($J1228="","",YEAR($J1228-WEEKDAY($J1228,2)+4)&amp;"-W"&amp;TEXT(_xludf.ISOWEEKNUM($J1228),"00"))</f>
        <v/>
      </c>
      <c r="B1228"/>
      <c r="C1228" t="str">
        <f>IF($J1228="","",SUMIFS('Hours Log'!$C:$C,'Hours Log'!$A:$A,"&gt;="&amp;$J1228,'Hours Log'!$A:$A,"&lt;"&amp;$J1228+7)+SUMIFS('Hours Log'!$D:$D,'Hours Log'!$A:$A,"&gt;="&amp;$J1228,'Hours Log'!$A:$A,"&lt;"&amp;$J1228+7))</f>
        <v/>
      </c>
      <c r="D1228" t="str">
        <f>IF($J1228="","",SUMIFS('Hours Log'!$D:$D,'Hours Log'!$A:$A,"&gt;="&amp;$J1228,'Hours Log'!$A:$A,"&lt;"&amp;$J1228+7))</f>
        <v/>
      </c>
      <c r="E1228" t="str">
        <f t="shared" si="38"/>
        <v/>
      </c>
      <c r="F1228" t="str">
        <f t="shared" si="39"/>
        <v/>
      </c>
      <c r="G1228" t="str">
        <f>IF($J1228="","",SUMIFS('Hours Log'!$E:$E,'Hours Log'!$A:$A,"&gt;="&amp;$J1228,'Hours Log'!$A:$A,"&lt;"&amp;$J1228+7))</f>
        <v/>
      </c>
      <c r="J1228" t="str">
        <f>IF(COUNT('Hours Log'!$A$4:$A$5000)=0,"",IF(MIN('Hours Log'!$A$4:$A$5000)+7*(ROW()-10)&gt;MAX('Hours Log'!$A$4:$A$5000),"",MIN('Hours Log'!$A$4:$A$5000)+7*(ROW()-10)))</f>
        <v/>
      </c>
    </row>
    <row r="1229" spans="1:10" x14ac:dyDescent="0.25">
      <c r="A1229" t="str">
        <f>IF($J1229="","",YEAR($J1229-WEEKDAY($J1229,2)+4)&amp;"-W"&amp;TEXT(_xludf.ISOWEEKNUM($J1229),"00"))</f>
        <v/>
      </c>
      <c r="B1229"/>
      <c r="C1229" t="str">
        <f>IF($J1229="","",SUMIFS('Hours Log'!$C:$C,'Hours Log'!$A:$A,"&gt;="&amp;$J1229,'Hours Log'!$A:$A,"&lt;"&amp;$J1229+7)+SUMIFS('Hours Log'!$D:$D,'Hours Log'!$A:$A,"&gt;="&amp;$J1229,'Hours Log'!$A:$A,"&lt;"&amp;$J1229+7))</f>
        <v/>
      </c>
      <c r="D1229" t="str">
        <f>IF($J1229="","",SUMIFS('Hours Log'!$D:$D,'Hours Log'!$A:$A,"&gt;="&amp;$J1229,'Hours Log'!$A:$A,"&lt;"&amp;$J1229+7))</f>
        <v/>
      </c>
      <c r="E1229" t="str">
        <f t="shared" si="38"/>
        <v/>
      </c>
      <c r="F1229" t="str">
        <f t="shared" si="39"/>
        <v/>
      </c>
      <c r="G1229" t="str">
        <f>IF($J1229="","",SUMIFS('Hours Log'!$E:$E,'Hours Log'!$A:$A,"&gt;="&amp;$J1229,'Hours Log'!$A:$A,"&lt;"&amp;$J1229+7))</f>
        <v/>
      </c>
      <c r="J1229" t="str">
        <f>IF(COUNT('Hours Log'!$A$4:$A$5000)=0,"",IF(MIN('Hours Log'!$A$4:$A$5000)+7*(ROW()-10)&gt;MAX('Hours Log'!$A$4:$A$5000),"",MIN('Hours Log'!$A$4:$A$5000)+7*(ROW()-10)))</f>
        <v/>
      </c>
    </row>
    <row r="1230" spans="1:10" x14ac:dyDescent="0.25">
      <c r="A1230" t="str">
        <f>IF($J1230="","",YEAR($J1230-WEEKDAY($J1230,2)+4)&amp;"-W"&amp;TEXT(_xludf.ISOWEEKNUM($J1230),"00"))</f>
        <v/>
      </c>
      <c r="B1230"/>
      <c r="C1230" t="str">
        <f>IF($J1230="","",SUMIFS('Hours Log'!$C:$C,'Hours Log'!$A:$A,"&gt;="&amp;$J1230,'Hours Log'!$A:$A,"&lt;"&amp;$J1230+7)+SUMIFS('Hours Log'!$D:$D,'Hours Log'!$A:$A,"&gt;="&amp;$J1230,'Hours Log'!$A:$A,"&lt;"&amp;$J1230+7))</f>
        <v/>
      </c>
      <c r="D1230" t="str">
        <f>IF($J1230="","",SUMIFS('Hours Log'!$D:$D,'Hours Log'!$A:$A,"&gt;="&amp;$J1230,'Hours Log'!$A:$A,"&lt;"&amp;$J1230+7))</f>
        <v/>
      </c>
      <c r="E1230" t="str">
        <f t="shared" si="38"/>
        <v/>
      </c>
      <c r="F1230" t="str">
        <f t="shared" si="39"/>
        <v/>
      </c>
      <c r="G1230" t="str">
        <f>IF($J1230="","",SUMIFS('Hours Log'!$E:$E,'Hours Log'!$A:$A,"&gt;="&amp;$J1230,'Hours Log'!$A:$A,"&lt;"&amp;$J1230+7))</f>
        <v/>
      </c>
      <c r="J1230" t="str">
        <f>IF(COUNT('Hours Log'!$A$4:$A$5000)=0,"",IF(MIN('Hours Log'!$A$4:$A$5000)+7*(ROW()-10)&gt;MAX('Hours Log'!$A$4:$A$5000),"",MIN('Hours Log'!$A$4:$A$5000)+7*(ROW()-10)))</f>
        <v/>
      </c>
    </row>
    <row r="1231" spans="1:10" x14ac:dyDescent="0.25">
      <c r="A1231" t="str">
        <f>IF($J1231="","",YEAR($J1231-WEEKDAY($J1231,2)+4)&amp;"-W"&amp;TEXT(_xludf.ISOWEEKNUM($J1231),"00"))</f>
        <v/>
      </c>
      <c r="B1231"/>
      <c r="C1231" t="str">
        <f>IF($J1231="","",SUMIFS('Hours Log'!$C:$C,'Hours Log'!$A:$A,"&gt;="&amp;$J1231,'Hours Log'!$A:$A,"&lt;"&amp;$J1231+7)+SUMIFS('Hours Log'!$D:$D,'Hours Log'!$A:$A,"&gt;="&amp;$J1231,'Hours Log'!$A:$A,"&lt;"&amp;$J1231+7))</f>
        <v/>
      </c>
      <c r="D1231" t="str">
        <f>IF($J1231="","",SUMIFS('Hours Log'!$D:$D,'Hours Log'!$A:$A,"&gt;="&amp;$J1231,'Hours Log'!$A:$A,"&lt;"&amp;$J1231+7))</f>
        <v/>
      </c>
      <c r="E1231" t="str">
        <f t="shared" si="38"/>
        <v/>
      </c>
      <c r="F1231" t="str">
        <f t="shared" si="39"/>
        <v/>
      </c>
      <c r="G1231" t="str">
        <f>IF($J1231="","",SUMIFS('Hours Log'!$E:$E,'Hours Log'!$A:$A,"&gt;="&amp;$J1231,'Hours Log'!$A:$A,"&lt;"&amp;$J1231+7))</f>
        <v/>
      </c>
      <c r="J1231" t="str">
        <f>IF(COUNT('Hours Log'!$A$4:$A$5000)=0,"",IF(MIN('Hours Log'!$A$4:$A$5000)+7*(ROW()-10)&gt;MAX('Hours Log'!$A$4:$A$5000),"",MIN('Hours Log'!$A$4:$A$5000)+7*(ROW()-10)))</f>
        <v/>
      </c>
    </row>
    <row r="1232" spans="1:10" x14ac:dyDescent="0.25">
      <c r="A1232" t="str">
        <f>IF($J1232="","",YEAR($J1232-WEEKDAY($J1232,2)+4)&amp;"-W"&amp;TEXT(_xludf.ISOWEEKNUM($J1232),"00"))</f>
        <v/>
      </c>
      <c r="B1232"/>
      <c r="C1232" t="str">
        <f>IF($J1232="","",SUMIFS('Hours Log'!$C:$C,'Hours Log'!$A:$A,"&gt;="&amp;$J1232,'Hours Log'!$A:$A,"&lt;"&amp;$J1232+7)+SUMIFS('Hours Log'!$D:$D,'Hours Log'!$A:$A,"&gt;="&amp;$J1232,'Hours Log'!$A:$A,"&lt;"&amp;$J1232+7))</f>
        <v/>
      </c>
      <c r="D1232" t="str">
        <f>IF($J1232="","",SUMIFS('Hours Log'!$D:$D,'Hours Log'!$A:$A,"&gt;="&amp;$J1232,'Hours Log'!$A:$A,"&lt;"&amp;$J1232+7))</f>
        <v/>
      </c>
      <c r="E1232" t="str">
        <f t="shared" si="38"/>
        <v/>
      </c>
      <c r="F1232" t="str">
        <f t="shared" si="39"/>
        <v/>
      </c>
      <c r="G1232" t="str">
        <f>IF($J1232="","",SUMIFS('Hours Log'!$E:$E,'Hours Log'!$A:$A,"&gt;="&amp;$J1232,'Hours Log'!$A:$A,"&lt;"&amp;$J1232+7))</f>
        <v/>
      </c>
      <c r="J1232" t="str">
        <f>IF(COUNT('Hours Log'!$A$4:$A$5000)=0,"",IF(MIN('Hours Log'!$A$4:$A$5000)+7*(ROW()-10)&gt;MAX('Hours Log'!$A$4:$A$5000),"",MIN('Hours Log'!$A$4:$A$5000)+7*(ROW()-10)))</f>
        <v/>
      </c>
    </row>
    <row r="1233" spans="1:10" x14ac:dyDescent="0.25">
      <c r="A1233" t="str">
        <f>IF($J1233="","",YEAR($J1233-WEEKDAY($J1233,2)+4)&amp;"-W"&amp;TEXT(_xludf.ISOWEEKNUM($J1233),"00"))</f>
        <v/>
      </c>
      <c r="B1233"/>
      <c r="C1233" t="str">
        <f>IF($J1233="","",SUMIFS('Hours Log'!$C:$C,'Hours Log'!$A:$A,"&gt;="&amp;$J1233,'Hours Log'!$A:$A,"&lt;"&amp;$J1233+7)+SUMIFS('Hours Log'!$D:$D,'Hours Log'!$A:$A,"&gt;="&amp;$J1233,'Hours Log'!$A:$A,"&lt;"&amp;$J1233+7))</f>
        <v/>
      </c>
      <c r="D1233" t="str">
        <f>IF($J1233="","",SUMIFS('Hours Log'!$D:$D,'Hours Log'!$A:$A,"&gt;="&amp;$J1233,'Hours Log'!$A:$A,"&lt;"&amp;$J1233+7))</f>
        <v/>
      </c>
      <c r="E1233" t="str">
        <f t="shared" si="38"/>
        <v/>
      </c>
      <c r="F1233" t="str">
        <f t="shared" si="39"/>
        <v/>
      </c>
      <c r="G1233" t="str">
        <f>IF($J1233="","",SUMIFS('Hours Log'!$E:$E,'Hours Log'!$A:$A,"&gt;="&amp;$J1233,'Hours Log'!$A:$A,"&lt;"&amp;$J1233+7))</f>
        <v/>
      </c>
      <c r="J1233" t="str">
        <f>IF(COUNT('Hours Log'!$A$4:$A$5000)=0,"",IF(MIN('Hours Log'!$A$4:$A$5000)+7*(ROW()-10)&gt;MAX('Hours Log'!$A$4:$A$5000),"",MIN('Hours Log'!$A$4:$A$5000)+7*(ROW()-10)))</f>
        <v/>
      </c>
    </row>
    <row r="1234" spans="1:10" x14ac:dyDescent="0.25">
      <c r="A1234" t="str">
        <f>IF($J1234="","",YEAR($J1234-WEEKDAY($J1234,2)+4)&amp;"-W"&amp;TEXT(_xludf.ISOWEEKNUM($J1234),"00"))</f>
        <v/>
      </c>
      <c r="B1234"/>
      <c r="C1234" t="str">
        <f>IF($J1234="","",SUMIFS('Hours Log'!$C:$C,'Hours Log'!$A:$A,"&gt;="&amp;$J1234,'Hours Log'!$A:$A,"&lt;"&amp;$J1234+7)+SUMIFS('Hours Log'!$D:$D,'Hours Log'!$A:$A,"&gt;="&amp;$J1234,'Hours Log'!$A:$A,"&lt;"&amp;$J1234+7))</f>
        <v/>
      </c>
      <c r="D1234" t="str">
        <f>IF($J1234="","",SUMIFS('Hours Log'!$D:$D,'Hours Log'!$A:$A,"&gt;="&amp;$J1234,'Hours Log'!$A:$A,"&lt;"&amp;$J1234+7))</f>
        <v/>
      </c>
      <c r="E1234" t="str">
        <f t="shared" si="38"/>
        <v/>
      </c>
      <c r="F1234" t="str">
        <f t="shared" si="39"/>
        <v/>
      </c>
      <c r="G1234" t="str">
        <f>IF($J1234="","",SUMIFS('Hours Log'!$E:$E,'Hours Log'!$A:$A,"&gt;="&amp;$J1234,'Hours Log'!$A:$A,"&lt;"&amp;$J1234+7))</f>
        <v/>
      </c>
      <c r="J1234" t="str">
        <f>IF(COUNT('Hours Log'!$A$4:$A$5000)=0,"",IF(MIN('Hours Log'!$A$4:$A$5000)+7*(ROW()-10)&gt;MAX('Hours Log'!$A$4:$A$5000),"",MIN('Hours Log'!$A$4:$A$5000)+7*(ROW()-10)))</f>
        <v/>
      </c>
    </row>
    <row r="1235" spans="1:10" x14ac:dyDescent="0.25">
      <c r="A1235" t="str">
        <f>IF($J1235="","",YEAR($J1235-WEEKDAY($J1235,2)+4)&amp;"-W"&amp;TEXT(_xludf.ISOWEEKNUM($J1235),"00"))</f>
        <v/>
      </c>
      <c r="B1235"/>
      <c r="C1235" t="str">
        <f>IF($J1235="","",SUMIFS('Hours Log'!$C:$C,'Hours Log'!$A:$A,"&gt;="&amp;$J1235,'Hours Log'!$A:$A,"&lt;"&amp;$J1235+7)+SUMIFS('Hours Log'!$D:$D,'Hours Log'!$A:$A,"&gt;="&amp;$J1235,'Hours Log'!$A:$A,"&lt;"&amp;$J1235+7))</f>
        <v/>
      </c>
      <c r="D1235" t="str">
        <f>IF($J1235="","",SUMIFS('Hours Log'!$D:$D,'Hours Log'!$A:$A,"&gt;="&amp;$J1235,'Hours Log'!$A:$A,"&lt;"&amp;$J1235+7))</f>
        <v/>
      </c>
      <c r="E1235" t="str">
        <f t="shared" si="38"/>
        <v/>
      </c>
      <c r="F1235" t="str">
        <f t="shared" si="39"/>
        <v/>
      </c>
      <c r="G1235" t="str">
        <f>IF($J1235="","",SUMIFS('Hours Log'!$E:$E,'Hours Log'!$A:$A,"&gt;="&amp;$J1235,'Hours Log'!$A:$A,"&lt;"&amp;$J1235+7))</f>
        <v/>
      </c>
      <c r="J1235" t="str">
        <f>IF(COUNT('Hours Log'!$A$4:$A$5000)=0,"",IF(MIN('Hours Log'!$A$4:$A$5000)+7*(ROW()-10)&gt;MAX('Hours Log'!$A$4:$A$5000),"",MIN('Hours Log'!$A$4:$A$5000)+7*(ROW()-10)))</f>
        <v/>
      </c>
    </row>
    <row r="1236" spans="1:10" x14ac:dyDescent="0.25">
      <c r="A1236" t="str">
        <f>IF($J1236="","",YEAR($J1236-WEEKDAY($J1236,2)+4)&amp;"-W"&amp;TEXT(_xludf.ISOWEEKNUM($J1236),"00"))</f>
        <v/>
      </c>
      <c r="B1236"/>
      <c r="C1236" t="str">
        <f>IF($J1236="","",SUMIFS('Hours Log'!$C:$C,'Hours Log'!$A:$A,"&gt;="&amp;$J1236,'Hours Log'!$A:$A,"&lt;"&amp;$J1236+7)+SUMIFS('Hours Log'!$D:$D,'Hours Log'!$A:$A,"&gt;="&amp;$J1236,'Hours Log'!$A:$A,"&lt;"&amp;$J1236+7))</f>
        <v/>
      </c>
      <c r="D1236" t="str">
        <f>IF($J1236="","",SUMIFS('Hours Log'!$D:$D,'Hours Log'!$A:$A,"&gt;="&amp;$J1236,'Hours Log'!$A:$A,"&lt;"&amp;$J1236+7))</f>
        <v/>
      </c>
      <c r="E1236" t="str">
        <f t="shared" si="38"/>
        <v/>
      </c>
      <c r="F1236" t="str">
        <f t="shared" si="39"/>
        <v/>
      </c>
      <c r="G1236" t="str">
        <f>IF($J1236="","",SUMIFS('Hours Log'!$E:$E,'Hours Log'!$A:$A,"&gt;="&amp;$J1236,'Hours Log'!$A:$A,"&lt;"&amp;$J1236+7))</f>
        <v/>
      </c>
      <c r="J1236" t="str">
        <f>IF(COUNT('Hours Log'!$A$4:$A$5000)=0,"",IF(MIN('Hours Log'!$A$4:$A$5000)+7*(ROW()-10)&gt;MAX('Hours Log'!$A$4:$A$5000),"",MIN('Hours Log'!$A$4:$A$5000)+7*(ROW()-10)))</f>
        <v/>
      </c>
    </row>
    <row r="1237" spans="1:10" x14ac:dyDescent="0.25">
      <c r="A1237" t="str">
        <f>IF($J1237="","",YEAR($J1237-WEEKDAY($J1237,2)+4)&amp;"-W"&amp;TEXT(_xludf.ISOWEEKNUM($J1237),"00"))</f>
        <v/>
      </c>
      <c r="B1237"/>
      <c r="C1237" t="str">
        <f>IF($J1237="","",SUMIFS('Hours Log'!$C:$C,'Hours Log'!$A:$A,"&gt;="&amp;$J1237,'Hours Log'!$A:$A,"&lt;"&amp;$J1237+7)+SUMIFS('Hours Log'!$D:$D,'Hours Log'!$A:$A,"&gt;="&amp;$J1237,'Hours Log'!$A:$A,"&lt;"&amp;$J1237+7))</f>
        <v/>
      </c>
      <c r="D1237" t="str">
        <f>IF($J1237="","",SUMIFS('Hours Log'!$D:$D,'Hours Log'!$A:$A,"&gt;="&amp;$J1237,'Hours Log'!$A:$A,"&lt;"&amp;$J1237+7))</f>
        <v/>
      </c>
      <c r="E1237" t="str">
        <f t="shared" si="38"/>
        <v/>
      </c>
      <c r="F1237" t="str">
        <f t="shared" si="39"/>
        <v/>
      </c>
      <c r="G1237" t="str">
        <f>IF($J1237="","",SUMIFS('Hours Log'!$E:$E,'Hours Log'!$A:$A,"&gt;="&amp;$J1237,'Hours Log'!$A:$A,"&lt;"&amp;$J1237+7))</f>
        <v/>
      </c>
      <c r="J1237" t="str">
        <f>IF(COUNT('Hours Log'!$A$4:$A$5000)=0,"",IF(MIN('Hours Log'!$A$4:$A$5000)+7*(ROW()-10)&gt;MAX('Hours Log'!$A$4:$A$5000),"",MIN('Hours Log'!$A$4:$A$5000)+7*(ROW()-10)))</f>
        <v/>
      </c>
    </row>
    <row r="1238" spans="1:10" x14ac:dyDescent="0.25">
      <c r="A1238" t="str">
        <f>IF($J1238="","",YEAR($J1238-WEEKDAY($J1238,2)+4)&amp;"-W"&amp;TEXT(_xludf.ISOWEEKNUM($J1238),"00"))</f>
        <v/>
      </c>
      <c r="B1238"/>
      <c r="C1238" t="str">
        <f>IF($J1238="","",SUMIFS('Hours Log'!$C:$C,'Hours Log'!$A:$A,"&gt;="&amp;$J1238,'Hours Log'!$A:$A,"&lt;"&amp;$J1238+7)+SUMIFS('Hours Log'!$D:$D,'Hours Log'!$A:$A,"&gt;="&amp;$J1238,'Hours Log'!$A:$A,"&lt;"&amp;$J1238+7))</f>
        <v/>
      </c>
      <c r="D1238" t="str">
        <f>IF($J1238="","",SUMIFS('Hours Log'!$D:$D,'Hours Log'!$A:$A,"&gt;="&amp;$J1238,'Hours Log'!$A:$A,"&lt;"&amp;$J1238+7))</f>
        <v/>
      </c>
      <c r="E1238" t="str">
        <f t="shared" si="38"/>
        <v/>
      </c>
      <c r="F1238" t="str">
        <f t="shared" si="39"/>
        <v/>
      </c>
      <c r="G1238" t="str">
        <f>IF($J1238="","",SUMIFS('Hours Log'!$E:$E,'Hours Log'!$A:$A,"&gt;="&amp;$J1238,'Hours Log'!$A:$A,"&lt;"&amp;$J1238+7))</f>
        <v/>
      </c>
      <c r="J1238" t="str">
        <f>IF(COUNT('Hours Log'!$A$4:$A$5000)=0,"",IF(MIN('Hours Log'!$A$4:$A$5000)+7*(ROW()-10)&gt;MAX('Hours Log'!$A$4:$A$5000),"",MIN('Hours Log'!$A$4:$A$5000)+7*(ROW()-10)))</f>
        <v/>
      </c>
    </row>
    <row r="1239" spans="1:10" x14ac:dyDescent="0.25">
      <c r="A1239" t="str">
        <f>IF($J1239="","",YEAR($J1239-WEEKDAY($J1239,2)+4)&amp;"-W"&amp;TEXT(_xludf.ISOWEEKNUM($J1239),"00"))</f>
        <v/>
      </c>
      <c r="B1239"/>
      <c r="C1239" t="str">
        <f>IF($J1239="","",SUMIFS('Hours Log'!$C:$C,'Hours Log'!$A:$A,"&gt;="&amp;$J1239,'Hours Log'!$A:$A,"&lt;"&amp;$J1239+7)+SUMIFS('Hours Log'!$D:$D,'Hours Log'!$A:$A,"&gt;="&amp;$J1239,'Hours Log'!$A:$A,"&lt;"&amp;$J1239+7))</f>
        <v/>
      </c>
      <c r="D1239" t="str">
        <f>IF($J1239="","",SUMIFS('Hours Log'!$D:$D,'Hours Log'!$A:$A,"&gt;="&amp;$J1239,'Hours Log'!$A:$A,"&lt;"&amp;$J1239+7))</f>
        <v/>
      </c>
      <c r="E1239" t="str">
        <f t="shared" si="38"/>
        <v/>
      </c>
      <c r="F1239" t="str">
        <f t="shared" si="39"/>
        <v/>
      </c>
      <c r="G1239" t="str">
        <f>IF($J1239="","",SUMIFS('Hours Log'!$E:$E,'Hours Log'!$A:$A,"&gt;="&amp;$J1239,'Hours Log'!$A:$A,"&lt;"&amp;$J1239+7))</f>
        <v/>
      </c>
      <c r="J1239" t="str">
        <f>IF(COUNT('Hours Log'!$A$4:$A$5000)=0,"",IF(MIN('Hours Log'!$A$4:$A$5000)+7*(ROW()-10)&gt;MAX('Hours Log'!$A$4:$A$5000),"",MIN('Hours Log'!$A$4:$A$5000)+7*(ROW()-10)))</f>
        <v/>
      </c>
    </row>
    <row r="1240" spans="1:10" x14ac:dyDescent="0.25">
      <c r="A1240" t="str">
        <f>IF($J1240="","",YEAR($J1240-WEEKDAY($J1240,2)+4)&amp;"-W"&amp;TEXT(_xludf.ISOWEEKNUM($J1240),"00"))</f>
        <v/>
      </c>
      <c r="B1240"/>
      <c r="C1240" t="str">
        <f>IF($J1240="","",SUMIFS('Hours Log'!$C:$C,'Hours Log'!$A:$A,"&gt;="&amp;$J1240,'Hours Log'!$A:$A,"&lt;"&amp;$J1240+7)+SUMIFS('Hours Log'!$D:$D,'Hours Log'!$A:$A,"&gt;="&amp;$J1240,'Hours Log'!$A:$A,"&lt;"&amp;$J1240+7))</f>
        <v/>
      </c>
      <c r="D1240" t="str">
        <f>IF($J1240="","",SUMIFS('Hours Log'!$D:$D,'Hours Log'!$A:$A,"&gt;="&amp;$J1240,'Hours Log'!$A:$A,"&lt;"&amp;$J1240+7))</f>
        <v/>
      </c>
      <c r="E1240" t="str">
        <f t="shared" si="38"/>
        <v/>
      </c>
      <c r="F1240" t="str">
        <f t="shared" si="39"/>
        <v/>
      </c>
      <c r="G1240" t="str">
        <f>IF($J1240="","",SUMIFS('Hours Log'!$E:$E,'Hours Log'!$A:$A,"&gt;="&amp;$J1240,'Hours Log'!$A:$A,"&lt;"&amp;$J1240+7))</f>
        <v/>
      </c>
      <c r="J1240" t="str">
        <f>IF(COUNT('Hours Log'!$A$4:$A$5000)=0,"",IF(MIN('Hours Log'!$A$4:$A$5000)+7*(ROW()-10)&gt;MAX('Hours Log'!$A$4:$A$5000),"",MIN('Hours Log'!$A$4:$A$5000)+7*(ROW()-10)))</f>
        <v/>
      </c>
    </row>
    <row r="1241" spans="1:10" x14ac:dyDescent="0.25">
      <c r="A1241" t="str">
        <f>IF($J1241="","",YEAR($J1241-WEEKDAY($J1241,2)+4)&amp;"-W"&amp;TEXT(_xludf.ISOWEEKNUM($J1241),"00"))</f>
        <v/>
      </c>
      <c r="B1241"/>
      <c r="C1241" t="str">
        <f>IF($J1241="","",SUMIFS('Hours Log'!$C:$C,'Hours Log'!$A:$A,"&gt;="&amp;$J1241,'Hours Log'!$A:$A,"&lt;"&amp;$J1241+7)+SUMIFS('Hours Log'!$D:$D,'Hours Log'!$A:$A,"&gt;="&amp;$J1241,'Hours Log'!$A:$A,"&lt;"&amp;$J1241+7))</f>
        <v/>
      </c>
      <c r="D1241" t="str">
        <f>IF($J1241="","",SUMIFS('Hours Log'!$D:$D,'Hours Log'!$A:$A,"&gt;="&amp;$J1241,'Hours Log'!$A:$A,"&lt;"&amp;$J1241+7))</f>
        <v/>
      </c>
      <c r="E1241" t="str">
        <f t="shared" si="38"/>
        <v/>
      </c>
      <c r="F1241" t="str">
        <f t="shared" si="39"/>
        <v/>
      </c>
      <c r="G1241" t="str">
        <f>IF($J1241="","",SUMIFS('Hours Log'!$E:$E,'Hours Log'!$A:$A,"&gt;="&amp;$J1241,'Hours Log'!$A:$A,"&lt;"&amp;$J1241+7))</f>
        <v/>
      </c>
      <c r="J1241" t="str">
        <f>IF(COUNT('Hours Log'!$A$4:$A$5000)=0,"",IF(MIN('Hours Log'!$A$4:$A$5000)+7*(ROW()-10)&gt;MAX('Hours Log'!$A$4:$A$5000),"",MIN('Hours Log'!$A$4:$A$5000)+7*(ROW()-10)))</f>
        <v/>
      </c>
    </row>
    <row r="1242" spans="1:10" x14ac:dyDescent="0.25">
      <c r="A1242" t="str">
        <f>IF($J1242="","",YEAR($J1242-WEEKDAY($J1242,2)+4)&amp;"-W"&amp;TEXT(_xludf.ISOWEEKNUM($J1242),"00"))</f>
        <v/>
      </c>
      <c r="B1242"/>
      <c r="C1242" t="str">
        <f>IF($J1242="","",SUMIFS('Hours Log'!$C:$C,'Hours Log'!$A:$A,"&gt;="&amp;$J1242,'Hours Log'!$A:$A,"&lt;"&amp;$J1242+7)+SUMIFS('Hours Log'!$D:$D,'Hours Log'!$A:$A,"&gt;="&amp;$J1242,'Hours Log'!$A:$A,"&lt;"&amp;$J1242+7))</f>
        <v/>
      </c>
      <c r="D1242" t="str">
        <f>IF($J1242="","",SUMIFS('Hours Log'!$D:$D,'Hours Log'!$A:$A,"&gt;="&amp;$J1242,'Hours Log'!$A:$A,"&lt;"&amp;$J1242+7))</f>
        <v/>
      </c>
      <c r="E1242" t="str">
        <f t="shared" si="38"/>
        <v/>
      </c>
      <c r="F1242" t="str">
        <f t="shared" si="39"/>
        <v/>
      </c>
      <c r="G1242" t="str">
        <f>IF($J1242="","",SUMIFS('Hours Log'!$E:$E,'Hours Log'!$A:$A,"&gt;="&amp;$J1242,'Hours Log'!$A:$A,"&lt;"&amp;$J1242+7))</f>
        <v/>
      </c>
      <c r="J1242" t="str">
        <f>IF(COUNT('Hours Log'!$A$4:$A$5000)=0,"",IF(MIN('Hours Log'!$A$4:$A$5000)+7*(ROW()-10)&gt;MAX('Hours Log'!$A$4:$A$5000),"",MIN('Hours Log'!$A$4:$A$5000)+7*(ROW()-10)))</f>
        <v/>
      </c>
    </row>
    <row r="1243" spans="1:10" x14ac:dyDescent="0.25">
      <c r="A1243" t="str">
        <f>IF($J1243="","",YEAR($J1243-WEEKDAY($J1243,2)+4)&amp;"-W"&amp;TEXT(_xludf.ISOWEEKNUM($J1243),"00"))</f>
        <v/>
      </c>
      <c r="B1243"/>
      <c r="C1243" t="str">
        <f>IF($J1243="","",SUMIFS('Hours Log'!$C:$C,'Hours Log'!$A:$A,"&gt;="&amp;$J1243,'Hours Log'!$A:$A,"&lt;"&amp;$J1243+7)+SUMIFS('Hours Log'!$D:$D,'Hours Log'!$A:$A,"&gt;="&amp;$J1243,'Hours Log'!$A:$A,"&lt;"&amp;$J1243+7))</f>
        <v/>
      </c>
      <c r="D1243" t="str">
        <f>IF($J1243="","",SUMIFS('Hours Log'!$D:$D,'Hours Log'!$A:$A,"&gt;="&amp;$J1243,'Hours Log'!$A:$A,"&lt;"&amp;$J1243+7))</f>
        <v/>
      </c>
      <c r="E1243" t="str">
        <f t="shared" si="38"/>
        <v/>
      </c>
      <c r="F1243" t="str">
        <f t="shared" si="39"/>
        <v/>
      </c>
      <c r="G1243" t="str">
        <f>IF($J1243="","",SUMIFS('Hours Log'!$E:$E,'Hours Log'!$A:$A,"&gt;="&amp;$J1243,'Hours Log'!$A:$A,"&lt;"&amp;$J1243+7))</f>
        <v/>
      </c>
      <c r="J1243" t="str">
        <f>IF(COUNT('Hours Log'!$A$4:$A$5000)=0,"",IF(MIN('Hours Log'!$A$4:$A$5000)+7*(ROW()-10)&gt;MAX('Hours Log'!$A$4:$A$5000),"",MIN('Hours Log'!$A$4:$A$5000)+7*(ROW()-10)))</f>
        <v/>
      </c>
    </row>
    <row r="1244" spans="1:10" x14ac:dyDescent="0.25">
      <c r="A1244" t="str">
        <f>IF($J1244="","",YEAR($J1244-WEEKDAY($J1244,2)+4)&amp;"-W"&amp;TEXT(_xludf.ISOWEEKNUM($J1244),"00"))</f>
        <v/>
      </c>
      <c r="B1244"/>
      <c r="C1244" t="str">
        <f>IF($J1244="","",SUMIFS('Hours Log'!$C:$C,'Hours Log'!$A:$A,"&gt;="&amp;$J1244,'Hours Log'!$A:$A,"&lt;"&amp;$J1244+7)+SUMIFS('Hours Log'!$D:$D,'Hours Log'!$A:$A,"&gt;="&amp;$J1244,'Hours Log'!$A:$A,"&lt;"&amp;$J1244+7))</f>
        <v/>
      </c>
      <c r="D1244" t="str">
        <f>IF($J1244="","",SUMIFS('Hours Log'!$D:$D,'Hours Log'!$A:$A,"&gt;="&amp;$J1244,'Hours Log'!$A:$A,"&lt;"&amp;$J1244+7))</f>
        <v/>
      </c>
      <c r="E1244" t="str">
        <f t="shared" si="38"/>
        <v/>
      </c>
      <c r="F1244" t="str">
        <f t="shared" si="39"/>
        <v/>
      </c>
      <c r="G1244" t="str">
        <f>IF($J1244="","",SUMIFS('Hours Log'!$E:$E,'Hours Log'!$A:$A,"&gt;="&amp;$J1244,'Hours Log'!$A:$A,"&lt;"&amp;$J1244+7))</f>
        <v/>
      </c>
      <c r="J1244" t="str">
        <f>IF(COUNT('Hours Log'!$A$4:$A$5000)=0,"",IF(MIN('Hours Log'!$A$4:$A$5000)+7*(ROW()-10)&gt;MAX('Hours Log'!$A$4:$A$5000),"",MIN('Hours Log'!$A$4:$A$5000)+7*(ROW()-10)))</f>
        <v/>
      </c>
    </row>
    <row r="1245" spans="1:10" x14ac:dyDescent="0.25">
      <c r="A1245" t="str">
        <f>IF($J1245="","",YEAR($J1245-WEEKDAY($J1245,2)+4)&amp;"-W"&amp;TEXT(_xludf.ISOWEEKNUM($J1245),"00"))</f>
        <v/>
      </c>
      <c r="B1245"/>
      <c r="C1245" t="str">
        <f>IF($J1245="","",SUMIFS('Hours Log'!$C:$C,'Hours Log'!$A:$A,"&gt;="&amp;$J1245,'Hours Log'!$A:$A,"&lt;"&amp;$J1245+7)+SUMIFS('Hours Log'!$D:$D,'Hours Log'!$A:$A,"&gt;="&amp;$J1245,'Hours Log'!$A:$A,"&lt;"&amp;$J1245+7))</f>
        <v/>
      </c>
      <c r="D1245" t="str">
        <f>IF($J1245="","",SUMIFS('Hours Log'!$D:$D,'Hours Log'!$A:$A,"&gt;="&amp;$J1245,'Hours Log'!$A:$A,"&lt;"&amp;$J1245+7))</f>
        <v/>
      </c>
      <c r="E1245" t="str">
        <f t="shared" si="38"/>
        <v/>
      </c>
      <c r="F1245" t="str">
        <f t="shared" si="39"/>
        <v/>
      </c>
      <c r="G1245" t="str">
        <f>IF($J1245="","",SUMIFS('Hours Log'!$E:$E,'Hours Log'!$A:$A,"&gt;="&amp;$J1245,'Hours Log'!$A:$A,"&lt;"&amp;$J1245+7))</f>
        <v/>
      </c>
      <c r="J1245" t="str">
        <f>IF(COUNT('Hours Log'!$A$4:$A$5000)=0,"",IF(MIN('Hours Log'!$A$4:$A$5000)+7*(ROW()-10)&gt;MAX('Hours Log'!$A$4:$A$5000),"",MIN('Hours Log'!$A$4:$A$5000)+7*(ROW()-10)))</f>
        <v/>
      </c>
    </row>
    <row r="1246" spans="1:10" x14ac:dyDescent="0.25">
      <c r="A1246" t="str">
        <f>IF($J1246="","",YEAR($J1246-WEEKDAY($J1246,2)+4)&amp;"-W"&amp;TEXT(_xludf.ISOWEEKNUM($J1246),"00"))</f>
        <v/>
      </c>
      <c r="B1246"/>
      <c r="C1246" t="str">
        <f>IF($J1246="","",SUMIFS('Hours Log'!$C:$C,'Hours Log'!$A:$A,"&gt;="&amp;$J1246,'Hours Log'!$A:$A,"&lt;"&amp;$J1246+7)+SUMIFS('Hours Log'!$D:$D,'Hours Log'!$A:$A,"&gt;="&amp;$J1246,'Hours Log'!$A:$A,"&lt;"&amp;$J1246+7))</f>
        <v/>
      </c>
      <c r="D1246" t="str">
        <f>IF($J1246="","",SUMIFS('Hours Log'!$D:$D,'Hours Log'!$A:$A,"&gt;="&amp;$J1246,'Hours Log'!$A:$A,"&lt;"&amp;$J1246+7))</f>
        <v/>
      </c>
      <c r="E1246" t="str">
        <f t="shared" si="38"/>
        <v/>
      </c>
      <c r="F1246" t="str">
        <f t="shared" si="39"/>
        <v/>
      </c>
      <c r="G1246" t="str">
        <f>IF($J1246="","",SUMIFS('Hours Log'!$E:$E,'Hours Log'!$A:$A,"&gt;="&amp;$J1246,'Hours Log'!$A:$A,"&lt;"&amp;$J1246+7))</f>
        <v/>
      </c>
      <c r="J1246" t="str">
        <f>IF(COUNT('Hours Log'!$A$4:$A$5000)=0,"",IF(MIN('Hours Log'!$A$4:$A$5000)+7*(ROW()-10)&gt;MAX('Hours Log'!$A$4:$A$5000),"",MIN('Hours Log'!$A$4:$A$5000)+7*(ROW()-10)))</f>
        <v/>
      </c>
    </row>
    <row r="1247" spans="1:10" x14ac:dyDescent="0.25">
      <c r="A1247" t="str">
        <f>IF($J1247="","",YEAR($J1247-WEEKDAY($J1247,2)+4)&amp;"-W"&amp;TEXT(_xludf.ISOWEEKNUM($J1247),"00"))</f>
        <v/>
      </c>
      <c r="B1247"/>
      <c r="C1247" t="str">
        <f>IF($J1247="","",SUMIFS('Hours Log'!$C:$C,'Hours Log'!$A:$A,"&gt;="&amp;$J1247,'Hours Log'!$A:$A,"&lt;"&amp;$J1247+7)+SUMIFS('Hours Log'!$D:$D,'Hours Log'!$A:$A,"&gt;="&amp;$J1247,'Hours Log'!$A:$A,"&lt;"&amp;$J1247+7))</f>
        <v/>
      </c>
      <c r="D1247" t="str">
        <f>IF($J1247="","",SUMIFS('Hours Log'!$D:$D,'Hours Log'!$A:$A,"&gt;="&amp;$J1247,'Hours Log'!$A:$A,"&lt;"&amp;$J1247+7))</f>
        <v/>
      </c>
      <c r="E1247" t="str">
        <f t="shared" si="38"/>
        <v/>
      </c>
      <c r="F1247" t="str">
        <f t="shared" si="39"/>
        <v/>
      </c>
      <c r="G1247" t="str">
        <f>IF($J1247="","",SUMIFS('Hours Log'!$E:$E,'Hours Log'!$A:$A,"&gt;="&amp;$J1247,'Hours Log'!$A:$A,"&lt;"&amp;$J1247+7))</f>
        <v/>
      </c>
      <c r="J1247" t="str">
        <f>IF(COUNT('Hours Log'!$A$4:$A$5000)=0,"",IF(MIN('Hours Log'!$A$4:$A$5000)+7*(ROW()-10)&gt;MAX('Hours Log'!$A$4:$A$5000),"",MIN('Hours Log'!$A$4:$A$5000)+7*(ROW()-10)))</f>
        <v/>
      </c>
    </row>
    <row r="1248" spans="1:10" x14ac:dyDescent="0.25">
      <c r="A1248" t="str">
        <f>IF($J1248="","",YEAR($J1248-WEEKDAY($J1248,2)+4)&amp;"-W"&amp;TEXT(_xludf.ISOWEEKNUM($J1248),"00"))</f>
        <v/>
      </c>
      <c r="B1248"/>
      <c r="C1248" t="str">
        <f>IF($J1248="","",SUMIFS('Hours Log'!$C:$C,'Hours Log'!$A:$A,"&gt;="&amp;$J1248,'Hours Log'!$A:$A,"&lt;"&amp;$J1248+7)+SUMIFS('Hours Log'!$D:$D,'Hours Log'!$A:$A,"&gt;="&amp;$J1248,'Hours Log'!$A:$A,"&lt;"&amp;$J1248+7))</f>
        <v/>
      </c>
      <c r="D1248" t="str">
        <f>IF($J1248="","",SUMIFS('Hours Log'!$D:$D,'Hours Log'!$A:$A,"&gt;="&amp;$J1248,'Hours Log'!$A:$A,"&lt;"&amp;$J1248+7))</f>
        <v/>
      </c>
      <c r="E1248" t="str">
        <f t="shared" si="38"/>
        <v/>
      </c>
      <c r="F1248" t="str">
        <f t="shared" si="39"/>
        <v/>
      </c>
      <c r="G1248" t="str">
        <f>IF($J1248="","",SUMIFS('Hours Log'!$E:$E,'Hours Log'!$A:$A,"&gt;="&amp;$J1248,'Hours Log'!$A:$A,"&lt;"&amp;$J1248+7))</f>
        <v/>
      </c>
      <c r="J1248" t="str">
        <f>IF(COUNT('Hours Log'!$A$4:$A$5000)=0,"",IF(MIN('Hours Log'!$A$4:$A$5000)+7*(ROW()-10)&gt;MAX('Hours Log'!$A$4:$A$5000),"",MIN('Hours Log'!$A$4:$A$5000)+7*(ROW()-10)))</f>
        <v/>
      </c>
    </row>
    <row r="1249" spans="1:10" x14ac:dyDescent="0.25">
      <c r="A1249" t="str">
        <f>IF($J1249="","",YEAR($J1249-WEEKDAY($J1249,2)+4)&amp;"-W"&amp;TEXT(_xludf.ISOWEEKNUM($J1249),"00"))</f>
        <v/>
      </c>
      <c r="B1249"/>
      <c r="C1249" t="str">
        <f>IF($J1249="","",SUMIFS('Hours Log'!$C:$C,'Hours Log'!$A:$A,"&gt;="&amp;$J1249,'Hours Log'!$A:$A,"&lt;"&amp;$J1249+7)+SUMIFS('Hours Log'!$D:$D,'Hours Log'!$A:$A,"&gt;="&amp;$J1249,'Hours Log'!$A:$A,"&lt;"&amp;$J1249+7))</f>
        <v/>
      </c>
      <c r="D1249" t="str">
        <f>IF($J1249="","",SUMIFS('Hours Log'!$D:$D,'Hours Log'!$A:$A,"&gt;="&amp;$J1249,'Hours Log'!$A:$A,"&lt;"&amp;$J1249+7))</f>
        <v/>
      </c>
      <c r="E1249" t="str">
        <f t="shared" si="38"/>
        <v/>
      </c>
      <c r="F1249" t="str">
        <f t="shared" si="39"/>
        <v/>
      </c>
      <c r="G1249" t="str">
        <f>IF($J1249="","",SUMIFS('Hours Log'!$E:$E,'Hours Log'!$A:$A,"&gt;="&amp;$J1249,'Hours Log'!$A:$A,"&lt;"&amp;$J1249+7))</f>
        <v/>
      </c>
      <c r="J1249" t="str">
        <f>IF(COUNT('Hours Log'!$A$4:$A$5000)=0,"",IF(MIN('Hours Log'!$A$4:$A$5000)+7*(ROW()-10)&gt;MAX('Hours Log'!$A$4:$A$5000),"",MIN('Hours Log'!$A$4:$A$5000)+7*(ROW()-10)))</f>
        <v/>
      </c>
    </row>
    <row r="1250" spans="1:10" x14ac:dyDescent="0.25">
      <c r="A1250" t="str">
        <f>IF($J1250="","",YEAR($J1250-WEEKDAY($J1250,2)+4)&amp;"-W"&amp;TEXT(_xludf.ISOWEEKNUM($J1250),"00"))</f>
        <v/>
      </c>
      <c r="B1250"/>
      <c r="C1250" t="str">
        <f>IF($J1250="","",SUMIFS('Hours Log'!$C:$C,'Hours Log'!$A:$A,"&gt;="&amp;$J1250,'Hours Log'!$A:$A,"&lt;"&amp;$J1250+7)+SUMIFS('Hours Log'!$D:$D,'Hours Log'!$A:$A,"&gt;="&amp;$J1250,'Hours Log'!$A:$A,"&lt;"&amp;$J1250+7))</f>
        <v/>
      </c>
      <c r="D1250" t="str">
        <f>IF($J1250="","",SUMIFS('Hours Log'!$D:$D,'Hours Log'!$A:$A,"&gt;="&amp;$J1250,'Hours Log'!$A:$A,"&lt;"&amp;$J1250+7))</f>
        <v/>
      </c>
      <c r="E1250" t="str">
        <f t="shared" si="38"/>
        <v/>
      </c>
      <c r="F1250" t="str">
        <f t="shared" si="39"/>
        <v/>
      </c>
      <c r="G1250" t="str">
        <f>IF($J1250="","",SUMIFS('Hours Log'!$E:$E,'Hours Log'!$A:$A,"&gt;="&amp;$J1250,'Hours Log'!$A:$A,"&lt;"&amp;$J1250+7))</f>
        <v/>
      </c>
      <c r="J1250" t="str">
        <f>IF(COUNT('Hours Log'!$A$4:$A$5000)=0,"",IF(MIN('Hours Log'!$A$4:$A$5000)+7*(ROW()-10)&gt;MAX('Hours Log'!$A$4:$A$5000),"",MIN('Hours Log'!$A$4:$A$5000)+7*(ROW()-10)))</f>
        <v/>
      </c>
    </row>
    <row r="1251" spans="1:10" x14ac:dyDescent="0.25">
      <c r="A1251" t="str">
        <f>IF($J1251="","",YEAR($J1251-WEEKDAY($J1251,2)+4)&amp;"-W"&amp;TEXT(_xludf.ISOWEEKNUM($J1251),"00"))</f>
        <v/>
      </c>
      <c r="B1251"/>
      <c r="C1251" t="str">
        <f>IF($J1251="","",SUMIFS('Hours Log'!$C:$C,'Hours Log'!$A:$A,"&gt;="&amp;$J1251,'Hours Log'!$A:$A,"&lt;"&amp;$J1251+7)+SUMIFS('Hours Log'!$D:$D,'Hours Log'!$A:$A,"&gt;="&amp;$J1251,'Hours Log'!$A:$A,"&lt;"&amp;$J1251+7))</f>
        <v/>
      </c>
      <c r="D1251" t="str">
        <f>IF($J1251="","",SUMIFS('Hours Log'!$D:$D,'Hours Log'!$A:$A,"&gt;="&amp;$J1251,'Hours Log'!$A:$A,"&lt;"&amp;$J1251+7))</f>
        <v/>
      </c>
      <c r="E1251" t="str">
        <f t="shared" si="38"/>
        <v/>
      </c>
      <c r="F1251" t="str">
        <f t="shared" si="39"/>
        <v/>
      </c>
      <c r="G1251" t="str">
        <f>IF($J1251="","",SUMIFS('Hours Log'!$E:$E,'Hours Log'!$A:$A,"&gt;="&amp;$J1251,'Hours Log'!$A:$A,"&lt;"&amp;$J1251+7))</f>
        <v/>
      </c>
      <c r="J1251" t="str">
        <f>IF(COUNT('Hours Log'!$A$4:$A$5000)=0,"",IF(MIN('Hours Log'!$A$4:$A$5000)+7*(ROW()-10)&gt;MAX('Hours Log'!$A$4:$A$5000),"",MIN('Hours Log'!$A$4:$A$5000)+7*(ROW()-10)))</f>
        <v/>
      </c>
    </row>
    <row r="1252" spans="1:10" x14ac:dyDescent="0.25">
      <c r="A1252" t="str">
        <f>IF($J1252="","",YEAR($J1252-WEEKDAY($J1252,2)+4)&amp;"-W"&amp;TEXT(_xludf.ISOWEEKNUM($J1252),"00"))</f>
        <v/>
      </c>
      <c r="B1252"/>
      <c r="C1252" t="str">
        <f>IF($J1252="","",SUMIFS('Hours Log'!$C:$C,'Hours Log'!$A:$A,"&gt;="&amp;$J1252,'Hours Log'!$A:$A,"&lt;"&amp;$J1252+7)+SUMIFS('Hours Log'!$D:$D,'Hours Log'!$A:$A,"&gt;="&amp;$J1252,'Hours Log'!$A:$A,"&lt;"&amp;$J1252+7))</f>
        <v/>
      </c>
      <c r="D1252" t="str">
        <f>IF($J1252="","",SUMIFS('Hours Log'!$D:$D,'Hours Log'!$A:$A,"&gt;="&amp;$J1252,'Hours Log'!$A:$A,"&lt;"&amp;$J1252+7))</f>
        <v/>
      </c>
      <c r="E1252" t="str">
        <f t="shared" si="38"/>
        <v/>
      </c>
      <c r="F1252" t="str">
        <f t="shared" si="39"/>
        <v/>
      </c>
      <c r="G1252" t="str">
        <f>IF($J1252="","",SUMIFS('Hours Log'!$E:$E,'Hours Log'!$A:$A,"&gt;="&amp;$J1252,'Hours Log'!$A:$A,"&lt;"&amp;$J1252+7))</f>
        <v/>
      </c>
      <c r="J1252" t="str">
        <f>IF(COUNT('Hours Log'!$A$4:$A$5000)=0,"",IF(MIN('Hours Log'!$A$4:$A$5000)+7*(ROW()-10)&gt;MAX('Hours Log'!$A$4:$A$5000),"",MIN('Hours Log'!$A$4:$A$5000)+7*(ROW()-10)))</f>
        <v/>
      </c>
    </row>
    <row r="1253" spans="1:10" x14ac:dyDescent="0.25">
      <c r="A1253" t="str">
        <f>IF($J1253="","",YEAR($J1253-WEEKDAY($J1253,2)+4)&amp;"-W"&amp;TEXT(_xludf.ISOWEEKNUM($J1253),"00"))</f>
        <v/>
      </c>
      <c r="B1253"/>
      <c r="C1253" t="str">
        <f>IF($J1253="","",SUMIFS('Hours Log'!$C:$C,'Hours Log'!$A:$A,"&gt;="&amp;$J1253,'Hours Log'!$A:$A,"&lt;"&amp;$J1253+7)+SUMIFS('Hours Log'!$D:$D,'Hours Log'!$A:$A,"&gt;="&amp;$J1253,'Hours Log'!$A:$A,"&lt;"&amp;$J1253+7))</f>
        <v/>
      </c>
      <c r="D1253" t="str">
        <f>IF($J1253="","",SUMIFS('Hours Log'!$D:$D,'Hours Log'!$A:$A,"&gt;="&amp;$J1253,'Hours Log'!$A:$A,"&lt;"&amp;$J1253+7))</f>
        <v/>
      </c>
      <c r="E1253" t="str">
        <f t="shared" si="38"/>
        <v/>
      </c>
      <c r="F1253" t="str">
        <f t="shared" si="39"/>
        <v/>
      </c>
      <c r="G1253" t="str">
        <f>IF($J1253="","",SUMIFS('Hours Log'!$E:$E,'Hours Log'!$A:$A,"&gt;="&amp;$J1253,'Hours Log'!$A:$A,"&lt;"&amp;$J1253+7))</f>
        <v/>
      </c>
      <c r="J1253" t="str">
        <f>IF(COUNT('Hours Log'!$A$4:$A$5000)=0,"",IF(MIN('Hours Log'!$A$4:$A$5000)+7*(ROW()-10)&gt;MAX('Hours Log'!$A$4:$A$5000),"",MIN('Hours Log'!$A$4:$A$5000)+7*(ROW()-10)))</f>
        <v/>
      </c>
    </row>
    <row r="1254" spans="1:10" x14ac:dyDescent="0.25">
      <c r="A1254" t="str">
        <f>IF($J1254="","",YEAR($J1254-WEEKDAY($J1254,2)+4)&amp;"-W"&amp;TEXT(_xludf.ISOWEEKNUM($J1254),"00"))</f>
        <v/>
      </c>
      <c r="B1254"/>
      <c r="C1254" t="str">
        <f>IF($J1254="","",SUMIFS('Hours Log'!$C:$C,'Hours Log'!$A:$A,"&gt;="&amp;$J1254,'Hours Log'!$A:$A,"&lt;"&amp;$J1254+7)+SUMIFS('Hours Log'!$D:$D,'Hours Log'!$A:$A,"&gt;="&amp;$J1254,'Hours Log'!$A:$A,"&lt;"&amp;$J1254+7))</f>
        <v/>
      </c>
      <c r="D1254" t="str">
        <f>IF($J1254="","",SUMIFS('Hours Log'!$D:$D,'Hours Log'!$A:$A,"&gt;="&amp;$J1254,'Hours Log'!$A:$A,"&lt;"&amp;$J1254+7))</f>
        <v/>
      </c>
      <c r="E1254" t="str">
        <f t="shared" si="38"/>
        <v/>
      </c>
      <c r="F1254" t="str">
        <f t="shared" si="39"/>
        <v/>
      </c>
      <c r="G1254" t="str">
        <f>IF($J1254="","",SUMIFS('Hours Log'!$E:$E,'Hours Log'!$A:$A,"&gt;="&amp;$J1254,'Hours Log'!$A:$A,"&lt;"&amp;$J1254+7))</f>
        <v/>
      </c>
      <c r="J1254" t="str">
        <f>IF(COUNT('Hours Log'!$A$4:$A$5000)=0,"",IF(MIN('Hours Log'!$A$4:$A$5000)+7*(ROW()-10)&gt;MAX('Hours Log'!$A$4:$A$5000),"",MIN('Hours Log'!$A$4:$A$5000)+7*(ROW()-10)))</f>
        <v/>
      </c>
    </row>
    <row r="1255" spans="1:10" x14ac:dyDescent="0.25">
      <c r="A1255" t="str">
        <f>IF($J1255="","",YEAR($J1255-WEEKDAY($J1255,2)+4)&amp;"-W"&amp;TEXT(_xludf.ISOWEEKNUM($J1255),"00"))</f>
        <v/>
      </c>
      <c r="B1255"/>
      <c r="C1255" t="str">
        <f>IF($J1255="","",SUMIFS('Hours Log'!$C:$C,'Hours Log'!$A:$A,"&gt;="&amp;$J1255,'Hours Log'!$A:$A,"&lt;"&amp;$J1255+7)+SUMIFS('Hours Log'!$D:$D,'Hours Log'!$A:$A,"&gt;="&amp;$J1255,'Hours Log'!$A:$A,"&lt;"&amp;$J1255+7))</f>
        <v/>
      </c>
      <c r="D1255" t="str">
        <f>IF($J1255="","",SUMIFS('Hours Log'!$D:$D,'Hours Log'!$A:$A,"&gt;="&amp;$J1255,'Hours Log'!$A:$A,"&lt;"&amp;$J1255+7))</f>
        <v/>
      </c>
      <c r="E1255" t="str">
        <f t="shared" si="38"/>
        <v/>
      </c>
      <c r="F1255" t="str">
        <f t="shared" si="39"/>
        <v/>
      </c>
      <c r="G1255" t="str">
        <f>IF($J1255="","",SUMIFS('Hours Log'!$E:$E,'Hours Log'!$A:$A,"&gt;="&amp;$J1255,'Hours Log'!$A:$A,"&lt;"&amp;$J1255+7))</f>
        <v/>
      </c>
      <c r="J1255" t="str">
        <f>IF(COUNT('Hours Log'!$A$4:$A$5000)=0,"",IF(MIN('Hours Log'!$A$4:$A$5000)+7*(ROW()-10)&gt;MAX('Hours Log'!$A$4:$A$5000),"",MIN('Hours Log'!$A$4:$A$5000)+7*(ROW()-10)))</f>
        <v/>
      </c>
    </row>
    <row r="1256" spans="1:10" x14ac:dyDescent="0.25">
      <c r="A1256" t="str">
        <f>IF($J1256="","",YEAR($J1256-WEEKDAY($J1256,2)+4)&amp;"-W"&amp;TEXT(_xludf.ISOWEEKNUM($J1256),"00"))</f>
        <v/>
      </c>
      <c r="B1256"/>
      <c r="C1256" t="str">
        <f>IF($J1256="","",SUMIFS('Hours Log'!$C:$C,'Hours Log'!$A:$A,"&gt;="&amp;$J1256,'Hours Log'!$A:$A,"&lt;"&amp;$J1256+7)+SUMIFS('Hours Log'!$D:$D,'Hours Log'!$A:$A,"&gt;="&amp;$J1256,'Hours Log'!$A:$A,"&lt;"&amp;$J1256+7))</f>
        <v/>
      </c>
      <c r="D1256" t="str">
        <f>IF($J1256="","",SUMIFS('Hours Log'!$D:$D,'Hours Log'!$A:$A,"&gt;="&amp;$J1256,'Hours Log'!$A:$A,"&lt;"&amp;$J1256+7))</f>
        <v/>
      </c>
      <c r="E1256" t="str">
        <f t="shared" si="38"/>
        <v/>
      </c>
      <c r="F1256" t="str">
        <f t="shared" si="39"/>
        <v/>
      </c>
      <c r="G1256" t="str">
        <f>IF($J1256="","",SUMIFS('Hours Log'!$E:$E,'Hours Log'!$A:$A,"&gt;="&amp;$J1256,'Hours Log'!$A:$A,"&lt;"&amp;$J1256+7))</f>
        <v/>
      </c>
      <c r="J1256" t="str">
        <f>IF(COUNT('Hours Log'!$A$4:$A$5000)=0,"",IF(MIN('Hours Log'!$A$4:$A$5000)+7*(ROW()-10)&gt;MAX('Hours Log'!$A$4:$A$5000),"",MIN('Hours Log'!$A$4:$A$5000)+7*(ROW()-10)))</f>
        <v/>
      </c>
    </row>
    <row r="1257" spans="1:10" x14ac:dyDescent="0.25">
      <c r="A1257" t="str">
        <f>IF($J1257="","",YEAR($J1257-WEEKDAY($J1257,2)+4)&amp;"-W"&amp;TEXT(_xludf.ISOWEEKNUM($J1257),"00"))</f>
        <v/>
      </c>
      <c r="B1257"/>
      <c r="C1257" t="str">
        <f>IF($J1257="","",SUMIFS('Hours Log'!$C:$C,'Hours Log'!$A:$A,"&gt;="&amp;$J1257,'Hours Log'!$A:$A,"&lt;"&amp;$J1257+7)+SUMIFS('Hours Log'!$D:$D,'Hours Log'!$A:$A,"&gt;="&amp;$J1257,'Hours Log'!$A:$A,"&lt;"&amp;$J1257+7))</f>
        <v/>
      </c>
      <c r="D1257" t="str">
        <f>IF($J1257="","",SUMIFS('Hours Log'!$D:$D,'Hours Log'!$A:$A,"&gt;="&amp;$J1257,'Hours Log'!$A:$A,"&lt;"&amp;$J1257+7))</f>
        <v/>
      </c>
      <c r="E1257" t="str">
        <f t="shared" si="38"/>
        <v/>
      </c>
      <c r="F1257" t="str">
        <f t="shared" si="39"/>
        <v/>
      </c>
      <c r="G1257" t="str">
        <f>IF($J1257="","",SUMIFS('Hours Log'!$E:$E,'Hours Log'!$A:$A,"&gt;="&amp;$J1257,'Hours Log'!$A:$A,"&lt;"&amp;$J1257+7))</f>
        <v/>
      </c>
      <c r="J1257" t="str">
        <f>IF(COUNT('Hours Log'!$A$4:$A$5000)=0,"",IF(MIN('Hours Log'!$A$4:$A$5000)+7*(ROW()-10)&gt;MAX('Hours Log'!$A$4:$A$5000),"",MIN('Hours Log'!$A$4:$A$5000)+7*(ROW()-10)))</f>
        <v/>
      </c>
    </row>
    <row r="1258" spans="1:10" x14ac:dyDescent="0.25">
      <c r="A1258" t="str">
        <f>IF($J1258="","",YEAR($J1258-WEEKDAY($J1258,2)+4)&amp;"-W"&amp;TEXT(_xludf.ISOWEEKNUM($J1258),"00"))</f>
        <v/>
      </c>
      <c r="B1258"/>
      <c r="C1258" t="str">
        <f>IF($J1258="","",SUMIFS('Hours Log'!$C:$C,'Hours Log'!$A:$A,"&gt;="&amp;$J1258,'Hours Log'!$A:$A,"&lt;"&amp;$J1258+7)+SUMIFS('Hours Log'!$D:$D,'Hours Log'!$A:$A,"&gt;="&amp;$J1258,'Hours Log'!$A:$A,"&lt;"&amp;$J1258+7))</f>
        <v/>
      </c>
      <c r="D1258" t="str">
        <f>IF($J1258="","",SUMIFS('Hours Log'!$D:$D,'Hours Log'!$A:$A,"&gt;="&amp;$J1258,'Hours Log'!$A:$A,"&lt;"&amp;$J1258+7))</f>
        <v/>
      </c>
      <c r="E1258" t="str">
        <f t="shared" si="38"/>
        <v/>
      </c>
      <c r="F1258" t="str">
        <f t="shared" si="39"/>
        <v/>
      </c>
      <c r="G1258" t="str">
        <f>IF($J1258="","",SUMIFS('Hours Log'!$E:$E,'Hours Log'!$A:$A,"&gt;="&amp;$J1258,'Hours Log'!$A:$A,"&lt;"&amp;$J1258+7))</f>
        <v/>
      </c>
      <c r="J1258" t="str">
        <f>IF(COUNT('Hours Log'!$A$4:$A$5000)=0,"",IF(MIN('Hours Log'!$A$4:$A$5000)+7*(ROW()-10)&gt;MAX('Hours Log'!$A$4:$A$5000),"",MIN('Hours Log'!$A$4:$A$5000)+7*(ROW()-10)))</f>
        <v/>
      </c>
    </row>
    <row r="1259" spans="1:10" x14ac:dyDescent="0.25">
      <c r="A1259" t="str">
        <f>IF($J1259="","",YEAR($J1259-WEEKDAY($J1259,2)+4)&amp;"-W"&amp;TEXT(_xludf.ISOWEEKNUM($J1259),"00"))</f>
        <v/>
      </c>
      <c r="B1259"/>
      <c r="C1259" t="str">
        <f>IF($J1259="","",SUMIFS('Hours Log'!$C:$C,'Hours Log'!$A:$A,"&gt;="&amp;$J1259,'Hours Log'!$A:$A,"&lt;"&amp;$J1259+7)+SUMIFS('Hours Log'!$D:$D,'Hours Log'!$A:$A,"&gt;="&amp;$J1259,'Hours Log'!$A:$A,"&lt;"&amp;$J1259+7))</f>
        <v/>
      </c>
      <c r="D1259" t="str">
        <f>IF($J1259="","",SUMIFS('Hours Log'!$D:$D,'Hours Log'!$A:$A,"&gt;="&amp;$J1259,'Hours Log'!$A:$A,"&lt;"&amp;$J1259+7))</f>
        <v/>
      </c>
      <c r="E1259" t="str">
        <f t="shared" si="38"/>
        <v/>
      </c>
      <c r="F1259" t="str">
        <f t="shared" si="39"/>
        <v/>
      </c>
      <c r="G1259" t="str">
        <f>IF($J1259="","",SUMIFS('Hours Log'!$E:$E,'Hours Log'!$A:$A,"&gt;="&amp;$J1259,'Hours Log'!$A:$A,"&lt;"&amp;$J1259+7))</f>
        <v/>
      </c>
      <c r="J1259" t="str">
        <f>IF(COUNT('Hours Log'!$A$4:$A$5000)=0,"",IF(MIN('Hours Log'!$A$4:$A$5000)+7*(ROW()-10)&gt;MAX('Hours Log'!$A$4:$A$5000),"",MIN('Hours Log'!$A$4:$A$5000)+7*(ROW()-10)))</f>
        <v/>
      </c>
    </row>
    <row r="1260" spans="1:10" x14ac:dyDescent="0.25">
      <c r="A1260" t="str">
        <f>IF($J1260="","",YEAR($J1260-WEEKDAY($J1260,2)+4)&amp;"-W"&amp;TEXT(_xludf.ISOWEEKNUM($J1260),"00"))</f>
        <v/>
      </c>
      <c r="B1260"/>
      <c r="C1260" t="str">
        <f>IF($J1260="","",SUMIFS('Hours Log'!$C:$C,'Hours Log'!$A:$A,"&gt;="&amp;$J1260,'Hours Log'!$A:$A,"&lt;"&amp;$J1260+7)+SUMIFS('Hours Log'!$D:$D,'Hours Log'!$A:$A,"&gt;="&amp;$J1260,'Hours Log'!$A:$A,"&lt;"&amp;$J1260+7))</f>
        <v/>
      </c>
      <c r="D1260" t="str">
        <f>IF($J1260="","",SUMIFS('Hours Log'!$D:$D,'Hours Log'!$A:$A,"&gt;="&amp;$J1260,'Hours Log'!$A:$A,"&lt;"&amp;$J1260+7))</f>
        <v/>
      </c>
      <c r="E1260" t="str">
        <f t="shared" si="38"/>
        <v/>
      </c>
      <c r="F1260" t="str">
        <f t="shared" si="39"/>
        <v/>
      </c>
      <c r="G1260" t="str">
        <f>IF($J1260="","",SUMIFS('Hours Log'!$E:$E,'Hours Log'!$A:$A,"&gt;="&amp;$J1260,'Hours Log'!$A:$A,"&lt;"&amp;$J1260+7))</f>
        <v/>
      </c>
      <c r="J1260" t="str">
        <f>IF(COUNT('Hours Log'!$A$4:$A$5000)=0,"",IF(MIN('Hours Log'!$A$4:$A$5000)+7*(ROW()-10)&gt;MAX('Hours Log'!$A$4:$A$5000),"",MIN('Hours Log'!$A$4:$A$5000)+7*(ROW()-10)))</f>
        <v/>
      </c>
    </row>
    <row r="1261" spans="1:10" x14ac:dyDescent="0.25">
      <c r="A1261" t="str">
        <f>IF($J1261="","",YEAR($J1261-WEEKDAY($J1261,2)+4)&amp;"-W"&amp;TEXT(_xludf.ISOWEEKNUM($J1261),"00"))</f>
        <v/>
      </c>
      <c r="B1261"/>
      <c r="C1261" t="str">
        <f>IF($J1261="","",SUMIFS('Hours Log'!$C:$C,'Hours Log'!$A:$A,"&gt;="&amp;$J1261,'Hours Log'!$A:$A,"&lt;"&amp;$J1261+7)+SUMIFS('Hours Log'!$D:$D,'Hours Log'!$A:$A,"&gt;="&amp;$J1261,'Hours Log'!$A:$A,"&lt;"&amp;$J1261+7))</f>
        <v/>
      </c>
      <c r="D1261" t="str">
        <f>IF($J1261="","",SUMIFS('Hours Log'!$D:$D,'Hours Log'!$A:$A,"&gt;="&amp;$J1261,'Hours Log'!$A:$A,"&lt;"&amp;$J1261+7))</f>
        <v/>
      </c>
      <c r="E1261" t="str">
        <f t="shared" si="38"/>
        <v/>
      </c>
      <c r="F1261" t="str">
        <f t="shared" si="39"/>
        <v/>
      </c>
      <c r="G1261" t="str">
        <f>IF($J1261="","",SUMIFS('Hours Log'!$E:$E,'Hours Log'!$A:$A,"&gt;="&amp;$J1261,'Hours Log'!$A:$A,"&lt;"&amp;$J1261+7))</f>
        <v/>
      </c>
      <c r="J1261" t="str">
        <f>IF(COUNT('Hours Log'!$A$4:$A$5000)=0,"",IF(MIN('Hours Log'!$A$4:$A$5000)+7*(ROW()-10)&gt;MAX('Hours Log'!$A$4:$A$5000),"",MIN('Hours Log'!$A$4:$A$5000)+7*(ROW()-10)))</f>
        <v/>
      </c>
    </row>
    <row r="1262" spans="1:10" x14ac:dyDescent="0.25">
      <c r="A1262" t="str">
        <f>IF($J1262="","",YEAR($J1262-WEEKDAY($J1262,2)+4)&amp;"-W"&amp;TEXT(_xludf.ISOWEEKNUM($J1262),"00"))</f>
        <v/>
      </c>
      <c r="B1262"/>
      <c r="C1262" t="str">
        <f>IF($J1262="","",SUMIFS('Hours Log'!$C:$C,'Hours Log'!$A:$A,"&gt;="&amp;$J1262,'Hours Log'!$A:$A,"&lt;"&amp;$J1262+7)+SUMIFS('Hours Log'!$D:$D,'Hours Log'!$A:$A,"&gt;="&amp;$J1262,'Hours Log'!$A:$A,"&lt;"&amp;$J1262+7))</f>
        <v/>
      </c>
      <c r="D1262" t="str">
        <f>IF($J1262="","",SUMIFS('Hours Log'!$D:$D,'Hours Log'!$A:$A,"&gt;="&amp;$J1262,'Hours Log'!$A:$A,"&lt;"&amp;$J1262+7))</f>
        <v/>
      </c>
      <c r="E1262" t="str">
        <f t="shared" si="38"/>
        <v/>
      </c>
      <c r="F1262" t="str">
        <f t="shared" si="39"/>
        <v/>
      </c>
      <c r="G1262" t="str">
        <f>IF($J1262="","",SUMIFS('Hours Log'!$E:$E,'Hours Log'!$A:$A,"&gt;="&amp;$J1262,'Hours Log'!$A:$A,"&lt;"&amp;$J1262+7))</f>
        <v/>
      </c>
      <c r="J1262" t="str">
        <f>IF(COUNT('Hours Log'!$A$4:$A$5000)=0,"",IF(MIN('Hours Log'!$A$4:$A$5000)+7*(ROW()-10)&gt;MAX('Hours Log'!$A$4:$A$5000),"",MIN('Hours Log'!$A$4:$A$5000)+7*(ROW()-10)))</f>
        <v/>
      </c>
    </row>
    <row r="1263" spans="1:10" x14ac:dyDescent="0.25">
      <c r="A1263" t="str">
        <f>IF($J1263="","",YEAR($J1263-WEEKDAY($J1263,2)+4)&amp;"-W"&amp;TEXT(_xludf.ISOWEEKNUM($J1263),"00"))</f>
        <v/>
      </c>
      <c r="B1263"/>
      <c r="C1263" t="str">
        <f>IF($J1263="","",SUMIFS('Hours Log'!$C:$C,'Hours Log'!$A:$A,"&gt;="&amp;$J1263,'Hours Log'!$A:$A,"&lt;"&amp;$J1263+7)+SUMIFS('Hours Log'!$D:$D,'Hours Log'!$A:$A,"&gt;="&amp;$J1263,'Hours Log'!$A:$A,"&lt;"&amp;$J1263+7))</f>
        <v/>
      </c>
      <c r="D1263" t="str">
        <f>IF($J1263="","",SUMIFS('Hours Log'!$D:$D,'Hours Log'!$A:$A,"&gt;="&amp;$J1263,'Hours Log'!$A:$A,"&lt;"&amp;$J1263+7))</f>
        <v/>
      </c>
      <c r="E1263" t="str">
        <f t="shared" si="38"/>
        <v/>
      </c>
      <c r="F1263" t="str">
        <f t="shared" si="39"/>
        <v/>
      </c>
      <c r="G1263" t="str">
        <f>IF($J1263="","",SUMIFS('Hours Log'!$E:$E,'Hours Log'!$A:$A,"&gt;="&amp;$J1263,'Hours Log'!$A:$A,"&lt;"&amp;$J1263+7))</f>
        <v/>
      </c>
      <c r="J1263" t="str">
        <f>IF(COUNT('Hours Log'!$A$4:$A$5000)=0,"",IF(MIN('Hours Log'!$A$4:$A$5000)+7*(ROW()-10)&gt;MAX('Hours Log'!$A$4:$A$5000),"",MIN('Hours Log'!$A$4:$A$5000)+7*(ROW()-10)))</f>
        <v/>
      </c>
    </row>
    <row r="1264" spans="1:10" x14ac:dyDescent="0.25">
      <c r="A1264" t="str">
        <f>IF($J1264="","",YEAR($J1264-WEEKDAY($J1264,2)+4)&amp;"-W"&amp;TEXT(_xludf.ISOWEEKNUM($J1264),"00"))</f>
        <v/>
      </c>
      <c r="B1264"/>
      <c r="C1264" t="str">
        <f>IF($J1264="","",SUMIFS('Hours Log'!$C:$C,'Hours Log'!$A:$A,"&gt;="&amp;$J1264,'Hours Log'!$A:$A,"&lt;"&amp;$J1264+7)+SUMIFS('Hours Log'!$D:$D,'Hours Log'!$A:$A,"&gt;="&amp;$J1264,'Hours Log'!$A:$A,"&lt;"&amp;$J1264+7))</f>
        <v/>
      </c>
      <c r="D1264" t="str">
        <f>IF($J1264="","",SUMIFS('Hours Log'!$D:$D,'Hours Log'!$A:$A,"&gt;="&amp;$J1264,'Hours Log'!$A:$A,"&lt;"&amp;$J1264+7))</f>
        <v/>
      </c>
      <c r="E1264" t="str">
        <f t="shared" si="38"/>
        <v/>
      </c>
      <c r="F1264" t="str">
        <f t="shared" si="39"/>
        <v/>
      </c>
      <c r="G1264" t="str">
        <f>IF($J1264="","",SUMIFS('Hours Log'!$E:$E,'Hours Log'!$A:$A,"&gt;="&amp;$J1264,'Hours Log'!$A:$A,"&lt;"&amp;$J1264+7))</f>
        <v/>
      </c>
      <c r="J1264" t="str">
        <f>IF(COUNT('Hours Log'!$A$4:$A$5000)=0,"",IF(MIN('Hours Log'!$A$4:$A$5000)+7*(ROW()-10)&gt;MAX('Hours Log'!$A$4:$A$5000),"",MIN('Hours Log'!$A$4:$A$5000)+7*(ROW()-10)))</f>
        <v/>
      </c>
    </row>
    <row r="1265" spans="1:10" x14ac:dyDescent="0.25">
      <c r="A1265" t="str">
        <f>IF($J1265="","",YEAR($J1265-WEEKDAY($J1265,2)+4)&amp;"-W"&amp;TEXT(_xludf.ISOWEEKNUM($J1265),"00"))</f>
        <v/>
      </c>
      <c r="B1265"/>
      <c r="C1265" t="str">
        <f>IF($J1265="","",SUMIFS('Hours Log'!$C:$C,'Hours Log'!$A:$A,"&gt;="&amp;$J1265,'Hours Log'!$A:$A,"&lt;"&amp;$J1265+7)+SUMIFS('Hours Log'!$D:$D,'Hours Log'!$A:$A,"&gt;="&amp;$J1265,'Hours Log'!$A:$A,"&lt;"&amp;$J1265+7))</f>
        <v/>
      </c>
      <c r="D1265" t="str">
        <f>IF($J1265="","",SUMIFS('Hours Log'!$D:$D,'Hours Log'!$A:$A,"&gt;="&amp;$J1265,'Hours Log'!$A:$A,"&lt;"&amp;$J1265+7))</f>
        <v/>
      </c>
      <c r="E1265" t="str">
        <f t="shared" si="38"/>
        <v/>
      </c>
      <c r="F1265" t="str">
        <f t="shared" si="39"/>
        <v/>
      </c>
      <c r="G1265" t="str">
        <f>IF($J1265="","",SUMIFS('Hours Log'!$E:$E,'Hours Log'!$A:$A,"&gt;="&amp;$J1265,'Hours Log'!$A:$A,"&lt;"&amp;$J1265+7))</f>
        <v/>
      </c>
      <c r="J1265" t="str">
        <f>IF(COUNT('Hours Log'!$A$4:$A$5000)=0,"",IF(MIN('Hours Log'!$A$4:$A$5000)+7*(ROW()-10)&gt;MAX('Hours Log'!$A$4:$A$5000),"",MIN('Hours Log'!$A$4:$A$5000)+7*(ROW()-10)))</f>
        <v/>
      </c>
    </row>
    <row r="1266" spans="1:10" x14ac:dyDescent="0.25">
      <c r="A1266" t="str">
        <f>IF($J1266="","",YEAR($J1266-WEEKDAY($J1266,2)+4)&amp;"-W"&amp;TEXT(_xludf.ISOWEEKNUM($J1266),"00"))</f>
        <v/>
      </c>
      <c r="B1266"/>
      <c r="C1266" t="str">
        <f>IF($J1266="","",SUMIFS('Hours Log'!$C:$C,'Hours Log'!$A:$A,"&gt;="&amp;$J1266,'Hours Log'!$A:$A,"&lt;"&amp;$J1266+7)+SUMIFS('Hours Log'!$D:$D,'Hours Log'!$A:$A,"&gt;="&amp;$J1266,'Hours Log'!$A:$A,"&lt;"&amp;$J1266+7))</f>
        <v/>
      </c>
      <c r="D1266" t="str">
        <f>IF($J1266="","",SUMIFS('Hours Log'!$D:$D,'Hours Log'!$A:$A,"&gt;="&amp;$J1266,'Hours Log'!$A:$A,"&lt;"&amp;$J1266+7))</f>
        <v/>
      </c>
      <c r="E1266" t="str">
        <f t="shared" si="38"/>
        <v/>
      </c>
      <c r="F1266" t="str">
        <f t="shared" si="39"/>
        <v/>
      </c>
      <c r="G1266" t="str">
        <f>IF($J1266="","",SUMIFS('Hours Log'!$E:$E,'Hours Log'!$A:$A,"&gt;="&amp;$J1266,'Hours Log'!$A:$A,"&lt;"&amp;$J1266+7))</f>
        <v/>
      </c>
      <c r="J1266" t="str">
        <f>IF(COUNT('Hours Log'!$A$4:$A$5000)=0,"",IF(MIN('Hours Log'!$A$4:$A$5000)+7*(ROW()-10)&gt;MAX('Hours Log'!$A$4:$A$5000),"",MIN('Hours Log'!$A$4:$A$5000)+7*(ROW()-10)))</f>
        <v/>
      </c>
    </row>
    <row r="1267" spans="1:10" x14ac:dyDescent="0.25">
      <c r="A1267" t="str">
        <f>IF($J1267="","",YEAR($J1267-WEEKDAY($J1267,2)+4)&amp;"-W"&amp;TEXT(_xludf.ISOWEEKNUM($J1267),"00"))</f>
        <v/>
      </c>
      <c r="B1267"/>
      <c r="C1267" t="str">
        <f>IF($J1267="","",SUMIFS('Hours Log'!$C:$C,'Hours Log'!$A:$A,"&gt;="&amp;$J1267,'Hours Log'!$A:$A,"&lt;"&amp;$J1267+7)+SUMIFS('Hours Log'!$D:$D,'Hours Log'!$A:$A,"&gt;="&amp;$J1267,'Hours Log'!$A:$A,"&lt;"&amp;$J1267+7))</f>
        <v/>
      </c>
      <c r="D1267" t="str">
        <f>IF($J1267="","",SUMIFS('Hours Log'!$D:$D,'Hours Log'!$A:$A,"&gt;="&amp;$J1267,'Hours Log'!$A:$A,"&lt;"&amp;$J1267+7))</f>
        <v/>
      </c>
      <c r="E1267" t="str">
        <f t="shared" si="38"/>
        <v/>
      </c>
      <c r="F1267" t="str">
        <f t="shared" si="39"/>
        <v/>
      </c>
      <c r="G1267" t="str">
        <f>IF($J1267="","",SUMIFS('Hours Log'!$E:$E,'Hours Log'!$A:$A,"&gt;="&amp;$J1267,'Hours Log'!$A:$A,"&lt;"&amp;$J1267+7))</f>
        <v/>
      </c>
      <c r="J1267" t="str">
        <f>IF(COUNT('Hours Log'!$A$4:$A$5000)=0,"",IF(MIN('Hours Log'!$A$4:$A$5000)+7*(ROW()-10)&gt;MAX('Hours Log'!$A$4:$A$5000),"",MIN('Hours Log'!$A$4:$A$5000)+7*(ROW()-10)))</f>
        <v/>
      </c>
    </row>
    <row r="1268" spans="1:10" x14ac:dyDescent="0.25">
      <c r="A1268" t="str">
        <f>IF($J1268="","",YEAR($J1268-WEEKDAY($J1268,2)+4)&amp;"-W"&amp;TEXT(_xludf.ISOWEEKNUM($J1268),"00"))</f>
        <v/>
      </c>
      <c r="B1268"/>
      <c r="C1268" t="str">
        <f>IF($J1268="","",SUMIFS('Hours Log'!$C:$C,'Hours Log'!$A:$A,"&gt;="&amp;$J1268,'Hours Log'!$A:$A,"&lt;"&amp;$J1268+7)+SUMIFS('Hours Log'!$D:$D,'Hours Log'!$A:$A,"&gt;="&amp;$J1268,'Hours Log'!$A:$A,"&lt;"&amp;$J1268+7))</f>
        <v/>
      </c>
      <c r="D1268" t="str">
        <f>IF($J1268="","",SUMIFS('Hours Log'!$D:$D,'Hours Log'!$A:$A,"&gt;="&amp;$J1268,'Hours Log'!$A:$A,"&lt;"&amp;$J1268+7))</f>
        <v/>
      </c>
      <c r="E1268" t="str">
        <f t="shared" si="38"/>
        <v/>
      </c>
      <c r="F1268" t="str">
        <f t="shared" si="39"/>
        <v/>
      </c>
      <c r="G1268" t="str">
        <f>IF($J1268="","",SUMIFS('Hours Log'!$E:$E,'Hours Log'!$A:$A,"&gt;="&amp;$J1268,'Hours Log'!$A:$A,"&lt;"&amp;$J1268+7))</f>
        <v/>
      </c>
      <c r="J1268" t="str">
        <f>IF(COUNT('Hours Log'!$A$4:$A$5000)=0,"",IF(MIN('Hours Log'!$A$4:$A$5000)+7*(ROW()-10)&gt;MAX('Hours Log'!$A$4:$A$5000),"",MIN('Hours Log'!$A$4:$A$5000)+7*(ROW()-10)))</f>
        <v/>
      </c>
    </row>
    <row r="1269" spans="1:10" x14ac:dyDescent="0.25">
      <c r="A1269" t="str">
        <f>IF($J1269="","",YEAR($J1269-WEEKDAY($J1269,2)+4)&amp;"-W"&amp;TEXT(_xludf.ISOWEEKNUM($J1269),"00"))</f>
        <v/>
      </c>
      <c r="B1269"/>
      <c r="C1269" t="str">
        <f>IF($J1269="","",SUMIFS('Hours Log'!$C:$C,'Hours Log'!$A:$A,"&gt;="&amp;$J1269,'Hours Log'!$A:$A,"&lt;"&amp;$J1269+7)+SUMIFS('Hours Log'!$D:$D,'Hours Log'!$A:$A,"&gt;="&amp;$J1269,'Hours Log'!$A:$A,"&lt;"&amp;$J1269+7))</f>
        <v/>
      </c>
      <c r="D1269" t="str">
        <f>IF($J1269="","",SUMIFS('Hours Log'!$D:$D,'Hours Log'!$A:$A,"&gt;="&amp;$J1269,'Hours Log'!$A:$A,"&lt;"&amp;$J1269+7))</f>
        <v/>
      </c>
      <c r="E1269" t="str">
        <f t="shared" si="38"/>
        <v/>
      </c>
      <c r="F1269" t="str">
        <f t="shared" si="39"/>
        <v/>
      </c>
      <c r="G1269" t="str">
        <f>IF($J1269="","",SUMIFS('Hours Log'!$E:$E,'Hours Log'!$A:$A,"&gt;="&amp;$J1269,'Hours Log'!$A:$A,"&lt;"&amp;$J1269+7))</f>
        <v/>
      </c>
      <c r="J1269" t="str">
        <f>IF(COUNT('Hours Log'!$A$4:$A$5000)=0,"",IF(MIN('Hours Log'!$A$4:$A$5000)+7*(ROW()-10)&gt;MAX('Hours Log'!$A$4:$A$5000),"",MIN('Hours Log'!$A$4:$A$5000)+7*(ROW()-10)))</f>
        <v/>
      </c>
    </row>
    <row r="1270" spans="1:10" x14ac:dyDescent="0.25">
      <c r="A1270" t="str">
        <f>IF($J1270="","",YEAR($J1270-WEEKDAY($J1270,2)+4)&amp;"-W"&amp;TEXT(_xludf.ISOWEEKNUM($J1270),"00"))</f>
        <v/>
      </c>
      <c r="B1270"/>
      <c r="C1270" t="str">
        <f>IF($J1270="","",SUMIFS('Hours Log'!$C:$C,'Hours Log'!$A:$A,"&gt;="&amp;$J1270,'Hours Log'!$A:$A,"&lt;"&amp;$J1270+7)+SUMIFS('Hours Log'!$D:$D,'Hours Log'!$A:$A,"&gt;="&amp;$J1270,'Hours Log'!$A:$A,"&lt;"&amp;$J1270+7))</f>
        <v/>
      </c>
      <c r="D1270" t="str">
        <f>IF($J1270="","",SUMIFS('Hours Log'!$D:$D,'Hours Log'!$A:$A,"&gt;="&amp;$J1270,'Hours Log'!$A:$A,"&lt;"&amp;$J1270+7))</f>
        <v/>
      </c>
      <c r="E1270" t="str">
        <f t="shared" si="38"/>
        <v/>
      </c>
      <c r="F1270" t="str">
        <f t="shared" si="39"/>
        <v/>
      </c>
      <c r="G1270" t="str">
        <f>IF($J1270="","",SUMIFS('Hours Log'!$E:$E,'Hours Log'!$A:$A,"&gt;="&amp;$J1270,'Hours Log'!$A:$A,"&lt;"&amp;$J1270+7))</f>
        <v/>
      </c>
      <c r="J1270" t="str">
        <f>IF(COUNT('Hours Log'!$A$4:$A$5000)=0,"",IF(MIN('Hours Log'!$A$4:$A$5000)+7*(ROW()-10)&gt;MAX('Hours Log'!$A$4:$A$5000),"",MIN('Hours Log'!$A$4:$A$5000)+7*(ROW()-10)))</f>
        <v/>
      </c>
    </row>
    <row r="1271" spans="1:10" x14ac:dyDescent="0.25">
      <c r="A1271" t="str">
        <f>IF($J1271="","",YEAR($J1271-WEEKDAY($J1271,2)+4)&amp;"-W"&amp;TEXT(_xludf.ISOWEEKNUM($J1271),"00"))</f>
        <v/>
      </c>
      <c r="B1271"/>
      <c r="C1271" t="str">
        <f>IF($J1271="","",SUMIFS('Hours Log'!$C:$C,'Hours Log'!$A:$A,"&gt;="&amp;$J1271,'Hours Log'!$A:$A,"&lt;"&amp;$J1271+7)+SUMIFS('Hours Log'!$D:$D,'Hours Log'!$A:$A,"&gt;="&amp;$J1271,'Hours Log'!$A:$A,"&lt;"&amp;$J1271+7))</f>
        <v/>
      </c>
      <c r="D1271" t="str">
        <f>IF($J1271="","",SUMIFS('Hours Log'!$D:$D,'Hours Log'!$A:$A,"&gt;="&amp;$J1271,'Hours Log'!$A:$A,"&lt;"&amp;$J1271+7))</f>
        <v/>
      </c>
      <c r="E1271" t="str">
        <f t="shared" si="38"/>
        <v/>
      </c>
      <c r="F1271" t="str">
        <f t="shared" si="39"/>
        <v/>
      </c>
      <c r="G1271" t="str">
        <f>IF($J1271="","",SUMIFS('Hours Log'!$E:$E,'Hours Log'!$A:$A,"&gt;="&amp;$J1271,'Hours Log'!$A:$A,"&lt;"&amp;$J1271+7))</f>
        <v/>
      </c>
      <c r="J1271" t="str">
        <f>IF(COUNT('Hours Log'!$A$4:$A$5000)=0,"",IF(MIN('Hours Log'!$A$4:$A$5000)+7*(ROW()-10)&gt;MAX('Hours Log'!$A$4:$A$5000),"",MIN('Hours Log'!$A$4:$A$5000)+7*(ROW()-10)))</f>
        <v/>
      </c>
    </row>
    <row r="1272" spans="1:10" x14ac:dyDescent="0.25">
      <c r="A1272" t="str">
        <f>IF($J1272="","",YEAR($J1272-WEEKDAY($J1272,2)+4)&amp;"-W"&amp;TEXT(_xludf.ISOWEEKNUM($J1272),"00"))</f>
        <v/>
      </c>
      <c r="B1272"/>
      <c r="C1272" t="str">
        <f>IF($J1272="","",SUMIFS('Hours Log'!$C:$C,'Hours Log'!$A:$A,"&gt;="&amp;$J1272,'Hours Log'!$A:$A,"&lt;"&amp;$J1272+7)+SUMIFS('Hours Log'!$D:$D,'Hours Log'!$A:$A,"&gt;="&amp;$J1272,'Hours Log'!$A:$A,"&lt;"&amp;$J1272+7))</f>
        <v/>
      </c>
      <c r="D1272" t="str">
        <f>IF($J1272="","",SUMIFS('Hours Log'!$D:$D,'Hours Log'!$A:$A,"&gt;="&amp;$J1272,'Hours Log'!$A:$A,"&lt;"&amp;$J1272+7))</f>
        <v/>
      </c>
      <c r="E1272" t="str">
        <f t="shared" si="38"/>
        <v/>
      </c>
      <c r="F1272" t="str">
        <f t="shared" si="39"/>
        <v/>
      </c>
      <c r="G1272" t="str">
        <f>IF($J1272="","",SUMIFS('Hours Log'!$E:$E,'Hours Log'!$A:$A,"&gt;="&amp;$J1272,'Hours Log'!$A:$A,"&lt;"&amp;$J1272+7))</f>
        <v/>
      </c>
      <c r="J1272" t="str">
        <f>IF(COUNT('Hours Log'!$A$4:$A$5000)=0,"",IF(MIN('Hours Log'!$A$4:$A$5000)+7*(ROW()-10)&gt;MAX('Hours Log'!$A$4:$A$5000),"",MIN('Hours Log'!$A$4:$A$5000)+7*(ROW()-10)))</f>
        <v/>
      </c>
    </row>
    <row r="1273" spans="1:10" x14ac:dyDescent="0.25">
      <c r="A1273" t="str">
        <f>IF($J1273="","",YEAR($J1273-WEEKDAY($J1273,2)+4)&amp;"-W"&amp;TEXT(_xludf.ISOWEEKNUM($J1273),"00"))</f>
        <v/>
      </c>
      <c r="B1273"/>
      <c r="C1273" t="str">
        <f>IF($J1273="","",SUMIFS('Hours Log'!$C:$C,'Hours Log'!$A:$A,"&gt;="&amp;$J1273,'Hours Log'!$A:$A,"&lt;"&amp;$J1273+7)+SUMIFS('Hours Log'!$D:$D,'Hours Log'!$A:$A,"&gt;="&amp;$J1273,'Hours Log'!$A:$A,"&lt;"&amp;$J1273+7))</f>
        <v/>
      </c>
      <c r="D1273" t="str">
        <f>IF($J1273="","",SUMIFS('Hours Log'!$D:$D,'Hours Log'!$A:$A,"&gt;="&amp;$J1273,'Hours Log'!$A:$A,"&lt;"&amp;$J1273+7))</f>
        <v/>
      </c>
      <c r="E1273" t="str">
        <f t="shared" si="38"/>
        <v/>
      </c>
      <c r="F1273" t="str">
        <f t="shared" si="39"/>
        <v/>
      </c>
      <c r="G1273" t="str">
        <f>IF($J1273="","",SUMIFS('Hours Log'!$E:$E,'Hours Log'!$A:$A,"&gt;="&amp;$J1273,'Hours Log'!$A:$A,"&lt;"&amp;$J1273+7))</f>
        <v/>
      </c>
      <c r="J1273" t="str">
        <f>IF(COUNT('Hours Log'!$A$4:$A$5000)=0,"",IF(MIN('Hours Log'!$A$4:$A$5000)+7*(ROW()-10)&gt;MAX('Hours Log'!$A$4:$A$5000),"",MIN('Hours Log'!$A$4:$A$5000)+7*(ROW()-10)))</f>
        <v/>
      </c>
    </row>
    <row r="1274" spans="1:10" x14ac:dyDescent="0.25">
      <c r="A1274" t="str">
        <f>IF($J1274="","",YEAR($J1274-WEEKDAY($J1274,2)+4)&amp;"-W"&amp;TEXT(_xludf.ISOWEEKNUM($J1274),"00"))</f>
        <v/>
      </c>
      <c r="B1274"/>
      <c r="C1274" t="str">
        <f>IF($J1274="","",SUMIFS('Hours Log'!$C:$C,'Hours Log'!$A:$A,"&gt;="&amp;$J1274,'Hours Log'!$A:$A,"&lt;"&amp;$J1274+7)+SUMIFS('Hours Log'!$D:$D,'Hours Log'!$A:$A,"&gt;="&amp;$J1274,'Hours Log'!$A:$A,"&lt;"&amp;$J1274+7))</f>
        <v/>
      </c>
      <c r="D1274" t="str">
        <f>IF($J1274="","",SUMIFS('Hours Log'!$D:$D,'Hours Log'!$A:$A,"&gt;="&amp;$J1274,'Hours Log'!$A:$A,"&lt;"&amp;$J1274+7))</f>
        <v/>
      </c>
      <c r="E1274" t="str">
        <f t="shared" si="38"/>
        <v/>
      </c>
      <c r="F1274" t="str">
        <f t="shared" si="39"/>
        <v/>
      </c>
      <c r="G1274" t="str">
        <f>IF($J1274="","",SUMIFS('Hours Log'!$E:$E,'Hours Log'!$A:$A,"&gt;="&amp;$J1274,'Hours Log'!$A:$A,"&lt;"&amp;$J1274+7))</f>
        <v/>
      </c>
      <c r="J1274" t="str">
        <f>IF(COUNT('Hours Log'!$A$4:$A$5000)=0,"",IF(MIN('Hours Log'!$A$4:$A$5000)+7*(ROW()-10)&gt;MAX('Hours Log'!$A$4:$A$5000),"",MIN('Hours Log'!$A$4:$A$5000)+7*(ROW()-10)))</f>
        <v/>
      </c>
    </row>
    <row r="1275" spans="1:10" x14ac:dyDescent="0.25">
      <c r="A1275" t="str">
        <f>IF($J1275="","",YEAR($J1275-WEEKDAY($J1275,2)+4)&amp;"-W"&amp;TEXT(_xludf.ISOWEEKNUM($J1275),"00"))</f>
        <v/>
      </c>
      <c r="B1275"/>
      <c r="C1275" t="str">
        <f>IF($J1275="","",SUMIFS('Hours Log'!$C:$C,'Hours Log'!$A:$A,"&gt;="&amp;$J1275,'Hours Log'!$A:$A,"&lt;"&amp;$J1275+7)+SUMIFS('Hours Log'!$D:$D,'Hours Log'!$A:$A,"&gt;="&amp;$J1275,'Hours Log'!$A:$A,"&lt;"&amp;$J1275+7))</f>
        <v/>
      </c>
      <c r="D1275" t="str">
        <f>IF($J1275="","",SUMIFS('Hours Log'!$D:$D,'Hours Log'!$A:$A,"&gt;="&amp;$J1275,'Hours Log'!$A:$A,"&lt;"&amp;$J1275+7))</f>
        <v/>
      </c>
      <c r="E1275" t="str">
        <f t="shared" si="38"/>
        <v/>
      </c>
      <c r="F1275" t="str">
        <f t="shared" si="39"/>
        <v/>
      </c>
      <c r="G1275" t="str">
        <f>IF($J1275="","",SUMIFS('Hours Log'!$E:$E,'Hours Log'!$A:$A,"&gt;="&amp;$J1275,'Hours Log'!$A:$A,"&lt;"&amp;$J1275+7))</f>
        <v/>
      </c>
      <c r="J1275" t="str">
        <f>IF(COUNT('Hours Log'!$A$4:$A$5000)=0,"",IF(MIN('Hours Log'!$A$4:$A$5000)+7*(ROW()-10)&gt;MAX('Hours Log'!$A$4:$A$5000),"",MIN('Hours Log'!$A$4:$A$5000)+7*(ROW()-10)))</f>
        <v/>
      </c>
    </row>
    <row r="1276" spans="1:10" x14ac:dyDescent="0.25">
      <c r="A1276" t="str">
        <f>IF($J1276="","",YEAR($J1276-WEEKDAY($J1276,2)+4)&amp;"-W"&amp;TEXT(_xludf.ISOWEEKNUM($J1276),"00"))</f>
        <v/>
      </c>
      <c r="B1276"/>
      <c r="C1276" t="str">
        <f>IF($J1276="","",SUMIFS('Hours Log'!$C:$C,'Hours Log'!$A:$A,"&gt;="&amp;$J1276,'Hours Log'!$A:$A,"&lt;"&amp;$J1276+7)+SUMIFS('Hours Log'!$D:$D,'Hours Log'!$A:$A,"&gt;="&amp;$J1276,'Hours Log'!$A:$A,"&lt;"&amp;$J1276+7))</f>
        <v/>
      </c>
      <c r="D1276" t="str">
        <f>IF($J1276="","",SUMIFS('Hours Log'!$D:$D,'Hours Log'!$A:$A,"&gt;="&amp;$J1276,'Hours Log'!$A:$A,"&lt;"&amp;$J1276+7))</f>
        <v/>
      </c>
      <c r="E1276" t="str">
        <f t="shared" si="38"/>
        <v/>
      </c>
      <c r="F1276" t="str">
        <f t="shared" si="39"/>
        <v/>
      </c>
      <c r="G1276" t="str">
        <f>IF($J1276="","",SUMIFS('Hours Log'!$E:$E,'Hours Log'!$A:$A,"&gt;="&amp;$J1276,'Hours Log'!$A:$A,"&lt;"&amp;$J1276+7))</f>
        <v/>
      </c>
      <c r="J1276" t="str">
        <f>IF(COUNT('Hours Log'!$A$4:$A$5000)=0,"",IF(MIN('Hours Log'!$A$4:$A$5000)+7*(ROW()-10)&gt;MAX('Hours Log'!$A$4:$A$5000),"",MIN('Hours Log'!$A$4:$A$5000)+7*(ROW()-10)))</f>
        <v/>
      </c>
    </row>
    <row r="1277" spans="1:10" x14ac:dyDescent="0.25">
      <c r="A1277" t="str">
        <f>IF($J1277="","",YEAR($J1277-WEEKDAY($J1277,2)+4)&amp;"-W"&amp;TEXT(_xludf.ISOWEEKNUM($J1277),"00"))</f>
        <v/>
      </c>
      <c r="B1277"/>
      <c r="C1277" t="str">
        <f>IF($J1277="","",SUMIFS('Hours Log'!$C:$C,'Hours Log'!$A:$A,"&gt;="&amp;$J1277,'Hours Log'!$A:$A,"&lt;"&amp;$J1277+7)+SUMIFS('Hours Log'!$D:$D,'Hours Log'!$A:$A,"&gt;="&amp;$J1277,'Hours Log'!$A:$A,"&lt;"&amp;$J1277+7))</f>
        <v/>
      </c>
      <c r="D1277" t="str">
        <f>IF($J1277="","",SUMIFS('Hours Log'!$D:$D,'Hours Log'!$A:$A,"&gt;="&amp;$J1277,'Hours Log'!$A:$A,"&lt;"&amp;$J1277+7))</f>
        <v/>
      </c>
      <c r="E1277" t="str">
        <f t="shared" si="38"/>
        <v/>
      </c>
      <c r="F1277" t="str">
        <f t="shared" si="39"/>
        <v/>
      </c>
      <c r="G1277" t="str">
        <f>IF($J1277="","",SUMIFS('Hours Log'!$E:$E,'Hours Log'!$A:$A,"&gt;="&amp;$J1277,'Hours Log'!$A:$A,"&lt;"&amp;$J1277+7))</f>
        <v/>
      </c>
      <c r="J1277" t="str">
        <f>IF(COUNT('Hours Log'!$A$4:$A$5000)=0,"",IF(MIN('Hours Log'!$A$4:$A$5000)+7*(ROW()-10)&gt;MAX('Hours Log'!$A$4:$A$5000),"",MIN('Hours Log'!$A$4:$A$5000)+7*(ROW()-10)))</f>
        <v/>
      </c>
    </row>
    <row r="1278" spans="1:10" x14ac:dyDescent="0.25">
      <c r="A1278" t="str">
        <f>IF($J1278="","",YEAR($J1278-WEEKDAY($J1278,2)+4)&amp;"-W"&amp;TEXT(_xludf.ISOWEEKNUM($J1278),"00"))</f>
        <v/>
      </c>
      <c r="B1278"/>
      <c r="C1278" t="str">
        <f>IF($J1278="","",SUMIFS('Hours Log'!$C:$C,'Hours Log'!$A:$A,"&gt;="&amp;$J1278,'Hours Log'!$A:$A,"&lt;"&amp;$J1278+7)+SUMIFS('Hours Log'!$D:$D,'Hours Log'!$A:$A,"&gt;="&amp;$J1278,'Hours Log'!$A:$A,"&lt;"&amp;$J1278+7))</f>
        <v/>
      </c>
      <c r="D1278" t="str">
        <f>IF($J1278="","",SUMIFS('Hours Log'!$D:$D,'Hours Log'!$A:$A,"&gt;="&amp;$J1278,'Hours Log'!$A:$A,"&lt;"&amp;$J1278+7))</f>
        <v/>
      </c>
      <c r="E1278" t="str">
        <f t="shared" si="38"/>
        <v/>
      </c>
      <c r="F1278" t="str">
        <f t="shared" si="39"/>
        <v/>
      </c>
      <c r="G1278" t="str">
        <f>IF($J1278="","",SUMIFS('Hours Log'!$E:$E,'Hours Log'!$A:$A,"&gt;="&amp;$J1278,'Hours Log'!$A:$A,"&lt;"&amp;$J1278+7))</f>
        <v/>
      </c>
      <c r="J1278" t="str">
        <f>IF(COUNT('Hours Log'!$A$4:$A$5000)=0,"",IF(MIN('Hours Log'!$A$4:$A$5000)+7*(ROW()-10)&gt;MAX('Hours Log'!$A$4:$A$5000),"",MIN('Hours Log'!$A$4:$A$5000)+7*(ROW()-10)))</f>
        <v/>
      </c>
    </row>
    <row r="1279" spans="1:10" x14ac:dyDescent="0.25">
      <c r="A1279" t="str">
        <f>IF($J1279="","",YEAR($J1279-WEEKDAY($J1279,2)+4)&amp;"-W"&amp;TEXT(_xludf.ISOWEEKNUM($J1279),"00"))</f>
        <v/>
      </c>
      <c r="B1279"/>
      <c r="C1279" t="str">
        <f>IF($J1279="","",SUMIFS('Hours Log'!$C:$C,'Hours Log'!$A:$A,"&gt;="&amp;$J1279,'Hours Log'!$A:$A,"&lt;"&amp;$J1279+7)+SUMIFS('Hours Log'!$D:$D,'Hours Log'!$A:$A,"&gt;="&amp;$J1279,'Hours Log'!$A:$A,"&lt;"&amp;$J1279+7))</f>
        <v/>
      </c>
      <c r="D1279" t="str">
        <f>IF($J1279="","",SUMIFS('Hours Log'!$D:$D,'Hours Log'!$A:$A,"&gt;="&amp;$J1279,'Hours Log'!$A:$A,"&lt;"&amp;$J1279+7))</f>
        <v/>
      </c>
      <c r="E1279" t="str">
        <f t="shared" si="38"/>
        <v/>
      </c>
      <c r="F1279" t="str">
        <f t="shared" si="39"/>
        <v/>
      </c>
      <c r="G1279" t="str">
        <f>IF($J1279="","",SUMIFS('Hours Log'!$E:$E,'Hours Log'!$A:$A,"&gt;="&amp;$J1279,'Hours Log'!$A:$A,"&lt;"&amp;$J1279+7))</f>
        <v/>
      </c>
      <c r="J1279" t="str">
        <f>IF(COUNT('Hours Log'!$A$4:$A$5000)=0,"",IF(MIN('Hours Log'!$A$4:$A$5000)+7*(ROW()-10)&gt;MAX('Hours Log'!$A$4:$A$5000),"",MIN('Hours Log'!$A$4:$A$5000)+7*(ROW()-10)))</f>
        <v/>
      </c>
    </row>
    <row r="1280" spans="1:10" x14ac:dyDescent="0.25">
      <c r="A1280" t="str">
        <f>IF($J1280="","",YEAR($J1280-WEEKDAY($J1280,2)+4)&amp;"-W"&amp;TEXT(_xludf.ISOWEEKNUM($J1280),"00"))</f>
        <v/>
      </c>
      <c r="B1280"/>
      <c r="C1280" t="str">
        <f>IF($J1280="","",SUMIFS('Hours Log'!$C:$C,'Hours Log'!$A:$A,"&gt;="&amp;$J1280,'Hours Log'!$A:$A,"&lt;"&amp;$J1280+7)+SUMIFS('Hours Log'!$D:$D,'Hours Log'!$A:$A,"&gt;="&amp;$J1280,'Hours Log'!$A:$A,"&lt;"&amp;$J1280+7))</f>
        <v/>
      </c>
      <c r="D1280" t="str">
        <f>IF($J1280="","",SUMIFS('Hours Log'!$D:$D,'Hours Log'!$A:$A,"&gt;="&amp;$J1280,'Hours Log'!$A:$A,"&lt;"&amp;$J1280+7))</f>
        <v/>
      </c>
      <c r="E1280" t="str">
        <f t="shared" si="38"/>
        <v/>
      </c>
      <c r="F1280" t="str">
        <f t="shared" si="39"/>
        <v/>
      </c>
      <c r="G1280" t="str">
        <f>IF($J1280="","",SUMIFS('Hours Log'!$E:$E,'Hours Log'!$A:$A,"&gt;="&amp;$J1280,'Hours Log'!$A:$A,"&lt;"&amp;$J1280+7))</f>
        <v/>
      </c>
      <c r="J1280" t="str">
        <f>IF(COUNT('Hours Log'!$A$4:$A$5000)=0,"",IF(MIN('Hours Log'!$A$4:$A$5000)+7*(ROW()-10)&gt;MAX('Hours Log'!$A$4:$A$5000),"",MIN('Hours Log'!$A$4:$A$5000)+7*(ROW()-10)))</f>
        <v/>
      </c>
    </row>
    <row r="1281" spans="1:10" x14ac:dyDescent="0.25">
      <c r="A1281" t="str">
        <f>IF($J1281="","",YEAR($J1281-WEEKDAY($J1281,2)+4)&amp;"-W"&amp;TEXT(_xludf.ISOWEEKNUM($J1281),"00"))</f>
        <v/>
      </c>
      <c r="B1281"/>
      <c r="C1281" t="str">
        <f>IF($J1281="","",SUMIFS('Hours Log'!$C:$C,'Hours Log'!$A:$A,"&gt;="&amp;$J1281,'Hours Log'!$A:$A,"&lt;"&amp;$J1281+7)+SUMIFS('Hours Log'!$D:$D,'Hours Log'!$A:$A,"&gt;="&amp;$J1281,'Hours Log'!$A:$A,"&lt;"&amp;$J1281+7))</f>
        <v/>
      </c>
      <c r="D1281" t="str">
        <f>IF($J1281="","",SUMIFS('Hours Log'!$D:$D,'Hours Log'!$A:$A,"&gt;="&amp;$J1281,'Hours Log'!$A:$A,"&lt;"&amp;$J1281+7))</f>
        <v/>
      </c>
      <c r="E1281" t="str">
        <f t="shared" si="38"/>
        <v/>
      </c>
      <c r="F1281" t="str">
        <f t="shared" si="39"/>
        <v/>
      </c>
      <c r="G1281" t="str">
        <f>IF($J1281="","",SUMIFS('Hours Log'!$E:$E,'Hours Log'!$A:$A,"&gt;="&amp;$J1281,'Hours Log'!$A:$A,"&lt;"&amp;$J1281+7))</f>
        <v/>
      </c>
      <c r="J1281" t="str">
        <f>IF(COUNT('Hours Log'!$A$4:$A$5000)=0,"",IF(MIN('Hours Log'!$A$4:$A$5000)+7*(ROW()-10)&gt;MAX('Hours Log'!$A$4:$A$5000),"",MIN('Hours Log'!$A$4:$A$5000)+7*(ROW()-10)))</f>
        <v/>
      </c>
    </row>
    <row r="1282" spans="1:10" x14ac:dyDescent="0.25">
      <c r="A1282" t="str">
        <f>IF($J1282="","",YEAR($J1282-WEEKDAY($J1282,2)+4)&amp;"-W"&amp;TEXT(_xludf.ISOWEEKNUM($J1282),"00"))</f>
        <v/>
      </c>
      <c r="B1282"/>
      <c r="C1282" t="str">
        <f>IF($J1282="","",SUMIFS('Hours Log'!$C:$C,'Hours Log'!$A:$A,"&gt;="&amp;$J1282,'Hours Log'!$A:$A,"&lt;"&amp;$J1282+7)+SUMIFS('Hours Log'!$D:$D,'Hours Log'!$A:$A,"&gt;="&amp;$J1282,'Hours Log'!$A:$A,"&lt;"&amp;$J1282+7))</f>
        <v/>
      </c>
      <c r="D1282" t="str">
        <f>IF($J1282="","",SUMIFS('Hours Log'!$D:$D,'Hours Log'!$A:$A,"&gt;="&amp;$J1282,'Hours Log'!$A:$A,"&lt;"&amp;$J1282+7))</f>
        <v/>
      </c>
      <c r="E1282" t="str">
        <f t="shared" si="38"/>
        <v/>
      </c>
      <c r="F1282" t="str">
        <f t="shared" si="39"/>
        <v/>
      </c>
      <c r="G1282" t="str">
        <f>IF($J1282="","",SUMIFS('Hours Log'!$E:$E,'Hours Log'!$A:$A,"&gt;="&amp;$J1282,'Hours Log'!$A:$A,"&lt;"&amp;$J1282+7))</f>
        <v/>
      </c>
      <c r="J1282" t="str">
        <f>IF(COUNT('Hours Log'!$A$4:$A$5000)=0,"",IF(MIN('Hours Log'!$A$4:$A$5000)+7*(ROW()-10)&gt;MAX('Hours Log'!$A$4:$A$5000),"",MIN('Hours Log'!$A$4:$A$5000)+7*(ROW()-10)))</f>
        <v/>
      </c>
    </row>
    <row r="1283" spans="1:10" x14ac:dyDescent="0.25">
      <c r="A1283" t="str">
        <f>IF($J1283="","",YEAR($J1283-WEEKDAY($J1283,2)+4)&amp;"-W"&amp;TEXT(_xludf.ISOWEEKNUM($J1283),"00"))</f>
        <v/>
      </c>
      <c r="B1283"/>
      <c r="C1283" t="str">
        <f>IF($J1283="","",SUMIFS('Hours Log'!$C:$C,'Hours Log'!$A:$A,"&gt;="&amp;$J1283,'Hours Log'!$A:$A,"&lt;"&amp;$J1283+7)+SUMIFS('Hours Log'!$D:$D,'Hours Log'!$A:$A,"&gt;="&amp;$J1283,'Hours Log'!$A:$A,"&lt;"&amp;$J1283+7))</f>
        <v/>
      </c>
      <c r="D1283" t="str">
        <f>IF($J1283="","",SUMIFS('Hours Log'!$D:$D,'Hours Log'!$A:$A,"&gt;="&amp;$J1283,'Hours Log'!$A:$A,"&lt;"&amp;$J1283+7))</f>
        <v/>
      </c>
      <c r="E1283" t="str">
        <f t="shared" si="38"/>
        <v/>
      </c>
      <c r="F1283" t="str">
        <f t="shared" si="39"/>
        <v/>
      </c>
      <c r="G1283" t="str">
        <f>IF($J1283="","",SUMIFS('Hours Log'!$E:$E,'Hours Log'!$A:$A,"&gt;="&amp;$J1283,'Hours Log'!$A:$A,"&lt;"&amp;$J1283+7))</f>
        <v/>
      </c>
      <c r="J1283" t="str">
        <f>IF(COUNT('Hours Log'!$A$4:$A$5000)=0,"",IF(MIN('Hours Log'!$A$4:$A$5000)+7*(ROW()-10)&gt;MAX('Hours Log'!$A$4:$A$5000),"",MIN('Hours Log'!$A$4:$A$5000)+7*(ROW()-10)))</f>
        <v/>
      </c>
    </row>
    <row r="1284" spans="1:10" x14ac:dyDescent="0.25">
      <c r="A1284" t="str">
        <f>IF($J1284="","",YEAR($J1284-WEEKDAY($J1284,2)+4)&amp;"-W"&amp;TEXT(_xludf.ISOWEEKNUM($J1284),"00"))</f>
        <v/>
      </c>
      <c r="B1284"/>
      <c r="C1284" t="str">
        <f>IF($J1284="","",SUMIFS('Hours Log'!$C:$C,'Hours Log'!$A:$A,"&gt;="&amp;$J1284,'Hours Log'!$A:$A,"&lt;"&amp;$J1284+7)+SUMIFS('Hours Log'!$D:$D,'Hours Log'!$A:$A,"&gt;="&amp;$J1284,'Hours Log'!$A:$A,"&lt;"&amp;$J1284+7))</f>
        <v/>
      </c>
      <c r="D1284" t="str">
        <f>IF($J1284="","",SUMIFS('Hours Log'!$D:$D,'Hours Log'!$A:$A,"&gt;="&amp;$J1284,'Hours Log'!$A:$A,"&lt;"&amp;$J1284+7))</f>
        <v/>
      </c>
      <c r="E1284" t="str">
        <f t="shared" si="38"/>
        <v/>
      </c>
      <c r="F1284" t="str">
        <f t="shared" si="39"/>
        <v/>
      </c>
      <c r="G1284" t="str">
        <f>IF($J1284="","",SUMIFS('Hours Log'!$E:$E,'Hours Log'!$A:$A,"&gt;="&amp;$J1284,'Hours Log'!$A:$A,"&lt;"&amp;$J1284+7))</f>
        <v/>
      </c>
      <c r="J1284" t="str">
        <f>IF(COUNT('Hours Log'!$A$4:$A$5000)=0,"",IF(MIN('Hours Log'!$A$4:$A$5000)+7*(ROW()-10)&gt;MAX('Hours Log'!$A$4:$A$5000),"",MIN('Hours Log'!$A$4:$A$5000)+7*(ROW()-10)))</f>
        <v/>
      </c>
    </row>
    <row r="1285" spans="1:10" x14ac:dyDescent="0.25">
      <c r="A1285" t="str">
        <f>IF($J1285="","",YEAR($J1285-WEEKDAY($J1285,2)+4)&amp;"-W"&amp;TEXT(_xludf.ISOWEEKNUM($J1285),"00"))</f>
        <v/>
      </c>
      <c r="B1285"/>
      <c r="C1285" t="str">
        <f>IF($J1285="","",SUMIFS('Hours Log'!$C:$C,'Hours Log'!$A:$A,"&gt;="&amp;$J1285,'Hours Log'!$A:$A,"&lt;"&amp;$J1285+7)+SUMIFS('Hours Log'!$D:$D,'Hours Log'!$A:$A,"&gt;="&amp;$J1285,'Hours Log'!$A:$A,"&lt;"&amp;$J1285+7))</f>
        <v/>
      </c>
      <c r="D1285" t="str">
        <f>IF($J1285="","",SUMIFS('Hours Log'!$D:$D,'Hours Log'!$A:$A,"&gt;="&amp;$J1285,'Hours Log'!$A:$A,"&lt;"&amp;$J1285+7))</f>
        <v/>
      </c>
      <c r="E1285" t="str">
        <f t="shared" si="38"/>
        <v/>
      </c>
      <c r="F1285" t="str">
        <f t="shared" si="39"/>
        <v/>
      </c>
      <c r="G1285" t="str">
        <f>IF($J1285="","",SUMIFS('Hours Log'!$E:$E,'Hours Log'!$A:$A,"&gt;="&amp;$J1285,'Hours Log'!$A:$A,"&lt;"&amp;$J1285+7))</f>
        <v/>
      </c>
      <c r="J1285" t="str">
        <f>IF(COUNT('Hours Log'!$A$4:$A$5000)=0,"",IF(MIN('Hours Log'!$A$4:$A$5000)+7*(ROW()-10)&gt;MAX('Hours Log'!$A$4:$A$5000),"",MIN('Hours Log'!$A$4:$A$5000)+7*(ROW()-10)))</f>
        <v/>
      </c>
    </row>
    <row r="1286" spans="1:10" x14ac:dyDescent="0.25">
      <c r="A1286" t="str">
        <f>IF($J1286="","",YEAR($J1286-WEEKDAY($J1286,2)+4)&amp;"-W"&amp;TEXT(_xludf.ISOWEEKNUM($J1286),"00"))</f>
        <v/>
      </c>
      <c r="B1286"/>
      <c r="C1286" t="str">
        <f>IF($J1286="","",SUMIFS('Hours Log'!$C:$C,'Hours Log'!$A:$A,"&gt;="&amp;$J1286,'Hours Log'!$A:$A,"&lt;"&amp;$J1286+7)+SUMIFS('Hours Log'!$D:$D,'Hours Log'!$A:$A,"&gt;="&amp;$J1286,'Hours Log'!$A:$A,"&lt;"&amp;$J1286+7))</f>
        <v/>
      </c>
      <c r="D1286" t="str">
        <f>IF($J1286="","",SUMIFS('Hours Log'!$D:$D,'Hours Log'!$A:$A,"&gt;="&amp;$J1286,'Hours Log'!$A:$A,"&lt;"&amp;$J1286+7))</f>
        <v/>
      </c>
      <c r="E1286" t="str">
        <f t="shared" si="38"/>
        <v/>
      </c>
      <c r="F1286" t="str">
        <f t="shared" si="39"/>
        <v/>
      </c>
      <c r="G1286" t="str">
        <f>IF($J1286="","",SUMIFS('Hours Log'!$E:$E,'Hours Log'!$A:$A,"&gt;="&amp;$J1286,'Hours Log'!$A:$A,"&lt;"&amp;$J1286+7))</f>
        <v/>
      </c>
      <c r="J1286" t="str">
        <f>IF(COUNT('Hours Log'!$A$4:$A$5000)=0,"",IF(MIN('Hours Log'!$A$4:$A$5000)+7*(ROW()-10)&gt;MAX('Hours Log'!$A$4:$A$5000),"",MIN('Hours Log'!$A$4:$A$5000)+7*(ROW()-10)))</f>
        <v/>
      </c>
    </row>
    <row r="1287" spans="1:10" x14ac:dyDescent="0.25">
      <c r="A1287" t="str">
        <f>IF($J1287="","",YEAR($J1287-WEEKDAY($J1287,2)+4)&amp;"-W"&amp;TEXT(_xludf.ISOWEEKNUM($J1287),"00"))</f>
        <v/>
      </c>
      <c r="B1287"/>
      <c r="C1287" t="str">
        <f>IF($J1287="","",SUMIFS('Hours Log'!$C:$C,'Hours Log'!$A:$A,"&gt;="&amp;$J1287,'Hours Log'!$A:$A,"&lt;"&amp;$J1287+7)+SUMIFS('Hours Log'!$D:$D,'Hours Log'!$A:$A,"&gt;="&amp;$J1287,'Hours Log'!$A:$A,"&lt;"&amp;$J1287+7))</f>
        <v/>
      </c>
      <c r="D1287" t="str">
        <f>IF($J1287="","",SUMIFS('Hours Log'!$D:$D,'Hours Log'!$A:$A,"&gt;="&amp;$J1287,'Hours Log'!$A:$A,"&lt;"&amp;$J1287+7))</f>
        <v/>
      </c>
      <c r="E1287" t="str">
        <f t="shared" si="38"/>
        <v/>
      </c>
      <c r="F1287" t="str">
        <f t="shared" si="39"/>
        <v/>
      </c>
      <c r="G1287" t="str">
        <f>IF($J1287="","",SUMIFS('Hours Log'!$E:$E,'Hours Log'!$A:$A,"&gt;="&amp;$J1287,'Hours Log'!$A:$A,"&lt;"&amp;$J1287+7))</f>
        <v/>
      </c>
      <c r="J1287" t="str">
        <f>IF(COUNT('Hours Log'!$A$4:$A$5000)=0,"",IF(MIN('Hours Log'!$A$4:$A$5000)+7*(ROW()-10)&gt;MAX('Hours Log'!$A$4:$A$5000),"",MIN('Hours Log'!$A$4:$A$5000)+7*(ROW()-10)))</f>
        <v/>
      </c>
    </row>
    <row r="1288" spans="1:10" x14ac:dyDescent="0.25">
      <c r="A1288" t="str">
        <f>IF($J1288="","",YEAR($J1288-WEEKDAY($J1288,2)+4)&amp;"-W"&amp;TEXT(_xludf.ISOWEEKNUM($J1288),"00"))</f>
        <v/>
      </c>
      <c r="B1288"/>
      <c r="C1288" t="str">
        <f>IF($J1288="","",SUMIFS('Hours Log'!$C:$C,'Hours Log'!$A:$A,"&gt;="&amp;$J1288,'Hours Log'!$A:$A,"&lt;"&amp;$J1288+7)+SUMIFS('Hours Log'!$D:$D,'Hours Log'!$A:$A,"&gt;="&amp;$J1288,'Hours Log'!$A:$A,"&lt;"&amp;$J1288+7))</f>
        <v/>
      </c>
      <c r="D1288" t="str">
        <f>IF($J1288="","",SUMIFS('Hours Log'!$D:$D,'Hours Log'!$A:$A,"&gt;="&amp;$J1288,'Hours Log'!$A:$A,"&lt;"&amp;$J1288+7))</f>
        <v/>
      </c>
      <c r="E1288" t="str">
        <f t="shared" si="38"/>
        <v/>
      </c>
      <c r="F1288" t="str">
        <f t="shared" si="39"/>
        <v/>
      </c>
      <c r="G1288" t="str">
        <f>IF($J1288="","",SUMIFS('Hours Log'!$E:$E,'Hours Log'!$A:$A,"&gt;="&amp;$J1288,'Hours Log'!$A:$A,"&lt;"&amp;$J1288+7))</f>
        <v/>
      </c>
      <c r="J1288" t="str">
        <f>IF(COUNT('Hours Log'!$A$4:$A$5000)=0,"",IF(MIN('Hours Log'!$A$4:$A$5000)+7*(ROW()-10)&gt;MAX('Hours Log'!$A$4:$A$5000),"",MIN('Hours Log'!$A$4:$A$5000)+7*(ROW()-10)))</f>
        <v/>
      </c>
    </row>
    <row r="1289" spans="1:10" x14ac:dyDescent="0.25">
      <c r="A1289" t="str">
        <f>IF($J1289="","",YEAR($J1289-WEEKDAY($J1289,2)+4)&amp;"-W"&amp;TEXT(_xludf.ISOWEEKNUM($J1289),"00"))</f>
        <v/>
      </c>
      <c r="B1289"/>
      <c r="C1289" t="str">
        <f>IF($J1289="","",SUMIFS('Hours Log'!$C:$C,'Hours Log'!$A:$A,"&gt;="&amp;$J1289,'Hours Log'!$A:$A,"&lt;"&amp;$J1289+7)+SUMIFS('Hours Log'!$D:$D,'Hours Log'!$A:$A,"&gt;="&amp;$J1289,'Hours Log'!$A:$A,"&lt;"&amp;$J1289+7))</f>
        <v/>
      </c>
      <c r="D1289" t="str">
        <f>IF($J1289="","",SUMIFS('Hours Log'!$D:$D,'Hours Log'!$A:$A,"&gt;="&amp;$J1289,'Hours Log'!$A:$A,"&lt;"&amp;$J1289+7))</f>
        <v/>
      </c>
      <c r="E1289" t="str">
        <f t="shared" si="38"/>
        <v/>
      </c>
      <c r="F1289" t="str">
        <f t="shared" si="39"/>
        <v/>
      </c>
      <c r="G1289" t="str">
        <f>IF($J1289="","",SUMIFS('Hours Log'!$E:$E,'Hours Log'!$A:$A,"&gt;="&amp;$J1289,'Hours Log'!$A:$A,"&lt;"&amp;$J1289+7))</f>
        <v/>
      </c>
      <c r="J1289" t="str">
        <f>IF(COUNT('Hours Log'!$A$4:$A$5000)=0,"",IF(MIN('Hours Log'!$A$4:$A$5000)+7*(ROW()-10)&gt;MAX('Hours Log'!$A$4:$A$5000),"",MIN('Hours Log'!$A$4:$A$5000)+7*(ROW()-10)))</f>
        <v/>
      </c>
    </row>
    <row r="1290" spans="1:10" x14ac:dyDescent="0.25">
      <c r="A1290" t="str">
        <f>IF($J1290="","",YEAR($J1290-WEEKDAY($J1290,2)+4)&amp;"-W"&amp;TEXT(_xludf.ISOWEEKNUM($J1290),"00"))</f>
        <v/>
      </c>
      <c r="B1290"/>
      <c r="C1290" t="str">
        <f>IF($J1290="","",SUMIFS('Hours Log'!$C:$C,'Hours Log'!$A:$A,"&gt;="&amp;$J1290,'Hours Log'!$A:$A,"&lt;"&amp;$J1290+7)+SUMIFS('Hours Log'!$D:$D,'Hours Log'!$A:$A,"&gt;="&amp;$J1290,'Hours Log'!$A:$A,"&lt;"&amp;$J1290+7))</f>
        <v/>
      </c>
      <c r="D1290" t="str">
        <f>IF($J1290="","",SUMIFS('Hours Log'!$D:$D,'Hours Log'!$A:$A,"&gt;="&amp;$J1290,'Hours Log'!$A:$A,"&lt;"&amp;$J1290+7))</f>
        <v/>
      </c>
      <c r="E1290" t="str">
        <f t="shared" ref="E1290:E1353" si="40">IF($J1290="","",IFERROR(C1290/(B1290*40),0))</f>
        <v/>
      </c>
      <c r="F1290" t="str">
        <f t="shared" ref="F1290:F1353" si="41">IF($J1290="","",0)</f>
        <v/>
      </c>
      <c r="G1290" t="str">
        <f>IF($J1290="","",SUMIFS('Hours Log'!$E:$E,'Hours Log'!$A:$A,"&gt;="&amp;$J1290,'Hours Log'!$A:$A,"&lt;"&amp;$J1290+7))</f>
        <v/>
      </c>
      <c r="J1290" t="str">
        <f>IF(COUNT('Hours Log'!$A$4:$A$5000)=0,"",IF(MIN('Hours Log'!$A$4:$A$5000)+7*(ROW()-10)&gt;MAX('Hours Log'!$A$4:$A$5000),"",MIN('Hours Log'!$A$4:$A$5000)+7*(ROW()-10)))</f>
        <v/>
      </c>
    </row>
    <row r="1291" spans="1:10" x14ac:dyDescent="0.25">
      <c r="A1291" t="str">
        <f>IF($J1291="","",YEAR($J1291-WEEKDAY($J1291,2)+4)&amp;"-W"&amp;TEXT(_xludf.ISOWEEKNUM($J1291),"00"))</f>
        <v/>
      </c>
      <c r="B1291"/>
      <c r="C1291" t="str">
        <f>IF($J1291="","",SUMIFS('Hours Log'!$C:$C,'Hours Log'!$A:$A,"&gt;="&amp;$J1291,'Hours Log'!$A:$A,"&lt;"&amp;$J1291+7)+SUMIFS('Hours Log'!$D:$D,'Hours Log'!$A:$A,"&gt;="&amp;$J1291,'Hours Log'!$A:$A,"&lt;"&amp;$J1291+7))</f>
        <v/>
      </c>
      <c r="D1291" t="str">
        <f>IF($J1291="","",SUMIFS('Hours Log'!$D:$D,'Hours Log'!$A:$A,"&gt;="&amp;$J1291,'Hours Log'!$A:$A,"&lt;"&amp;$J1291+7))</f>
        <v/>
      </c>
      <c r="E1291" t="str">
        <f t="shared" si="40"/>
        <v/>
      </c>
      <c r="F1291" t="str">
        <f t="shared" si="41"/>
        <v/>
      </c>
      <c r="G1291" t="str">
        <f>IF($J1291="","",SUMIFS('Hours Log'!$E:$E,'Hours Log'!$A:$A,"&gt;="&amp;$J1291,'Hours Log'!$A:$A,"&lt;"&amp;$J1291+7))</f>
        <v/>
      </c>
      <c r="J1291" t="str">
        <f>IF(COUNT('Hours Log'!$A$4:$A$5000)=0,"",IF(MIN('Hours Log'!$A$4:$A$5000)+7*(ROW()-10)&gt;MAX('Hours Log'!$A$4:$A$5000),"",MIN('Hours Log'!$A$4:$A$5000)+7*(ROW()-10)))</f>
        <v/>
      </c>
    </row>
    <row r="1292" spans="1:10" x14ac:dyDescent="0.25">
      <c r="A1292" t="str">
        <f>IF($J1292="","",YEAR($J1292-WEEKDAY($J1292,2)+4)&amp;"-W"&amp;TEXT(_xludf.ISOWEEKNUM($J1292),"00"))</f>
        <v/>
      </c>
      <c r="B1292"/>
      <c r="C1292" t="str">
        <f>IF($J1292="","",SUMIFS('Hours Log'!$C:$C,'Hours Log'!$A:$A,"&gt;="&amp;$J1292,'Hours Log'!$A:$A,"&lt;"&amp;$J1292+7)+SUMIFS('Hours Log'!$D:$D,'Hours Log'!$A:$A,"&gt;="&amp;$J1292,'Hours Log'!$A:$A,"&lt;"&amp;$J1292+7))</f>
        <v/>
      </c>
      <c r="D1292" t="str">
        <f>IF($J1292="","",SUMIFS('Hours Log'!$D:$D,'Hours Log'!$A:$A,"&gt;="&amp;$J1292,'Hours Log'!$A:$A,"&lt;"&amp;$J1292+7))</f>
        <v/>
      </c>
      <c r="E1292" t="str">
        <f t="shared" si="40"/>
        <v/>
      </c>
      <c r="F1292" t="str">
        <f t="shared" si="41"/>
        <v/>
      </c>
      <c r="G1292" t="str">
        <f>IF($J1292="","",SUMIFS('Hours Log'!$E:$E,'Hours Log'!$A:$A,"&gt;="&amp;$J1292,'Hours Log'!$A:$A,"&lt;"&amp;$J1292+7))</f>
        <v/>
      </c>
      <c r="J1292" t="str">
        <f>IF(COUNT('Hours Log'!$A$4:$A$5000)=0,"",IF(MIN('Hours Log'!$A$4:$A$5000)+7*(ROW()-10)&gt;MAX('Hours Log'!$A$4:$A$5000),"",MIN('Hours Log'!$A$4:$A$5000)+7*(ROW()-10)))</f>
        <v/>
      </c>
    </row>
    <row r="1293" spans="1:10" x14ac:dyDescent="0.25">
      <c r="A1293" t="str">
        <f>IF($J1293="","",YEAR($J1293-WEEKDAY($J1293,2)+4)&amp;"-W"&amp;TEXT(_xludf.ISOWEEKNUM($J1293),"00"))</f>
        <v/>
      </c>
      <c r="B1293"/>
      <c r="C1293" t="str">
        <f>IF($J1293="","",SUMIFS('Hours Log'!$C:$C,'Hours Log'!$A:$A,"&gt;="&amp;$J1293,'Hours Log'!$A:$A,"&lt;"&amp;$J1293+7)+SUMIFS('Hours Log'!$D:$D,'Hours Log'!$A:$A,"&gt;="&amp;$J1293,'Hours Log'!$A:$A,"&lt;"&amp;$J1293+7))</f>
        <v/>
      </c>
      <c r="D1293" t="str">
        <f>IF($J1293="","",SUMIFS('Hours Log'!$D:$D,'Hours Log'!$A:$A,"&gt;="&amp;$J1293,'Hours Log'!$A:$A,"&lt;"&amp;$J1293+7))</f>
        <v/>
      </c>
      <c r="E1293" t="str">
        <f t="shared" si="40"/>
        <v/>
      </c>
      <c r="F1293" t="str">
        <f t="shared" si="41"/>
        <v/>
      </c>
      <c r="G1293" t="str">
        <f>IF($J1293="","",SUMIFS('Hours Log'!$E:$E,'Hours Log'!$A:$A,"&gt;="&amp;$J1293,'Hours Log'!$A:$A,"&lt;"&amp;$J1293+7))</f>
        <v/>
      </c>
      <c r="J1293" t="str">
        <f>IF(COUNT('Hours Log'!$A$4:$A$5000)=0,"",IF(MIN('Hours Log'!$A$4:$A$5000)+7*(ROW()-10)&gt;MAX('Hours Log'!$A$4:$A$5000),"",MIN('Hours Log'!$A$4:$A$5000)+7*(ROW()-10)))</f>
        <v/>
      </c>
    </row>
    <row r="1294" spans="1:10" x14ac:dyDescent="0.25">
      <c r="A1294" t="str">
        <f>IF($J1294="","",YEAR($J1294-WEEKDAY($J1294,2)+4)&amp;"-W"&amp;TEXT(_xludf.ISOWEEKNUM($J1294),"00"))</f>
        <v/>
      </c>
      <c r="B1294"/>
      <c r="C1294" t="str">
        <f>IF($J1294="","",SUMIFS('Hours Log'!$C:$C,'Hours Log'!$A:$A,"&gt;="&amp;$J1294,'Hours Log'!$A:$A,"&lt;"&amp;$J1294+7)+SUMIFS('Hours Log'!$D:$D,'Hours Log'!$A:$A,"&gt;="&amp;$J1294,'Hours Log'!$A:$A,"&lt;"&amp;$J1294+7))</f>
        <v/>
      </c>
      <c r="D1294" t="str">
        <f>IF($J1294="","",SUMIFS('Hours Log'!$D:$D,'Hours Log'!$A:$A,"&gt;="&amp;$J1294,'Hours Log'!$A:$A,"&lt;"&amp;$J1294+7))</f>
        <v/>
      </c>
      <c r="E1294" t="str">
        <f t="shared" si="40"/>
        <v/>
      </c>
      <c r="F1294" t="str">
        <f t="shared" si="41"/>
        <v/>
      </c>
      <c r="G1294" t="str">
        <f>IF($J1294="","",SUMIFS('Hours Log'!$E:$E,'Hours Log'!$A:$A,"&gt;="&amp;$J1294,'Hours Log'!$A:$A,"&lt;"&amp;$J1294+7))</f>
        <v/>
      </c>
      <c r="J1294" t="str">
        <f>IF(COUNT('Hours Log'!$A$4:$A$5000)=0,"",IF(MIN('Hours Log'!$A$4:$A$5000)+7*(ROW()-10)&gt;MAX('Hours Log'!$A$4:$A$5000),"",MIN('Hours Log'!$A$4:$A$5000)+7*(ROW()-10)))</f>
        <v/>
      </c>
    </row>
    <row r="1295" spans="1:10" x14ac:dyDescent="0.25">
      <c r="A1295" t="str">
        <f>IF($J1295="","",YEAR($J1295-WEEKDAY($J1295,2)+4)&amp;"-W"&amp;TEXT(_xludf.ISOWEEKNUM($J1295),"00"))</f>
        <v/>
      </c>
      <c r="B1295"/>
      <c r="C1295" t="str">
        <f>IF($J1295="","",SUMIFS('Hours Log'!$C:$C,'Hours Log'!$A:$A,"&gt;="&amp;$J1295,'Hours Log'!$A:$A,"&lt;"&amp;$J1295+7)+SUMIFS('Hours Log'!$D:$D,'Hours Log'!$A:$A,"&gt;="&amp;$J1295,'Hours Log'!$A:$A,"&lt;"&amp;$J1295+7))</f>
        <v/>
      </c>
      <c r="D1295" t="str">
        <f>IF($J1295="","",SUMIFS('Hours Log'!$D:$D,'Hours Log'!$A:$A,"&gt;="&amp;$J1295,'Hours Log'!$A:$A,"&lt;"&amp;$J1295+7))</f>
        <v/>
      </c>
      <c r="E1295" t="str">
        <f t="shared" si="40"/>
        <v/>
      </c>
      <c r="F1295" t="str">
        <f t="shared" si="41"/>
        <v/>
      </c>
      <c r="G1295" t="str">
        <f>IF($J1295="","",SUMIFS('Hours Log'!$E:$E,'Hours Log'!$A:$A,"&gt;="&amp;$J1295,'Hours Log'!$A:$A,"&lt;"&amp;$J1295+7))</f>
        <v/>
      </c>
      <c r="J1295" t="str">
        <f>IF(COUNT('Hours Log'!$A$4:$A$5000)=0,"",IF(MIN('Hours Log'!$A$4:$A$5000)+7*(ROW()-10)&gt;MAX('Hours Log'!$A$4:$A$5000),"",MIN('Hours Log'!$A$4:$A$5000)+7*(ROW()-10)))</f>
        <v/>
      </c>
    </row>
    <row r="1296" spans="1:10" x14ac:dyDescent="0.25">
      <c r="A1296" t="str">
        <f>IF($J1296="","",YEAR($J1296-WEEKDAY($J1296,2)+4)&amp;"-W"&amp;TEXT(_xludf.ISOWEEKNUM($J1296),"00"))</f>
        <v/>
      </c>
      <c r="B1296"/>
      <c r="C1296" t="str">
        <f>IF($J1296="","",SUMIFS('Hours Log'!$C:$C,'Hours Log'!$A:$A,"&gt;="&amp;$J1296,'Hours Log'!$A:$A,"&lt;"&amp;$J1296+7)+SUMIFS('Hours Log'!$D:$D,'Hours Log'!$A:$A,"&gt;="&amp;$J1296,'Hours Log'!$A:$A,"&lt;"&amp;$J1296+7))</f>
        <v/>
      </c>
      <c r="D1296" t="str">
        <f>IF($J1296="","",SUMIFS('Hours Log'!$D:$D,'Hours Log'!$A:$A,"&gt;="&amp;$J1296,'Hours Log'!$A:$A,"&lt;"&amp;$J1296+7))</f>
        <v/>
      </c>
      <c r="E1296" t="str">
        <f t="shared" si="40"/>
        <v/>
      </c>
      <c r="F1296" t="str">
        <f t="shared" si="41"/>
        <v/>
      </c>
      <c r="G1296" t="str">
        <f>IF($J1296="","",SUMIFS('Hours Log'!$E:$E,'Hours Log'!$A:$A,"&gt;="&amp;$J1296,'Hours Log'!$A:$A,"&lt;"&amp;$J1296+7))</f>
        <v/>
      </c>
      <c r="J1296" t="str">
        <f>IF(COUNT('Hours Log'!$A$4:$A$5000)=0,"",IF(MIN('Hours Log'!$A$4:$A$5000)+7*(ROW()-10)&gt;MAX('Hours Log'!$A$4:$A$5000),"",MIN('Hours Log'!$A$4:$A$5000)+7*(ROW()-10)))</f>
        <v/>
      </c>
    </row>
    <row r="1297" spans="1:10" x14ac:dyDescent="0.25">
      <c r="A1297" t="str">
        <f>IF($J1297="","",YEAR($J1297-WEEKDAY($J1297,2)+4)&amp;"-W"&amp;TEXT(_xludf.ISOWEEKNUM($J1297),"00"))</f>
        <v/>
      </c>
      <c r="B1297"/>
      <c r="C1297" t="str">
        <f>IF($J1297="","",SUMIFS('Hours Log'!$C:$C,'Hours Log'!$A:$A,"&gt;="&amp;$J1297,'Hours Log'!$A:$A,"&lt;"&amp;$J1297+7)+SUMIFS('Hours Log'!$D:$D,'Hours Log'!$A:$A,"&gt;="&amp;$J1297,'Hours Log'!$A:$A,"&lt;"&amp;$J1297+7))</f>
        <v/>
      </c>
      <c r="D1297" t="str">
        <f>IF($J1297="","",SUMIFS('Hours Log'!$D:$D,'Hours Log'!$A:$A,"&gt;="&amp;$J1297,'Hours Log'!$A:$A,"&lt;"&amp;$J1297+7))</f>
        <v/>
      </c>
      <c r="E1297" t="str">
        <f t="shared" si="40"/>
        <v/>
      </c>
      <c r="F1297" t="str">
        <f t="shared" si="41"/>
        <v/>
      </c>
      <c r="G1297" t="str">
        <f>IF($J1297="","",SUMIFS('Hours Log'!$E:$E,'Hours Log'!$A:$A,"&gt;="&amp;$J1297,'Hours Log'!$A:$A,"&lt;"&amp;$J1297+7))</f>
        <v/>
      </c>
      <c r="J1297" t="str">
        <f>IF(COUNT('Hours Log'!$A$4:$A$5000)=0,"",IF(MIN('Hours Log'!$A$4:$A$5000)+7*(ROW()-10)&gt;MAX('Hours Log'!$A$4:$A$5000),"",MIN('Hours Log'!$A$4:$A$5000)+7*(ROW()-10)))</f>
        <v/>
      </c>
    </row>
    <row r="1298" spans="1:10" x14ac:dyDescent="0.25">
      <c r="A1298" t="str">
        <f>IF($J1298="","",YEAR($J1298-WEEKDAY($J1298,2)+4)&amp;"-W"&amp;TEXT(_xludf.ISOWEEKNUM($J1298),"00"))</f>
        <v/>
      </c>
      <c r="B1298"/>
      <c r="C1298" t="str">
        <f>IF($J1298="","",SUMIFS('Hours Log'!$C:$C,'Hours Log'!$A:$A,"&gt;="&amp;$J1298,'Hours Log'!$A:$A,"&lt;"&amp;$J1298+7)+SUMIFS('Hours Log'!$D:$D,'Hours Log'!$A:$A,"&gt;="&amp;$J1298,'Hours Log'!$A:$A,"&lt;"&amp;$J1298+7))</f>
        <v/>
      </c>
      <c r="D1298" t="str">
        <f>IF($J1298="","",SUMIFS('Hours Log'!$D:$D,'Hours Log'!$A:$A,"&gt;="&amp;$J1298,'Hours Log'!$A:$A,"&lt;"&amp;$J1298+7))</f>
        <v/>
      </c>
      <c r="E1298" t="str">
        <f t="shared" si="40"/>
        <v/>
      </c>
      <c r="F1298" t="str">
        <f t="shared" si="41"/>
        <v/>
      </c>
      <c r="G1298" t="str">
        <f>IF($J1298="","",SUMIFS('Hours Log'!$E:$E,'Hours Log'!$A:$A,"&gt;="&amp;$J1298,'Hours Log'!$A:$A,"&lt;"&amp;$J1298+7))</f>
        <v/>
      </c>
      <c r="J1298" t="str">
        <f>IF(COUNT('Hours Log'!$A$4:$A$5000)=0,"",IF(MIN('Hours Log'!$A$4:$A$5000)+7*(ROW()-10)&gt;MAX('Hours Log'!$A$4:$A$5000),"",MIN('Hours Log'!$A$4:$A$5000)+7*(ROW()-10)))</f>
        <v/>
      </c>
    </row>
    <row r="1299" spans="1:10" x14ac:dyDescent="0.25">
      <c r="A1299" t="str">
        <f>IF($J1299="","",YEAR($J1299-WEEKDAY($J1299,2)+4)&amp;"-W"&amp;TEXT(_xludf.ISOWEEKNUM($J1299),"00"))</f>
        <v/>
      </c>
      <c r="B1299"/>
      <c r="C1299" t="str">
        <f>IF($J1299="","",SUMIFS('Hours Log'!$C:$C,'Hours Log'!$A:$A,"&gt;="&amp;$J1299,'Hours Log'!$A:$A,"&lt;"&amp;$J1299+7)+SUMIFS('Hours Log'!$D:$D,'Hours Log'!$A:$A,"&gt;="&amp;$J1299,'Hours Log'!$A:$A,"&lt;"&amp;$J1299+7))</f>
        <v/>
      </c>
      <c r="D1299" t="str">
        <f>IF($J1299="","",SUMIFS('Hours Log'!$D:$D,'Hours Log'!$A:$A,"&gt;="&amp;$J1299,'Hours Log'!$A:$A,"&lt;"&amp;$J1299+7))</f>
        <v/>
      </c>
      <c r="E1299" t="str">
        <f t="shared" si="40"/>
        <v/>
      </c>
      <c r="F1299" t="str">
        <f t="shared" si="41"/>
        <v/>
      </c>
      <c r="G1299" t="str">
        <f>IF($J1299="","",SUMIFS('Hours Log'!$E:$E,'Hours Log'!$A:$A,"&gt;="&amp;$J1299,'Hours Log'!$A:$A,"&lt;"&amp;$J1299+7))</f>
        <v/>
      </c>
      <c r="J1299" t="str">
        <f>IF(COUNT('Hours Log'!$A$4:$A$5000)=0,"",IF(MIN('Hours Log'!$A$4:$A$5000)+7*(ROW()-10)&gt;MAX('Hours Log'!$A$4:$A$5000),"",MIN('Hours Log'!$A$4:$A$5000)+7*(ROW()-10)))</f>
        <v/>
      </c>
    </row>
    <row r="1300" spans="1:10" x14ac:dyDescent="0.25">
      <c r="A1300" t="str">
        <f>IF($J1300="","",YEAR($J1300-WEEKDAY($J1300,2)+4)&amp;"-W"&amp;TEXT(_xludf.ISOWEEKNUM($J1300),"00"))</f>
        <v/>
      </c>
      <c r="B1300"/>
      <c r="C1300" t="str">
        <f>IF($J1300="","",SUMIFS('Hours Log'!$C:$C,'Hours Log'!$A:$A,"&gt;="&amp;$J1300,'Hours Log'!$A:$A,"&lt;"&amp;$J1300+7)+SUMIFS('Hours Log'!$D:$D,'Hours Log'!$A:$A,"&gt;="&amp;$J1300,'Hours Log'!$A:$A,"&lt;"&amp;$J1300+7))</f>
        <v/>
      </c>
      <c r="D1300" t="str">
        <f>IF($J1300="","",SUMIFS('Hours Log'!$D:$D,'Hours Log'!$A:$A,"&gt;="&amp;$J1300,'Hours Log'!$A:$A,"&lt;"&amp;$J1300+7))</f>
        <v/>
      </c>
      <c r="E1300" t="str">
        <f t="shared" si="40"/>
        <v/>
      </c>
      <c r="F1300" t="str">
        <f t="shared" si="41"/>
        <v/>
      </c>
      <c r="G1300" t="str">
        <f>IF($J1300="","",SUMIFS('Hours Log'!$E:$E,'Hours Log'!$A:$A,"&gt;="&amp;$J1300,'Hours Log'!$A:$A,"&lt;"&amp;$J1300+7))</f>
        <v/>
      </c>
      <c r="J1300" t="str">
        <f>IF(COUNT('Hours Log'!$A$4:$A$5000)=0,"",IF(MIN('Hours Log'!$A$4:$A$5000)+7*(ROW()-10)&gt;MAX('Hours Log'!$A$4:$A$5000),"",MIN('Hours Log'!$A$4:$A$5000)+7*(ROW()-10)))</f>
        <v/>
      </c>
    </row>
    <row r="1301" spans="1:10" x14ac:dyDescent="0.25">
      <c r="A1301" t="str">
        <f>IF($J1301="","",YEAR($J1301-WEEKDAY($J1301,2)+4)&amp;"-W"&amp;TEXT(_xludf.ISOWEEKNUM($J1301),"00"))</f>
        <v/>
      </c>
      <c r="B1301"/>
      <c r="C1301" t="str">
        <f>IF($J1301="","",SUMIFS('Hours Log'!$C:$C,'Hours Log'!$A:$A,"&gt;="&amp;$J1301,'Hours Log'!$A:$A,"&lt;"&amp;$J1301+7)+SUMIFS('Hours Log'!$D:$D,'Hours Log'!$A:$A,"&gt;="&amp;$J1301,'Hours Log'!$A:$A,"&lt;"&amp;$J1301+7))</f>
        <v/>
      </c>
      <c r="D1301" t="str">
        <f>IF($J1301="","",SUMIFS('Hours Log'!$D:$D,'Hours Log'!$A:$A,"&gt;="&amp;$J1301,'Hours Log'!$A:$A,"&lt;"&amp;$J1301+7))</f>
        <v/>
      </c>
      <c r="E1301" t="str">
        <f t="shared" si="40"/>
        <v/>
      </c>
      <c r="F1301" t="str">
        <f t="shared" si="41"/>
        <v/>
      </c>
      <c r="G1301" t="str">
        <f>IF($J1301="","",SUMIFS('Hours Log'!$E:$E,'Hours Log'!$A:$A,"&gt;="&amp;$J1301,'Hours Log'!$A:$A,"&lt;"&amp;$J1301+7))</f>
        <v/>
      </c>
      <c r="J1301" t="str">
        <f>IF(COUNT('Hours Log'!$A$4:$A$5000)=0,"",IF(MIN('Hours Log'!$A$4:$A$5000)+7*(ROW()-10)&gt;MAX('Hours Log'!$A$4:$A$5000),"",MIN('Hours Log'!$A$4:$A$5000)+7*(ROW()-10)))</f>
        <v/>
      </c>
    </row>
    <row r="1302" spans="1:10" x14ac:dyDescent="0.25">
      <c r="A1302" t="str">
        <f>IF($J1302="","",YEAR($J1302-WEEKDAY($J1302,2)+4)&amp;"-W"&amp;TEXT(_xludf.ISOWEEKNUM($J1302),"00"))</f>
        <v/>
      </c>
      <c r="B1302"/>
      <c r="C1302" t="str">
        <f>IF($J1302="","",SUMIFS('Hours Log'!$C:$C,'Hours Log'!$A:$A,"&gt;="&amp;$J1302,'Hours Log'!$A:$A,"&lt;"&amp;$J1302+7)+SUMIFS('Hours Log'!$D:$D,'Hours Log'!$A:$A,"&gt;="&amp;$J1302,'Hours Log'!$A:$A,"&lt;"&amp;$J1302+7))</f>
        <v/>
      </c>
      <c r="D1302" t="str">
        <f>IF($J1302="","",SUMIFS('Hours Log'!$D:$D,'Hours Log'!$A:$A,"&gt;="&amp;$J1302,'Hours Log'!$A:$A,"&lt;"&amp;$J1302+7))</f>
        <v/>
      </c>
      <c r="E1302" t="str">
        <f t="shared" si="40"/>
        <v/>
      </c>
      <c r="F1302" t="str">
        <f t="shared" si="41"/>
        <v/>
      </c>
      <c r="G1302" t="str">
        <f>IF($J1302="","",SUMIFS('Hours Log'!$E:$E,'Hours Log'!$A:$A,"&gt;="&amp;$J1302,'Hours Log'!$A:$A,"&lt;"&amp;$J1302+7))</f>
        <v/>
      </c>
      <c r="J1302" t="str">
        <f>IF(COUNT('Hours Log'!$A$4:$A$5000)=0,"",IF(MIN('Hours Log'!$A$4:$A$5000)+7*(ROW()-10)&gt;MAX('Hours Log'!$A$4:$A$5000),"",MIN('Hours Log'!$A$4:$A$5000)+7*(ROW()-10)))</f>
        <v/>
      </c>
    </row>
    <row r="1303" spans="1:10" x14ac:dyDescent="0.25">
      <c r="A1303" t="str">
        <f>IF($J1303="","",YEAR($J1303-WEEKDAY($J1303,2)+4)&amp;"-W"&amp;TEXT(_xludf.ISOWEEKNUM($J1303),"00"))</f>
        <v/>
      </c>
      <c r="B1303"/>
      <c r="C1303" t="str">
        <f>IF($J1303="","",SUMIFS('Hours Log'!$C:$C,'Hours Log'!$A:$A,"&gt;="&amp;$J1303,'Hours Log'!$A:$A,"&lt;"&amp;$J1303+7)+SUMIFS('Hours Log'!$D:$D,'Hours Log'!$A:$A,"&gt;="&amp;$J1303,'Hours Log'!$A:$A,"&lt;"&amp;$J1303+7))</f>
        <v/>
      </c>
      <c r="D1303" t="str">
        <f>IF($J1303="","",SUMIFS('Hours Log'!$D:$D,'Hours Log'!$A:$A,"&gt;="&amp;$J1303,'Hours Log'!$A:$A,"&lt;"&amp;$J1303+7))</f>
        <v/>
      </c>
      <c r="E1303" t="str">
        <f t="shared" si="40"/>
        <v/>
      </c>
      <c r="F1303" t="str">
        <f t="shared" si="41"/>
        <v/>
      </c>
      <c r="G1303" t="str">
        <f>IF($J1303="","",SUMIFS('Hours Log'!$E:$E,'Hours Log'!$A:$A,"&gt;="&amp;$J1303,'Hours Log'!$A:$A,"&lt;"&amp;$J1303+7))</f>
        <v/>
      </c>
      <c r="J1303" t="str">
        <f>IF(COUNT('Hours Log'!$A$4:$A$5000)=0,"",IF(MIN('Hours Log'!$A$4:$A$5000)+7*(ROW()-10)&gt;MAX('Hours Log'!$A$4:$A$5000),"",MIN('Hours Log'!$A$4:$A$5000)+7*(ROW()-10)))</f>
        <v/>
      </c>
    </row>
    <row r="1304" spans="1:10" x14ac:dyDescent="0.25">
      <c r="A1304" t="str">
        <f>IF($J1304="","",YEAR($J1304-WEEKDAY($J1304,2)+4)&amp;"-W"&amp;TEXT(_xludf.ISOWEEKNUM($J1304),"00"))</f>
        <v/>
      </c>
      <c r="B1304"/>
      <c r="C1304" t="str">
        <f>IF($J1304="","",SUMIFS('Hours Log'!$C:$C,'Hours Log'!$A:$A,"&gt;="&amp;$J1304,'Hours Log'!$A:$A,"&lt;"&amp;$J1304+7)+SUMIFS('Hours Log'!$D:$D,'Hours Log'!$A:$A,"&gt;="&amp;$J1304,'Hours Log'!$A:$A,"&lt;"&amp;$J1304+7))</f>
        <v/>
      </c>
      <c r="D1304" t="str">
        <f>IF($J1304="","",SUMIFS('Hours Log'!$D:$D,'Hours Log'!$A:$A,"&gt;="&amp;$J1304,'Hours Log'!$A:$A,"&lt;"&amp;$J1304+7))</f>
        <v/>
      </c>
      <c r="E1304" t="str">
        <f t="shared" si="40"/>
        <v/>
      </c>
      <c r="F1304" t="str">
        <f t="shared" si="41"/>
        <v/>
      </c>
      <c r="G1304" t="str">
        <f>IF($J1304="","",SUMIFS('Hours Log'!$E:$E,'Hours Log'!$A:$A,"&gt;="&amp;$J1304,'Hours Log'!$A:$A,"&lt;"&amp;$J1304+7))</f>
        <v/>
      </c>
      <c r="J1304" t="str">
        <f>IF(COUNT('Hours Log'!$A$4:$A$5000)=0,"",IF(MIN('Hours Log'!$A$4:$A$5000)+7*(ROW()-10)&gt;MAX('Hours Log'!$A$4:$A$5000),"",MIN('Hours Log'!$A$4:$A$5000)+7*(ROW()-10)))</f>
        <v/>
      </c>
    </row>
    <row r="1305" spans="1:10" x14ac:dyDescent="0.25">
      <c r="A1305" t="str">
        <f>IF($J1305="","",YEAR($J1305-WEEKDAY($J1305,2)+4)&amp;"-W"&amp;TEXT(_xludf.ISOWEEKNUM($J1305),"00"))</f>
        <v/>
      </c>
      <c r="B1305"/>
      <c r="C1305" t="str">
        <f>IF($J1305="","",SUMIFS('Hours Log'!$C:$C,'Hours Log'!$A:$A,"&gt;="&amp;$J1305,'Hours Log'!$A:$A,"&lt;"&amp;$J1305+7)+SUMIFS('Hours Log'!$D:$D,'Hours Log'!$A:$A,"&gt;="&amp;$J1305,'Hours Log'!$A:$A,"&lt;"&amp;$J1305+7))</f>
        <v/>
      </c>
      <c r="D1305" t="str">
        <f>IF($J1305="","",SUMIFS('Hours Log'!$D:$D,'Hours Log'!$A:$A,"&gt;="&amp;$J1305,'Hours Log'!$A:$A,"&lt;"&amp;$J1305+7))</f>
        <v/>
      </c>
      <c r="E1305" t="str">
        <f t="shared" si="40"/>
        <v/>
      </c>
      <c r="F1305" t="str">
        <f t="shared" si="41"/>
        <v/>
      </c>
      <c r="G1305" t="str">
        <f>IF($J1305="","",SUMIFS('Hours Log'!$E:$E,'Hours Log'!$A:$A,"&gt;="&amp;$J1305,'Hours Log'!$A:$A,"&lt;"&amp;$J1305+7))</f>
        <v/>
      </c>
      <c r="J1305" t="str">
        <f>IF(COUNT('Hours Log'!$A$4:$A$5000)=0,"",IF(MIN('Hours Log'!$A$4:$A$5000)+7*(ROW()-10)&gt;MAX('Hours Log'!$A$4:$A$5000),"",MIN('Hours Log'!$A$4:$A$5000)+7*(ROW()-10)))</f>
        <v/>
      </c>
    </row>
    <row r="1306" spans="1:10" x14ac:dyDescent="0.25">
      <c r="A1306" t="str">
        <f>IF($J1306="","",YEAR($J1306-WEEKDAY($J1306,2)+4)&amp;"-W"&amp;TEXT(_xludf.ISOWEEKNUM($J1306),"00"))</f>
        <v/>
      </c>
      <c r="B1306"/>
      <c r="C1306" t="str">
        <f>IF($J1306="","",SUMIFS('Hours Log'!$C:$C,'Hours Log'!$A:$A,"&gt;="&amp;$J1306,'Hours Log'!$A:$A,"&lt;"&amp;$J1306+7)+SUMIFS('Hours Log'!$D:$D,'Hours Log'!$A:$A,"&gt;="&amp;$J1306,'Hours Log'!$A:$A,"&lt;"&amp;$J1306+7))</f>
        <v/>
      </c>
      <c r="D1306" t="str">
        <f>IF($J1306="","",SUMIFS('Hours Log'!$D:$D,'Hours Log'!$A:$A,"&gt;="&amp;$J1306,'Hours Log'!$A:$A,"&lt;"&amp;$J1306+7))</f>
        <v/>
      </c>
      <c r="E1306" t="str">
        <f t="shared" si="40"/>
        <v/>
      </c>
      <c r="F1306" t="str">
        <f t="shared" si="41"/>
        <v/>
      </c>
      <c r="G1306" t="str">
        <f>IF($J1306="","",SUMIFS('Hours Log'!$E:$E,'Hours Log'!$A:$A,"&gt;="&amp;$J1306,'Hours Log'!$A:$A,"&lt;"&amp;$J1306+7))</f>
        <v/>
      </c>
      <c r="J1306" t="str">
        <f>IF(COUNT('Hours Log'!$A$4:$A$5000)=0,"",IF(MIN('Hours Log'!$A$4:$A$5000)+7*(ROW()-10)&gt;MAX('Hours Log'!$A$4:$A$5000),"",MIN('Hours Log'!$A$4:$A$5000)+7*(ROW()-10)))</f>
        <v/>
      </c>
    </row>
    <row r="1307" spans="1:10" x14ac:dyDescent="0.25">
      <c r="A1307" t="str">
        <f>IF($J1307="","",YEAR($J1307-WEEKDAY($J1307,2)+4)&amp;"-W"&amp;TEXT(_xludf.ISOWEEKNUM($J1307),"00"))</f>
        <v/>
      </c>
      <c r="B1307"/>
      <c r="C1307" t="str">
        <f>IF($J1307="","",SUMIFS('Hours Log'!$C:$C,'Hours Log'!$A:$A,"&gt;="&amp;$J1307,'Hours Log'!$A:$A,"&lt;"&amp;$J1307+7)+SUMIFS('Hours Log'!$D:$D,'Hours Log'!$A:$A,"&gt;="&amp;$J1307,'Hours Log'!$A:$A,"&lt;"&amp;$J1307+7))</f>
        <v/>
      </c>
      <c r="D1307" t="str">
        <f>IF($J1307="","",SUMIFS('Hours Log'!$D:$D,'Hours Log'!$A:$A,"&gt;="&amp;$J1307,'Hours Log'!$A:$A,"&lt;"&amp;$J1307+7))</f>
        <v/>
      </c>
      <c r="E1307" t="str">
        <f t="shared" si="40"/>
        <v/>
      </c>
      <c r="F1307" t="str">
        <f t="shared" si="41"/>
        <v/>
      </c>
      <c r="G1307" t="str">
        <f>IF($J1307="","",SUMIFS('Hours Log'!$E:$E,'Hours Log'!$A:$A,"&gt;="&amp;$J1307,'Hours Log'!$A:$A,"&lt;"&amp;$J1307+7))</f>
        <v/>
      </c>
      <c r="J1307" t="str">
        <f>IF(COUNT('Hours Log'!$A$4:$A$5000)=0,"",IF(MIN('Hours Log'!$A$4:$A$5000)+7*(ROW()-10)&gt;MAX('Hours Log'!$A$4:$A$5000),"",MIN('Hours Log'!$A$4:$A$5000)+7*(ROW()-10)))</f>
        <v/>
      </c>
    </row>
    <row r="1308" spans="1:10" x14ac:dyDescent="0.25">
      <c r="A1308" t="str">
        <f>IF($J1308="","",YEAR($J1308-WEEKDAY($J1308,2)+4)&amp;"-W"&amp;TEXT(_xludf.ISOWEEKNUM($J1308),"00"))</f>
        <v/>
      </c>
      <c r="B1308"/>
      <c r="C1308" t="str">
        <f>IF($J1308="","",SUMIFS('Hours Log'!$C:$C,'Hours Log'!$A:$A,"&gt;="&amp;$J1308,'Hours Log'!$A:$A,"&lt;"&amp;$J1308+7)+SUMIFS('Hours Log'!$D:$D,'Hours Log'!$A:$A,"&gt;="&amp;$J1308,'Hours Log'!$A:$A,"&lt;"&amp;$J1308+7))</f>
        <v/>
      </c>
      <c r="D1308" t="str">
        <f>IF($J1308="","",SUMIFS('Hours Log'!$D:$D,'Hours Log'!$A:$A,"&gt;="&amp;$J1308,'Hours Log'!$A:$A,"&lt;"&amp;$J1308+7))</f>
        <v/>
      </c>
      <c r="E1308" t="str">
        <f t="shared" si="40"/>
        <v/>
      </c>
      <c r="F1308" t="str">
        <f t="shared" si="41"/>
        <v/>
      </c>
      <c r="G1308" t="str">
        <f>IF($J1308="","",SUMIFS('Hours Log'!$E:$E,'Hours Log'!$A:$A,"&gt;="&amp;$J1308,'Hours Log'!$A:$A,"&lt;"&amp;$J1308+7))</f>
        <v/>
      </c>
      <c r="J1308" t="str">
        <f>IF(COUNT('Hours Log'!$A$4:$A$5000)=0,"",IF(MIN('Hours Log'!$A$4:$A$5000)+7*(ROW()-10)&gt;MAX('Hours Log'!$A$4:$A$5000),"",MIN('Hours Log'!$A$4:$A$5000)+7*(ROW()-10)))</f>
        <v/>
      </c>
    </row>
    <row r="1309" spans="1:10" x14ac:dyDescent="0.25">
      <c r="A1309" t="str">
        <f>IF($J1309="","",YEAR($J1309-WEEKDAY($J1309,2)+4)&amp;"-W"&amp;TEXT(_xludf.ISOWEEKNUM($J1309),"00"))</f>
        <v/>
      </c>
      <c r="B1309"/>
      <c r="C1309" t="str">
        <f>IF($J1309="","",SUMIFS('Hours Log'!$C:$C,'Hours Log'!$A:$A,"&gt;="&amp;$J1309,'Hours Log'!$A:$A,"&lt;"&amp;$J1309+7)+SUMIFS('Hours Log'!$D:$D,'Hours Log'!$A:$A,"&gt;="&amp;$J1309,'Hours Log'!$A:$A,"&lt;"&amp;$J1309+7))</f>
        <v/>
      </c>
      <c r="D1309" t="str">
        <f>IF($J1309="","",SUMIFS('Hours Log'!$D:$D,'Hours Log'!$A:$A,"&gt;="&amp;$J1309,'Hours Log'!$A:$A,"&lt;"&amp;$J1309+7))</f>
        <v/>
      </c>
      <c r="E1309" t="str">
        <f t="shared" si="40"/>
        <v/>
      </c>
      <c r="F1309" t="str">
        <f t="shared" si="41"/>
        <v/>
      </c>
      <c r="G1309" t="str">
        <f>IF($J1309="","",SUMIFS('Hours Log'!$E:$E,'Hours Log'!$A:$A,"&gt;="&amp;$J1309,'Hours Log'!$A:$A,"&lt;"&amp;$J1309+7))</f>
        <v/>
      </c>
      <c r="J1309" t="str">
        <f>IF(COUNT('Hours Log'!$A$4:$A$5000)=0,"",IF(MIN('Hours Log'!$A$4:$A$5000)+7*(ROW()-10)&gt;MAX('Hours Log'!$A$4:$A$5000),"",MIN('Hours Log'!$A$4:$A$5000)+7*(ROW()-10)))</f>
        <v/>
      </c>
    </row>
    <row r="1310" spans="1:10" x14ac:dyDescent="0.25">
      <c r="A1310" t="str">
        <f>IF($J1310="","",YEAR($J1310-WEEKDAY($J1310,2)+4)&amp;"-W"&amp;TEXT(_xludf.ISOWEEKNUM($J1310),"00"))</f>
        <v/>
      </c>
      <c r="B1310"/>
      <c r="C1310" t="str">
        <f>IF($J1310="","",SUMIFS('Hours Log'!$C:$C,'Hours Log'!$A:$A,"&gt;="&amp;$J1310,'Hours Log'!$A:$A,"&lt;"&amp;$J1310+7)+SUMIFS('Hours Log'!$D:$D,'Hours Log'!$A:$A,"&gt;="&amp;$J1310,'Hours Log'!$A:$A,"&lt;"&amp;$J1310+7))</f>
        <v/>
      </c>
      <c r="D1310" t="str">
        <f>IF($J1310="","",SUMIFS('Hours Log'!$D:$D,'Hours Log'!$A:$A,"&gt;="&amp;$J1310,'Hours Log'!$A:$A,"&lt;"&amp;$J1310+7))</f>
        <v/>
      </c>
      <c r="E1310" t="str">
        <f t="shared" si="40"/>
        <v/>
      </c>
      <c r="F1310" t="str">
        <f t="shared" si="41"/>
        <v/>
      </c>
      <c r="G1310" t="str">
        <f>IF($J1310="","",SUMIFS('Hours Log'!$E:$E,'Hours Log'!$A:$A,"&gt;="&amp;$J1310,'Hours Log'!$A:$A,"&lt;"&amp;$J1310+7))</f>
        <v/>
      </c>
      <c r="J1310" t="str">
        <f>IF(COUNT('Hours Log'!$A$4:$A$5000)=0,"",IF(MIN('Hours Log'!$A$4:$A$5000)+7*(ROW()-10)&gt;MAX('Hours Log'!$A$4:$A$5000),"",MIN('Hours Log'!$A$4:$A$5000)+7*(ROW()-10)))</f>
        <v/>
      </c>
    </row>
    <row r="1311" spans="1:10" x14ac:dyDescent="0.25">
      <c r="A1311" t="str">
        <f>IF($J1311="","",YEAR($J1311-WEEKDAY($J1311,2)+4)&amp;"-W"&amp;TEXT(_xludf.ISOWEEKNUM($J1311),"00"))</f>
        <v/>
      </c>
      <c r="B1311"/>
      <c r="C1311" t="str">
        <f>IF($J1311="","",SUMIFS('Hours Log'!$C:$C,'Hours Log'!$A:$A,"&gt;="&amp;$J1311,'Hours Log'!$A:$A,"&lt;"&amp;$J1311+7)+SUMIFS('Hours Log'!$D:$D,'Hours Log'!$A:$A,"&gt;="&amp;$J1311,'Hours Log'!$A:$A,"&lt;"&amp;$J1311+7))</f>
        <v/>
      </c>
      <c r="D1311" t="str">
        <f>IF($J1311="","",SUMIFS('Hours Log'!$D:$D,'Hours Log'!$A:$A,"&gt;="&amp;$J1311,'Hours Log'!$A:$A,"&lt;"&amp;$J1311+7))</f>
        <v/>
      </c>
      <c r="E1311" t="str">
        <f t="shared" si="40"/>
        <v/>
      </c>
      <c r="F1311" t="str">
        <f t="shared" si="41"/>
        <v/>
      </c>
      <c r="G1311" t="str">
        <f>IF($J1311="","",SUMIFS('Hours Log'!$E:$E,'Hours Log'!$A:$A,"&gt;="&amp;$J1311,'Hours Log'!$A:$A,"&lt;"&amp;$J1311+7))</f>
        <v/>
      </c>
      <c r="J1311" t="str">
        <f>IF(COUNT('Hours Log'!$A$4:$A$5000)=0,"",IF(MIN('Hours Log'!$A$4:$A$5000)+7*(ROW()-10)&gt;MAX('Hours Log'!$A$4:$A$5000),"",MIN('Hours Log'!$A$4:$A$5000)+7*(ROW()-10)))</f>
        <v/>
      </c>
    </row>
    <row r="1312" spans="1:10" x14ac:dyDescent="0.25">
      <c r="A1312" t="str">
        <f>IF($J1312="","",YEAR($J1312-WEEKDAY($J1312,2)+4)&amp;"-W"&amp;TEXT(_xludf.ISOWEEKNUM($J1312),"00"))</f>
        <v/>
      </c>
      <c r="B1312"/>
      <c r="C1312" t="str">
        <f>IF($J1312="","",SUMIFS('Hours Log'!$C:$C,'Hours Log'!$A:$A,"&gt;="&amp;$J1312,'Hours Log'!$A:$A,"&lt;"&amp;$J1312+7)+SUMIFS('Hours Log'!$D:$D,'Hours Log'!$A:$A,"&gt;="&amp;$J1312,'Hours Log'!$A:$A,"&lt;"&amp;$J1312+7))</f>
        <v/>
      </c>
      <c r="D1312" t="str">
        <f>IF($J1312="","",SUMIFS('Hours Log'!$D:$D,'Hours Log'!$A:$A,"&gt;="&amp;$J1312,'Hours Log'!$A:$A,"&lt;"&amp;$J1312+7))</f>
        <v/>
      </c>
      <c r="E1312" t="str">
        <f t="shared" si="40"/>
        <v/>
      </c>
      <c r="F1312" t="str">
        <f t="shared" si="41"/>
        <v/>
      </c>
      <c r="G1312" t="str">
        <f>IF($J1312="","",SUMIFS('Hours Log'!$E:$E,'Hours Log'!$A:$A,"&gt;="&amp;$J1312,'Hours Log'!$A:$A,"&lt;"&amp;$J1312+7))</f>
        <v/>
      </c>
      <c r="J1312" t="str">
        <f>IF(COUNT('Hours Log'!$A$4:$A$5000)=0,"",IF(MIN('Hours Log'!$A$4:$A$5000)+7*(ROW()-10)&gt;MAX('Hours Log'!$A$4:$A$5000),"",MIN('Hours Log'!$A$4:$A$5000)+7*(ROW()-10)))</f>
        <v/>
      </c>
    </row>
    <row r="1313" spans="1:10" x14ac:dyDescent="0.25">
      <c r="A1313" t="str">
        <f>IF($J1313="","",YEAR($J1313-WEEKDAY($J1313,2)+4)&amp;"-W"&amp;TEXT(_xludf.ISOWEEKNUM($J1313),"00"))</f>
        <v/>
      </c>
      <c r="B1313"/>
      <c r="C1313" t="str">
        <f>IF($J1313="","",SUMIFS('Hours Log'!$C:$C,'Hours Log'!$A:$A,"&gt;="&amp;$J1313,'Hours Log'!$A:$A,"&lt;"&amp;$J1313+7)+SUMIFS('Hours Log'!$D:$D,'Hours Log'!$A:$A,"&gt;="&amp;$J1313,'Hours Log'!$A:$A,"&lt;"&amp;$J1313+7))</f>
        <v/>
      </c>
      <c r="D1313" t="str">
        <f>IF($J1313="","",SUMIFS('Hours Log'!$D:$D,'Hours Log'!$A:$A,"&gt;="&amp;$J1313,'Hours Log'!$A:$A,"&lt;"&amp;$J1313+7))</f>
        <v/>
      </c>
      <c r="E1313" t="str">
        <f t="shared" si="40"/>
        <v/>
      </c>
      <c r="F1313" t="str">
        <f t="shared" si="41"/>
        <v/>
      </c>
      <c r="G1313" t="str">
        <f>IF($J1313="","",SUMIFS('Hours Log'!$E:$E,'Hours Log'!$A:$A,"&gt;="&amp;$J1313,'Hours Log'!$A:$A,"&lt;"&amp;$J1313+7))</f>
        <v/>
      </c>
      <c r="J1313" t="str">
        <f>IF(COUNT('Hours Log'!$A$4:$A$5000)=0,"",IF(MIN('Hours Log'!$A$4:$A$5000)+7*(ROW()-10)&gt;MAX('Hours Log'!$A$4:$A$5000),"",MIN('Hours Log'!$A$4:$A$5000)+7*(ROW()-10)))</f>
        <v/>
      </c>
    </row>
    <row r="1314" spans="1:10" x14ac:dyDescent="0.25">
      <c r="A1314" t="str">
        <f>IF($J1314="","",YEAR($J1314-WEEKDAY($J1314,2)+4)&amp;"-W"&amp;TEXT(_xludf.ISOWEEKNUM($J1314),"00"))</f>
        <v/>
      </c>
      <c r="B1314"/>
      <c r="C1314" t="str">
        <f>IF($J1314="","",SUMIFS('Hours Log'!$C:$C,'Hours Log'!$A:$A,"&gt;="&amp;$J1314,'Hours Log'!$A:$A,"&lt;"&amp;$J1314+7)+SUMIFS('Hours Log'!$D:$D,'Hours Log'!$A:$A,"&gt;="&amp;$J1314,'Hours Log'!$A:$A,"&lt;"&amp;$J1314+7))</f>
        <v/>
      </c>
      <c r="D1314" t="str">
        <f>IF($J1314="","",SUMIFS('Hours Log'!$D:$D,'Hours Log'!$A:$A,"&gt;="&amp;$J1314,'Hours Log'!$A:$A,"&lt;"&amp;$J1314+7))</f>
        <v/>
      </c>
      <c r="E1314" t="str">
        <f t="shared" si="40"/>
        <v/>
      </c>
      <c r="F1314" t="str">
        <f t="shared" si="41"/>
        <v/>
      </c>
      <c r="G1314" t="str">
        <f>IF($J1314="","",SUMIFS('Hours Log'!$E:$E,'Hours Log'!$A:$A,"&gt;="&amp;$J1314,'Hours Log'!$A:$A,"&lt;"&amp;$J1314+7))</f>
        <v/>
      </c>
      <c r="J1314" t="str">
        <f>IF(COUNT('Hours Log'!$A$4:$A$5000)=0,"",IF(MIN('Hours Log'!$A$4:$A$5000)+7*(ROW()-10)&gt;MAX('Hours Log'!$A$4:$A$5000),"",MIN('Hours Log'!$A$4:$A$5000)+7*(ROW()-10)))</f>
        <v/>
      </c>
    </row>
    <row r="1315" spans="1:10" x14ac:dyDescent="0.25">
      <c r="A1315" t="str">
        <f>IF($J1315="","",YEAR($J1315-WEEKDAY($J1315,2)+4)&amp;"-W"&amp;TEXT(_xludf.ISOWEEKNUM($J1315),"00"))</f>
        <v/>
      </c>
      <c r="B1315"/>
      <c r="C1315" t="str">
        <f>IF($J1315="","",SUMIFS('Hours Log'!$C:$C,'Hours Log'!$A:$A,"&gt;="&amp;$J1315,'Hours Log'!$A:$A,"&lt;"&amp;$J1315+7)+SUMIFS('Hours Log'!$D:$D,'Hours Log'!$A:$A,"&gt;="&amp;$J1315,'Hours Log'!$A:$A,"&lt;"&amp;$J1315+7))</f>
        <v/>
      </c>
      <c r="D1315" t="str">
        <f>IF($J1315="","",SUMIFS('Hours Log'!$D:$D,'Hours Log'!$A:$A,"&gt;="&amp;$J1315,'Hours Log'!$A:$A,"&lt;"&amp;$J1315+7))</f>
        <v/>
      </c>
      <c r="E1315" t="str">
        <f t="shared" si="40"/>
        <v/>
      </c>
      <c r="F1315" t="str">
        <f t="shared" si="41"/>
        <v/>
      </c>
      <c r="G1315" t="str">
        <f>IF($J1315="","",SUMIFS('Hours Log'!$E:$E,'Hours Log'!$A:$A,"&gt;="&amp;$J1315,'Hours Log'!$A:$A,"&lt;"&amp;$J1315+7))</f>
        <v/>
      </c>
      <c r="J1315" t="str">
        <f>IF(COUNT('Hours Log'!$A$4:$A$5000)=0,"",IF(MIN('Hours Log'!$A$4:$A$5000)+7*(ROW()-10)&gt;MAX('Hours Log'!$A$4:$A$5000),"",MIN('Hours Log'!$A$4:$A$5000)+7*(ROW()-10)))</f>
        <v/>
      </c>
    </row>
    <row r="1316" spans="1:10" x14ac:dyDescent="0.25">
      <c r="A1316" t="str">
        <f>IF($J1316="","",YEAR($J1316-WEEKDAY($J1316,2)+4)&amp;"-W"&amp;TEXT(_xludf.ISOWEEKNUM($J1316),"00"))</f>
        <v/>
      </c>
      <c r="B1316"/>
      <c r="C1316" t="str">
        <f>IF($J1316="","",SUMIFS('Hours Log'!$C:$C,'Hours Log'!$A:$A,"&gt;="&amp;$J1316,'Hours Log'!$A:$A,"&lt;"&amp;$J1316+7)+SUMIFS('Hours Log'!$D:$D,'Hours Log'!$A:$A,"&gt;="&amp;$J1316,'Hours Log'!$A:$A,"&lt;"&amp;$J1316+7))</f>
        <v/>
      </c>
      <c r="D1316" t="str">
        <f>IF($J1316="","",SUMIFS('Hours Log'!$D:$D,'Hours Log'!$A:$A,"&gt;="&amp;$J1316,'Hours Log'!$A:$A,"&lt;"&amp;$J1316+7))</f>
        <v/>
      </c>
      <c r="E1316" t="str">
        <f t="shared" si="40"/>
        <v/>
      </c>
      <c r="F1316" t="str">
        <f t="shared" si="41"/>
        <v/>
      </c>
      <c r="G1316" t="str">
        <f>IF($J1316="","",SUMIFS('Hours Log'!$E:$E,'Hours Log'!$A:$A,"&gt;="&amp;$J1316,'Hours Log'!$A:$A,"&lt;"&amp;$J1316+7))</f>
        <v/>
      </c>
      <c r="J1316" t="str">
        <f>IF(COUNT('Hours Log'!$A$4:$A$5000)=0,"",IF(MIN('Hours Log'!$A$4:$A$5000)+7*(ROW()-10)&gt;MAX('Hours Log'!$A$4:$A$5000),"",MIN('Hours Log'!$A$4:$A$5000)+7*(ROW()-10)))</f>
        <v/>
      </c>
    </row>
    <row r="1317" spans="1:10" x14ac:dyDescent="0.25">
      <c r="A1317" t="str">
        <f>IF($J1317="","",YEAR($J1317-WEEKDAY($J1317,2)+4)&amp;"-W"&amp;TEXT(_xludf.ISOWEEKNUM($J1317),"00"))</f>
        <v/>
      </c>
      <c r="B1317"/>
      <c r="C1317" t="str">
        <f>IF($J1317="","",SUMIFS('Hours Log'!$C:$C,'Hours Log'!$A:$A,"&gt;="&amp;$J1317,'Hours Log'!$A:$A,"&lt;"&amp;$J1317+7)+SUMIFS('Hours Log'!$D:$D,'Hours Log'!$A:$A,"&gt;="&amp;$J1317,'Hours Log'!$A:$A,"&lt;"&amp;$J1317+7))</f>
        <v/>
      </c>
      <c r="D1317" t="str">
        <f>IF($J1317="","",SUMIFS('Hours Log'!$D:$D,'Hours Log'!$A:$A,"&gt;="&amp;$J1317,'Hours Log'!$A:$A,"&lt;"&amp;$J1317+7))</f>
        <v/>
      </c>
      <c r="E1317" t="str">
        <f t="shared" si="40"/>
        <v/>
      </c>
      <c r="F1317" t="str">
        <f t="shared" si="41"/>
        <v/>
      </c>
      <c r="G1317" t="str">
        <f>IF($J1317="","",SUMIFS('Hours Log'!$E:$E,'Hours Log'!$A:$A,"&gt;="&amp;$J1317,'Hours Log'!$A:$A,"&lt;"&amp;$J1317+7))</f>
        <v/>
      </c>
      <c r="J1317" t="str">
        <f>IF(COUNT('Hours Log'!$A$4:$A$5000)=0,"",IF(MIN('Hours Log'!$A$4:$A$5000)+7*(ROW()-10)&gt;MAX('Hours Log'!$A$4:$A$5000),"",MIN('Hours Log'!$A$4:$A$5000)+7*(ROW()-10)))</f>
        <v/>
      </c>
    </row>
    <row r="1318" spans="1:10" x14ac:dyDescent="0.25">
      <c r="A1318" t="str">
        <f>IF($J1318="","",YEAR($J1318-WEEKDAY($J1318,2)+4)&amp;"-W"&amp;TEXT(_xludf.ISOWEEKNUM($J1318),"00"))</f>
        <v/>
      </c>
      <c r="B1318"/>
      <c r="C1318" t="str">
        <f>IF($J1318="","",SUMIFS('Hours Log'!$C:$C,'Hours Log'!$A:$A,"&gt;="&amp;$J1318,'Hours Log'!$A:$A,"&lt;"&amp;$J1318+7)+SUMIFS('Hours Log'!$D:$D,'Hours Log'!$A:$A,"&gt;="&amp;$J1318,'Hours Log'!$A:$A,"&lt;"&amp;$J1318+7))</f>
        <v/>
      </c>
      <c r="D1318" t="str">
        <f>IF($J1318="","",SUMIFS('Hours Log'!$D:$D,'Hours Log'!$A:$A,"&gt;="&amp;$J1318,'Hours Log'!$A:$A,"&lt;"&amp;$J1318+7))</f>
        <v/>
      </c>
      <c r="E1318" t="str">
        <f t="shared" si="40"/>
        <v/>
      </c>
      <c r="F1318" t="str">
        <f t="shared" si="41"/>
        <v/>
      </c>
      <c r="G1318" t="str">
        <f>IF($J1318="","",SUMIFS('Hours Log'!$E:$E,'Hours Log'!$A:$A,"&gt;="&amp;$J1318,'Hours Log'!$A:$A,"&lt;"&amp;$J1318+7))</f>
        <v/>
      </c>
      <c r="J1318" t="str">
        <f>IF(COUNT('Hours Log'!$A$4:$A$5000)=0,"",IF(MIN('Hours Log'!$A$4:$A$5000)+7*(ROW()-10)&gt;MAX('Hours Log'!$A$4:$A$5000),"",MIN('Hours Log'!$A$4:$A$5000)+7*(ROW()-10)))</f>
        <v/>
      </c>
    </row>
    <row r="1319" spans="1:10" x14ac:dyDescent="0.25">
      <c r="A1319" t="str">
        <f>IF($J1319="","",YEAR($J1319-WEEKDAY($J1319,2)+4)&amp;"-W"&amp;TEXT(_xludf.ISOWEEKNUM($J1319),"00"))</f>
        <v/>
      </c>
      <c r="B1319"/>
      <c r="C1319" t="str">
        <f>IF($J1319="","",SUMIFS('Hours Log'!$C:$C,'Hours Log'!$A:$A,"&gt;="&amp;$J1319,'Hours Log'!$A:$A,"&lt;"&amp;$J1319+7)+SUMIFS('Hours Log'!$D:$D,'Hours Log'!$A:$A,"&gt;="&amp;$J1319,'Hours Log'!$A:$A,"&lt;"&amp;$J1319+7))</f>
        <v/>
      </c>
      <c r="D1319" t="str">
        <f>IF($J1319="","",SUMIFS('Hours Log'!$D:$D,'Hours Log'!$A:$A,"&gt;="&amp;$J1319,'Hours Log'!$A:$A,"&lt;"&amp;$J1319+7))</f>
        <v/>
      </c>
      <c r="E1319" t="str">
        <f t="shared" si="40"/>
        <v/>
      </c>
      <c r="F1319" t="str">
        <f t="shared" si="41"/>
        <v/>
      </c>
      <c r="G1319" t="str">
        <f>IF($J1319="","",SUMIFS('Hours Log'!$E:$E,'Hours Log'!$A:$A,"&gt;="&amp;$J1319,'Hours Log'!$A:$A,"&lt;"&amp;$J1319+7))</f>
        <v/>
      </c>
      <c r="J1319" t="str">
        <f>IF(COUNT('Hours Log'!$A$4:$A$5000)=0,"",IF(MIN('Hours Log'!$A$4:$A$5000)+7*(ROW()-10)&gt;MAX('Hours Log'!$A$4:$A$5000),"",MIN('Hours Log'!$A$4:$A$5000)+7*(ROW()-10)))</f>
        <v/>
      </c>
    </row>
    <row r="1320" spans="1:10" x14ac:dyDescent="0.25">
      <c r="A1320" t="str">
        <f>IF($J1320="","",YEAR($J1320-WEEKDAY($J1320,2)+4)&amp;"-W"&amp;TEXT(_xludf.ISOWEEKNUM($J1320),"00"))</f>
        <v/>
      </c>
      <c r="B1320"/>
      <c r="C1320" t="str">
        <f>IF($J1320="","",SUMIFS('Hours Log'!$C:$C,'Hours Log'!$A:$A,"&gt;="&amp;$J1320,'Hours Log'!$A:$A,"&lt;"&amp;$J1320+7)+SUMIFS('Hours Log'!$D:$D,'Hours Log'!$A:$A,"&gt;="&amp;$J1320,'Hours Log'!$A:$A,"&lt;"&amp;$J1320+7))</f>
        <v/>
      </c>
      <c r="D1320" t="str">
        <f>IF($J1320="","",SUMIFS('Hours Log'!$D:$D,'Hours Log'!$A:$A,"&gt;="&amp;$J1320,'Hours Log'!$A:$A,"&lt;"&amp;$J1320+7))</f>
        <v/>
      </c>
      <c r="E1320" t="str">
        <f t="shared" si="40"/>
        <v/>
      </c>
      <c r="F1320" t="str">
        <f t="shared" si="41"/>
        <v/>
      </c>
      <c r="G1320" t="str">
        <f>IF($J1320="","",SUMIFS('Hours Log'!$E:$E,'Hours Log'!$A:$A,"&gt;="&amp;$J1320,'Hours Log'!$A:$A,"&lt;"&amp;$J1320+7))</f>
        <v/>
      </c>
      <c r="J1320" t="str">
        <f>IF(COUNT('Hours Log'!$A$4:$A$5000)=0,"",IF(MIN('Hours Log'!$A$4:$A$5000)+7*(ROW()-10)&gt;MAX('Hours Log'!$A$4:$A$5000),"",MIN('Hours Log'!$A$4:$A$5000)+7*(ROW()-10)))</f>
        <v/>
      </c>
    </row>
    <row r="1321" spans="1:10" x14ac:dyDescent="0.25">
      <c r="A1321" t="str">
        <f>IF($J1321="","",YEAR($J1321-WEEKDAY($J1321,2)+4)&amp;"-W"&amp;TEXT(_xludf.ISOWEEKNUM($J1321),"00"))</f>
        <v/>
      </c>
      <c r="B1321"/>
      <c r="C1321" t="str">
        <f>IF($J1321="","",SUMIFS('Hours Log'!$C:$C,'Hours Log'!$A:$A,"&gt;="&amp;$J1321,'Hours Log'!$A:$A,"&lt;"&amp;$J1321+7)+SUMIFS('Hours Log'!$D:$D,'Hours Log'!$A:$A,"&gt;="&amp;$J1321,'Hours Log'!$A:$A,"&lt;"&amp;$J1321+7))</f>
        <v/>
      </c>
      <c r="D1321" t="str">
        <f>IF($J1321="","",SUMIFS('Hours Log'!$D:$D,'Hours Log'!$A:$A,"&gt;="&amp;$J1321,'Hours Log'!$A:$A,"&lt;"&amp;$J1321+7))</f>
        <v/>
      </c>
      <c r="E1321" t="str">
        <f t="shared" si="40"/>
        <v/>
      </c>
      <c r="F1321" t="str">
        <f t="shared" si="41"/>
        <v/>
      </c>
      <c r="G1321" t="str">
        <f>IF($J1321="","",SUMIFS('Hours Log'!$E:$E,'Hours Log'!$A:$A,"&gt;="&amp;$J1321,'Hours Log'!$A:$A,"&lt;"&amp;$J1321+7))</f>
        <v/>
      </c>
      <c r="J1321" t="str">
        <f>IF(COUNT('Hours Log'!$A$4:$A$5000)=0,"",IF(MIN('Hours Log'!$A$4:$A$5000)+7*(ROW()-10)&gt;MAX('Hours Log'!$A$4:$A$5000),"",MIN('Hours Log'!$A$4:$A$5000)+7*(ROW()-10)))</f>
        <v/>
      </c>
    </row>
    <row r="1322" spans="1:10" x14ac:dyDescent="0.25">
      <c r="A1322" t="str">
        <f>IF($J1322="","",YEAR($J1322-WEEKDAY($J1322,2)+4)&amp;"-W"&amp;TEXT(_xludf.ISOWEEKNUM($J1322),"00"))</f>
        <v/>
      </c>
      <c r="B1322"/>
      <c r="C1322" t="str">
        <f>IF($J1322="","",SUMIFS('Hours Log'!$C:$C,'Hours Log'!$A:$A,"&gt;="&amp;$J1322,'Hours Log'!$A:$A,"&lt;"&amp;$J1322+7)+SUMIFS('Hours Log'!$D:$D,'Hours Log'!$A:$A,"&gt;="&amp;$J1322,'Hours Log'!$A:$A,"&lt;"&amp;$J1322+7))</f>
        <v/>
      </c>
      <c r="D1322" t="str">
        <f>IF($J1322="","",SUMIFS('Hours Log'!$D:$D,'Hours Log'!$A:$A,"&gt;="&amp;$J1322,'Hours Log'!$A:$A,"&lt;"&amp;$J1322+7))</f>
        <v/>
      </c>
      <c r="E1322" t="str">
        <f t="shared" si="40"/>
        <v/>
      </c>
      <c r="F1322" t="str">
        <f t="shared" si="41"/>
        <v/>
      </c>
      <c r="G1322" t="str">
        <f>IF($J1322="","",SUMIFS('Hours Log'!$E:$E,'Hours Log'!$A:$A,"&gt;="&amp;$J1322,'Hours Log'!$A:$A,"&lt;"&amp;$J1322+7))</f>
        <v/>
      </c>
      <c r="J1322" t="str">
        <f>IF(COUNT('Hours Log'!$A$4:$A$5000)=0,"",IF(MIN('Hours Log'!$A$4:$A$5000)+7*(ROW()-10)&gt;MAX('Hours Log'!$A$4:$A$5000),"",MIN('Hours Log'!$A$4:$A$5000)+7*(ROW()-10)))</f>
        <v/>
      </c>
    </row>
    <row r="1323" spans="1:10" x14ac:dyDescent="0.25">
      <c r="A1323" t="str">
        <f>IF($J1323="","",YEAR($J1323-WEEKDAY($J1323,2)+4)&amp;"-W"&amp;TEXT(_xludf.ISOWEEKNUM($J1323),"00"))</f>
        <v/>
      </c>
      <c r="B1323"/>
      <c r="C1323" t="str">
        <f>IF($J1323="","",SUMIFS('Hours Log'!$C:$C,'Hours Log'!$A:$A,"&gt;="&amp;$J1323,'Hours Log'!$A:$A,"&lt;"&amp;$J1323+7)+SUMIFS('Hours Log'!$D:$D,'Hours Log'!$A:$A,"&gt;="&amp;$J1323,'Hours Log'!$A:$A,"&lt;"&amp;$J1323+7))</f>
        <v/>
      </c>
      <c r="D1323" t="str">
        <f>IF($J1323="","",SUMIFS('Hours Log'!$D:$D,'Hours Log'!$A:$A,"&gt;="&amp;$J1323,'Hours Log'!$A:$A,"&lt;"&amp;$J1323+7))</f>
        <v/>
      </c>
      <c r="E1323" t="str">
        <f t="shared" si="40"/>
        <v/>
      </c>
      <c r="F1323" t="str">
        <f t="shared" si="41"/>
        <v/>
      </c>
      <c r="G1323" t="str">
        <f>IF($J1323="","",SUMIFS('Hours Log'!$E:$E,'Hours Log'!$A:$A,"&gt;="&amp;$J1323,'Hours Log'!$A:$A,"&lt;"&amp;$J1323+7))</f>
        <v/>
      </c>
      <c r="J1323" t="str">
        <f>IF(COUNT('Hours Log'!$A$4:$A$5000)=0,"",IF(MIN('Hours Log'!$A$4:$A$5000)+7*(ROW()-10)&gt;MAX('Hours Log'!$A$4:$A$5000),"",MIN('Hours Log'!$A$4:$A$5000)+7*(ROW()-10)))</f>
        <v/>
      </c>
    </row>
    <row r="1324" spans="1:10" x14ac:dyDescent="0.25">
      <c r="A1324" t="str">
        <f>IF($J1324="","",YEAR($J1324-WEEKDAY($J1324,2)+4)&amp;"-W"&amp;TEXT(_xludf.ISOWEEKNUM($J1324),"00"))</f>
        <v/>
      </c>
      <c r="B1324"/>
      <c r="C1324" t="str">
        <f>IF($J1324="","",SUMIFS('Hours Log'!$C:$C,'Hours Log'!$A:$A,"&gt;="&amp;$J1324,'Hours Log'!$A:$A,"&lt;"&amp;$J1324+7)+SUMIFS('Hours Log'!$D:$D,'Hours Log'!$A:$A,"&gt;="&amp;$J1324,'Hours Log'!$A:$A,"&lt;"&amp;$J1324+7))</f>
        <v/>
      </c>
      <c r="D1324" t="str">
        <f>IF($J1324="","",SUMIFS('Hours Log'!$D:$D,'Hours Log'!$A:$A,"&gt;="&amp;$J1324,'Hours Log'!$A:$A,"&lt;"&amp;$J1324+7))</f>
        <v/>
      </c>
      <c r="E1324" t="str">
        <f t="shared" si="40"/>
        <v/>
      </c>
      <c r="F1324" t="str">
        <f t="shared" si="41"/>
        <v/>
      </c>
      <c r="G1324" t="str">
        <f>IF($J1324="","",SUMIFS('Hours Log'!$E:$E,'Hours Log'!$A:$A,"&gt;="&amp;$J1324,'Hours Log'!$A:$A,"&lt;"&amp;$J1324+7))</f>
        <v/>
      </c>
      <c r="J1324" t="str">
        <f>IF(COUNT('Hours Log'!$A$4:$A$5000)=0,"",IF(MIN('Hours Log'!$A$4:$A$5000)+7*(ROW()-10)&gt;MAX('Hours Log'!$A$4:$A$5000),"",MIN('Hours Log'!$A$4:$A$5000)+7*(ROW()-10)))</f>
        <v/>
      </c>
    </row>
    <row r="1325" spans="1:10" x14ac:dyDescent="0.25">
      <c r="A1325" t="str">
        <f>IF($J1325="","",YEAR($J1325-WEEKDAY($J1325,2)+4)&amp;"-W"&amp;TEXT(_xludf.ISOWEEKNUM($J1325),"00"))</f>
        <v/>
      </c>
      <c r="B1325"/>
      <c r="C1325" t="str">
        <f>IF($J1325="","",SUMIFS('Hours Log'!$C:$C,'Hours Log'!$A:$A,"&gt;="&amp;$J1325,'Hours Log'!$A:$A,"&lt;"&amp;$J1325+7)+SUMIFS('Hours Log'!$D:$D,'Hours Log'!$A:$A,"&gt;="&amp;$J1325,'Hours Log'!$A:$A,"&lt;"&amp;$J1325+7))</f>
        <v/>
      </c>
      <c r="D1325" t="str">
        <f>IF($J1325="","",SUMIFS('Hours Log'!$D:$D,'Hours Log'!$A:$A,"&gt;="&amp;$J1325,'Hours Log'!$A:$A,"&lt;"&amp;$J1325+7))</f>
        <v/>
      </c>
      <c r="E1325" t="str">
        <f t="shared" si="40"/>
        <v/>
      </c>
      <c r="F1325" t="str">
        <f t="shared" si="41"/>
        <v/>
      </c>
      <c r="G1325" t="str">
        <f>IF($J1325="","",SUMIFS('Hours Log'!$E:$E,'Hours Log'!$A:$A,"&gt;="&amp;$J1325,'Hours Log'!$A:$A,"&lt;"&amp;$J1325+7))</f>
        <v/>
      </c>
      <c r="J1325" t="str">
        <f>IF(COUNT('Hours Log'!$A$4:$A$5000)=0,"",IF(MIN('Hours Log'!$A$4:$A$5000)+7*(ROW()-10)&gt;MAX('Hours Log'!$A$4:$A$5000),"",MIN('Hours Log'!$A$4:$A$5000)+7*(ROW()-10)))</f>
        <v/>
      </c>
    </row>
    <row r="1326" spans="1:10" x14ac:dyDescent="0.25">
      <c r="A1326" t="str">
        <f>IF($J1326="","",YEAR($J1326-WEEKDAY($J1326,2)+4)&amp;"-W"&amp;TEXT(_xludf.ISOWEEKNUM($J1326),"00"))</f>
        <v/>
      </c>
      <c r="B1326"/>
      <c r="C1326" t="str">
        <f>IF($J1326="","",SUMIFS('Hours Log'!$C:$C,'Hours Log'!$A:$A,"&gt;="&amp;$J1326,'Hours Log'!$A:$A,"&lt;"&amp;$J1326+7)+SUMIFS('Hours Log'!$D:$D,'Hours Log'!$A:$A,"&gt;="&amp;$J1326,'Hours Log'!$A:$A,"&lt;"&amp;$J1326+7))</f>
        <v/>
      </c>
      <c r="D1326" t="str">
        <f>IF($J1326="","",SUMIFS('Hours Log'!$D:$D,'Hours Log'!$A:$A,"&gt;="&amp;$J1326,'Hours Log'!$A:$A,"&lt;"&amp;$J1326+7))</f>
        <v/>
      </c>
      <c r="E1326" t="str">
        <f t="shared" si="40"/>
        <v/>
      </c>
      <c r="F1326" t="str">
        <f t="shared" si="41"/>
        <v/>
      </c>
      <c r="G1326" t="str">
        <f>IF($J1326="","",SUMIFS('Hours Log'!$E:$E,'Hours Log'!$A:$A,"&gt;="&amp;$J1326,'Hours Log'!$A:$A,"&lt;"&amp;$J1326+7))</f>
        <v/>
      </c>
      <c r="J1326" t="str">
        <f>IF(COUNT('Hours Log'!$A$4:$A$5000)=0,"",IF(MIN('Hours Log'!$A$4:$A$5000)+7*(ROW()-10)&gt;MAX('Hours Log'!$A$4:$A$5000),"",MIN('Hours Log'!$A$4:$A$5000)+7*(ROW()-10)))</f>
        <v/>
      </c>
    </row>
    <row r="1327" spans="1:10" x14ac:dyDescent="0.25">
      <c r="A1327" t="str">
        <f>IF($J1327="","",YEAR($J1327-WEEKDAY($J1327,2)+4)&amp;"-W"&amp;TEXT(_xludf.ISOWEEKNUM($J1327),"00"))</f>
        <v/>
      </c>
      <c r="B1327"/>
      <c r="C1327" t="str">
        <f>IF($J1327="","",SUMIFS('Hours Log'!$C:$C,'Hours Log'!$A:$A,"&gt;="&amp;$J1327,'Hours Log'!$A:$A,"&lt;"&amp;$J1327+7)+SUMIFS('Hours Log'!$D:$D,'Hours Log'!$A:$A,"&gt;="&amp;$J1327,'Hours Log'!$A:$A,"&lt;"&amp;$J1327+7))</f>
        <v/>
      </c>
      <c r="D1327" t="str">
        <f>IF($J1327="","",SUMIFS('Hours Log'!$D:$D,'Hours Log'!$A:$A,"&gt;="&amp;$J1327,'Hours Log'!$A:$A,"&lt;"&amp;$J1327+7))</f>
        <v/>
      </c>
      <c r="E1327" t="str">
        <f t="shared" si="40"/>
        <v/>
      </c>
      <c r="F1327" t="str">
        <f t="shared" si="41"/>
        <v/>
      </c>
      <c r="G1327" t="str">
        <f>IF($J1327="","",SUMIFS('Hours Log'!$E:$E,'Hours Log'!$A:$A,"&gt;="&amp;$J1327,'Hours Log'!$A:$A,"&lt;"&amp;$J1327+7))</f>
        <v/>
      </c>
      <c r="J1327" t="str">
        <f>IF(COUNT('Hours Log'!$A$4:$A$5000)=0,"",IF(MIN('Hours Log'!$A$4:$A$5000)+7*(ROW()-10)&gt;MAX('Hours Log'!$A$4:$A$5000),"",MIN('Hours Log'!$A$4:$A$5000)+7*(ROW()-10)))</f>
        <v/>
      </c>
    </row>
    <row r="1328" spans="1:10" x14ac:dyDescent="0.25">
      <c r="A1328" t="str">
        <f>IF($J1328="","",YEAR($J1328-WEEKDAY($J1328,2)+4)&amp;"-W"&amp;TEXT(_xludf.ISOWEEKNUM($J1328),"00"))</f>
        <v/>
      </c>
      <c r="B1328"/>
      <c r="C1328" t="str">
        <f>IF($J1328="","",SUMIFS('Hours Log'!$C:$C,'Hours Log'!$A:$A,"&gt;="&amp;$J1328,'Hours Log'!$A:$A,"&lt;"&amp;$J1328+7)+SUMIFS('Hours Log'!$D:$D,'Hours Log'!$A:$A,"&gt;="&amp;$J1328,'Hours Log'!$A:$A,"&lt;"&amp;$J1328+7))</f>
        <v/>
      </c>
      <c r="D1328" t="str">
        <f>IF($J1328="","",SUMIFS('Hours Log'!$D:$D,'Hours Log'!$A:$A,"&gt;="&amp;$J1328,'Hours Log'!$A:$A,"&lt;"&amp;$J1328+7))</f>
        <v/>
      </c>
      <c r="E1328" t="str">
        <f t="shared" si="40"/>
        <v/>
      </c>
      <c r="F1328" t="str">
        <f t="shared" si="41"/>
        <v/>
      </c>
      <c r="G1328" t="str">
        <f>IF($J1328="","",SUMIFS('Hours Log'!$E:$E,'Hours Log'!$A:$A,"&gt;="&amp;$J1328,'Hours Log'!$A:$A,"&lt;"&amp;$J1328+7))</f>
        <v/>
      </c>
      <c r="J1328" t="str">
        <f>IF(COUNT('Hours Log'!$A$4:$A$5000)=0,"",IF(MIN('Hours Log'!$A$4:$A$5000)+7*(ROW()-10)&gt;MAX('Hours Log'!$A$4:$A$5000),"",MIN('Hours Log'!$A$4:$A$5000)+7*(ROW()-10)))</f>
        <v/>
      </c>
    </row>
    <row r="1329" spans="1:10" x14ac:dyDescent="0.25">
      <c r="A1329" t="str">
        <f>IF($J1329="","",YEAR($J1329-WEEKDAY($J1329,2)+4)&amp;"-W"&amp;TEXT(_xludf.ISOWEEKNUM($J1329),"00"))</f>
        <v/>
      </c>
      <c r="B1329"/>
      <c r="C1329" t="str">
        <f>IF($J1329="","",SUMIFS('Hours Log'!$C:$C,'Hours Log'!$A:$A,"&gt;="&amp;$J1329,'Hours Log'!$A:$A,"&lt;"&amp;$J1329+7)+SUMIFS('Hours Log'!$D:$D,'Hours Log'!$A:$A,"&gt;="&amp;$J1329,'Hours Log'!$A:$A,"&lt;"&amp;$J1329+7))</f>
        <v/>
      </c>
      <c r="D1329" t="str">
        <f>IF($J1329="","",SUMIFS('Hours Log'!$D:$D,'Hours Log'!$A:$A,"&gt;="&amp;$J1329,'Hours Log'!$A:$A,"&lt;"&amp;$J1329+7))</f>
        <v/>
      </c>
      <c r="E1329" t="str">
        <f t="shared" si="40"/>
        <v/>
      </c>
      <c r="F1329" t="str">
        <f t="shared" si="41"/>
        <v/>
      </c>
      <c r="G1329" t="str">
        <f>IF($J1329="","",SUMIFS('Hours Log'!$E:$E,'Hours Log'!$A:$A,"&gt;="&amp;$J1329,'Hours Log'!$A:$A,"&lt;"&amp;$J1329+7))</f>
        <v/>
      </c>
      <c r="J1329" t="str">
        <f>IF(COUNT('Hours Log'!$A$4:$A$5000)=0,"",IF(MIN('Hours Log'!$A$4:$A$5000)+7*(ROW()-10)&gt;MAX('Hours Log'!$A$4:$A$5000),"",MIN('Hours Log'!$A$4:$A$5000)+7*(ROW()-10)))</f>
        <v/>
      </c>
    </row>
    <row r="1330" spans="1:10" x14ac:dyDescent="0.25">
      <c r="A1330" t="str">
        <f>IF($J1330="","",YEAR($J1330-WEEKDAY($J1330,2)+4)&amp;"-W"&amp;TEXT(_xludf.ISOWEEKNUM($J1330),"00"))</f>
        <v/>
      </c>
      <c r="B1330"/>
      <c r="C1330" t="str">
        <f>IF($J1330="","",SUMIFS('Hours Log'!$C:$C,'Hours Log'!$A:$A,"&gt;="&amp;$J1330,'Hours Log'!$A:$A,"&lt;"&amp;$J1330+7)+SUMIFS('Hours Log'!$D:$D,'Hours Log'!$A:$A,"&gt;="&amp;$J1330,'Hours Log'!$A:$A,"&lt;"&amp;$J1330+7))</f>
        <v/>
      </c>
      <c r="D1330" t="str">
        <f>IF($J1330="","",SUMIFS('Hours Log'!$D:$D,'Hours Log'!$A:$A,"&gt;="&amp;$J1330,'Hours Log'!$A:$A,"&lt;"&amp;$J1330+7))</f>
        <v/>
      </c>
      <c r="E1330" t="str">
        <f t="shared" si="40"/>
        <v/>
      </c>
      <c r="F1330" t="str">
        <f t="shared" si="41"/>
        <v/>
      </c>
      <c r="G1330" t="str">
        <f>IF($J1330="","",SUMIFS('Hours Log'!$E:$E,'Hours Log'!$A:$A,"&gt;="&amp;$J1330,'Hours Log'!$A:$A,"&lt;"&amp;$J1330+7))</f>
        <v/>
      </c>
      <c r="J1330" t="str">
        <f>IF(COUNT('Hours Log'!$A$4:$A$5000)=0,"",IF(MIN('Hours Log'!$A$4:$A$5000)+7*(ROW()-10)&gt;MAX('Hours Log'!$A$4:$A$5000),"",MIN('Hours Log'!$A$4:$A$5000)+7*(ROW()-10)))</f>
        <v/>
      </c>
    </row>
    <row r="1331" spans="1:10" x14ac:dyDescent="0.25">
      <c r="A1331" t="str">
        <f>IF($J1331="","",YEAR($J1331-WEEKDAY($J1331,2)+4)&amp;"-W"&amp;TEXT(_xludf.ISOWEEKNUM($J1331),"00"))</f>
        <v/>
      </c>
      <c r="B1331"/>
      <c r="C1331" t="str">
        <f>IF($J1331="","",SUMIFS('Hours Log'!$C:$C,'Hours Log'!$A:$A,"&gt;="&amp;$J1331,'Hours Log'!$A:$A,"&lt;"&amp;$J1331+7)+SUMIFS('Hours Log'!$D:$D,'Hours Log'!$A:$A,"&gt;="&amp;$J1331,'Hours Log'!$A:$A,"&lt;"&amp;$J1331+7))</f>
        <v/>
      </c>
      <c r="D1331" t="str">
        <f>IF($J1331="","",SUMIFS('Hours Log'!$D:$D,'Hours Log'!$A:$A,"&gt;="&amp;$J1331,'Hours Log'!$A:$A,"&lt;"&amp;$J1331+7))</f>
        <v/>
      </c>
      <c r="E1331" t="str">
        <f t="shared" si="40"/>
        <v/>
      </c>
      <c r="F1331" t="str">
        <f t="shared" si="41"/>
        <v/>
      </c>
      <c r="G1331" t="str">
        <f>IF($J1331="","",SUMIFS('Hours Log'!$E:$E,'Hours Log'!$A:$A,"&gt;="&amp;$J1331,'Hours Log'!$A:$A,"&lt;"&amp;$J1331+7))</f>
        <v/>
      </c>
      <c r="J1331" t="str">
        <f>IF(COUNT('Hours Log'!$A$4:$A$5000)=0,"",IF(MIN('Hours Log'!$A$4:$A$5000)+7*(ROW()-10)&gt;MAX('Hours Log'!$A$4:$A$5000),"",MIN('Hours Log'!$A$4:$A$5000)+7*(ROW()-10)))</f>
        <v/>
      </c>
    </row>
    <row r="1332" spans="1:10" x14ac:dyDescent="0.25">
      <c r="A1332" t="str">
        <f>IF($J1332="","",YEAR($J1332-WEEKDAY($J1332,2)+4)&amp;"-W"&amp;TEXT(_xludf.ISOWEEKNUM($J1332),"00"))</f>
        <v/>
      </c>
      <c r="B1332"/>
      <c r="C1332" t="str">
        <f>IF($J1332="","",SUMIFS('Hours Log'!$C:$C,'Hours Log'!$A:$A,"&gt;="&amp;$J1332,'Hours Log'!$A:$A,"&lt;"&amp;$J1332+7)+SUMIFS('Hours Log'!$D:$D,'Hours Log'!$A:$A,"&gt;="&amp;$J1332,'Hours Log'!$A:$A,"&lt;"&amp;$J1332+7))</f>
        <v/>
      </c>
      <c r="D1332" t="str">
        <f>IF($J1332="","",SUMIFS('Hours Log'!$D:$D,'Hours Log'!$A:$A,"&gt;="&amp;$J1332,'Hours Log'!$A:$A,"&lt;"&amp;$J1332+7))</f>
        <v/>
      </c>
      <c r="E1332" t="str">
        <f t="shared" si="40"/>
        <v/>
      </c>
      <c r="F1332" t="str">
        <f t="shared" si="41"/>
        <v/>
      </c>
      <c r="G1332" t="str">
        <f>IF($J1332="","",SUMIFS('Hours Log'!$E:$E,'Hours Log'!$A:$A,"&gt;="&amp;$J1332,'Hours Log'!$A:$A,"&lt;"&amp;$J1332+7))</f>
        <v/>
      </c>
      <c r="J1332" t="str">
        <f>IF(COUNT('Hours Log'!$A$4:$A$5000)=0,"",IF(MIN('Hours Log'!$A$4:$A$5000)+7*(ROW()-10)&gt;MAX('Hours Log'!$A$4:$A$5000),"",MIN('Hours Log'!$A$4:$A$5000)+7*(ROW()-10)))</f>
        <v/>
      </c>
    </row>
    <row r="1333" spans="1:10" x14ac:dyDescent="0.25">
      <c r="A1333" t="str">
        <f>IF($J1333="","",YEAR($J1333-WEEKDAY($J1333,2)+4)&amp;"-W"&amp;TEXT(_xludf.ISOWEEKNUM($J1333),"00"))</f>
        <v/>
      </c>
      <c r="B1333"/>
      <c r="C1333" t="str">
        <f>IF($J1333="","",SUMIFS('Hours Log'!$C:$C,'Hours Log'!$A:$A,"&gt;="&amp;$J1333,'Hours Log'!$A:$A,"&lt;"&amp;$J1333+7)+SUMIFS('Hours Log'!$D:$D,'Hours Log'!$A:$A,"&gt;="&amp;$J1333,'Hours Log'!$A:$A,"&lt;"&amp;$J1333+7))</f>
        <v/>
      </c>
      <c r="D1333" t="str">
        <f>IF($J1333="","",SUMIFS('Hours Log'!$D:$D,'Hours Log'!$A:$A,"&gt;="&amp;$J1333,'Hours Log'!$A:$A,"&lt;"&amp;$J1333+7))</f>
        <v/>
      </c>
      <c r="E1333" t="str">
        <f t="shared" si="40"/>
        <v/>
      </c>
      <c r="F1333" t="str">
        <f t="shared" si="41"/>
        <v/>
      </c>
      <c r="G1333" t="str">
        <f>IF($J1333="","",SUMIFS('Hours Log'!$E:$E,'Hours Log'!$A:$A,"&gt;="&amp;$J1333,'Hours Log'!$A:$A,"&lt;"&amp;$J1333+7))</f>
        <v/>
      </c>
      <c r="J1333" t="str">
        <f>IF(COUNT('Hours Log'!$A$4:$A$5000)=0,"",IF(MIN('Hours Log'!$A$4:$A$5000)+7*(ROW()-10)&gt;MAX('Hours Log'!$A$4:$A$5000),"",MIN('Hours Log'!$A$4:$A$5000)+7*(ROW()-10)))</f>
        <v/>
      </c>
    </row>
    <row r="1334" spans="1:10" x14ac:dyDescent="0.25">
      <c r="A1334" t="str">
        <f>IF($J1334="","",YEAR($J1334-WEEKDAY($J1334,2)+4)&amp;"-W"&amp;TEXT(_xludf.ISOWEEKNUM($J1334),"00"))</f>
        <v/>
      </c>
      <c r="B1334"/>
      <c r="C1334" t="str">
        <f>IF($J1334="","",SUMIFS('Hours Log'!$C:$C,'Hours Log'!$A:$A,"&gt;="&amp;$J1334,'Hours Log'!$A:$A,"&lt;"&amp;$J1334+7)+SUMIFS('Hours Log'!$D:$D,'Hours Log'!$A:$A,"&gt;="&amp;$J1334,'Hours Log'!$A:$A,"&lt;"&amp;$J1334+7))</f>
        <v/>
      </c>
      <c r="D1334" t="str">
        <f>IF($J1334="","",SUMIFS('Hours Log'!$D:$D,'Hours Log'!$A:$A,"&gt;="&amp;$J1334,'Hours Log'!$A:$A,"&lt;"&amp;$J1334+7))</f>
        <v/>
      </c>
      <c r="E1334" t="str">
        <f t="shared" si="40"/>
        <v/>
      </c>
      <c r="F1334" t="str">
        <f t="shared" si="41"/>
        <v/>
      </c>
      <c r="G1334" t="str">
        <f>IF($J1334="","",SUMIFS('Hours Log'!$E:$E,'Hours Log'!$A:$A,"&gt;="&amp;$J1334,'Hours Log'!$A:$A,"&lt;"&amp;$J1334+7))</f>
        <v/>
      </c>
      <c r="J1334" t="str">
        <f>IF(COUNT('Hours Log'!$A$4:$A$5000)=0,"",IF(MIN('Hours Log'!$A$4:$A$5000)+7*(ROW()-10)&gt;MAX('Hours Log'!$A$4:$A$5000),"",MIN('Hours Log'!$A$4:$A$5000)+7*(ROW()-10)))</f>
        <v/>
      </c>
    </row>
    <row r="1335" spans="1:10" x14ac:dyDescent="0.25">
      <c r="A1335" t="str">
        <f>IF($J1335="","",YEAR($J1335-WEEKDAY($J1335,2)+4)&amp;"-W"&amp;TEXT(_xludf.ISOWEEKNUM($J1335),"00"))</f>
        <v/>
      </c>
      <c r="B1335"/>
      <c r="C1335" t="str">
        <f>IF($J1335="","",SUMIFS('Hours Log'!$C:$C,'Hours Log'!$A:$A,"&gt;="&amp;$J1335,'Hours Log'!$A:$A,"&lt;"&amp;$J1335+7)+SUMIFS('Hours Log'!$D:$D,'Hours Log'!$A:$A,"&gt;="&amp;$J1335,'Hours Log'!$A:$A,"&lt;"&amp;$J1335+7))</f>
        <v/>
      </c>
      <c r="D1335" t="str">
        <f>IF($J1335="","",SUMIFS('Hours Log'!$D:$D,'Hours Log'!$A:$A,"&gt;="&amp;$J1335,'Hours Log'!$A:$A,"&lt;"&amp;$J1335+7))</f>
        <v/>
      </c>
      <c r="E1335" t="str">
        <f t="shared" si="40"/>
        <v/>
      </c>
      <c r="F1335" t="str">
        <f t="shared" si="41"/>
        <v/>
      </c>
      <c r="G1335" t="str">
        <f>IF($J1335="","",SUMIFS('Hours Log'!$E:$E,'Hours Log'!$A:$A,"&gt;="&amp;$J1335,'Hours Log'!$A:$A,"&lt;"&amp;$J1335+7))</f>
        <v/>
      </c>
      <c r="J1335" t="str">
        <f>IF(COUNT('Hours Log'!$A$4:$A$5000)=0,"",IF(MIN('Hours Log'!$A$4:$A$5000)+7*(ROW()-10)&gt;MAX('Hours Log'!$A$4:$A$5000),"",MIN('Hours Log'!$A$4:$A$5000)+7*(ROW()-10)))</f>
        <v/>
      </c>
    </row>
    <row r="1336" spans="1:10" x14ac:dyDescent="0.25">
      <c r="A1336" t="str">
        <f>IF($J1336="","",YEAR($J1336-WEEKDAY($J1336,2)+4)&amp;"-W"&amp;TEXT(_xludf.ISOWEEKNUM($J1336),"00"))</f>
        <v/>
      </c>
      <c r="B1336"/>
      <c r="C1336" t="str">
        <f>IF($J1336="","",SUMIFS('Hours Log'!$C:$C,'Hours Log'!$A:$A,"&gt;="&amp;$J1336,'Hours Log'!$A:$A,"&lt;"&amp;$J1336+7)+SUMIFS('Hours Log'!$D:$D,'Hours Log'!$A:$A,"&gt;="&amp;$J1336,'Hours Log'!$A:$A,"&lt;"&amp;$J1336+7))</f>
        <v/>
      </c>
      <c r="D1336" t="str">
        <f>IF($J1336="","",SUMIFS('Hours Log'!$D:$D,'Hours Log'!$A:$A,"&gt;="&amp;$J1336,'Hours Log'!$A:$A,"&lt;"&amp;$J1336+7))</f>
        <v/>
      </c>
      <c r="E1336" t="str">
        <f t="shared" si="40"/>
        <v/>
      </c>
      <c r="F1336" t="str">
        <f t="shared" si="41"/>
        <v/>
      </c>
      <c r="G1336" t="str">
        <f>IF($J1336="","",SUMIFS('Hours Log'!$E:$E,'Hours Log'!$A:$A,"&gt;="&amp;$J1336,'Hours Log'!$A:$A,"&lt;"&amp;$J1336+7))</f>
        <v/>
      </c>
      <c r="J1336" t="str">
        <f>IF(COUNT('Hours Log'!$A$4:$A$5000)=0,"",IF(MIN('Hours Log'!$A$4:$A$5000)+7*(ROW()-10)&gt;MAX('Hours Log'!$A$4:$A$5000),"",MIN('Hours Log'!$A$4:$A$5000)+7*(ROW()-10)))</f>
        <v/>
      </c>
    </row>
    <row r="1337" spans="1:10" x14ac:dyDescent="0.25">
      <c r="A1337" t="str">
        <f>IF($J1337="","",YEAR($J1337-WEEKDAY($J1337,2)+4)&amp;"-W"&amp;TEXT(_xludf.ISOWEEKNUM($J1337),"00"))</f>
        <v/>
      </c>
      <c r="B1337"/>
      <c r="C1337" t="str">
        <f>IF($J1337="","",SUMIFS('Hours Log'!$C:$C,'Hours Log'!$A:$A,"&gt;="&amp;$J1337,'Hours Log'!$A:$A,"&lt;"&amp;$J1337+7)+SUMIFS('Hours Log'!$D:$D,'Hours Log'!$A:$A,"&gt;="&amp;$J1337,'Hours Log'!$A:$A,"&lt;"&amp;$J1337+7))</f>
        <v/>
      </c>
      <c r="D1337" t="str">
        <f>IF($J1337="","",SUMIFS('Hours Log'!$D:$D,'Hours Log'!$A:$A,"&gt;="&amp;$J1337,'Hours Log'!$A:$A,"&lt;"&amp;$J1337+7))</f>
        <v/>
      </c>
      <c r="E1337" t="str">
        <f t="shared" si="40"/>
        <v/>
      </c>
      <c r="F1337" t="str">
        <f t="shared" si="41"/>
        <v/>
      </c>
      <c r="G1337" t="str">
        <f>IF($J1337="","",SUMIFS('Hours Log'!$E:$E,'Hours Log'!$A:$A,"&gt;="&amp;$J1337,'Hours Log'!$A:$A,"&lt;"&amp;$J1337+7))</f>
        <v/>
      </c>
      <c r="J1337" t="str">
        <f>IF(COUNT('Hours Log'!$A$4:$A$5000)=0,"",IF(MIN('Hours Log'!$A$4:$A$5000)+7*(ROW()-10)&gt;MAX('Hours Log'!$A$4:$A$5000),"",MIN('Hours Log'!$A$4:$A$5000)+7*(ROW()-10)))</f>
        <v/>
      </c>
    </row>
    <row r="1338" spans="1:10" x14ac:dyDescent="0.25">
      <c r="A1338" t="str">
        <f>IF($J1338="","",YEAR($J1338-WEEKDAY($J1338,2)+4)&amp;"-W"&amp;TEXT(_xludf.ISOWEEKNUM($J1338),"00"))</f>
        <v/>
      </c>
      <c r="B1338"/>
      <c r="C1338" t="str">
        <f>IF($J1338="","",SUMIFS('Hours Log'!$C:$C,'Hours Log'!$A:$A,"&gt;="&amp;$J1338,'Hours Log'!$A:$A,"&lt;"&amp;$J1338+7)+SUMIFS('Hours Log'!$D:$D,'Hours Log'!$A:$A,"&gt;="&amp;$J1338,'Hours Log'!$A:$A,"&lt;"&amp;$J1338+7))</f>
        <v/>
      </c>
      <c r="D1338" t="str">
        <f>IF($J1338="","",SUMIFS('Hours Log'!$D:$D,'Hours Log'!$A:$A,"&gt;="&amp;$J1338,'Hours Log'!$A:$A,"&lt;"&amp;$J1338+7))</f>
        <v/>
      </c>
      <c r="E1338" t="str">
        <f t="shared" si="40"/>
        <v/>
      </c>
      <c r="F1338" t="str">
        <f t="shared" si="41"/>
        <v/>
      </c>
      <c r="G1338" t="str">
        <f>IF($J1338="","",SUMIFS('Hours Log'!$E:$E,'Hours Log'!$A:$A,"&gt;="&amp;$J1338,'Hours Log'!$A:$A,"&lt;"&amp;$J1338+7))</f>
        <v/>
      </c>
      <c r="J1338" t="str">
        <f>IF(COUNT('Hours Log'!$A$4:$A$5000)=0,"",IF(MIN('Hours Log'!$A$4:$A$5000)+7*(ROW()-10)&gt;MAX('Hours Log'!$A$4:$A$5000),"",MIN('Hours Log'!$A$4:$A$5000)+7*(ROW()-10)))</f>
        <v/>
      </c>
    </row>
    <row r="1339" spans="1:10" x14ac:dyDescent="0.25">
      <c r="A1339" t="str">
        <f>IF($J1339="","",YEAR($J1339-WEEKDAY($J1339,2)+4)&amp;"-W"&amp;TEXT(_xludf.ISOWEEKNUM($J1339),"00"))</f>
        <v/>
      </c>
      <c r="B1339"/>
      <c r="C1339" t="str">
        <f>IF($J1339="","",SUMIFS('Hours Log'!$C:$C,'Hours Log'!$A:$A,"&gt;="&amp;$J1339,'Hours Log'!$A:$A,"&lt;"&amp;$J1339+7)+SUMIFS('Hours Log'!$D:$D,'Hours Log'!$A:$A,"&gt;="&amp;$J1339,'Hours Log'!$A:$A,"&lt;"&amp;$J1339+7))</f>
        <v/>
      </c>
      <c r="D1339" t="str">
        <f>IF($J1339="","",SUMIFS('Hours Log'!$D:$D,'Hours Log'!$A:$A,"&gt;="&amp;$J1339,'Hours Log'!$A:$A,"&lt;"&amp;$J1339+7))</f>
        <v/>
      </c>
      <c r="E1339" t="str">
        <f t="shared" si="40"/>
        <v/>
      </c>
      <c r="F1339" t="str">
        <f t="shared" si="41"/>
        <v/>
      </c>
      <c r="G1339" t="str">
        <f>IF($J1339="","",SUMIFS('Hours Log'!$E:$E,'Hours Log'!$A:$A,"&gt;="&amp;$J1339,'Hours Log'!$A:$A,"&lt;"&amp;$J1339+7))</f>
        <v/>
      </c>
      <c r="J1339" t="str">
        <f>IF(COUNT('Hours Log'!$A$4:$A$5000)=0,"",IF(MIN('Hours Log'!$A$4:$A$5000)+7*(ROW()-10)&gt;MAX('Hours Log'!$A$4:$A$5000),"",MIN('Hours Log'!$A$4:$A$5000)+7*(ROW()-10)))</f>
        <v/>
      </c>
    </row>
    <row r="1340" spans="1:10" x14ac:dyDescent="0.25">
      <c r="A1340" t="str">
        <f>IF($J1340="","",YEAR($J1340-WEEKDAY($J1340,2)+4)&amp;"-W"&amp;TEXT(_xludf.ISOWEEKNUM($J1340),"00"))</f>
        <v/>
      </c>
      <c r="B1340"/>
      <c r="C1340" t="str">
        <f>IF($J1340="","",SUMIFS('Hours Log'!$C:$C,'Hours Log'!$A:$A,"&gt;="&amp;$J1340,'Hours Log'!$A:$A,"&lt;"&amp;$J1340+7)+SUMIFS('Hours Log'!$D:$D,'Hours Log'!$A:$A,"&gt;="&amp;$J1340,'Hours Log'!$A:$A,"&lt;"&amp;$J1340+7))</f>
        <v/>
      </c>
      <c r="D1340" t="str">
        <f>IF($J1340="","",SUMIFS('Hours Log'!$D:$D,'Hours Log'!$A:$A,"&gt;="&amp;$J1340,'Hours Log'!$A:$A,"&lt;"&amp;$J1340+7))</f>
        <v/>
      </c>
      <c r="E1340" t="str">
        <f t="shared" si="40"/>
        <v/>
      </c>
      <c r="F1340" t="str">
        <f t="shared" si="41"/>
        <v/>
      </c>
      <c r="G1340" t="str">
        <f>IF($J1340="","",SUMIFS('Hours Log'!$E:$E,'Hours Log'!$A:$A,"&gt;="&amp;$J1340,'Hours Log'!$A:$A,"&lt;"&amp;$J1340+7))</f>
        <v/>
      </c>
      <c r="J1340" t="str">
        <f>IF(COUNT('Hours Log'!$A$4:$A$5000)=0,"",IF(MIN('Hours Log'!$A$4:$A$5000)+7*(ROW()-10)&gt;MAX('Hours Log'!$A$4:$A$5000),"",MIN('Hours Log'!$A$4:$A$5000)+7*(ROW()-10)))</f>
        <v/>
      </c>
    </row>
    <row r="1341" spans="1:10" x14ac:dyDescent="0.25">
      <c r="A1341" t="str">
        <f>IF($J1341="","",YEAR($J1341-WEEKDAY($J1341,2)+4)&amp;"-W"&amp;TEXT(_xludf.ISOWEEKNUM($J1341),"00"))</f>
        <v/>
      </c>
      <c r="B1341"/>
      <c r="C1341" t="str">
        <f>IF($J1341="","",SUMIFS('Hours Log'!$C:$C,'Hours Log'!$A:$A,"&gt;="&amp;$J1341,'Hours Log'!$A:$A,"&lt;"&amp;$J1341+7)+SUMIFS('Hours Log'!$D:$D,'Hours Log'!$A:$A,"&gt;="&amp;$J1341,'Hours Log'!$A:$A,"&lt;"&amp;$J1341+7))</f>
        <v/>
      </c>
      <c r="D1341" t="str">
        <f>IF($J1341="","",SUMIFS('Hours Log'!$D:$D,'Hours Log'!$A:$A,"&gt;="&amp;$J1341,'Hours Log'!$A:$A,"&lt;"&amp;$J1341+7))</f>
        <v/>
      </c>
      <c r="E1341" t="str">
        <f t="shared" si="40"/>
        <v/>
      </c>
      <c r="F1341" t="str">
        <f t="shared" si="41"/>
        <v/>
      </c>
      <c r="G1341" t="str">
        <f>IF($J1341="","",SUMIFS('Hours Log'!$E:$E,'Hours Log'!$A:$A,"&gt;="&amp;$J1341,'Hours Log'!$A:$A,"&lt;"&amp;$J1341+7))</f>
        <v/>
      </c>
      <c r="J1341" t="str">
        <f>IF(COUNT('Hours Log'!$A$4:$A$5000)=0,"",IF(MIN('Hours Log'!$A$4:$A$5000)+7*(ROW()-10)&gt;MAX('Hours Log'!$A$4:$A$5000),"",MIN('Hours Log'!$A$4:$A$5000)+7*(ROW()-10)))</f>
        <v/>
      </c>
    </row>
    <row r="1342" spans="1:10" x14ac:dyDescent="0.25">
      <c r="A1342" t="str">
        <f>IF($J1342="","",YEAR($J1342-WEEKDAY($J1342,2)+4)&amp;"-W"&amp;TEXT(_xludf.ISOWEEKNUM($J1342),"00"))</f>
        <v/>
      </c>
      <c r="B1342"/>
      <c r="C1342" t="str">
        <f>IF($J1342="","",SUMIFS('Hours Log'!$C:$C,'Hours Log'!$A:$A,"&gt;="&amp;$J1342,'Hours Log'!$A:$A,"&lt;"&amp;$J1342+7)+SUMIFS('Hours Log'!$D:$D,'Hours Log'!$A:$A,"&gt;="&amp;$J1342,'Hours Log'!$A:$A,"&lt;"&amp;$J1342+7))</f>
        <v/>
      </c>
      <c r="D1342" t="str">
        <f>IF($J1342="","",SUMIFS('Hours Log'!$D:$D,'Hours Log'!$A:$A,"&gt;="&amp;$J1342,'Hours Log'!$A:$A,"&lt;"&amp;$J1342+7))</f>
        <v/>
      </c>
      <c r="E1342" t="str">
        <f t="shared" si="40"/>
        <v/>
      </c>
      <c r="F1342" t="str">
        <f t="shared" si="41"/>
        <v/>
      </c>
      <c r="G1342" t="str">
        <f>IF($J1342="","",SUMIFS('Hours Log'!$E:$E,'Hours Log'!$A:$A,"&gt;="&amp;$J1342,'Hours Log'!$A:$A,"&lt;"&amp;$J1342+7))</f>
        <v/>
      </c>
      <c r="J1342" t="str">
        <f>IF(COUNT('Hours Log'!$A$4:$A$5000)=0,"",IF(MIN('Hours Log'!$A$4:$A$5000)+7*(ROW()-10)&gt;MAX('Hours Log'!$A$4:$A$5000),"",MIN('Hours Log'!$A$4:$A$5000)+7*(ROW()-10)))</f>
        <v/>
      </c>
    </row>
    <row r="1343" spans="1:10" x14ac:dyDescent="0.25">
      <c r="A1343" t="str">
        <f>IF($J1343="","",YEAR($J1343-WEEKDAY($J1343,2)+4)&amp;"-W"&amp;TEXT(_xludf.ISOWEEKNUM($J1343),"00"))</f>
        <v/>
      </c>
      <c r="B1343"/>
      <c r="C1343" t="str">
        <f>IF($J1343="","",SUMIFS('Hours Log'!$C:$C,'Hours Log'!$A:$A,"&gt;="&amp;$J1343,'Hours Log'!$A:$A,"&lt;"&amp;$J1343+7)+SUMIFS('Hours Log'!$D:$D,'Hours Log'!$A:$A,"&gt;="&amp;$J1343,'Hours Log'!$A:$A,"&lt;"&amp;$J1343+7))</f>
        <v/>
      </c>
      <c r="D1343" t="str">
        <f>IF($J1343="","",SUMIFS('Hours Log'!$D:$D,'Hours Log'!$A:$A,"&gt;="&amp;$J1343,'Hours Log'!$A:$A,"&lt;"&amp;$J1343+7))</f>
        <v/>
      </c>
      <c r="E1343" t="str">
        <f t="shared" si="40"/>
        <v/>
      </c>
      <c r="F1343" t="str">
        <f t="shared" si="41"/>
        <v/>
      </c>
      <c r="G1343" t="str">
        <f>IF($J1343="","",SUMIFS('Hours Log'!$E:$E,'Hours Log'!$A:$A,"&gt;="&amp;$J1343,'Hours Log'!$A:$A,"&lt;"&amp;$J1343+7))</f>
        <v/>
      </c>
      <c r="J1343" t="str">
        <f>IF(COUNT('Hours Log'!$A$4:$A$5000)=0,"",IF(MIN('Hours Log'!$A$4:$A$5000)+7*(ROW()-10)&gt;MAX('Hours Log'!$A$4:$A$5000),"",MIN('Hours Log'!$A$4:$A$5000)+7*(ROW()-10)))</f>
        <v/>
      </c>
    </row>
    <row r="1344" spans="1:10" x14ac:dyDescent="0.25">
      <c r="A1344" t="str">
        <f>IF($J1344="","",YEAR($J1344-WEEKDAY($J1344,2)+4)&amp;"-W"&amp;TEXT(_xludf.ISOWEEKNUM($J1344),"00"))</f>
        <v/>
      </c>
      <c r="B1344"/>
      <c r="C1344" t="str">
        <f>IF($J1344="","",SUMIFS('Hours Log'!$C:$C,'Hours Log'!$A:$A,"&gt;="&amp;$J1344,'Hours Log'!$A:$A,"&lt;"&amp;$J1344+7)+SUMIFS('Hours Log'!$D:$D,'Hours Log'!$A:$A,"&gt;="&amp;$J1344,'Hours Log'!$A:$A,"&lt;"&amp;$J1344+7))</f>
        <v/>
      </c>
      <c r="D1344" t="str">
        <f>IF($J1344="","",SUMIFS('Hours Log'!$D:$D,'Hours Log'!$A:$A,"&gt;="&amp;$J1344,'Hours Log'!$A:$A,"&lt;"&amp;$J1344+7))</f>
        <v/>
      </c>
      <c r="E1344" t="str">
        <f t="shared" si="40"/>
        <v/>
      </c>
      <c r="F1344" t="str">
        <f t="shared" si="41"/>
        <v/>
      </c>
      <c r="G1344" t="str">
        <f>IF($J1344="","",SUMIFS('Hours Log'!$E:$E,'Hours Log'!$A:$A,"&gt;="&amp;$J1344,'Hours Log'!$A:$A,"&lt;"&amp;$J1344+7))</f>
        <v/>
      </c>
      <c r="J1344" t="str">
        <f>IF(COUNT('Hours Log'!$A$4:$A$5000)=0,"",IF(MIN('Hours Log'!$A$4:$A$5000)+7*(ROW()-10)&gt;MAX('Hours Log'!$A$4:$A$5000),"",MIN('Hours Log'!$A$4:$A$5000)+7*(ROW()-10)))</f>
        <v/>
      </c>
    </row>
    <row r="1345" spans="1:10" x14ac:dyDescent="0.25">
      <c r="A1345" t="str">
        <f>IF($J1345="","",YEAR($J1345-WEEKDAY($J1345,2)+4)&amp;"-W"&amp;TEXT(_xludf.ISOWEEKNUM($J1345),"00"))</f>
        <v/>
      </c>
      <c r="B1345"/>
      <c r="C1345" t="str">
        <f>IF($J1345="","",SUMIFS('Hours Log'!$C:$C,'Hours Log'!$A:$A,"&gt;="&amp;$J1345,'Hours Log'!$A:$A,"&lt;"&amp;$J1345+7)+SUMIFS('Hours Log'!$D:$D,'Hours Log'!$A:$A,"&gt;="&amp;$J1345,'Hours Log'!$A:$A,"&lt;"&amp;$J1345+7))</f>
        <v/>
      </c>
      <c r="D1345" t="str">
        <f>IF($J1345="","",SUMIFS('Hours Log'!$D:$D,'Hours Log'!$A:$A,"&gt;="&amp;$J1345,'Hours Log'!$A:$A,"&lt;"&amp;$J1345+7))</f>
        <v/>
      </c>
      <c r="E1345" t="str">
        <f t="shared" si="40"/>
        <v/>
      </c>
      <c r="F1345" t="str">
        <f t="shared" si="41"/>
        <v/>
      </c>
      <c r="G1345" t="str">
        <f>IF($J1345="","",SUMIFS('Hours Log'!$E:$E,'Hours Log'!$A:$A,"&gt;="&amp;$J1345,'Hours Log'!$A:$A,"&lt;"&amp;$J1345+7))</f>
        <v/>
      </c>
      <c r="J1345" t="str">
        <f>IF(COUNT('Hours Log'!$A$4:$A$5000)=0,"",IF(MIN('Hours Log'!$A$4:$A$5000)+7*(ROW()-10)&gt;MAX('Hours Log'!$A$4:$A$5000),"",MIN('Hours Log'!$A$4:$A$5000)+7*(ROW()-10)))</f>
        <v/>
      </c>
    </row>
    <row r="1346" spans="1:10" x14ac:dyDescent="0.25">
      <c r="A1346" t="str">
        <f>IF($J1346="","",YEAR($J1346-WEEKDAY($J1346,2)+4)&amp;"-W"&amp;TEXT(_xludf.ISOWEEKNUM($J1346),"00"))</f>
        <v/>
      </c>
      <c r="B1346"/>
      <c r="C1346" t="str">
        <f>IF($J1346="","",SUMIFS('Hours Log'!$C:$C,'Hours Log'!$A:$A,"&gt;="&amp;$J1346,'Hours Log'!$A:$A,"&lt;"&amp;$J1346+7)+SUMIFS('Hours Log'!$D:$D,'Hours Log'!$A:$A,"&gt;="&amp;$J1346,'Hours Log'!$A:$A,"&lt;"&amp;$J1346+7))</f>
        <v/>
      </c>
      <c r="D1346" t="str">
        <f>IF($J1346="","",SUMIFS('Hours Log'!$D:$D,'Hours Log'!$A:$A,"&gt;="&amp;$J1346,'Hours Log'!$A:$A,"&lt;"&amp;$J1346+7))</f>
        <v/>
      </c>
      <c r="E1346" t="str">
        <f t="shared" si="40"/>
        <v/>
      </c>
      <c r="F1346" t="str">
        <f t="shared" si="41"/>
        <v/>
      </c>
      <c r="G1346" t="str">
        <f>IF($J1346="","",SUMIFS('Hours Log'!$E:$E,'Hours Log'!$A:$A,"&gt;="&amp;$J1346,'Hours Log'!$A:$A,"&lt;"&amp;$J1346+7))</f>
        <v/>
      </c>
      <c r="J1346" t="str">
        <f>IF(COUNT('Hours Log'!$A$4:$A$5000)=0,"",IF(MIN('Hours Log'!$A$4:$A$5000)+7*(ROW()-10)&gt;MAX('Hours Log'!$A$4:$A$5000),"",MIN('Hours Log'!$A$4:$A$5000)+7*(ROW()-10)))</f>
        <v/>
      </c>
    </row>
    <row r="1347" spans="1:10" x14ac:dyDescent="0.25">
      <c r="A1347" t="str">
        <f>IF($J1347="","",YEAR($J1347-WEEKDAY($J1347,2)+4)&amp;"-W"&amp;TEXT(_xludf.ISOWEEKNUM($J1347),"00"))</f>
        <v/>
      </c>
      <c r="B1347"/>
      <c r="C1347" t="str">
        <f>IF($J1347="","",SUMIFS('Hours Log'!$C:$C,'Hours Log'!$A:$A,"&gt;="&amp;$J1347,'Hours Log'!$A:$A,"&lt;"&amp;$J1347+7)+SUMIFS('Hours Log'!$D:$D,'Hours Log'!$A:$A,"&gt;="&amp;$J1347,'Hours Log'!$A:$A,"&lt;"&amp;$J1347+7))</f>
        <v/>
      </c>
      <c r="D1347" t="str">
        <f>IF($J1347="","",SUMIFS('Hours Log'!$D:$D,'Hours Log'!$A:$A,"&gt;="&amp;$J1347,'Hours Log'!$A:$A,"&lt;"&amp;$J1347+7))</f>
        <v/>
      </c>
      <c r="E1347" t="str">
        <f t="shared" si="40"/>
        <v/>
      </c>
      <c r="F1347" t="str">
        <f t="shared" si="41"/>
        <v/>
      </c>
      <c r="G1347" t="str">
        <f>IF($J1347="","",SUMIFS('Hours Log'!$E:$E,'Hours Log'!$A:$A,"&gt;="&amp;$J1347,'Hours Log'!$A:$A,"&lt;"&amp;$J1347+7))</f>
        <v/>
      </c>
      <c r="J1347" t="str">
        <f>IF(COUNT('Hours Log'!$A$4:$A$5000)=0,"",IF(MIN('Hours Log'!$A$4:$A$5000)+7*(ROW()-10)&gt;MAX('Hours Log'!$A$4:$A$5000),"",MIN('Hours Log'!$A$4:$A$5000)+7*(ROW()-10)))</f>
        <v/>
      </c>
    </row>
    <row r="1348" spans="1:10" x14ac:dyDescent="0.25">
      <c r="A1348" t="str">
        <f>IF($J1348="","",YEAR($J1348-WEEKDAY($J1348,2)+4)&amp;"-W"&amp;TEXT(_xludf.ISOWEEKNUM($J1348),"00"))</f>
        <v/>
      </c>
      <c r="B1348"/>
      <c r="C1348" t="str">
        <f>IF($J1348="","",SUMIFS('Hours Log'!$C:$C,'Hours Log'!$A:$A,"&gt;="&amp;$J1348,'Hours Log'!$A:$A,"&lt;"&amp;$J1348+7)+SUMIFS('Hours Log'!$D:$D,'Hours Log'!$A:$A,"&gt;="&amp;$J1348,'Hours Log'!$A:$A,"&lt;"&amp;$J1348+7))</f>
        <v/>
      </c>
      <c r="D1348" t="str">
        <f>IF($J1348="","",SUMIFS('Hours Log'!$D:$D,'Hours Log'!$A:$A,"&gt;="&amp;$J1348,'Hours Log'!$A:$A,"&lt;"&amp;$J1348+7))</f>
        <v/>
      </c>
      <c r="E1348" t="str">
        <f t="shared" si="40"/>
        <v/>
      </c>
      <c r="F1348" t="str">
        <f t="shared" si="41"/>
        <v/>
      </c>
      <c r="G1348" t="str">
        <f>IF($J1348="","",SUMIFS('Hours Log'!$E:$E,'Hours Log'!$A:$A,"&gt;="&amp;$J1348,'Hours Log'!$A:$A,"&lt;"&amp;$J1348+7))</f>
        <v/>
      </c>
      <c r="J1348" t="str">
        <f>IF(COUNT('Hours Log'!$A$4:$A$5000)=0,"",IF(MIN('Hours Log'!$A$4:$A$5000)+7*(ROW()-10)&gt;MAX('Hours Log'!$A$4:$A$5000),"",MIN('Hours Log'!$A$4:$A$5000)+7*(ROW()-10)))</f>
        <v/>
      </c>
    </row>
    <row r="1349" spans="1:10" x14ac:dyDescent="0.25">
      <c r="A1349" t="str">
        <f>IF($J1349="","",YEAR($J1349-WEEKDAY($J1349,2)+4)&amp;"-W"&amp;TEXT(_xludf.ISOWEEKNUM($J1349),"00"))</f>
        <v/>
      </c>
      <c r="B1349"/>
      <c r="C1349" t="str">
        <f>IF($J1349="","",SUMIFS('Hours Log'!$C:$C,'Hours Log'!$A:$A,"&gt;="&amp;$J1349,'Hours Log'!$A:$A,"&lt;"&amp;$J1349+7)+SUMIFS('Hours Log'!$D:$D,'Hours Log'!$A:$A,"&gt;="&amp;$J1349,'Hours Log'!$A:$A,"&lt;"&amp;$J1349+7))</f>
        <v/>
      </c>
      <c r="D1349" t="str">
        <f>IF($J1349="","",SUMIFS('Hours Log'!$D:$D,'Hours Log'!$A:$A,"&gt;="&amp;$J1349,'Hours Log'!$A:$A,"&lt;"&amp;$J1349+7))</f>
        <v/>
      </c>
      <c r="E1349" t="str">
        <f t="shared" si="40"/>
        <v/>
      </c>
      <c r="F1349" t="str">
        <f t="shared" si="41"/>
        <v/>
      </c>
      <c r="G1349" t="str">
        <f>IF($J1349="","",SUMIFS('Hours Log'!$E:$E,'Hours Log'!$A:$A,"&gt;="&amp;$J1349,'Hours Log'!$A:$A,"&lt;"&amp;$J1349+7))</f>
        <v/>
      </c>
      <c r="J1349" t="str">
        <f>IF(COUNT('Hours Log'!$A$4:$A$5000)=0,"",IF(MIN('Hours Log'!$A$4:$A$5000)+7*(ROW()-10)&gt;MAX('Hours Log'!$A$4:$A$5000),"",MIN('Hours Log'!$A$4:$A$5000)+7*(ROW()-10)))</f>
        <v/>
      </c>
    </row>
    <row r="1350" spans="1:10" x14ac:dyDescent="0.25">
      <c r="A1350" t="str">
        <f>IF($J1350="","",YEAR($J1350-WEEKDAY($J1350,2)+4)&amp;"-W"&amp;TEXT(_xludf.ISOWEEKNUM($J1350),"00"))</f>
        <v/>
      </c>
      <c r="B1350"/>
      <c r="C1350" t="str">
        <f>IF($J1350="","",SUMIFS('Hours Log'!$C:$C,'Hours Log'!$A:$A,"&gt;="&amp;$J1350,'Hours Log'!$A:$A,"&lt;"&amp;$J1350+7)+SUMIFS('Hours Log'!$D:$D,'Hours Log'!$A:$A,"&gt;="&amp;$J1350,'Hours Log'!$A:$A,"&lt;"&amp;$J1350+7))</f>
        <v/>
      </c>
      <c r="D1350" t="str">
        <f>IF($J1350="","",SUMIFS('Hours Log'!$D:$D,'Hours Log'!$A:$A,"&gt;="&amp;$J1350,'Hours Log'!$A:$A,"&lt;"&amp;$J1350+7))</f>
        <v/>
      </c>
      <c r="E1350" t="str">
        <f t="shared" si="40"/>
        <v/>
      </c>
      <c r="F1350" t="str">
        <f t="shared" si="41"/>
        <v/>
      </c>
      <c r="G1350" t="str">
        <f>IF($J1350="","",SUMIFS('Hours Log'!$E:$E,'Hours Log'!$A:$A,"&gt;="&amp;$J1350,'Hours Log'!$A:$A,"&lt;"&amp;$J1350+7))</f>
        <v/>
      </c>
      <c r="J1350" t="str">
        <f>IF(COUNT('Hours Log'!$A$4:$A$5000)=0,"",IF(MIN('Hours Log'!$A$4:$A$5000)+7*(ROW()-10)&gt;MAX('Hours Log'!$A$4:$A$5000),"",MIN('Hours Log'!$A$4:$A$5000)+7*(ROW()-10)))</f>
        <v/>
      </c>
    </row>
    <row r="1351" spans="1:10" x14ac:dyDescent="0.25">
      <c r="A1351" t="str">
        <f>IF($J1351="","",YEAR($J1351-WEEKDAY($J1351,2)+4)&amp;"-W"&amp;TEXT(_xludf.ISOWEEKNUM($J1351),"00"))</f>
        <v/>
      </c>
      <c r="B1351"/>
      <c r="C1351" t="str">
        <f>IF($J1351="","",SUMIFS('Hours Log'!$C:$C,'Hours Log'!$A:$A,"&gt;="&amp;$J1351,'Hours Log'!$A:$A,"&lt;"&amp;$J1351+7)+SUMIFS('Hours Log'!$D:$D,'Hours Log'!$A:$A,"&gt;="&amp;$J1351,'Hours Log'!$A:$A,"&lt;"&amp;$J1351+7))</f>
        <v/>
      </c>
      <c r="D1351" t="str">
        <f>IF($J1351="","",SUMIFS('Hours Log'!$D:$D,'Hours Log'!$A:$A,"&gt;="&amp;$J1351,'Hours Log'!$A:$A,"&lt;"&amp;$J1351+7))</f>
        <v/>
      </c>
      <c r="E1351" t="str">
        <f t="shared" si="40"/>
        <v/>
      </c>
      <c r="F1351" t="str">
        <f t="shared" si="41"/>
        <v/>
      </c>
      <c r="G1351" t="str">
        <f>IF($J1351="","",SUMIFS('Hours Log'!$E:$E,'Hours Log'!$A:$A,"&gt;="&amp;$J1351,'Hours Log'!$A:$A,"&lt;"&amp;$J1351+7))</f>
        <v/>
      </c>
      <c r="J1351" t="str">
        <f>IF(COUNT('Hours Log'!$A$4:$A$5000)=0,"",IF(MIN('Hours Log'!$A$4:$A$5000)+7*(ROW()-10)&gt;MAX('Hours Log'!$A$4:$A$5000),"",MIN('Hours Log'!$A$4:$A$5000)+7*(ROW()-10)))</f>
        <v/>
      </c>
    </row>
    <row r="1352" spans="1:10" x14ac:dyDescent="0.25">
      <c r="A1352" t="str">
        <f>IF($J1352="","",YEAR($J1352-WEEKDAY($J1352,2)+4)&amp;"-W"&amp;TEXT(_xludf.ISOWEEKNUM($J1352),"00"))</f>
        <v/>
      </c>
      <c r="B1352"/>
      <c r="C1352" t="str">
        <f>IF($J1352="","",SUMIFS('Hours Log'!$C:$C,'Hours Log'!$A:$A,"&gt;="&amp;$J1352,'Hours Log'!$A:$A,"&lt;"&amp;$J1352+7)+SUMIFS('Hours Log'!$D:$D,'Hours Log'!$A:$A,"&gt;="&amp;$J1352,'Hours Log'!$A:$A,"&lt;"&amp;$J1352+7))</f>
        <v/>
      </c>
      <c r="D1352" t="str">
        <f>IF($J1352="","",SUMIFS('Hours Log'!$D:$D,'Hours Log'!$A:$A,"&gt;="&amp;$J1352,'Hours Log'!$A:$A,"&lt;"&amp;$J1352+7))</f>
        <v/>
      </c>
      <c r="E1352" t="str">
        <f t="shared" si="40"/>
        <v/>
      </c>
      <c r="F1352" t="str">
        <f t="shared" si="41"/>
        <v/>
      </c>
      <c r="G1352" t="str">
        <f>IF($J1352="","",SUMIFS('Hours Log'!$E:$E,'Hours Log'!$A:$A,"&gt;="&amp;$J1352,'Hours Log'!$A:$A,"&lt;"&amp;$J1352+7))</f>
        <v/>
      </c>
      <c r="J1352" t="str">
        <f>IF(COUNT('Hours Log'!$A$4:$A$5000)=0,"",IF(MIN('Hours Log'!$A$4:$A$5000)+7*(ROW()-10)&gt;MAX('Hours Log'!$A$4:$A$5000),"",MIN('Hours Log'!$A$4:$A$5000)+7*(ROW()-10)))</f>
        <v/>
      </c>
    </row>
    <row r="1353" spans="1:10" x14ac:dyDescent="0.25">
      <c r="A1353" t="str">
        <f>IF($J1353="","",YEAR($J1353-WEEKDAY($J1353,2)+4)&amp;"-W"&amp;TEXT(_xludf.ISOWEEKNUM($J1353),"00"))</f>
        <v/>
      </c>
      <c r="B1353"/>
      <c r="C1353" t="str">
        <f>IF($J1353="","",SUMIFS('Hours Log'!$C:$C,'Hours Log'!$A:$A,"&gt;="&amp;$J1353,'Hours Log'!$A:$A,"&lt;"&amp;$J1353+7)+SUMIFS('Hours Log'!$D:$D,'Hours Log'!$A:$A,"&gt;="&amp;$J1353,'Hours Log'!$A:$A,"&lt;"&amp;$J1353+7))</f>
        <v/>
      </c>
      <c r="D1353" t="str">
        <f>IF($J1353="","",SUMIFS('Hours Log'!$D:$D,'Hours Log'!$A:$A,"&gt;="&amp;$J1353,'Hours Log'!$A:$A,"&lt;"&amp;$J1353+7))</f>
        <v/>
      </c>
      <c r="E1353" t="str">
        <f t="shared" si="40"/>
        <v/>
      </c>
      <c r="F1353" t="str">
        <f t="shared" si="41"/>
        <v/>
      </c>
      <c r="G1353" t="str">
        <f>IF($J1353="","",SUMIFS('Hours Log'!$E:$E,'Hours Log'!$A:$A,"&gt;="&amp;$J1353,'Hours Log'!$A:$A,"&lt;"&amp;$J1353+7))</f>
        <v/>
      </c>
      <c r="J1353" t="str">
        <f>IF(COUNT('Hours Log'!$A$4:$A$5000)=0,"",IF(MIN('Hours Log'!$A$4:$A$5000)+7*(ROW()-10)&gt;MAX('Hours Log'!$A$4:$A$5000),"",MIN('Hours Log'!$A$4:$A$5000)+7*(ROW()-10)))</f>
        <v/>
      </c>
    </row>
    <row r="1354" spans="1:10" x14ac:dyDescent="0.25">
      <c r="A1354" t="str">
        <f>IF($J1354="","",YEAR($J1354-WEEKDAY($J1354,2)+4)&amp;"-W"&amp;TEXT(_xludf.ISOWEEKNUM($J1354),"00"))</f>
        <v/>
      </c>
      <c r="B1354"/>
      <c r="C1354" t="str">
        <f>IF($J1354="","",SUMIFS('Hours Log'!$C:$C,'Hours Log'!$A:$A,"&gt;="&amp;$J1354,'Hours Log'!$A:$A,"&lt;"&amp;$J1354+7)+SUMIFS('Hours Log'!$D:$D,'Hours Log'!$A:$A,"&gt;="&amp;$J1354,'Hours Log'!$A:$A,"&lt;"&amp;$J1354+7))</f>
        <v/>
      </c>
      <c r="D1354" t="str">
        <f>IF($J1354="","",SUMIFS('Hours Log'!$D:$D,'Hours Log'!$A:$A,"&gt;="&amp;$J1354,'Hours Log'!$A:$A,"&lt;"&amp;$J1354+7))</f>
        <v/>
      </c>
      <c r="E1354" t="str">
        <f t="shared" ref="E1354:E1417" si="42">IF($J1354="","",IFERROR(C1354/(B1354*40),0))</f>
        <v/>
      </c>
      <c r="F1354" t="str">
        <f t="shared" ref="F1354:F1417" si="43">IF($J1354="","",0)</f>
        <v/>
      </c>
      <c r="G1354" t="str">
        <f>IF($J1354="","",SUMIFS('Hours Log'!$E:$E,'Hours Log'!$A:$A,"&gt;="&amp;$J1354,'Hours Log'!$A:$A,"&lt;"&amp;$J1354+7))</f>
        <v/>
      </c>
      <c r="J1354" t="str">
        <f>IF(COUNT('Hours Log'!$A$4:$A$5000)=0,"",IF(MIN('Hours Log'!$A$4:$A$5000)+7*(ROW()-10)&gt;MAX('Hours Log'!$A$4:$A$5000),"",MIN('Hours Log'!$A$4:$A$5000)+7*(ROW()-10)))</f>
        <v/>
      </c>
    </row>
    <row r="1355" spans="1:10" x14ac:dyDescent="0.25">
      <c r="A1355" t="str">
        <f>IF($J1355="","",YEAR($J1355-WEEKDAY($J1355,2)+4)&amp;"-W"&amp;TEXT(_xludf.ISOWEEKNUM($J1355),"00"))</f>
        <v/>
      </c>
      <c r="B1355"/>
      <c r="C1355" t="str">
        <f>IF($J1355="","",SUMIFS('Hours Log'!$C:$C,'Hours Log'!$A:$A,"&gt;="&amp;$J1355,'Hours Log'!$A:$A,"&lt;"&amp;$J1355+7)+SUMIFS('Hours Log'!$D:$D,'Hours Log'!$A:$A,"&gt;="&amp;$J1355,'Hours Log'!$A:$A,"&lt;"&amp;$J1355+7))</f>
        <v/>
      </c>
      <c r="D1355" t="str">
        <f>IF($J1355="","",SUMIFS('Hours Log'!$D:$D,'Hours Log'!$A:$A,"&gt;="&amp;$J1355,'Hours Log'!$A:$A,"&lt;"&amp;$J1355+7))</f>
        <v/>
      </c>
      <c r="E1355" t="str">
        <f t="shared" si="42"/>
        <v/>
      </c>
      <c r="F1355" t="str">
        <f t="shared" si="43"/>
        <v/>
      </c>
      <c r="G1355" t="str">
        <f>IF($J1355="","",SUMIFS('Hours Log'!$E:$E,'Hours Log'!$A:$A,"&gt;="&amp;$J1355,'Hours Log'!$A:$A,"&lt;"&amp;$J1355+7))</f>
        <v/>
      </c>
      <c r="J1355" t="str">
        <f>IF(COUNT('Hours Log'!$A$4:$A$5000)=0,"",IF(MIN('Hours Log'!$A$4:$A$5000)+7*(ROW()-10)&gt;MAX('Hours Log'!$A$4:$A$5000),"",MIN('Hours Log'!$A$4:$A$5000)+7*(ROW()-10)))</f>
        <v/>
      </c>
    </row>
    <row r="1356" spans="1:10" x14ac:dyDescent="0.25">
      <c r="A1356" t="str">
        <f>IF($J1356="","",YEAR($J1356-WEEKDAY($J1356,2)+4)&amp;"-W"&amp;TEXT(_xludf.ISOWEEKNUM($J1356),"00"))</f>
        <v/>
      </c>
      <c r="B1356"/>
      <c r="C1356" t="str">
        <f>IF($J1356="","",SUMIFS('Hours Log'!$C:$C,'Hours Log'!$A:$A,"&gt;="&amp;$J1356,'Hours Log'!$A:$A,"&lt;"&amp;$J1356+7)+SUMIFS('Hours Log'!$D:$D,'Hours Log'!$A:$A,"&gt;="&amp;$J1356,'Hours Log'!$A:$A,"&lt;"&amp;$J1356+7))</f>
        <v/>
      </c>
      <c r="D1356" t="str">
        <f>IF($J1356="","",SUMIFS('Hours Log'!$D:$D,'Hours Log'!$A:$A,"&gt;="&amp;$J1356,'Hours Log'!$A:$A,"&lt;"&amp;$J1356+7))</f>
        <v/>
      </c>
      <c r="E1356" t="str">
        <f t="shared" si="42"/>
        <v/>
      </c>
      <c r="F1356" t="str">
        <f t="shared" si="43"/>
        <v/>
      </c>
      <c r="G1356" t="str">
        <f>IF($J1356="","",SUMIFS('Hours Log'!$E:$E,'Hours Log'!$A:$A,"&gt;="&amp;$J1356,'Hours Log'!$A:$A,"&lt;"&amp;$J1356+7))</f>
        <v/>
      </c>
      <c r="J1356" t="str">
        <f>IF(COUNT('Hours Log'!$A$4:$A$5000)=0,"",IF(MIN('Hours Log'!$A$4:$A$5000)+7*(ROW()-10)&gt;MAX('Hours Log'!$A$4:$A$5000),"",MIN('Hours Log'!$A$4:$A$5000)+7*(ROW()-10)))</f>
        <v/>
      </c>
    </row>
    <row r="1357" spans="1:10" x14ac:dyDescent="0.25">
      <c r="A1357" t="str">
        <f>IF($J1357="","",YEAR($J1357-WEEKDAY($J1357,2)+4)&amp;"-W"&amp;TEXT(_xludf.ISOWEEKNUM($J1357),"00"))</f>
        <v/>
      </c>
      <c r="B1357"/>
      <c r="C1357" t="str">
        <f>IF($J1357="","",SUMIFS('Hours Log'!$C:$C,'Hours Log'!$A:$A,"&gt;="&amp;$J1357,'Hours Log'!$A:$A,"&lt;"&amp;$J1357+7)+SUMIFS('Hours Log'!$D:$D,'Hours Log'!$A:$A,"&gt;="&amp;$J1357,'Hours Log'!$A:$A,"&lt;"&amp;$J1357+7))</f>
        <v/>
      </c>
      <c r="D1357" t="str">
        <f>IF($J1357="","",SUMIFS('Hours Log'!$D:$D,'Hours Log'!$A:$A,"&gt;="&amp;$J1357,'Hours Log'!$A:$A,"&lt;"&amp;$J1357+7))</f>
        <v/>
      </c>
      <c r="E1357" t="str">
        <f t="shared" si="42"/>
        <v/>
      </c>
      <c r="F1357" t="str">
        <f t="shared" si="43"/>
        <v/>
      </c>
      <c r="G1357" t="str">
        <f>IF($J1357="","",SUMIFS('Hours Log'!$E:$E,'Hours Log'!$A:$A,"&gt;="&amp;$J1357,'Hours Log'!$A:$A,"&lt;"&amp;$J1357+7))</f>
        <v/>
      </c>
      <c r="J1357" t="str">
        <f>IF(COUNT('Hours Log'!$A$4:$A$5000)=0,"",IF(MIN('Hours Log'!$A$4:$A$5000)+7*(ROW()-10)&gt;MAX('Hours Log'!$A$4:$A$5000),"",MIN('Hours Log'!$A$4:$A$5000)+7*(ROW()-10)))</f>
        <v/>
      </c>
    </row>
    <row r="1358" spans="1:10" x14ac:dyDescent="0.25">
      <c r="A1358" t="str">
        <f>IF($J1358="","",YEAR($J1358-WEEKDAY($J1358,2)+4)&amp;"-W"&amp;TEXT(_xludf.ISOWEEKNUM($J1358),"00"))</f>
        <v/>
      </c>
      <c r="B1358"/>
      <c r="C1358" t="str">
        <f>IF($J1358="","",SUMIFS('Hours Log'!$C:$C,'Hours Log'!$A:$A,"&gt;="&amp;$J1358,'Hours Log'!$A:$A,"&lt;"&amp;$J1358+7)+SUMIFS('Hours Log'!$D:$D,'Hours Log'!$A:$A,"&gt;="&amp;$J1358,'Hours Log'!$A:$A,"&lt;"&amp;$J1358+7))</f>
        <v/>
      </c>
      <c r="D1358" t="str">
        <f>IF($J1358="","",SUMIFS('Hours Log'!$D:$D,'Hours Log'!$A:$A,"&gt;="&amp;$J1358,'Hours Log'!$A:$A,"&lt;"&amp;$J1358+7))</f>
        <v/>
      </c>
      <c r="E1358" t="str">
        <f t="shared" si="42"/>
        <v/>
      </c>
      <c r="F1358" t="str">
        <f t="shared" si="43"/>
        <v/>
      </c>
      <c r="G1358" t="str">
        <f>IF($J1358="","",SUMIFS('Hours Log'!$E:$E,'Hours Log'!$A:$A,"&gt;="&amp;$J1358,'Hours Log'!$A:$A,"&lt;"&amp;$J1358+7))</f>
        <v/>
      </c>
      <c r="J1358" t="str">
        <f>IF(COUNT('Hours Log'!$A$4:$A$5000)=0,"",IF(MIN('Hours Log'!$A$4:$A$5000)+7*(ROW()-10)&gt;MAX('Hours Log'!$A$4:$A$5000),"",MIN('Hours Log'!$A$4:$A$5000)+7*(ROW()-10)))</f>
        <v/>
      </c>
    </row>
    <row r="1359" spans="1:10" x14ac:dyDescent="0.25">
      <c r="A1359" t="str">
        <f>IF($J1359="","",YEAR($J1359-WEEKDAY($J1359,2)+4)&amp;"-W"&amp;TEXT(_xludf.ISOWEEKNUM($J1359),"00"))</f>
        <v/>
      </c>
      <c r="B1359"/>
      <c r="C1359" t="str">
        <f>IF($J1359="","",SUMIFS('Hours Log'!$C:$C,'Hours Log'!$A:$A,"&gt;="&amp;$J1359,'Hours Log'!$A:$A,"&lt;"&amp;$J1359+7)+SUMIFS('Hours Log'!$D:$D,'Hours Log'!$A:$A,"&gt;="&amp;$J1359,'Hours Log'!$A:$A,"&lt;"&amp;$J1359+7))</f>
        <v/>
      </c>
      <c r="D1359" t="str">
        <f>IF($J1359="","",SUMIFS('Hours Log'!$D:$D,'Hours Log'!$A:$A,"&gt;="&amp;$J1359,'Hours Log'!$A:$A,"&lt;"&amp;$J1359+7))</f>
        <v/>
      </c>
      <c r="E1359" t="str">
        <f t="shared" si="42"/>
        <v/>
      </c>
      <c r="F1359" t="str">
        <f t="shared" si="43"/>
        <v/>
      </c>
      <c r="G1359" t="str">
        <f>IF($J1359="","",SUMIFS('Hours Log'!$E:$E,'Hours Log'!$A:$A,"&gt;="&amp;$J1359,'Hours Log'!$A:$A,"&lt;"&amp;$J1359+7))</f>
        <v/>
      </c>
      <c r="J1359" t="str">
        <f>IF(COUNT('Hours Log'!$A$4:$A$5000)=0,"",IF(MIN('Hours Log'!$A$4:$A$5000)+7*(ROW()-10)&gt;MAX('Hours Log'!$A$4:$A$5000),"",MIN('Hours Log'!$A$4:$A$5000)+7*(ROW()-10)))</f>
        <v/>
      </c>
    </row>
    <row r="1360" spans="1:10" x14ac:dyDescent="0.25">
      <c r="A1360" t="str">
        <f>IF($J1360="","",YEAR($J1360-WEEKDAY($J1360,2)+4)&amp;"-W"&amp;TEXT(_xludf.ISOWEEKNUM($J1360),"00"))</f>
        <v/>
      </c>
      <c r="B1360"/>
      <c r="C1360" t="str">
        <f>IF($J1360="","",SUMIFS('Hours Log'!$C:$C,'Hours Log'!$A:$A,"&gt;="&amp;$J1360,'Hours Log'!$A:$A,"&lt;"&amp;$J1360+7)+SUMIFS('Hours Log'!$D:$D,'Hours Log'!$A:$A,"&gt;="&amp;$J1360,'Hours Log'!$A:$A,"&lt;"&amp;$J1360+7))</f>
        <v/>
      </c>
      <c r="D1360" t="str">
        <f>IF($J1360="","",SUMIFS('Hours Log'!$D:$D,'Hours Log'!$A:$A,"&gt;="&amp;$J1360,'Hours Log'!$A:$A,"&lt;"&amp;$J1360+7))</f>
        <v/>
      </c>
      <c r="E1360" t="str">
        <f t="shared" si="42"/>
        <v/>
      </c>
      <c r="F1360" t="str">
        <f t="shared" si="43"/>
        <v/>
      </c>
      <c r="G1360" t="str">
        <f>IF($J1360="","",SUMIFS('Hours Log'!$E:$E,'Hours Log'!$A:$A,"&gt;="&amp;$J1360,'Hours Log'!$A:$A,"&lt;"&amp;$J1360+7))</f>
        <v/>
      </c>
      <c r="J1360" t="str">
        <f>IF(COUNT('Hours Log'!$A$4:$A$5000)=0,"",IF(MIN('Hours Log'!$A$4:$A$5000)+7*(ROW()-10)&gt;MAX('Hours Log'!$A$4:$A$5000),"",MIN('Hours Log'!$A$4:$A$5000)+7*(ROW()-10)))</f>
        <v/>
      </c>
    </row>
    <row r="1361" spans="1:10" x14ac:dyDescent="0.25">
      <c r="A1361" t="str">
        <f>IF($J1361="","",YEAR($J1361-WEEKDAY($J1361,2)+4)&amp;"-W"&amp;TEXT(_xludf.ISOWEEKNUM($J1361),"00"))</f>
        <v/>
      </c>
      <c r="B1361"/>
      <c r="C1361" t="str">
        <f>IF($J1361="","",SUMIFS('Hours Log'!$C:$C,'Hours Log'!$A:$A,"&gt;="&amp;$J1361,'Hours Log'!$A:$A,"&lt;"&amp;$J1361+7)+SUMIFS('Hours Log'!$D:$D,'Hours Log'!$A:$A,"&gt;="&amp;$J1361,'Hours Log'!$A:$A,"&lt;"&amp;$J1361+7))</f>
        <v/>
      </c>
      <c r="D1361" t="str">
        <f>IF($J1361="","",SUMIFS('Hours Log'!$D:$D,'Hours Log'!$A:$A,"&gt;="&amp;$J1361,'Hours Log'!$A:$A,"&lt;"&amp;$J1361+7))</f>
        <v/>
      </c>
      <c r="E1361" t="str">
        <f t="shared" si="42"/>
        <v/>
      </c>
      <c r="F1361" t="str">
        <f t="shared" si="43"/>
        <v/>
      </c>
      <c r="G1361" t="str">
        <f>IF($J1361="","",SUMIFS('Hours Log'!$E:$E,'Hours Log'!$A:$A,"&gt;="&amp;$J1361,'Hours Log'!$A:$A,"&lt;"&amp;$J1361+7))</f>
        <v/>
      </c>
      <c r="J1361" t="str">
        <f>IF(COUNT('Hours Log'!$A$4:$A$5000)=0,"",IF(MIN('Hours Log'!$A$4:$A$5000)+7*(ROW()-10)&gt;MAX('Hours Log'!$A$4:$A$5000),"",MIN('Hours Log'!$A$4:$A$5000)+7*(ROW()-10)))</f>
        <v/>
      </c>
    </row>
    <row r="1362" spans="1:10" x14ac:dyDescent="0.25">
      <c r="A1362" t="str">
        <f>IF($J1362="","",YEAR($J1362-WEEKDAY($J1362,2)+4)&amp;"-W"&amp;TEXT(_xludf.ISOWEEKNUM($J1362),"00"))</f>
        <v/>
      </c>
      <c r="B1362"/>
      <c r="C1362" t="str">
        <f>IF($J1362="","",SUMIFS('Hours Log'!$C:$C,'Hours Log'!$A:$A,"&gt;="&amp;$J1362,'Hours Log'!$A:$A,"&lt;"&amp;$J1362+7)+SUMIFS('Hours Log'!$D:$D,'Hours Log'!$A:$A,"&gt;="&amp;$J1362,'Hours Log'!$A:$A,"&lt;"&amp;$J1362+7))</f>
        <v/>
      </c>
      <c r="D1362" t="str">
        <f>IF($J1362="","",SUMIFS('Hours Log'!$D:$D,'Hours Log'!$A:$A,"&gt;="&amp;$J1362,'Hours Log'!$A:$A,"&lt;"&amp;$J1362+7))</f>
        <v/>
      </c>
      <c r="E1362" t="str">
        <f t="shared" si="42"/>
        <v/>
      </c>
      <c r="F1362" t="str">
        <f t="shared" si="43"/>
        <v/>
      </c>
      <c r="G1362" t="str">
        <f>IF($J1362="","",SUMIFS('Hours Log'!$E:$E,'Hours Log'!$A:$A,"&gt;="&amp;$J1362,'Hours Log'!$A:$A,"&lt;"&amp;$J1362+7))</f>
        <v/>
      </c>
      <c r="J1362" t="str">
        <f>IF(COUNT('Hours Log'!$A$4:$A$5000)=0,"",IF(MIN('Hours Log'!$A$4:$A$5000)+7*(ROW()-10)&gt;MAX('Hours Log'!$A$4:$A$5000),"",MIN('Hours Log'!$A$4:$A$5000)+7*(ROW()-10)))</f>
        <v/>
      </c>
    </row>
    <row r="1363" spans="1:10" x14ac:dyDescent="0.25">
      <c r="A1363" t="str">
        <f>IF($J1363="","",YEAR($J1363-WEEKDAY($J1363,2)+4)&amp;"-W"&amp;TEXT(_xludf.ISOWEEKNUM($J1363),"00"))</f>
        <v/>
      </c>
      <c r="B1363"/>
      <c r="C1363" t="str">
        <f>IF($J1363="","",SUMIFS('Hours Log'!$C:$C,'Hours Log'!$A:$A,"&gt;="&amp;$J1363,'Hours Log'!$A:$A,"&lt;"&amp;$J1363+7)+SUMIFS('Hours Log'!$D:$D,'Hours Log'!$A:$A,"&gt;="&amp;$J1363,'Hours Log'!$A:$A,"&lt;"&amp;$J1363+7))</f>
        <v/>
      </c>
      <c r="D1363" t="str">
        <f>IF($J1363="","",SUMIFS('Hours Log'!$D:$D,'Hours Log'!$A:$A,"&gt;="&amp;$J1363,'Hours Log'!$A:$A,"&lt;"&amp;$J1363+7))</f>
        <v/>
      </c>
      <c r="E1363" t="str">
        <f t="shared" si="42"/>
        <v/>
      </c>
      <c r="F1363" t="str">
        <f t="shared" si="43"/>
        <v/>
      </c>
      <c r="G1363" t="str">
        <f>IF($J1363="","",SUMIFS('Hours Log'!$E:$E,'Hours Log'!$A:$A,"&gt;="&amp;$J1363,'Hours Log'!$A:$A,"&lt;"&amp;$J1363+7))</f>
        <v/>
      </c>
      <c r="J1363" t="str">
        <f>IF(COUNT('Hours Log'!$A$4:$A$5000)=0,"",IF(MIN('Hours Log'!$A$4:$A$5000)+7*(ROW()-10)&gt;MAX('Hours Log'!$A$4:$A$5000),"",MIN('Hours Log'!$A$4:$A$5000)+7*(ROW()-10)))</f>
        <v/>
      </c>
    </row>
    <row r="1364" spans="1:10" x14ac:dyDescent="0.25">
      <c r="A1364" t="str">
        <f>IF($J1364="","",YEAR($J1364-WEEKDAY($J1364,2)+4)&amp;"-W"&amp;TEXT(_xludf.ISOWEEKNUM($J1364),"00"))</f>
        <v/>
      </c>
      <c r="B1364"/>
      <c r="C1364" t="str">
        <f>IF($J1364="","",SUMIFS('Hours Log'!$C:$C,'Hours Log'!$A:$A,"&gt;="&amp;$J1364,'Hours Log'!$A:$A,"&lt;"&amp;$J1364+7)+SUMIFS('Hours Log'!$D:$D,'Hours Log'!$A:$A,"&gt;="&amp;$J1364,'Hours Log'!$A:$A,"&lt;"&amp;$J1364+7))</f>
        <v/>
      </c>
      <c r="D1364" t="str">
        <f>IF($J1364="","",SUMIFS('Hours Log'!$D:$D,'Hours Log'!$A:$A,"&gt;="&amp;$J1364,'Hours Log'!$A:$A,"&lt;"&amp;$J1364+7))</f>
        <v/>
      </c>
      <c r="E1364" t="str">
        <f t="shared" si="42"/>
        <v/>
      </c>
      <c r="F1364" t="str">
        <f t="shared" si="43"/>
        <v/>
      </c>
      <c r="G1364" t="str">
        <f>IF($J1364="","",SUMIFS('Hours Log'!$E:$E,'Hours Log'!$A:$A,"&gt;="&amp;$J1364,'Hours Log'!$A:$A,"&lt;"&amp;$J1364+7))</f>
        <v/>
      </c>
      <c r="J1364" t="str">
        <f>IF(COUNT('Hours Log'!$A$4:$A$5000)=0,"",IF(MIN('Hours Log'!$A$4:$A$5000)+7*(ROW()-10)&gt;MAX('Hours Log'!$A$4:$A$5000),"",MIN('Hours Log'!$A$4:$A$5000)+7*(ROW()-10)))</f>
        <v/>
      </c>
    </row>
    <row r="1365" spans="1:10" x14ac:dyDescent="0.25">
      <c r="A1365" t="str">
        <f>IF($J1365="","",YEAR($J1365-WEEKDAY($J1365,2)+4)&amp;"-W"&amp;TEXT(_xludf.ISOWEEKNUM($J1365),"00"))</f>
        <v/>
      </c>
      <c r="B1365"/>
      <c r="C1365" t="str">
        <f>IF($J1365="","",SUMIFS('Hours Log'!$C:$C,'Hours Log'!$A:$A,"&gt;="&amp;$J1365,'Hours Log'!$A:$A,"&lt;"&amp;$J1365+7)+SUMIFS('Hours Log'!$D:$D,'Hours Log'!$A:$A,"&gt;="&amp;$J1365,'Hours Log'!$A:$A,"&lt;"&amp;$J1365+7))</f>
        <v/>
      </c>
      <c r="D1365" t="str">
        <f>IF($J1365="","",SUMIFS('Hours Log'!$D:$D,'Hours Log'!$A:$A,"&gt;="&amp;$J1365,'Hours Log'!$A:$A,"&lt;"&amp;$J1365+7))</f>
        <v/>
      </c>
      <c r="E1365" t="str">
        <f t="shared" si="42"/>
        <v/>
      </c>
      <c r="F1365" t="str">
        <f t="shared" si="43"/>
        <v/>
      </c>
      <c r="G1365" t="str">
        <f>IF($J1365="","",SUMIFS('Hours Log'!$E:$E,'Hours Log'!$A:$A,"&gt;="&amp;$J1365,'Hours Log'!$A:$A,"&lt;"&amp;$J1365+7))</f>
        <v/>
      </c>
      <c r="J1365" t="str">
        <f>IF(COUNT('Hours Log'!$A$4:$A$5000)=0,"",IF(MIN('Hours Log'!$A$4:$A$5000)+7*(ROW()-10)&gt;MAX('Hours Log'!$A$4:$A$5000),"",MIN('Hours Log'!$A$4:$A$5000)+7*(ROW()-10)))</f>
        <v/>
      </c>
    </row>
    <row r="1366" spans="1:10" x14ac:dyDescent="0.25">
      <c r="A1366" t="str">
        <f>IF($J1366="","",YEAR($J1366-WEEKDAY($J1366,2)+4)&amp;"-W"&amp;TEXT(_xludf.ISOWEEKNUM($J1366),"00"))</f>
        <v/>
      </c>
      <c r="B1366"/>
      <c r="C1366" t="str">
        <f>IF($J1366="","",SUMIFS('Hours Log'!$C:$C,'Hours Log'!$A:$A,"&gt;="&amp;$J1366,'Hours Log'!$A:$A,"&lt;"&amp;$J1366+7)+SUMIFS('Hours Log'!$D:$D,'Hours Log'!$A:$A,"&gt;="&amp;$J1366,'Hours Log'!$A:$A,"&lt;"&amp;$J1366+7))</f>
        <v/>
      </c>
      <c r="D1366" t="str">
        <f>IF($J1366="","",SUMIFS('Hours Log'!$D:$D,'Hours Log'!$A:$A,"&gt;="&amp;$J1366,'Hours Log'!$A:$A,"&lt;"&amp;$J1366+7))</f>
        <v/>
      </c>
      <c r="E1366" t="str">
        <f t="shared" si="42"/>
        <v/>
      </c>
      <c r="F1366" t="str">
        <f t="shared" si="43"/>
        <v/>
      </c>
      <c r="G1366" t="str">
        <f>IF($J1366="","",SUMIFS('Hours Log'!$E:$E,'Hours Log'!$A:$A,"&gt;="&amp;$J1366,'Hours Log'!$A:$A,"&lt;"&amp;$J1366+7))</f>
        <v/>
      </c>
      <c r="J1366" t="str">
        <f>IF(COUNT('Hours Log'!$A$4:$A$5000)=0,"",IF(MIN('Hours Log'!$A$4:$A$5000)+7*(ROW()-10)&gt;MAX('Hours Log'!$A$4:$A$5000),"",MIN('Hours Log'!$A$4:$A$5000)+7*(ROW()-10)))</f>
        <v/>
      </c>
    </row>
    <row r="1367" spans="1:10" x14ac:dyDescent="0.25">
      <c r="A1367" t="str">
        <f>IF($J1367="","",YEAR($J1367-WEEKDAY($J1367,2)+4)&amp;"-W"&amp;TEXT(_xludf.ISOWEEKNUM($J1367),"00"))</f>
        <v/>
      </c>
      <c r="B1367"/>
      <c r="C1367" t="str">
        <f>IF($J1367="","",SUMIFS('Hours Log'!$C:$C,'Hours Log'!$A:$A,"&gt;="&amp;$J1367,'Hours Log'!$A:$A,"&lt;"&amp;$J1367+7)+SUMIFS('Hours Log'!$D:$D,'Hours Log'!$A:$A,"&gt;="&amp;$J1367,'Hours Log'!$A:$A,"&lt;"&amp;$J1367+7))</f>
        <v/>
      </c>
      <c r="D1367" t="str">
        <f>IF($J1367="","",SUMIFS('Hours Log'!$D:$D,'Hours Log'!$A:$A,"&gt;="&amp;$J1367,'Hours Log'!$A:$A,"&lt;"&amp;$J1367+7))</f>
        <v/>
      </c>
      <c r="E1367" t="str">
        <f t="shared" si="42"/>
        <v/>
      </c>
      <c r="F1367" t="str">
        <f t="shared" si="43"/>
        <v/>
      </c>
      <c r="G1367" t="str">
        <f>IF($J1367="","",SUMIFS('Hours Log'!$E:$E,'Hours Log'!$A:$A,"&gt;="&amp;$J1367,'Hours Log'!$A:$A,"&lt;"&amp;$J1367+7))</f>
        <v/>
      </c>
      <c r="J1367" t="str">
        <f>IF(COUNT('Hours Log'!$A$4:$A$5000)=0,"",IF(MIN('Hours Log'!$A$4:$A$5000)+7*(ROW()-10)&gt;MAX('Hours Log'!$A$4:$A$5000),"",MIN('Hours Log'!$A$4:$A$5000)+7*(ROW()-10)))</f>
        <v/>
      </c>
    </row>
    <row r="1368" spans="1:10" x14ac:dyDescent="0.25">
      <c r="A1368" t="str">
        <f>IF($J1368="","",YEAR($J1368-WEEKDAY($J1368,2)+4)&amp;"-W"&amp;TEXT(_xludf.ISOWEEKNUM($J1368),"00"))</f>
        <v/>
      </c>
      <c r="B1368"/>
      <c r="C1368" t="str">
        <f>IF($J1368="","",SUMIFS('Hours Log'!$C:$C,'Hours Log'!$A:$A,"&gt;="&amp;$J1368,'Hours Log'!$A:$A,"&lt;"&amp;$J1368+7)+SUMIFS('Hours Log'!$D:$D,'Hours Log'!$A:$A,"&gt;="&amp;$J1368,'Hours Log'!$A:$A,"&lt;"&amp;$J1368+7))</f>
        <v/>
      </c>
      <c r="D1368" t="str">
        <f>IF($J1368="","",SUMIFS('Hours Log'!$D:$D,'Hours Log'!$A:$A,"&gt;="&amp;$J1368,'Hours Log'!$A:$A,"&lt;"&amp;$J1368+7))</f>
        <v/>
      </c>
      <c r="E1368" t="str">
        <f t="shared" si="42"/>
        <v/>
      </c>
      <c r="F1368" t="str">
        <f t="shared" si="43"/>
        <v/>
      </c>
      <c r="G1368" t="str">
        <f>IF($J1368="","",SUMIFS('Hours Log'!$E:$E,'Hours Log'!$A:$A,"&gt;="&amp;$J1368,'Hours Log'!$A:$A,"&lt;"&amp;$J1368+7))</f>
        <v/>
      </c>
      <c r="J1368" t="str">
        <f>IF(COUNT('Hours Log'!$A$4:$A$5000)=0,"",IF(MIN('Hours Log'!$A$4:$A$5000)+7*(ROW()-10)&gt;MAX('Hours Log'!$A$4:$A$5000),"",MIN('Hours Log'!$A$4:$A$5000)+7*(ROW()-10)))</f>
        <v/>
      </c>
    </row>
    <row r="1369" spans="1:10" x14ac:dyDescent="0.25">
      <c r="A1369" t="str">
        <f>IF($J1369="","",YEAR($J1369-WEEKDAY($J1369,2)+4)&amp;"-W"&amp;TEXT(_xludf.ISOWEEKNUM($J1369),"00"))</f>
        <v/>
      </c>
      <c r="B1369"/>
      <c r="C1369" t="str">
        <f>IF($J1369="","",SUMIFS('Hours Log'!$C:$C,'Hours Log'!$A:$A,"&gt;="&amp;$J1369,'Hours Log'!$A:$A,"&lt;"&amp;$J1369+7)+SUMIFS('Hours Log'!$D:$D,'Hours Log'!$A:$A,"&gt;="&amp;$J1369,'Hours Log'!$A:$A,"&lt;"&amp;$J1369+7))</f>
        <v/>
      </c>
      <c r="D1369" t="str">
        <f>IF($J1369="","",SUMIFS('Hours Log'!$D:$D,'Hours Log'!$A:$A,"&gt;="&amp;$J1369,'Hours Log'!$A:$A,"&lt;"&amp;$J1369+7))</f>
        <v/>
      </c>
      <c r="E1369" t="str">
        <f t="shared" si="42"/>
        <v/>
      </c>
      <c r="F1369" t="str">
        <f t="shared" si="43"/>
        <v/>
      </c>
      <c r="G1369" t="str">
        <f>IF($J1369="","",SUMIFS('Hours Log'!$E:$E,'Hours Log'!$A:$A,"&gt;="&amp;$J1369,'Hours Log'!$A:$A,"&lt;"&amp;$J1369+7))</f>
        <v/>
      </c>
      <c r="J1369" t="str">
        <f>IF(COUNT('Hours Log'!$A$4:$A$5000)=0,"",IF(MIN('Hours Log'!$A$4:$A$5000)+7*(ROW()-10)&gt;MAX('Hours Log'!$A$4:$A$5000),"",MIN('Hours Log'!$A$4:$A$5000)+7*(ROW()-10)))</f>
        <v/>
      </c>
    </row>
    <row r="1370" spans="1:10" x14ac:dyDescent="0.25">
      <c r="A1370" t="str">
        <f>IF($J1370="","",YEAR($J1370-WEEKDAY($J1370,2)+4)&amp;"-W"&amp;TEXT(_xludf.ISOWEEKNUM($J1370),"00"))</f>
        <v/>
      </c>
      <c r="B1370"/>
      <c r="C1370" t="str">
        <f>IF($J1370="","",SUMIFS('Hours Log'!$C:$C,'Hours Log'!$A:$A,"&gt;="&amp;$J1370,'Hours Log'!$A:$A,"&lt;"&amp;$J1370+7)+SUMIFS('Hours Log'!$D:$D,'Hours Log'!$A:$A,"&gt;="&amp;$J1370,'Hours Log'!$A:$A,"&lt;"&amp;$J1370+7))</f>
        <v/>
      </c>
      <c r="D1370" t="str">
        <f>IF($J1370="","",SUMIFS('Hours Log'!$D:$D,'Hours Log'!$A:$A,"&gt;="&amp;$J1370,'Hours Log'!$A:$A,"&lt;"&amp;$J1370+7))</f>
        <v/>
      </c>
      <c r="E1370" t="str">
        <f t="shared" si="42"/>
        <v/>
      </c>
      <c r="F1370" t="str">
        <f t="shared" si="43"/>
        <v/>
      </c>
      <c r="G1370" t="str">
        <f>IF($J1370="","",SUMIFS('Hours Log'!$E:$E,'Hours Log'!$A:$A,"&gt;="&amp;$J1370,'Hours Log'!$A:$A,"&lt;"&amp;$J1370+7))</f>
        <v/>
      </c>
      <c r="J1370" t="str">
        <f>IF(COUNT('Hours Log'!$A$4:$A$5000)=0,"",IF(MIN('Hours Log'!$A$4:$A$5000)+7*(ROW()-10)&gt;MAX('Hours Log'!$A$4:$A$5000),"",MIN('Hours Log'!$A$4:$A$5000)+7*(ROW()-10)))</f>
        <v/>
      </c>
    </row>
    <row r="1371" spans="1:10" x14ac:dyDescent="0.25">
      <c r="A1371" t="str">
        <f>IF($J1371="","",YEAR($J1371-WEEKDAY($J1371,2)+4)&amp;"-W"&amp;TEXT(_xludf.ISOWEEKNUM($J1371),"00"))</f>
        <v/>
      </c>
      <c r="B1371"/>
      <c r="C1371" t="str">
        <f>IF($J1371="","",SUMIFS('Hours Log'!$C:$C,'Hours Log'!$A:$A,"&gt;="&amp;$J1371,'Hours Log'!$A:$A,"&lt;"&amp;$J1371+7)+SUMIFS('Hours Log'!$D:$D,'Hours Log'!$A:$A,"&gt;="&amp;$J1371,'Hours Log'!$A:$A,"&lt;"&amp;$J1371+7))</f>
        <v/>
      </c>
      <c r="D1371" t="str">
        <f>IF($J1371="","",SUMIFS('Hours Log'!$D:$D,'Hours Log'!$A:$A,"&gt;="&amp;$J1371,'Hours Log'!$A:$A,"&lt;"&amp;$J1371+7))</f>
        <v/>
      </c>
      <c r="E1371" t="str">
        <f t="shared" si="42"/>
        <v/>
      </c>
      <c r="F1371" t="str">
        <f t="shared" si="43"/>
        <v/>
      </c>
      <c r="G1371" t="str">
        <f>IF($J1371="","",SUMIFS('Hours Log'!$E:$E,'Hours Log'!$A:$A,"&gt;="&amp;$J1371,'Hours Log'!$A:$A,"&lt;"&amp;$J1371+7))</f>
        <v/>
      </c>
      <c r="J1371" t="str">
        <f>IF(COUNT('Hours Log'!$A$4:$A$5000)=0,"",IF(MIN('Hours Log'!$A$4:$A$5000)+7*(ROW()-10)&gt;MAX('Hours Log'!$A$4:$A$5000),"",MIN('Hours Log'!$A$4:$A$5000)+7*(ROW()-10)))</f>
        <v/>
      </c>
    </row>
    <row r="1372" spans="1:10" x14ac:dyDescent="0.25">
      <c r="A1372" t="str">
        <f>IF($J1372="","",YEAR($J1372-WEEKDAY($J1372,2)+4)&amp;"-W"&amp;TEXT(_xludf.ISOWEEKNUM($J1372),"00"))</f>
        <v/>
      </c>
      <c r="B1372"/>
      <c r="C1372" t="str">
        <f>IF($J1372="","",SUMIFS('Hours Log'!$C:$C,'Hours Log'!$A:$A,"&gt;="&amp;$J1372,'Hours Log'!$A:$A,"&lt;"&amp;$J1372+7)+SUMIFS('Hours Log'!$D:$D,'Hours Log'!$A:$A,"&gt;="&amp;$J1372,'Hours Log'!$A:$A,"&lt;"&amp;$J1372+7))</f>
        <v/>
      </c>
      <c r="D1372" t="str">
        <f>IF($J1372="","",SUMIFS('Hours Log'!$D:$D,'Hours Log'!$A:$A,"&gt;="&amp;$J1372,'Hours Log'!$A:$A,"&lt;"&amp;$J1372+7))</f>
        <v/>
      </c>
      <c r="E1372" t="str">
        <f t="shared" si="42"/>
        <v/>
      </c>
      <c r="F1372" t="str">
        <f t="shared" si="43"/>
        <v/>
      </c>
      <c r="G1372" t="str">
        <f>IF($J1372="","",SUMIFS('Hours Log'!$E:$E,'Hours Log'!$A:$A,"&gt;="&amp;$J1372,'Hours Log'!$A:$A,"&lt;"&amp;$J1372+7))</f>
        <v/>
      </c>
      <c r="J1372" t="str">
        <f>IF(COUNT('Hours Log'!$A$4:$A$5000)=0,"",IF(MIN('Hours Log'!$A$4:$A$5000)+7*(ROW()-10)&gt;MAX('Hours Log'!$A$4:$A$5000),"",MIN('Hours Log'!$A$4:$A$5000)+7*(ROW()-10)))</f>
        <v/>
      </c>
    </row>
    <row r="1373" spans="1:10" x14ac:dyDescent="0.25">
      <c r="A1373" t="str">
        <f>IF($J1373="","",YEAR($J1373-WEEKDAY($J1373,2)+4)&amp;"-W"&amp;TEXT(_xludf.ISOWEEKNUM($J1373),"00"))</f>
        <v/>
      </c>
      <c r="B1373"/>
      <c r="C1373" t="str">
        <f>IF($J1373="","",SUMIFS('Hours Log'!$C:$C,'Hours Log'!$A:$A,"&gt;="&amp;$J1373,'Hours Log'!$A:$A,"&lt;"&amp;$J1373+7)+SUMIFS('Hours Log'!$D:$D,'Hours Log'!$A:$A,"&gt;="&amp;$J1373,'Hours Log'!$A:$A,"&lt;"&amp;$J1373+7))</f>
        <v/>
      </c>
      <c r="D1373" t="str">
        <f>IF($J1373="","",SUMIFS('Hours Log'!$D:$D,'Hours Log'!$A:$A,"&gt;="&amp;$J1373,'Hours Log'!$A:$A,"&lt;"&amp;$J1373+7))</f>
        <v/>
      </c>
      <c r="E1373" t="str">
        <f t="shared" si="42"/>
        <v/>
      </c>
      <c r="F1373" t="str">
        <f t="shared" si="43"/>
        <v/>
      </c>
      <c r="G1373" t="str">
        <f>IF($J1373="","",SUMIFS('Hours Log'!$E:$E,'Hours Log'!$A:$A,"&gt;="&amp;$J1373,'Hours Log'!$A:$A,"&lt;"&amp;$J1373+7))</f>
        <v/>
      </c>
      <c r="J1373" t="str">
        <f>IF(COUNT('Hours Log'!$A$4:$A$5000)=0,"",IF(MIN('Hours Log'!$A$4:$A$5000)+7*(ROW()-10)&gt;MAX('Hours Log'!$A$4:$A$5000),"",MIN('Hours Log'!$A$4:$A$5000)+7*(ROW()-10)))</f>
        <v/>
      </c>
    </row>
    <row r="1374" spans="1:10" x14ac:dyDescent="0.25">
      <c r="A1374" t="str">
        <f>IF($J1374="","",YEAR($J1374-WEEKDAY($J1374,2)+4)&amp;"-W"&amp;TEXT(_xludf.ISOWEEKNUM($J1374),"00"))</f>
        <v/>
      </c>
      <c r="B1374"/>
      <c r="C1374" t="str">
        <f>IF($J1374="","",SUMIFS('Hours Log'!$C:$C,'Hours Log'!$A:$A,"&gt;="&amp;$J1374,'Hours Log'!$A:$A,"&lt;"&amp;$J1374+7)+SUMIFS('Hours Log'!$D:$D,'Hours Log'!$A:$A,"&gt;="&amp;$J1374,'Hours Log'!$A:$A,"&lt;"&amp;$J1374+7))</f>
        <v/>
      </c>
      <c r="D1374" t="str">
        <f>IF($J1374="","",SUMIFS('Hours Log'!$D:$D,'Hours Log'!$A:$A,"&gt;="&amp;$J1374,'Hours Log'!$A:$A,"&lt;"&amp;$J1374+7))</f>
        <v/>
      </c>
      <c r="E1374" t="str">
        <f t="shared" si="42"/>
        <v/>
      </c>
      <c r="F1374" t="str">
        <f t="shared" si="43"/>
        <v/>
      </c>
      <c r="G1374" t="str">
        <f>IF($J1374="","",SUMIFS('Hours Log'!$E:$E,'Hours Log'!$A:$A,"&gt;="&amp;$J1374,'Hours Log'!$A:$A,"&lt;"&amp;$J1374+7))</f>
        <v/>
      </c>
      <c r="J1374" t="str">
        <f>IF(COUNT('Hours Log'!$A$4:$A$5000)=0,"",IF(MIN('Hours Log'!$A$4:$A$5000)+7*(ROW()-10)&gt;MAX('Hours Log'!$A$4:$A$5000),"",MIN('Hours Log'!$A$4:$A$5000)+7*(ROW()-10)))</f>
        <v/>
      </c>
    </row>
    <row r="1375" spans="1:10" x14ac:dyDescent="0.25">
      <c r="A1375" t="str">
        <f>IF($J1375="","",YEAR($J1375-WEEKDAY($J1375,2)+4)&amp;"-W"&amp;TEXT(_xludf.ISOWEEKNUM($J1375),"00"))</f>
        <v/>
      </c>
      <c r="B1375"/>
      <c r="C1375" t="str">
        <f>IF($J1375="","",SUMIFS('Hours Log'!$C:$C,'Hours Log'!$A:$A,"&gt;="&amp;$J1375,'Hours Log'!$A:$A,"&lt;"&amp;$J1375+7)+SUMIFS('Hours Log'!$D:$D,'Hours Log'!$A:$A,"&gt;="&amp;$J1375,'Hours Log'!$A:$A,"&lt;"&amp;$J1375+7))</f>
        <v/>
      </c>
      <c r="D1375" t="str">
        <f>IF($J1375="","",SUMIFS('Hours Log'!$D:$D,'Hours Log'!$A:$A,"&gt;="&amp;$J1375,'Hours Log'!$A:$A,"&lt;"&amp;$J1375+7))</f>
        <v/>
      </c>
      <c r="E1375" t="str">
        <f t="shared" si="42"/>
        <v/>
      </c>
      <c r="F1375" t="str">
        <f t="shared" si="43"/>
        <v/>
      </c>
      <c r="G1375" t="str">
        <f>IF($J1375="","",SUMIFS('Hours Log'!$E:$E,'Hours Log'!$A:$A,"&gt;="&amp;$J1375,'Hours Log'!$A:$A,"&lt;"&amp;$J1375+7))</f>
        <v/>
      </c>
      <c r="J1375" t="str">
        <f>IF(COUNT('Hours Log'!$A$4:$A$5000)=0,"",IF(MIN('Hours Log'!$A$4:$A$5000)+7*(ROW()-10)&gt;MAX('Hours Log'!$A$4:$A$5000),"",MIN('Hours Log'!$A$4:$A$5000)+7*(ROW()-10)))</f>
        <v/>
      </c>
    </row>
    <row r="1376" spans="1:10" x14ac:dyDescent="0.25">
      <c r="A1376" t="str">
        <f>IF($J1376="","",YEAR($J1376-WEEKDAY($J1376,2)+4)&amp;"-W"&amp;TEXT(_xludf.ISOWEEKNUM($J1376),"00"))</f>
        <v/>
      </c>
      <c r="B1376"/>
      <c r="C1376" t="str">
        <f>IF($J1376="","",SUMIFS('Hours Log'!$C:$C,'Hours Log'!$A:$A,"&gt;="&amp;$J1376,'Hours Log'!$A:$A,"&lt;"&amp;$J1376+7)+SUMIFS('Hours Log'!$D:$D,'Hours Log'!$A:$A,"&gt;="&amp;$J1376,'Hours Log'!$A:$A,"&lt;"&amp;$J1376+7))</f>
        <v/>
      </c>
      <c r="D1376" t="str">
        <f>IF($J1376="","",SUMIFS('Hours Log'!$D:$D,'Hours Log'!$A:$A,"&gt;="&amp;$J1376,'Hours Log'!$A:$A,"&lt;"&amp;$J1376+7))</f>
        <v/>
      </c>
      <c r="E1376" t="str">
        <f t="shared" si="42"/>
        <v/>
      </c>
      <c r="F1376" t="str">
        <f t="shared" si="43"/>
        <v/>
      </c>
      <c r="G1376" t="str">
        <f>IF($J1376="","",SUMIFS('Hours Log'!$E:$E,'Hours Log'!$A:$A,"&gt;="&amp;$J1376,'Hours Log'!$A:$A,"&lt;"&amp;$J1376+7))</f>
        <v/>
      </c>
      <c r="J1376" t="str">
        <f>IF(COUNT('Hours Log'!$A$4:$A$5000)=0,"",IF(MIN('Hours Log'!$A$4:$A$5000)+7*(ROW()-10)&gt;MAX('Hours Log'!$A$4:$A$5000),"",MIN('Hours Log'!$A$4:$A$5000)+7*(ROW()-10)))</f>
        <v/>
      </c>
    </row>
    <row r="1377" spans="1:10" x14ac:dyDescent="0.25">
      <c r="A1377" t="str">
        <f>IF($J1377="","",YEAR($J1377-WEEKDAY($J1377,2)+4)&amp;"-W"&amp;TEXT(_xludf.ISOWEEKNUM($J1377),"00"))</f>
        <v/>
      </c>
      <c r="B1377"/>
      <c r="C1377" t="str">
        <f>IF($J1377="","",SUMIFS('Hours Log'!$C:$C,'Hours Log'!$A:$A,"&gt;="&amp;$J1377,'Hours Log'!$A:$A,"&lt;"&amp;$J1377+7)+SUMIFS('Hours Log'!$D:$D,'Hours Log'!$A:$A,"&gt;="&amp;$J1377,'Hours Log'!$A:$A,"&lt;"&amp;$J1377+7))</f>
        <v/>
      </c>
      <c r="D1377" t="str">
        <f>IF($J1377="","",SUMIFS('Hours Log'!$D:$D,'Hours Log'!$A:$A,"&gt;="&amp;$J1377,'Hours Log'!$A:$A,"&lt;"&amp;$J1377+7))</f>
        <v/>
      </c>
      <c r="E1377" t="str">
        <f t="shared" si="42"/>
        <v/>
      </c>
      <c r="F1377" t="str">
        <f t="shared" si="43"/>
        <v/>
      </c>
      <c r="G1377" t="str">
        <f>IF($J1377="","",SUMIFS('Hours Log'!$E:$E,'Hours Log'!$A:$A,"&gt;="&amp;$J1377,'Hours Log'!$A:$A,"&lt;"&amp;$J1377+7))</f>
        <v/>
      </c>
      <c r="J1377" t="str">
        <f>IF(COUNT('Hours Log'!$A$4:$A$5000)=0,"",IF(MIN('Hours Log'!$A$4:$A$5000)+7*(ROW()-10)&gt;MAX('Hours Log'!$A$4:$A$5000),"",MIN('Hours Log'!$A$4:$A$5000)+7*(ROW()-10)))</f>
        <v/>
      </c>
    </row>
    <row r="1378" spans="1:10" x14ac:dyDescent="0.25">
      <c r="A1378" t="str">
        <f>IF($J1378="","",YEAR($J1378-WEEKDAY($J1378,2)+4)&amp;"-W"&amp;TEXT(_xludf.ISOWEEKNUM($J1378),"00"))</f>
        <v/>
      </c>
      <c r="B1378"/>
      <c r="C1378" t="str">
        <f>IF($J1378="","",SUMIFS('Hours Log'!$C:$C,'Hours Log'!$A:$A,"&gt;="&amp;$J1378,'Hours Log'!$A:$A,"&lt;"&amp;$J1378+7)+SUMIFS('Hours Log'!$D:$D,'Hours Log'!$A:$A,"&gt;="&amp;$J1378,'Hours Log'!$A:$A,"&lt;"&amp;$J1378+7))</f>
        <v/>
      </c>
      <c r="D1378" t="str">
        <f>IF($J1378="","",SUMIFS('Hours Log'!$D:$D,'Hours Log'!$A:$A,"&gt;="&amp;$J1378,'Hours Log'!$A:$A,"&lt;"&amp;$J1378+7))</f>
        <v/>
      </c>
      <c r="E1378" t="str">
        <f t="shared" si="42"/>
        <v/>
      </c>
      <c r="F1378" t="str">
        <f t="shared" si="43"/>
        <v/>
      </c>
      <c r="G1378" t="str">
        <f>IF($J1378="","",SUMIFS('Hours Log'!$E:$E,'Hours Log'!$A:$A,"&gt;="&amp;$J1378,'Hours Log'!$A:$A,"&lt;"&amp;$J1378+7))</f>
        <v/>
      </c>
      <c r="J1378" t="str">
        <f>IF(COUNT('Hours Log'!$A$4:$A$5000)=0,"",IF(MIN('Hours Log'!$A$4:$A$5000)+7*(ROW()-10)&gt;MAX('Hours Log'!$A$4:$A$5000),"",MIN('Hours Log'!$A$4:$A$5000)+7*(ROW()-10)))</f>
        <v/>
      </c>
    </row>
    <row r="1379" spans="1:10" x14ac:dyDescent="0.25">
      <c r="A1379" t="str">
        <f>IF($J1379="","",YEAR($J1379-WEEKDAY($J1379,2)+4)&amp;"-W"&amp;TEXT(_xludf.ISOWEEKNUM($J1379),"00"))</f>
        <v/>
      </c>
      <c r="B1379"/>
      <c r="C1379" t="str">
        <f>IF($J1379="","",SUMIFS('Hours Log'!$C:$C,'Hours Log'!$A:$A,"&gt;="&amp;$J1379,'Hours Log'!$A:$A,"&lt;"&amp;$J1379+7)+SUMIFS('Hours Log'!$D:$D,'Hours Log'!$A:$A,"&gt;="&amp;$J1379,'Hours Log'!$A:$A,"&lt;"&amp;$J1379+7))</f>
        <v/>
      </c>
      <c r="D1379" t="str">
        <f>IF($J1379="","",SUMIFS('Hours Log'!$D:$D,'Hours Log'!$A:$A,"&gt;="&amp;$J1379,'Hours Log'!$A:$A,"&lt;"&amp;$J1379+7))</f>
        <v/>
      </c>
      <c r="E1379" t="str">
        <f t="shared" si="42"/>
        <v/>
      </c>
      <c r="F1379" t="str">
        <f t="shared" si="43"/>
        <v/>
      </c>
      <c r="G1379" t="str">
        <f>IF($J1379="","",SUMIFS('Hours Log'!$E:$E,'Hours Log'!$A:$A,"&gt;="&amp;$J1379,'Hours Log'!$A:$A,"&lt;"&amp;$J1379+7))</f>
        <v/>
      </c>
      <c r="J1379" t="str">
        <f>IF(COUNT('Hours Log'!$A$4:$A$5000)=0,"",IF(MIN('Hours Log'!$A$4:$A$5000)+7*(ROW()-10)&gt;MAX('Hours Log'!$A$4:$A$5000),"",MIN('Hours Log'!$A$4:$A$5000)+7*(ROW()-10)))</f>
        <v/>
      </c>
    </row>
    <row r="1380" spans="1:10" x14ac:dyDescent="0.25">
      <c r="A1380" t="str">
        <f>IF($J1380="","",YEAR($J1380-WEEKDAY($J1380,2)+4)&amp;"-W"&amp;TEXT(_xludf.ISOWEEKNUM($J1380),"00"))</f>
        <v/>
      </c>
      <c r="B1380"/>
      <c r="C1380" t="str">
        <f>IF($J1380="","",SUMIFS('Hours Log'!$C:$C,'Hours Log'!$A:$A,"&gt;="&amp;$J1380,'Hours Log'!$A:$A,"&lt;"&amp;$J1380+7)+SUMIFS('Hours Log'!$D:$D,'Hours Log'!$A:$A,"&gt;="&amp;$J1380,'Hours Log'!$A:$A,"&lt;"&amp;$J1380+7))</f>
        <v/>
      </c>
      <c r="D1380" t="str">
        <f>IF($J1380="","",SUMIFS('Hours Log'!$D:$D,'Hours Log'!$A:$A,"&gt;="&amp;$J1380,'Hours Log'!$A:$A,"&lt;"&amp;$J1380+7))</f>
        <v/>
      </c>
      <c r="E1380" t="str">
        <f t="shared" si="42"/>
        <v/>
      </c>
      <c r="F1380" t="str">
        <f t="shared" si="43"/>
        <v/>
      </c>
      <c r="G1380" t="str">
        <f>IF($J1380="","",SUMIFS('Hours Log'!$E:$E,'Hours Log'!$A:$A,"&gt;="&amp;$J1380,'Hours Log'!$A:$A,"&lt;"&amp;$J1380+7))</f>
        <v/>
      </c>
      <c r="J1380" t="str">
        <f>IF(COUNT('Hours Log'!$A$4:$A$5000)=0,"",IF(MIN('Hours Log'!$A$4:$A$5000)+7*(ROW()-10)&gt;MAX('Hours Log'!$A$4:$A$5000),"",MIN('Hours Log'!$A$4:$A$5000)+7*(ROW()-10)))</f>
        <v/>
      </c>
    </row>
    <row r="1381" spans="1:10" x14ac:dyDescent="0.25">
      <c r="A1381" t="str">
        <f>IF($J1381="","",YEAR($J1381-WEEKDAY($J1381,2)+4)&amp;"-W"&amp;TEXT(_xludf.ISOWEEKNUM($J1381),"00"))</f>
        <v/>
      </c>
      <c r="B1381"/>
      <c r="C1381" t="str">
        <f>IF($J1381="","",SUMIFS('Hours Log'!$C:$C,'Hours Log'!$A:$A,"&gt;="&amp;$J1381,'Hours Log'!$A:$A,"&lt;"&amp;$J1381+7)+SUMIFS('Hours Log'!$D:$D,'Hours Log'!$A:$A,"&gt;="&amp;$J1381,'Hours Log'!$A:$A,"&lt;"&amp;$J1381+7))</f>
        <v/>
      </c>
      <c r="D1381" t="str">
        <f>IF($J1381="","",SUMIFS('Hours Log'!$D:$D,'Hours Log'!$A:$A,"&gt;="&amp;$J1381,'Hours Log'!$A:$A,"&lt;"&amp;$J1381+7))</f>
        <v/>
      </c>
      <c r="E1381" t="str">
        <f t="shared" si="42"/>
        <v/>
      </c>
      <c r="F1381" t="str">
        <f t="shared" si="43"/>
        <v/>
      </c>
      <c r="G1381" t="str">
        <f>IF($J1381="","",SUMIFS('Hours Log'!$E:$E,'Hours Log'!$A:$A,"&gt;="&amp;$J1381,'Hours Log'!$A:$A,"&lt;"&amp;$J1381+7))</f>
        <v/>
      </c>
      <c r="J1381" t="str">
        <f>IF(COUNT('Hours Log'!$A$4:$A$5000)=0,"",IF(MIN('Hours Log'!$A$4:$A$5000)+7*(ROW()-10)&gt;MAX('Hours Log'!$A$4:$A$5000),"",MIN('Hours Log'!$A$4:$A$5000)+7*(ROW()-10)))</f>
        <v/>
      </c>
    </row>
    <row r="1382" spans="1:10" x14ac:dyDescent="0.25">
      <c r="A1382" t="str">
        <f>IF($J1382="","",YEAR($J1382-WEEKDAY($J1382,2)+4)&amp;"-W"&amp;TEXT(_xludf.ISOWEEKNUM($J1382),"00"))</f>
        <v/>
      </c>
      <c r="B1382"/>
      <c r="C1382" t="str">
        <f>IF($J1382="","",SUMIFS('Hours Log'!$C:$C,'Hours Log'!$A:$A,"&gt;="&amp;$J1382,'Hours Log'!$A:$A,"&lt;"&amp;$J1382+7)+SUMIFS('Hours Log'!$D:$D,'Hours Log'!$A:$A,"&gt;="&amp;$J1382,'Hours Log'!$A:$A,"&lt;"&amp;$J1382+7))</f>
        <v/>
      </c>
      <c r="D1382" t="str">
        <f>IF($J1382="","",SUMIFS('Hours Log'!$D:$D,'Hours Log'!$A:$A,"&gt;="&amp;$J1382,'Hours Log'!$A:$A,"&lt;"&amp;$J1382+7))</f>
        <v/>
      </c>
      <c r="E1382" t="str">
        <f t="shared" si="42"/>
        <v/>
      </c>
      <c r="F1382" t="str">
        <f t="shared" si="43"/>
        <v/>
      </c>
      <c r="G1382" t="str">
        <f>IF($J1382="","",SUMIFS('Hours Log'!$E:$E,'Hours Log'!$A:$A,"&gt;="&amp;$J1382,'Hours Log'!$A:$A,"&lt;"&amp;$J1382+7))</f>
        <v/>
      </c>
      <c r="J1382" t="str">
        <f>IF(COUNT('Hours Log'!$A$4:$A$5000)=0,"",IF(MIN('Hours Log'!$A$4:$A$5000)+7*(ROW()-10)&gt;MAX('Hours Log'!$A$4:$A$5000),"",MIN('Hours Log'!$A$4:$A$5000)+7*(ROW()-10)))</f>
        <v/>
      </c>
    </row>
    <row r="1383" spans="1:10" x14ac:dyDescent="0.25">
      <c r="A1383" t="str">
        <f>IF($J1383="","",YEAR($J1383-WEEKDAY($J1383,2)+4)&amp;"-W"&amp;TEXT(_xludf.ISOWEEKNUM($J1383),"00"))</f>
        <v/>
      </c>
      <c r="B1383"/>
      <c r="C1383" t="str">
        <f>IF($J1383="","",SUMIFS('Hours Log'!$C:$C,'Hours Log'!$A:$A,"&gt;="&amp;$J1383,'Hours Log'!$A:$A,"&lt;"&amp;$J1383+7)+SUMIFS('Hours Log'!$D:$D,'Hours Log'!$A:$A,"&gt;="&amp;$J1383,'Hours Log'!$A:$A,"&lt;"&amp;$J1383+7))</f>
        <v/>
      </c>
      <c r="D1383" t="str">
        <f>IF($J1383="","",SUMIFS('Hours Log'!$D:$D,'Hours Log'!$A:$A,"&gt;="&amp;$J1383,'Hours Log'!$A:$A,"&lt;"&amp;$J1383+7))</f>
        <v/>
      </c>
      <c r="E1383" t="str">
        <f t="shared" si="42"/>
        <v/>
      </c>
      <c r="F1383" t="str">
        <f t="shared" si="43"/>
        <v/>
      </c>
      <c r="G1383" t="str">
        <f>IF($J1383="","",SUMIFS('Hours Log'!$E:$E,'Hours Log'!$A:$A,"&gt;="&amp;$J1383,'Hours Log'!$A:$A,"&lt;"&amp;$J1383+7))</f>
        <v/>
      </c>
      <c r="J1383" t="str">
        <f>IF(COUNT('Hours Log'!$A$4:$A$5000)=0,"",IF(MIN('Hours Log'!$A$4:$A$5000)+7*(ROW()-10)&gt;MAX('Hours Log'!$A$4:$A$5000),"",MIN('Hours Log'!$A$4:$A$5000)+7*(ROW()-10)))</f>
        <v/>
      </c>
    </row>
    <row r="1384" spans="1:10" x14ac:dyDescent="0.25">
      <c r="A1384" t="str">
        <f>IF($J1384="","",YEAR($J1384-WEEKDAY($J1384,2)+4)&amp;"-W"&amp;TEXT(_xludf.ISOWEEKNUM($J1384),"00"))</f>
        <v/>
      </c>
      <c r="B1384"/>
      <c r="C1384" t="str">
        <f>IF($J1384="","",SUMIFS('Hours Log'!$C:$C,'Hours Log'!$A:$A,"&gt;="&amp;$J1384,'Hours Log'!$A:$A,"&lt;"&amp;$J1384+7)+SUMIFS('Hours Log'!$D:$D,'Hours Log'!$A:$A,"&gt;="&amp;$J1384,'Hours Log'!$A:$A,"&lt;"&amp;$J1384+7))</f>
        <v/>
      </c>
      <c r="D1384" t="str">
        <f>IF($J1384="","",SUMIFS('Hours Log'!$D:$D,'Hours Log'!$A:$A,"&gt;="&amp;$J1384,'Hours Log'!$A:$A,"&lt;"&amp;$J1384+7))</f>
        <v/>
      </c>
      <c r="E1384" t="str">
        <f t="shared" si="42"/>
        <v/>
      </c>
      <c r="F1384" t="str">
        <f t="shared" si="43"/>
        <v/>
      </c>
      <c r="G1384" t="str">
        <f>IF($J1384="","",SUMIFS('Hours Log'!$E:$E,'Hours Log'!$A:$A,"&gt;="&amp;$J1384,'Hours Log'!$A:$A,"&lt;"&amp;$J1384+7))</f>
        <v/>
      </c>
      <c r="J1384" t="str">
        <f>IF(COUNT('Hours Log'!$A$4:$A$5000)=0,"",IF(MIN('Hours Log'!$A$4:$A$5000)+7*(ROW()-10)&gt;MAX('Hours Log'!$A$4:$A$5000),"",MIN('Hours Log'!$A$4:$A$5000)+7*(ROW()-10)))</f>
        <v/>
      </c>
    </row>
    <row r="1385" spans="1:10" x14ac:dyDescent="0.25">
      <c r="A1385" t="str">
        <f>IF($J1385="","",YEAR($J1385-WEEKDAY($J1385,2)+4)&amp;"-W"&amp;TEXT(_xludf.ISOWEEKNUM($J1385),"00"))</f>
        <v/>
      </c>
      <c r="B1385"/>
      <c r="C1385" t="str">
        <f>IF($J1385="","",SUMIFS('Hours Log'!$C:$C,'Hours Log'!$A:$A,"&gt;="&amp;$J1385,'Hours Log'!$A:$A,"&lt;"&amp;$J1385+7)+SUMIFS('Hours Log'!$D:$D,'Hours Log'!$A:$A,"&gt;="&amp;$J1385,'Hours Log'!$A:$A,"&lt;"&amp;$J1385+7))</f>
        <v/>
      </c>
      <c r="D1385" t="str">
        <f>IF($J1385="","",SUMIFS('Hours Log'!$D:$D,'Hours Log'!$A:$A,"&gt;="&amp;$J1385,'Hours Log'!$A:$A,"&lt;"&amp;$J1385+7))</f>
        <v/>
      </c>
      <c r="E1385" t="str">
        <f t="shared" si="42"/>
        <v/>
      </c>
      <c r="F1385" t="str">
        <f t="shared" si="43"/>
        <v/>
      </c>
      <c r="G1385" t="str">
        <f>IF($J1385="","",SUMIFS('Hours Log'!$E:$E,'Hours Log'!$A:$A,"&gt;="&amp;$J1385,'Hours Log'!$A:$A,"&lt;"&amp;$J1385+7))</f>
        <v/>
      </c>
      <c r="J1385" t="str">
        <f>IF(COUNT('Hours Log'!$A$4:$A$5000)=0,"",IF(MIN('Hours Log'!$A$4:$A$5000)+7*(ROW()-10)&gt;MAX('Hours Log'!$A$4:$A$5000),"",MIN('Hours Log'!$A$4:$A$5000)+7*(ROW()-10)))</f>
        <v/>
      </c>
    </row>
    <row r="1386" spans="1:10" x14ac:dyDescent="0.25">
      <c r="A1386" t="str">
        <f>IF($J1386="","",YEAR($J1386-WEEKDAY($J1386,2)+4)&amp;"-W"&amp;TEXT(_xludf.ISOWEEKNUM($J1386),"00"))</f>
        <v/>
      </c>
      <c r="B1386"/>
      <c r="C1386" t="str">
        <f>IF($J1386="","",SUMIFS('Hours Log'!$C:$C,'Hours Log'!$A:$A,"&gt;="&amp;$J1386,'Hours Log'!$A:$A,"&lt;"&amp;$J1386+7)+SUMIFS('Hours Log'!$D:$D,'Hours Log'!$A:$A,"&gt;="&amp;$J1386,'Hours Log'!$A:$A,"&lt;"&amp;$J1386+7))</f>
        <v/>
      </c>
      <c r="D1386" t="str">
        <f>IF($J1386="","",SUMIFS('Hours Log'!$D:$D,'Hours Log'!$A:$A,"&gt;="&amp;$J1386,'Hours Log'!$A:$A,"&lt;"&amp;$J1386+7))</f>
        <v/>
      </c>
      <c r="E1386" t="str">
        <f t="shared" si="42"/>
        <v/>
      </c>
      <c r="F1386" t="str">
        <f t="shared" si="43"/>
        <v/>
      </c>
      <c r="G1386" t="str">
        <f>IF($J1386="","",SUMIFS('Hours Log'!$E:$E,'Hours Log'!$A:$A,"&gt;="&amp;$J1386,'Hours Log'!$A:$A,"&lt;"&amp;$J1386+7))</f>
        <v/>
      </c>
      <c r="J1386" t="str">
        <f>IF(COUNT('Hours Log'!$A$4:$A$5000)=0,"",IF(MIN('Hours Log'!$A$4:$A$5000)+7*(ROW()-10)&gt;MAX('Hours Log'!$A$4:$A$5000),"",MIN('Hours Log'!$A$4:$A$5000)+7*(ROW()-10)))</f>
        <v/>
      </c>
    </row>
    <row r="1387" spans="1:10" x14ac:dyDescent="0.25">
      <c r="A1387" t="str">
        <f>IF($J1387="","",YEAR($J1387-WEEKDAY($J1387,2)+4)&amp;"-W"&amp;TEXT(_xludf.ISOWEEKNUM($J1387),"00"))</f>
        <v/>
      </c>
      <c r="B1387"/>
      <c r="C1387" t="str">
        <f>IF($J1387="","",SUMIFS('Hours Log'!$C:$C,'Hours Log'!$A:$A,"&gt;="&amp;$J1387,'Hours Log'!$A:$A,"&lt;"&amp;$J1387+7)+SUMIFS('Hours Log'!$D:$D,'Hours Log'!$A:$A,"&gt;="&amp;$J1387,'Hours Log'!$A:$A,"&lt;"&amp;$J1387+7))</f>
        <v/>
      </c>
      <c r="D1387" t="str">
        <f>IF($J1387="","",SUMIFS('Hours Log'!$D:$D,'Hours Log'!$A:$A,"&gt;="&amp;$J1387,'Hours Log'!$A:$A,"&lt;"&amp;$J1387+7))</f>
        <v/>
      </c>
      <c r="E1387" t="str">
        <f t="shared" si="42"/>
        <v/>
      </c>
      <c r="F1387" t="str">
        <f t="shared" si="43"/>
        <v/>
      </c>
      <c r="G1387" t="str">
        <f>IF($J1387="","",SUMIFS('Hours Log'!$E:$E,'Hours Log'!$A:$A,"&gt;="&amp;$J1387,'Hours Log'!$A:$A,"&lt;"&amp;$J1387+7))</f>
        <v/>
      </c>
      <c r="J1387" t="str">
        <f>IF(COUNT('Hours Log'!$A$4:$A$5000)=0,"",IF(MIN('Hours Log'!$A$4:$A$5000)+7*(ROW()-10)&gt;MAX('Hours Log'!$A$4:$A$5000),"",MIN('Hours Log'!$A$4:$A$5000)+7*(ROW()-10)))</f>
        <v/>
      </c>
    </row>
    <row r="1388" spans="1:10" x14ac:dyDescent="0.25">
      <c r="A1388" t="str">
        <f>IF($J1388="","",YEAR($J1388-WEEKDAY($J1388,2)+4)&amp;"-W"&amp;TEXT(_xludf.ISOWEEKNUM($J1388),"00"))</f>
        <v/>
      </c>
      <c r="B1388"/>
      <c r="C1388" t="str">
        <f>IF($J1388="","",SUMIFS('Hours Log'!$C:$C,'Hours Log'!$A:$A,"&gt;="&amp;$J1388,'Hours Log'!$A:$A,"&lt;"&amp;$J1388+7)+SUMIFS('Hours Log'!$D:$D,'Hours Log'!$A:$A,"&gt;="&amp;$J1388,'Hours Log'!$A:$A,"&lt;"&amp;$J1388+7))</f>
        <v/>
      </c>
      <c r="D1388" t="str">
        <f>IF($J1388="","",SUMIFS('Hours Log'!$D:$D,'Hours Log'!$A:$A,"&gt;="&amp;$J1388,'Hours Log'!$A:$A,"&lt;"&amp;$J1388+7))</f>
        <v/>
      </c>
      <c r="E1388" t="str">
        <f t="shared" si="42"/>
        <v/>
      </c>
      <c r="F1388" t="str">
        <f t="shared" si="43"/>
        <v/>
      </c>
      <c r="G1388" t="str">
        <f>IF($J1388="","",SUMIFS('Hours Log'!$E:$E,'Hours Log'!$A:$A,"&gt;="&amp;$J1388,'Hours Log'!$A:$A,"&lt;"&amp;$J1388+7))</f>
        <v/>
      </c>
      <c r="J1388" t="str">
        <f>IF(COUNT('Hours Log'!$A$4:$A$5000)=0,"",IF(MIN('Hours Log'!$A$4:$A$5000)+7*(ROW()-10)&gt;MAX('Hours Log'!$A$4:$A$5000),"",MIN('Hours Log'!$A$4:$A$5000)+7*(ROW()-10)))</f>
        <v/>
      </c>
    </row>
    <row r="1389" spans="1:10" x14ac:dyDescent="0.25">
      <c r="A1389" t="str">
        <f>IF($J1389="","",YEAR($J1389-WEEKDAY($J1389,2)+4)&amp;"-W"&amp;TEXT(_xludf.ISOWEEKNUM($J1389),"00"))</f>
        <v/>
      </c>
      <c r="B1389"/>
      <c r="C1389" t="str">
        <f>IF($J1389="","",SUMIFS('Hours Log'!$C:$C,'Hours Log'!$A:$A,"&gt;="&amp;$J1389,'Hours Log'!$A:$A,"&lt;"&amp;$J1389+7)+SUMIFS('Hours Log'!$D:$D,'Hours Log'!$A:$A,"&gt;="&amp;$J1389,'Hours Log'!$A:$A,"&lt;"&amp;$J1389+7))</f>
        <v/>
      </c>
      <c r="D1389" t="str">
        <f>IF($J1389="","",SUMIFS('Hours Log'!$D:$D,'Hours Log'!$A:$A,"&gt;="&amp;$J1389,'Hours Log'!$A:$A,"&lt;"&amp;$J1389+7))</f>
        <v/>
      </c>
      <c r="E1389" t="str">
        <f t="shared" si="42"/>
        <v/>
      </c>
      <c r="F1389" t="str">
        <f t="shared" si="43"/>
        <v/>
      </c>
      <c r="G1389" t="str">
        <f>IF($J1389="","",SUMIFS('Hours Log'!$E:$E,'Hours Log'!$A:$A,"&gt;="&amp;$J1389,'Hours Log'!$A:$A,"&lt;"&amp;$J1389+7))</f>
        <v/>
      </c>
      <c r="J1389" t="str">
        <f>IF(COUNT('Hours Log'!$A$4:$A$5000)=0,"",IF(MIN('Hours Log'!$A$4:$A$5000)+7*(ROW()-10)&gt;MAX('Hours Log'!$A$4:$A$5000),"",MIN('Hours Log'!$A$4:$A$5000)+7*(ROW()-10)))</f>
        <v/>
      </c>
    </row>
    <row r="1390" spans="1:10" x14ac:dyDescent="0.25">
      <c r="A1390" t="str">
        <f>IF($J1390="","",YEAR($J1390-WEEKDAY($J1390,2)+4)&amp;"-W"&amp;TEXT(_xludf.ISOWEEKNUM($J1390),"00"))</f>
        <v/>
      </c>
      <c r="B1390"/>
      <c r="C1390" t="str">
        <f>IF($J1390="","",SUMIFS('Hours Log'!$C:$C,'Hours Log'!$A:$A,"&gt;="&amp;$J1390,'Hours Log'!$A:$A,"&lt;"&amp;$J1390+7)+SUMIFS('Hours Log'!$D:$D,'Hours Log'!$A:$A,"&gt;="&amp;$J1390,'Hours Log'!$A:$A,"&lt;"&amp;$J1390+7))</f>
        <v/>
      </c>
      <c r="D1390" t="str">
        <f>IF($J1390="","",SUMIFS('Hours Log'!$D:$D,'Hours Log'!$A:$A,"&gt;="&amp;$J1390,'Hours Log'!$A:$A,"&lt;"&amp;$J1390+7))</f>
        <v/>
      </c>
      <c r="E1390" t="str">
        <f t="shared" si="42"/>
        <v/>
      </c>
      <c r="F1390" t="str">
        <f t="shared" si="43"/>
        <v/>
      </c>
      <c r="G1390" t="str">
        <f>IF($J1390="","",SUMIFS('Hours Log'!$E:$E,'Hours Log'!$A:$A,"&gt;="&amp;$J1390,'Hours Log'!$A:$A,"&lt;"&amp;$J1390+7))</f>
        <v/>
      </c>
      <c r="J1390" t="str">
        <f>IF(COUNT('Hours Log'!$A$4:$A$5000)=0,"",IF(MIN('Hours Log'!$A$4:$A$5000)+7*(ROW()-10)&gt;MAX('Hours Log'!$A$4:$A$5000),"",MIN('Hours Log'!$A$4:$A$5000)+7*(ROW()-10)))</f>
        <v/>
      </c>
    </row>
    <row r="1391" spans="1:10" x14ac:dyDescent="0.25">
      <c r="A1391" t="str">
        <f>IF($J1391="","",YEAR($J1391-WEEKDAY($J1391,2)+4)&amp;"-W"&amp;TEXT(_xludf.ISOWEEKNUM($J1391),"00"))</f>
        <v/>
      </c>
      <c r="B1391"/>
      <c r="C1391" t="str">
        <f>IF($J1391="","",SUMIFS('Hours Log'!$C:$C,'Hours Log'!$A:$A,"&gt;="&amp;$J1391,'Hours Log'!$A:$A,"&lt;"&amp;$J1391+7)+SUMIFS('Hours Log'!$D:$D,'Hours Log'!$A:$A,"&gt;="&amp;$J1391,'Hours Log'!$A:$A,"&lt;"&amp;$J1391+7))</f>
        <v/>
      </c>
      <c r="D1391" t="str">
        <f>IF($J1391="","",SUMIFS('Hours Log'!$D:$D,'Hours Log'!$A:$A,"&gt;="&amp;$J1391,'Hours Log'!$A:$A,"&lt;"&amp;$J1391+7))</f>
        <v/>
      </c>
      <c r="E1391" t="str">
        <f t="shared" si="42"/>
        <v/>
      </c>
      <c r="F1391" t="str">
        <f t="shared" si="43"/>
        <v/>
      </c>
      <c r="G1391" t="str">
        <f>IF($J1391="","",SUMIFS('Hours Log'!$E:$E,'Hours Log'!$A:$A,"&gt;="&amp;$J1391,'Hours Log'!$A:$A,"&lt;"&amp;$J1391+7))</f>
        <v/>
      </c>
      <c r="J1391" t="str">
        <f>IF(COUNT('Hours Log'!$A$4:$A$5000)=0,"",IF(MIN('Hours Log'!$A$4:$A$5000)+7*(ROW()-10)&gt;MAX('Hours Log'!$A$4:$A$5000),"",MIN('Hours Log'!$A$4:$A$5000)+7*(ROW()-10)))</f>
        <v/>
      </c>
    </row>
    <row r="1392" spans="1:10" x14ac:dyDescent="0.25">
      <c r="A1392" t="str">
        <f>IF($J1392="","",YEAR($J1392-WEEKDAY($J1392,2)+4)&amp;"-W"&amp;TEXT(_xludf.ISOWEEKNUM($J1392),"00"))</f>
        <v/>
      </c>
      <c r="B1392"/>
      <c r="C1392" t="str">
        <f>IF($J1392="","",SUMIFS('Hours Log'!$C:$C,'Hours Log'!$A:$A,"&gt;="&amp;$J1392,'Hours Log'!$A:$A,"&lt;"&amp;$J1392+7)+SUMIFS('Hours Log'!$D:$D,'Hours Log'!$A:$A,"&gt;="&amp;$J1392,'Hours Log'!$A:$A,"&lt;"&amp;$J1392+7))</f>
        <v/>
      </c>
      <c r="D1392" t="str">
        <f>IF($J1392="","",SUMIFS('Hours Log'!$D:$D,'Hours Log'!$A:$A,"&gt;="&amp;$J1392,'Hours Log'!$A:$A,"&lt;"&amp;$J1392+7))</f>
        <v/>
      </c>
      <c r="E1392" t="str">
        <f t="shared" si="42"/>
        <v/>
      </c>
      <c r="F1392" t="str">
        <f t="shared" si="43"/>
        <v/>
      </c>
      <c r="G1392" t="str">
        <f>IF($J1392="","",SUMIFS('Hours Log'!$E:$E,'Hours Log'!$A:$A,"&gt;="&amp;$J1392,'Hours Log'!$A:$A,"&lt;"&amp;$J1392+7))</f>
        <v/>
      </c>
      <c r="J1392" t="str">
        <f>IF(COUNT('Hours Log'!$A$4:$A$5000)=0,"",IF(MIN('Hours Log'!$A$4:$A$5000)+7*(ROW()-10)&gt;MAX('Hours Log'!$A$4:$A$5000),"",MIN('Hours Log'!$A$4:$A$5000)+7*(ROW()-10)))</f>
        <v/>
      </c>
    </row>
    <row r="1393" spans="1:10" x14ac:dyDescent="0.25">
      <c r="A1393" t="str">
        <f>IF($J1393="","",YEAR($J1393-WEEKDAY($J1393,2)+4)&amp;"-W"&amp;TEXT(_xludf.ISOWEEKNUM($J1393),"00"))</f>
        <v/>
      </c>
      <c r="B1393"/>
      <c r="C1393" t="str">
        <f>IF($J1393="","",SUMIFS('Hours Log'!$C:$C,'Hours Log'!$A:$A,"&gt;="&amp;$J1393,'Hours Log'!$A:$A,"&lt;"&amp;$J1393+7)+SUMIFS('Hours Log'!$D:$D,'Hours Log'!$A:$A,"&gt;="&amp;$J1393,'Hours Log'!$A:$A,"&lt;"&amp;$J1393+7))</f>
        <v/>
      </c>
      <c r="D1393" t="str">
        <f>IF($J1393="","",SUMIFS('Hours Log'!$D:$D,'Hours Log'!$A:$A,"&gt;="&amp;$J1393,'Hours Log'!$A:$A,"&lt;"&amp;$J1393+7))</f>
        <v/>
      </c>
      <c r="E1393" t="str">
        <f t="shared" si="42"/>
        <v/>
      </c>
      <c r="F1393" t="str">
        <f t="shared" si="43"/>
        <v/>
      </c>
      <c r="G1393" t="str">
        <f>IF($J1393="","",SUMIFS('Hours Log'!$E:$E,'Hours Log'!$A:$A,"&gt;="&amp;$J1393,'Hours Log'!$A:$A,"&lt;"&amp;$J1393+7))</f>
        <v/>
      </c>
      <c r="J1393" t="str">
        <f>IF(COUNT('Hours Log'!$A$4:$A$5000)=0,"",IF(MIN('Hours Log'!$A$4:$A$5000)+7*(ROW()-10)&gt;MAX('Hours Log'!$A$4:$A$5000),"",MIN('Hours Log'!$A$4:$A$5000)+7*(ROW()-10)))</f>
        <v/>
      </c>
    </row>
    <row r="1394" spans="1:10" x14ac:dyDescent="0.25">
      <c r="A1394" t="str">
        <f>IF($J1394="","",YEAR($J1394-WEEKDAY($J1394,2)+4)&amp;"-W"&amp;TEXT(_xludf.ISOWEEKNUM($J1394),"00"))</f>
        <v/>
      </c>
      <c r="B1394"/>
      <c r="C1394" t="str">
        <f>IF($J1394="","",SUMIFS('Hours Log'!$C:$C,'Hours Log'!$A:$A,"&gt;="&amp;$J1394,'Hours Log'!$A:$A,"&lt;"&amp;$J1394+7)+SUMIFS('Hours Log'!$D:$D,'Hours Log'!$A:$A,"&gt;="&amp;$J1394,'Hours Log'!$A:$A,"&lt;"&amp;$J1394+7))</f>
        <v/>
      </c>
      <c r="D1394" t="str">
        <f>IF($J1394="","",SUMIFS('Hours Log'!$D:$D,'Hours Log'!$A:$A,"&gt;="&amp;$J1394,'Hours Log'!$A:$A,"&lt;"&amp;$J1394+7))</f>
        <v/>
      </c>
      <c r="E1394" t="str">
        <f t="shared" si="42"/>
        <v/>
      </c>
      <c r="F1394" t="str">
        <f t="shared" si="43"/>
        <v/>
      </c>
      <c r="G1394" t="str">
        <f>IF($J1394="","",SUMIFS('Hours Log'!$E:$E,'Hours Log'!$A:$A,"&gt;="&amp;$J1394,'Hours Log'!$A:$A,"&lt;"&amp;$J1394+7))</f>
        <v/>
      </c>
      <c r="J1394" t="str">
        <f>IF(COUNT('Hours Log'!$A$4:$A$5000)=0,"",IF(MIN('Hours Log'!$A$4:$A$5000)+7*(ROW()-10)&gt;MAX('Hours Log'!$A$4:$A$5000),"",MIN('Hours Log'!$A$4:$A$5000)+7*(ROW()-10)))</f>
        <v/>
      </c>
    </row>
    <row r="1395" spans="1:10" x14ac:dyDescent="0.25">
      <c r="A1395" t="str">
        <f>IF($J1395="","",YEAR($J1395-WEEKDAY($J1395,2)+4)&amp;"-W"&amp;TEXT(_xludf.ISOWEEKNUM($J1395),"00"))</f>
        <v/>
      </c>
      <c r="B1395"/>
      <c r="C1395" t="str">
        <f>IF($J1395="","",SUMIFS('Hours Log'!$C:$C,'Hours Log'!$A:$A,"&gt;="&amp;$J1395,'Hours Log'!$A:$A,"&lt;"&amp;$J1395+7)+SUMIFS('Hours Log'!$D:$D,'Hours Log'!$A:$A,"&gt;="&amp;$J1395,'Hours Log'!$A:$A,"&lt;"&amp;$J1395+7))</f>
        <v/>
      </c>
      <c r="D1395" t="str">
        <f>IF($J1395="","",SUMIFS('Hours Log'!$D:$D,'Hours Log'!$A:$A,"&gt;="&amp;$J1395,'Hours Log'!$A:$A,"&lt;"&amp;$J1395+7))</f>
        <v/>
      </c>
      <c r="E1395" t="str">
        <f t="shared" si="42"/>
        <v/>
      </c>
      <c r="F1395" t="str">
        <f t="shared" si="43"/>
        <v/>
      </c>
      <c r="G1395" t="str">
        <f>IF($J1395="","",SUMIFS('Hours Log'!$E:$E,'Hours Log'!$A:$A,"&gt;="&amp;$J1395,'Hours Log'!$A:$A,"&lt;"&amp;$J1395+7))</f>
        <v/>
      </c>
      <c r="J1395" t="str">
        <f>IF(COUNT('Hours Log'!$A$4:$A$5000)=0,"",IF(MIN('Hours Log'!$A$4:$A$5000)+7*(ROW()-10)&gt;MAX('Hours Log'!$A$4:$A$5000),"",MIN('Hours Log'!$A$4:$A$5000)+7*(ROW()-10)))</f>
        <v/>
      </c>
    </row>
    <row r="1396" spans="1:10" x14ac:dyDescent="0.25">
      <c r="A1396" t="str">
        <f>IF($J1396="","",YEAR($J1396-WEEKDAY($J1396,2)+4)&amp;"-W"&amp;TEXT(_xludf.ISOWEEKNUM($J1396),"00"))</f>
        <v/>
      </c>
      <c r="B1396"/>
      <c r="C1396" t="str">
        <f>IF($J1396="","",SUMIFS('Hours Log'!$C:$C,'Hours Log'!$A:$A,"&gt;="&amp;$J1396,'Hours Log'!$A:$A,"&lt;"&amp;$J1396+7)+SUMIFS('Hours Log'!$D:$D,'Hours Log'!$A:$A,"&gt;="&amp;$J1396,'Hours Log'!$A:$A,"&lt;"&amp;$J1396+7))</f>
        <v/>
      </c>
      <c r="D1396" t="str">
        <f>IF($J1396="","",SUMIFS('Hours Log'!$D:$D,'Hours Log'!$A:$A,"&gt;="&amp;$J1396,'Hours Log'!$A:$A,"&lt;"&amp;$J1396+7))</f>
        <v/>
      </c>
      <c r="E1396" t="str">
        <f t="shared" si="42"/>
        <v/>
      </c>
      <c r="F1396" t="str">
        <f t="shared" si="43"/>
        <v/>
      </c>
      <c r="G1396" t="str">
        <f>IF($J1396="","",SUMIFS('Hours Log'!$E:$E,'Hours Log'!$A:$A,"&gt;="&amp;$J1396,'Hours Log'!$A:$A,"&lt;"&amp;$J1396+7))</f>
        <v/>
      </c>
      <c r="J1396" t="str">
        <f>IF(COUNT('Hours Log'!$A$4:$A$5000)=0,"",IF(MIN('Hours Log'!$A$4:$A$5000)+7*(ROW()-10)&gt;MAX('Hours Log'!$A$4:$A$5000),"",MIN('Hours Log'!$A$4:$A$5000)+7*(ROW()-10)))</f>
        <v/>
      </c>
    </row>
    <row r="1397" spans="1:10" x14ac:dyDescent="0.25">
      <c r="A1397" t="str">
        <f>IF($J1397="","",YEAR($J1397-WEEKDAY($J1397,2)+4)&amp;"-W"&amp;TEXT(_xludf.ISOWEEKNUM($J1397),"00"))</f>
        <v/>
      </c>
      <c r="B1397"/>
      <c r="C1397" t="str">
        <f>IF($J1397="","",SUMIFS('Hours Log'!$C:$C,'Hours Log'!$A:$A,"&gt;="&amp;$J1397,'Hours Log'!$A:$A,"&lt;"&amp;$J1397+7)+SUMIFS('Hours Log'!$D:$D,'Hours Log'!$A:$A,"&gt;="&amp;$J1397,'Hours Log'!$A:$A,"&lt;"&amp;$J1397+7))</f>
        <v/>
      </c>
      <c r="D1397" t="str">
        <f>IF($J1397="","",SUMIFS('Hours Log'!$D:$D,'Hours Log'!$A:$A,"&gt;="&amp;$J1397,'Hours Log'!$A:$A,"&lt;"&amp;$J1397+7))</f>
        <v/>
      </c>
      <c r="E1397" t="str">
        <f t="shared" si="42"/>
        <v/>
      </c>
      <c r="F1397" t="str">
        <f t="shared" si="43"/>
        <v/>
      </c>
      <c r="G1397" t="str">
        <f>IF($J1397="","",SUMIFS('Hours Log'!$E:$E,'Hours Log'!$A:$A,"&gt;="&amp;$J1397,'Hours Log'!$A:$A,"&lt;"&amp;$J1397+7))</f>
        <v/>
      </c>
      <c r="J1397" t="str">
        <f>IF(COUNT('Hours Log'!$A$4:$A$5000)=0,"",IF(MIN('Hours Log'!$A$4:$A$5000)+7*(ROW()-10)&gt;MAX('Hours Log'!$A$4:$A$5000),"",MIN('Hours Log'!$A$4:$A$5000)+7*(ROW()-10)))</f>
        <v/>
      </c>
    </row>
    <row r="1398" spans="1:10" x14ac:dyDescent="0.25">
      <c r="A1398" t="str">
        <f>IF($J1398="","",YEAR($J1398-WEEKDAY($J1398,2)+4)&amp;"-W"&amp;TEXT(_xludf.ISOWEEKNUM($J1398),"00"))</f>
        <v/>
      </c>
      <c r="B1398"/>
      <c r="C1398" t="str">
        <f>IF($J1398="","",SUMIFS('Hours Log'!$C:$C,'Hours Log'!$A:$A,"&gt;="&amp;$J1398,'Hours Log'!$A:$A,"&lt;"&amp;$J1398+7)+SUMIFS('Hours Log'!$D:$D,'Hours Log'!$A:$A,"&gt;="&amp;$J1398,'Hours Log'!$A:$A,"&lt;"&amp;$J1398+7))</f>
        <v/>
      </c>
      <c r="D1398" t="str">
        <f>IF($J1398="","",SUMIFS('Hours Log'!$D:$D,'Hours Log'!$A:$A,"&gt;="&amp;$J1398,'Hours Log'!$A:$A,"&lt;"&amp;$J1398+7))</f>
        <v/>
      </c>
      <c r="E1398" t="str">
        <f t="shared" si="42"/>
        <v/>
      </c>
      <c r="F1398" t="str">
        <f t="shared" si="43"/>
        <v/>
      </c>
      <c r="G1398" t="str">
        <f>IF($J1398="","",SUMIFS('Hours Log'!$E:$E,'Hours Log'!$A:$A,"&gt;="&amp;$J1398,'Hours Log'!$A:$A,"&lt;"&amp;$J1398+7))</f>
        <v/>
      </c>
      <c r="J1398" t="str">
        <f>IF(COUNT('Hours Log'!$A$4:$A$5000)=0,"",IF(MIN('Hours Log'!$A$4:$A$5000)+7*(ROW()-10)&gt;MAX('Hours Log'!$A$4:$A$5000),"",MIN('Hours Log'!$A$4:$A$5000)+7*(ROW()-10)))</f>
        <v/>
      </c>
    </row>
    <row r="1399" spans="1:10" x14ac:dyDescent="0.25">
      <c r="A1399" t="str">
        <f>IF($J1399="","",YEAR($J1399-WEEKDAY($J1399,2)+4)&amp;"-W"&amp;TEXT(_xludf.ISOWEEKNUM($J1399),"00"))</f>
        <v/>
      </c>
      <c r="B1399"/>
      <c r="C1399" t="str">
        <f>IF($J1399="","",SUMIFS('Hours Log'!$C:$C,'Hours Log'!$A:$A,"&gt;="&amp;$J1399,'Hours Log'!$A:$A,"&lt;"&amp;$J1399+7)+SUMIFS('Hours Log'!$D:$D,'Hours Log'!$A:$A,"&gt;="&amp;$J1399,'Hours Log'!$A:$A,"&lt;"&amp;$J1399+7))</f>
        <v/>
      </c>
      <c r="D1399" t="str">
        <f>IF($J1399="","",SUMIFS('Hours Log'!$D:$D,'Hours Log'!$A:$A,"&gt;="&amp;$J1399,'Hours Log'!$A:$A,"&lt;"&amp;$J1399+7))</f>
        <v/>
      </c>
      <c r="E1399" t="str">
        <f t="shared" si="42"/>
        <v/>
      </c>
      <c r="F1399" t="str">
        <f t="shared" si="43"/>
        <v/>
      </c>
      <c r="G1399" t="str">
        <f>IF($J1399="","",SUMIFS('Hours Log'!$E:$E,'Hours Log'!$A:$A,"&gt;="&amp;$J1399,'Hours Log'!$A:$A,"&lt;"&amp;$J1399+7))</f>
        <v/>
      </c>
      <c r="J1399" t="str">
        <f>IF(COUNT('Hours Log'!$A$4:$A$5000)=0,"",IF(MIN('Hours Log'!$A$4:$A$5000)+7*(ROW()-10)&gt;MAX('Hours Log'!$A$4:$A$5000),"",MIN('Hours Log'!$A$4:$A$5000)+7*(ROW()-10)))</f>
        <v/>
      </c>
    </row>
    <row r="1400" spans="1:10" x14ac:dyDescent="0.25">
      <c r="A1400" t="str">
        <f>IF($J1400="","",YEAR($J1400-WEEKDAY($J1400,2)+4)&amp;"-W"&amp;TEXT(_xludf.ISOWEEKNUM($J1400),"00"))</f>
        <v/>
      </c>
      <c r="B1400"/>
      <c r="C1400" t="str">
        <f>IF($J1400="","",SUMIFS('Hours Log'!$C:$C,'Hours Log'!$A:$A,"&gt;="&amp;$J1400,'Hours Log'!$A:$A,"&lt;"&amp;$J1400+7)+SUMIFS('Hours Log'!$D:$D,'Hours Log'!$A:$A,"&gt;="&amp;$J1400,'Hours Log'!$A:$A,"&lt;"&amp;$J1400+7))</f>
        <v/>
      </c>
      <c r="D1400" t="str">
        <f>IF($J1400="","",SUMIFS('Hours Log'!$D:$D,'Hours Log'!$A:$A,"&gt;="&amp;$J1400,'Hours Log'!$A:$A,"&lt;"&amp;$J1400+7))</f>
        <v/>
      </c>
      <c r="E1400" t="str">
        <f t="shared" si="42"/>
        <v/>
      </c>
      <c r="F1400" t="str">
        <f t="shared" si="43"/>
        <v/>
      </c>
      <c r="G1400" t="str">
        <f>IF($J1400="","",SUMIFS('Hours Log'!$E:$E,'Hours Log'!$A:$A,"&gt;="&amp;$J1400,'Hours Log'!$A:$A,"&lt;"&amp;$J1400+7))</f>
        <v/>
      </c>
      <c r="J1400" t="str">
        <f>IF(COUNT('Hours Log'!$A$4:$A$5000)=0,"",IF(MIN('Hours Log'!$A$4:$A$5000)+7*(ROW()-10)&gt;MAX('Hours Log'!$A$4:$A$5000),"",MIN('Hours Log'!$A$4:$A$5000)+7*(ROW()-10)))</f>
        <v/>
      </c>
    </row>
    <row r="1401" spans="1:10" x14ac:dyDescent="0.25">
      <c r="A1401" t="str">
        <f>IF($J1401="","",YEAR($J1401-WEEKDAY($J1401,2)+4)&amp;"-W"&amp;TEXT(_xludf.ISOWEEKNUM($J1401),"00"))</f>
        <v/>
      </c>
      <c r="B1401"/>
      <c r="C1401" t="str">
        <f>IF($J1401="","",SUMIFS('Hours Log'!$C:$C,'Hours Log'!$A:$A,"&gt;="&amp;$J1401,'Hours Log'!$A:$A,"&lt;"&amp;$J1401+7)+SUMIFS('Hours Log'!$D:$D,'Hours Log'!$A:$A,"&gt;="&amp;$J1401,'Hours Log'!$A:$A,"&lt;"&amp;$J1401+7))</f>
        <v/>
      </c>
      <c r="D1401" t="str">
        <f>IF($J1401="","",SUMIFS('Hours Log'!$D:$D,'Hours Log'!$A:$A,"&gt;="&amp;$J1401,'Hours Log'!$A:$A,"&lt;"&amp;$J1401+7))</f>
        <v/>
      </c>
      <c r="E1401" t="str">
        <f t="shared" si="42"/>
        <v/>
      </c>
      <c r="F1401" t="str">
        <f t="shared" si="43"/>
        <v/>
      </c>
      <c r="G1401" t="str">
        <f>IF($J1401="","",SUMIFS('Hours Log'!$E:$E,'Hours Log'!$A:$A,"&gt;="&amp;$J1401,'Hours Log'!$A:$A,"&lt;"&amp;$J1401+7))</f>
        <v/>
      </c>
      <c r="J1401" t="str">
        <f>IF(COUNT('Hours Log'!$A$4:$A$5000)=0,"",IF(MIN('Hours Log'!$A$4:$A$5000)+7*(ROW()-10)&gt;MAX('Hours Log'!$A$4:$A$5000),"",MIN('Hours Log'!$A$4:$A$5000)+7*(ROW()-10)))</f>
        <v/>
      </c>
    </row>
    <row r="1402" spans="1:10" x14ac:dyDescent="0.25">
      <c r="A1402" t="str">
        <f>IF($J1402="","",YEAR($J1402-WEEKDAY($J1402,2)+4)&amp;"-W"&amp;TEXT(_xludf.ISOWEEKNUM($J1402),"00"))</f>
        <v/>
      </c>
      <c r="B1402"/>
      <c r="C1402" t="str">
        <f>IF($J1402="","",SUMIFS('Hours Log'!$C:$C,'Hours Log'!$A:$A,"&gt;="&amp;$J1402,'Hours Log'!$A:$A,"&lt;"&amp;$J1402+7)+SUMIFS('Hours Log'!$D:$D,'Hours Log'!$A:$A,"&gt;="&amp;$J1402,'Hours Log'!$A:$A,"&lt;"&amp;$J1402+7))</f>
        <v/>
      </c>
      <c r="D1402" t="str">
        <f>IF($J1402="","",SUMIFS('Hours Log'!$D:$D,'Hours Log'!$A:$A,"&gt;="&amp;$J1402,'Hours Log'!$A:$A,"&lt;"&amp;$J1402+7))</f>
        <v/>
      </c>
      <c r="E1402" t="str">
        <f t="shared" si="42"/>
        <v/>
      </c>
      <c r="F1402" t="str">
        <f t="shared" si="43"/>
        <v/>
      </c>
      <c r="G1402" t="str">
        <f>IF($J1402="","",SUMIFS('Hours Log'!$E:$E,'Hours Log'!$A:$A,"&gt;="&amp;$J1402,'Hours Log'!$A:$A,"&lt;"&amp;$J1402+7))</f>
        <v/>
      </c>
      <c r="J1402" t="str">
        <f>IF(COUNT('Hours Log'!$A$4:$A$5000)=0,"",IF(MIN('Hours Log'!$A$4:$A$5000)+7*(ROW()-10)&gt;MAX('Hours Log'!$A$4:$A$5000),"",MIN('Hours Log'!$A$4:$A$5000)+7*(ROW()-10)))</f>
        <v/>
      </c>
    </row>
    <row r="1403" spans="1:10" x14ac:dyDescent="0.25">
      <c r="A1403" t="str">
        <f>IF($J1403="","",YEAR($J1403-WEEKDAY($J1403,2)+4)&amp;"-W"&amp;TEXT(_xludf.ISOWEEKNUM($J1403),"00"))</f>
        <v/>
      </c>
      <c r="B1403"/>
      <c r="C1403" t="str">
        <f>IF($J1403="","",SUMIFS('Hours Log'!$C:$C,'Hours Log'!$A:$A,"&gt;="&amp;$J1403,'Hours Log'!$A:$A,"&lt;"&amp;$J1403+7)+SUMIFS('Hours Log'!$D:$D,'Hours Log'!$A:$A,"&gt;="&amp;$J1403,'Hours Log'!$A:$A,"&lt;"&amp;$J1403+7))</f>
        <v/>
      </c>
      <c r="D1403" t="str">
        <f>IF($J1403="","",SUMIFS('Hours Log'!$D:$D,'Hours Log'!$A:$A,"&gt;="&amp;$J1403,'Hours Log'!$A:$A,"&lt;"&amp;$J1403+7))</f>
        <v/>
      </c>
      <c r="E1403" t="str">
        <f t="shared" si="42"/>
        <v/>
      </c>
      <c r="F1403" t="str">
        <f t="shared" si="43"/>
        <v/>
      </c>
      <c r="G1403" t="str">
        <f>IF($J1403="","",SUMIFS('Hours Log'!$E:$E,'Hours Log'!$A:$A,"&gt;="&amp;$J1403,'Hours Log'!$A:$A,"&lt;"&amp;$J1403+7))</f>
        <v/>
      </c>
      <c r="J1403" t="str">
        <f>IF(COUNT('Hours Log'!$A$4:$A$5000)=0,"",IF(MIN('Hours Log'!$A$4:$A$5000)+7*(ROW()-10)&gt;MAX('Hours Log'!$A$4:$A$5000),"",MIN('Hours Log'!$A$4:$A$5000)+7*(ROW()-10)))</f>
        <v/>
      </c>
    </row>
    <row r="1404" spans="1:10" x14ac:dyDescent="0.25">
      <c r="A1404" t="str">
        <f>IF($J1404="","",YEAR($J1404-WEEKDAY($J1404,2)+4)&amp;"-W"&amp;TEXT(_xludf.ISOWEEKNUM($J1404),"00"))</f>
        <v/>
      </c>
      <c r="B1404"/>
      <c r="C1404" t="str">
        <f>IF($J1404="","",SUMIFS('Hours Log'!$C:$C,'Hours Log'!$A:$A,"&gt;="&amp;$J1404,'Hours Log'!$A:$A,"&lt;"&amp;$J1404+7)+SUMIFS('Hours Log'!$D:$D,'Hours Log'!$A:$A,"&gt;="&amp;$J1404,'Hours Log'!$A:$A,"&lt;"&amp;$J1404+7))</f>
        <v/>
      </c>
      <c r="D1404" t="str">
        <f>IF($J1404="","",SUMIFS('Hours Log'!$D:$D,'Hours Log'!$A:$A,"&gt;="&amp;$J1404,'Hours Log'!$A:$A,"&lt;"&amp;$J1404+7))</f>
        <v/>
      </c>
      <c r="E1404" t="str">
        <f t="shared" si="42"/>
        <v/>
      </c>
      <c r="F1404" t="str">
        <f t="shared" si="43"/>
        <v/>
      </c>
      <c r="G1404" t="str">
        <f>IF($J1404="","",SUMIFS('Hours Log'!$E:$E,'Hours Log'!$A:$A,"&gt;="&amp;$J1404,'Hours Log'!$A:$A,"&lt;"&amp;$J1404+7))</f>
        <v/>
      </c>
      <c r="J1404" t="str">
        <f>IF(COUNT('Hours Log'!$A$4:$A$5000)=0,"",IF(MIN('Hours Log'!$A$4:$A$5000)+7*(ROW()-10)&gt;MAX('Hours Log'!$A$4:$A$5000),"",MIN('Hours Log'!$A$4:$A$5000)+7*(ROW()-10)))</f>
        <v/>
      </c>
    </row>
    <row r="1405" spans="1:10" x14ac:dyDescent="0.25">
      <c r="A1405" t="str">
        <f>IF($J1405="","",YEAR($J1405-WEEKDAY($J1405,2)+4)&amp;"-W"&amp;TEXT(_xludf.ISOWEEKNUM($J1405),"00"))</f>
        <v/>
      </c>
      <c r="B1405"/>
      <c r="C1405" t="str">
        <f>IF($J1405="","",SUMIFS('Hours Log'!$C:$C,'Hours Log'!$A:$A,"&gt;="&amp;$J1405,'Hours Log'!$A:$A,"&lt;"&amp;$J1405+7)+SUMIFS('Hours Log'!$D:$D,'Hours Log'!$A:$A,"&gt;="&amp;$J1405,'Hours Log'!$A:$A,"&lt;"&amp;$J1405+7))</f>
        <v/>
      </c>
      <c r="D1405" t="str">
        <f>IF($J1405="","",SUMIFS('Hours Log'!$D:$D,'Hours Log'!$A:$A,"&gt;="&amp;$J1405,'Hours Log'!$A:$A,"&lt;"&amp;$J1405+7))</f>
        <v/>
      </c>
      <c r="E1405" t="str">
        <f t="shared" si="42"/>
        <v/>
      </c>
      <c r="F1405" t="str">
        <f t="shared" si="43"/>
        <v/>
      </c>
      <c r="G1405" t="str">
        <f>IF($J1405="","",SUMIFS('Hours Log'!$E:$E,'Hours Log'!$A:$A,"&gt;="&amp;$J1405,'Hours Log'!$A:$A,"&lt;"&amp;$J1405+7))</f>
        <v/>
      </c>
      <c r="J1405" t="str">
        <f>IF(COUNT('Hours Log'!$A$4:$A$5000)=0,"",IF(MIN('Hours Log'!$A$4:$A$5000)+7*(ROW()-10)&gt;MAX('Hours Log'!$A$4:$A$5000),"",MIN('Hours Log'!$A$4:$A$5000)+7*(ROW()-10)))</f>
        <v/>
      </c>
    </row>
    <row r="1406" spans="1:10" x14ac:dyDescent="0.25">
      <c r="A1406" t="str">
        <f>IF($J1406="","",YEAR($J1406-WEEKDAY($J1406,2)+4)&amp;"-W"&amp;TEXT(_xludf.ISOWEEKNUM($J1406),"00"))</f>
        <v/>
      </c>
      <c r="B1406"/>
      <c r="C1406" t="str">
        <f>IF($J1406="","",SUMIFS('Hours Log'!$C:$C,'Hours Log'!$A:$A,"&gt;="&amp;$J1406,'Hours Log'!$A:$A,"&lt;"&amp;$J1406+7)+SUMIFS('Hours Log'!$D:$D,'Hours Log'!$A:$A,"&gt;="&amp;$J1406,'Hours Log'!$A:$A,"&lt;"&amp;$J1406+7))</f>
        <v/>
      </c>
      <c r="D1406" t="str">
        <f>IF($J1406="","",SUMIFS('Hours Log'!$D:$D,'Hours Log'!$A:$A,"&gt;="&amp;$J1406,'Hours Log'!$A:$A,"&lt;"&amp;$J1406+7))</f>
        <v/>
      </c>
      <c r="E1406" t="str">
        <f t="shared" si="42"/>
        <v/>
      </c>
      <c r="F1406" t="str">
        <f t="shared" si="43"/>
        <v/>
      </c>
      <c r="G1406" t="str">
        <f>IF($J1406="","",SUMIFS('Hours Log'!$E:$E,'Hours Log'!$A:$A,"&gt;="&amp;$J1406,'Hours Log'!$A:$A,"&lt;"&amp;$J1406+7))</f>
        <v/>
      </c>
      <c r="J1406" t="str">
        <f>IF(COUNT('Hours Log'!$A$4:$A$5000)=0,"",IF(MIN('Hours Log'!$A$4:$A$5000)+7*(ROW()-10)&gt;MAX('Hours Log'!$A$4:$A$5000),"",MIN('Hours Log'!$A$4:$A$5000)+7*(ROW()-10)))</f>
        <v/>
      </c>
    </row>
    <row r="1407" spans="1:10" x14ac:dyDescent="0.25">
      <c r="A1407" t="str">
        <f>IF($J1407="","",YEAR($J1407-WEEKDAY($J1407,2)+4)&amp;"-W"&amp;TEXT(_xludf.ISOWEEKNUM($J1407),"00"))</f>
        <v/>
      </c>
      <c r="B1407"/>
      <c r="C1407" t="str">
        <f>IF($J1407="","",SUMIFS('Hours Log'!$C:$C,'Hours Log'!$A:$A,"&gt;="&amp;$J1407,'Hours Log'!$A:$A,"&lt;"&amp;$J1407+7)+SUMIFS('Hours Log'!$D:$D,'Hours Log'!$A:$A,"&gt;="&amp;$J1407,'Hours Log'!$A:$A,"&lt;"&amp;$J1407+7))</f>
        <v/>
      </c>
      <c r="D1407" t="str">
        <f>IF($J1407="","",SUMIFS('Hours Log'!$D:$D,'Hours Log'!$A:$A,"&gt;="&amp;$J1407,'Hours Log'!$A:$A,"&lt;"&amp;$J1407+7))</f>
        <v/>
      </c>
      <c r="E1407" t="str">
        <f t="shared" si="42"/>
        <v/>
      </c>
      <c r="F1407" t="str">
        <f t="shared" si="43"/>
        <v/>
      </c>
      <c r="G1407" t="str">
        <f>IF($J1407="","",SUMIFS('Hours Log'!$E:$E,'Hours Log'!$A:$A,"&gt;="&amp;$J1407,'Hours Log'!$A:$A,"&lt;"&amp;$J1407+7))</f>
        <v/>
      </c>
      <c r="J1407" t="str">
        <f>IF(COUNT('Hours Log'!$A$4:$A$5000)=0,"",IF(MIN('Hours Log'!$A$4:$A$5000)+7*(ROW()-10)&gt;MAX('Hours Log'!$A$4:$A$5000),"",MIN('Hours Log'!$A$4:$A$5000)+7*(ROW()-10)))</f>
        <v/>
      </c>
    </row>
    <row r="1408" spans="1:10" x14ac:dyDescent="0.25">
      <c r="A1408" t="str">
        <f>IF($J1408="","",YEAR($J1408-WEEKDAY($J1408,2)+4)&amp;"-W"&amp;TEXT(_xludf.ISOWEEKNUM($J1408),"00"))</f>
        <v/>
      </c>
      <c r="B1408"/>
      <c r="C1408" t="str">
        <f>IF($J1408="","",SUMIFS('Hours Log'!$C:$C,'Hours Log'!$A:$A,"&gt;="&amp;$J1408,'Hours Log'!$A:$A,"&lt;"&amp;$J1408+7)+SUMIFS('Hours Log'!$D:$D,'Hours Log'!$A:$A,"&gt;="&amp;$J1408,'Hours Log'!$A:$A,"&lt;"&amp;$J1408+7))</f>
        <v/>
      </c>
      <c r="D1408" t="str">
        <f>IF($J1408="","",SUMIFS('Hours Log'!$D:$D,'Hours Log'!$A:$A,"&gt;="&amp;$J1408,'Hours Log'!$A:$A,"&lt;"&amp;$J1408+7))</f>
        <v/>
      </c>
      <c r="E1408" t="str">
        <f t="shared" si="42"/>
        <v/>
      </c>
      <c r="F1408" t="str">
        <f t="shared" si="43"/>
        <v/>
      </c>
      <c r="G1408" t="str">
        <f>IF($J1408="","",SUMIFS('Hours Log'!$E:$E,'Hours Log'!$A:$A,"&gt;="&amp;$J1408,'Hours Log'!$A:$A,"&lt;"&amp;$J1408+7))</f>
        <v/>
      </c>
      <c r="J1408" t="str">
        <f>IF(COUNT('Hours Log'!$A$4:$A$5000)=0,"",IF(MIN('Hours Log'!$A$4:$A$5000)+7*(ROW()-10)&gt;MAX('Hours Log'!$A$4:$A$5000),"",MIN('Hours Log'!$A$4:$A$5000)+7*(ROW()-10)))</f>
        <v/>
      </c>
    </row>
    <row r="1409" spans="1:10" x14ac:dyDescent="0.25">
      <c r="A1409" t="str">
        <f>IF($J1409="","",YEAR($J1409-WEEKDAY($J1409,2)+4)&amp;"-W"&amp;TEXT(_xludf.ISOWEEKNUM($J1409),"00"))</f>
        <v/>
      </c>
      <c r="B1409"/>
      <c r="C1409" t="str">
        <f>IF($J1409="","",SUMIFS('Hours Log'!$C:$C,'Hours Log'!$A:$A,"&gt;="&amp;$J1409,'Hours Log'!$A:$A,"&lt;"&amp;$J1409+7)+SUMIFS('Hours Log'!$D:$D,'Hours Log'!$A:$A,"&gt;="&amp;$J1409,'Hours Log'!$A:$A,"&lt;"&amp;$J1409+7))</f>
        <v/>
      </c>
      <c r="D1409" t="str">
        <f>IF($J1409="","",SUMIFS('Hours Log'!$D:$D,'Hours Log'!$A:$A,"&gt;="&amp;$J1409,'Hours Log'!$A:$A,"&lt;"&amp;$J1409+7))</f>
        <v/>
      </c>
      <c r="E1409" t="str">
        <f t="shared" si="42"/>
        <v/>
      </c>
      <c r="F1409" t="str">
        <f t="shared" si="43"/>
        <v/>
      </c>
      <c r="G1409" t="str">
        <f>IF($J1409="","",SUMIFS('Hours Log'!$E:$E,'Hours Log'!$A:$A,"&gt;="&amp;$J1409,'Hours Log'!$A:$A,"&lt;"&amp;$J1409+7))</f>
        <v/>
      </c>
      <c r="J1409" t="str">
        <f>IF(COUNT('Hours Log'!$A$4:$A$5000)=0,"",IF(MIN('Hours Log'!$A$4:$A$5000)+7*(ROW()-10)&gt;MAX('Hours Log'!$A$4:$A$5000),"",MIN('Hours Log'!$A$4:$A$5000)+7*(ROW()-10)))</f>
        <v/>
      </c>
    </row>
    <row r="1410" spans="1:10" x14ac:dyDescent="0.25">
      <c r="A1410" t="str">
        <f>IF($J1410="","",YEAR($J1410-WEEKDAY($J1410,2)+4)&amp;"-W"&amp;TEXT(_xludf.ISOWEEKNUM($J1410),"00"))</f>
        <v/>
      </c>
      <c r="B1410"/>
      <c r="C1410" t="str">
        <f>IF($J1410="","",SUMIFS('Hours Log'!$C:$C,'Hours Log'!$A:$A,"&gt;="&amp;$J1410,'Hours Log'!$A:$A,"&lt;"&amp;$J1410+7)+SUMIFS('Hours Log'!$D:$D,'Hours Log'!$A:$A,"&gt;="&amp;$J1410,'Hours Log'!$A:$A,"&lt;"&amp;$J1410+7))</f>
        <v/>
      </c>
      <c r="D1410" t="str">
        <f>IF($J1410="","",SUMIFS('Hours Log'!$D:$D,'Hours Log'!$A:$A,"&gt;="&amp;$J1410,'Hours Log'!$A:$A,"&lt;"&amp;$J1410+7))</f>
        <v/>
      </c>
      <c r="E1410" t="str">
        <f t="shared" si="42"/>
        <v/>
      </c>
      <c r="F1410" t="str">
        <f t="shared" si="43"/>
        <v/>
      </c>
      <c r="G1410" t="str">
        <f>IF($J1410="","",SUMIFS('Hours Log'!$E:$E,'Hours Log'!$A:$A,"&gt;="&amp;$J1410,'Hours Log'!$A:$A,"&lt;"&amp;$J1410+7))</f>
        <v/>
      </c>
      <c r="J1410" t="str">
        <f>IF(COUNT('Hours Log'!$A$4:$A$5000)=0,"",IF(MIN('Hours Log'!$A$4:$A$5000)+7*(ROW()-10)&gt;MAX('Hours Log'!$A$4:$A$5000),"",MIN('Hours Log'!$A$4:$A$5000)+7*(ROW()-10)))</f>
        <v/>
      </c>
    </row>
    <row r="1411" spans="1:10" x14ac:dyDescent="0.25">
      <c r="A1411" t="str">
        <f>IF($J1411="","",YEAR($J1411-WEEKDAY($J1411,2)+4)&amp;"-W"&amp;TEXT(_xludf.ISOWEEKNUM($J1411),"00"))</f>
        <v/>
      </c>
      <c r="B1411"/>
      <c r="C1411" t="str">
        <f>IF($J1411="","",SUMIFS('Hours Log'!$C:$C,'Hours Log'!$A:$A,"&gt;="&amp;$J1411,'Hours Log'!$A:$A,"&lt;"&amp;$J1411+7)+SUMIFS('Hours Log'!$D:$D,'Hours Log'!$A:$A,"&gt;="&amp;$J1411,'Hours Log'!$A:$A,"&lt;"&amp;$J1411+7))</f>
        <v/>
      </c>
      <c r="D1411" t="str">
        <f>IF($J1411="","",SUMIFS('Hours Log'!$D:$D,'Hours Log'!$A:$A,"&gt;="&amp;$J1411,'Hours Log'!$A:$A,"&lt;"&amp;$J1411+7))</f>
        <v/>
      </c>
      <c r="E1411" t="str">
        <f t="shared" si="42"/>
        <v/>
      </c>
      <c r="F1411" t="str">
        <f t="shared" si="43"/>
        <v/>
      </c>
      <c r="G1411" t="str">
        <f>IF($J1411="","",SUMIFS('Hours Log'!$E:$E,'Hours Log'!$A:$A,"&gt;="&amp;$J1411,'Hours Log'!$A:$A,"&lt;"&amp;$J1411+7))</f>
        <v/>
      </c>
      <c r="J1411" t="str">
        <f>IF(COUNT('Hours Log'!$A$4:$A$5000)=0,"",IF(MIN('Hours Log'!$A$4:$A$5000)+7*(ROW()-10)&gt;MAX('Hours Log'!$A$4:$A$5000),"",MIN('Hours Log'!$A$4:$A$5000)+7*(ROW()-10)))</f>
        <v/>
      </c>
    </row>
    <row r="1412" spans="1:10" x14ac:dyDescent="0.25">
      <c r="A1412" t="str">
        <f>IF($J1412="","",YEAR($J1412-WEEKDAY($J1412,2)+4)&amp;"-W"&amp;TEXT(_xludf.ISOWEEKNUM($J1412),"00"))</f>
        <v/>
      </c>
      <c r="B1412"/>
      <c r="C1412" t="str">
        <f>IF($J1412="","",SUMIFS('Hours Log'!$C:$C,'Hours Log'!$A:$A,"&gt;="&amp;$J1412,'Hours Log'!$A:$A,"&lt;"&amp;$J1412+7)+SUMIFS('Hours Log'!$D:$D,'Hours Log'!$A:$A,"&gt;="&amp;$J1412,'Hours Log'!$A:$A,"&lt;"&amp;$J1412+7))</f>
        <v/>
      </c>
      <c r="D1412" t="str">
        <f>IF($J1412="","",SUMIFS('Hours Log'!$D:$D,'Hours Log'!$A:$A,"&gt;="&amp;$J1412,'Hours Log'!$A:$A,"&lt;"&amp;$J1412+7))</f>
        <v/>
      </c>
      <c r="E1412" t="str">
        <f t="shared" si="42"/>
        <v/>
      </c>
      <c r="F1412" t="str">
        <f t="shared" si="43"/>
        <v/>
      </c>
      <c r="G1412" t="str">
        <f>IF($J1412="","",SUMIFS('Hours Log'!$E:$E,'Hours Log'!$A:$A,"&gt;="&amp;$J1412,'Hours Log'!$A:$A,"&lt;"&amp;$J1412+7))</f>
        <v/>
      </c>
      <c r="J1412" t="str">
        <f>IF(COUNT('Hours Log'!$A$4:$A$5000)=0,"",IF(MIN('Hours Log'!$A$4:$A$5000)+7*(ROW()-10)&gt;MAX('Hours Log'!$A$4:$A$5000),"",MIN('Hours Log'!$A$4:$A$5000)+7*(ROW()-10)))</f>
        <v/>
      </c>
    </row>
    <row r="1413" spans="1:10" x14ac:dyDescent="0.25">
      <c r="A1413" t="str">
        <f>IF($J1413="","",YEAR($J1413-WEEKDAY($J1413,2)+4)&amp;"-W"&amp;TEXT(_xludf.ISOWEEKNUM($J1413),"00"))</f>
        <v/>
      </c>
      <c r="B1413"/>
      <c r="C1413" t="str">
        <f>IF($J1413="","",SUMIFS('Hours Log'!$C:$C,'Hours Log'!$A:$A,"&gt;="&amp;$J1413,'Hours Log'!$A:$A,"&lt;"&amp;$J1413+7)+SUMIFS('Hours Log'!$D:$D,'Hours Log'!$A:$A,"&gt;="&amp;$J1413,'Hours Log'!$A:$A,"&lt;"&amp;$J1413+7))</f>
        <v/>
      </c>
      <c r="D1413" t="str">
        <f>IF($J1413="","",SUMIFS('Hours Log'!$D:$D,'Hours Log'!$A:$A,"&gt;="&amp;$J1413,'Hours Log'!$A:$A,"&lt;"&amp;$J1413+7))</f>
        <v/>
      </c>
      <c r="E1413" t="str">
        <f t="shared" si="42"/>
        <v/>
      </c>
      <c r="F1413" t="str">
        <f t="shared" si="43"/>
        <v/>
      </c>
      <c r="G1413" t="str">
        <f>IF($J1413="","",SUMIFS('Hours Log'!$E:$E,'Hours Log'!$A:$A,"&gt;="&amp;$J1413,'Hours Log'!$A:$A,"&lt;"&amp;$J1413+7))</f>
        <v/>
      </c>
      <c r="J1413" t="str">
        <f>IF(COUNT('Hours Log'!$A$4:$A$5000)=0,"",IF(MIN('Hours Log'!$A$4:$A$5000)+7*(ROW()-10)&gt;MAX('Hours Log'!$A$4:$A$5000),"",MIN('Hours Log'!$A$4:$A$5000)+7*(ROW()-10)))</f>
        <v/>
      </c>
    </row>
    <row r="1414" spans="1:10" x14ac:dyDescent="0.25">
      <c r="A1414" t="str">
        <f>IF($J1414="","",YEAR($J1414-WEEKDAY($J1414,2)+4)&amp;"-W"&amp;TEXT(_xludf.ISOWEEKNUM($J1414),"00"))</f>
        <v/>
      </c>
      <c r="B1414"/>
      <c r="C1414" t="str">
        <f>IF($J1414="","",SUMIFS('Hours Log'!$C:$C,'Hours Log'!$A:$A,"&gt;="&amp;$J1414,'Hours Log'!$A:$A,"&lt;"&amp;$J1414+7)+SUMIFS('Hours Log'!$D:$D,'Hours Log'!$A:$A,"&gt;="&amp;$J1414,'Hours Log'!$A:$A,"&lt;"&amp;$J1414+7))</f>
        <v/>
      </c>
      <c r="D1414" t="str">
        <f>IF($J1414="","",SUMIFS('Hours Log'!$D:$D,'Hours Log'!$A:$A,"&gt;="&amp;$J1414,'Hours Log'!$A:$A,"&lt;"&amp;$J1414+7))</f>
        <v/>
      </c>
      <c r="E1414" t="str">
        <f t="shared" si="42"/>
        <v/>
      </c>
      <c r="F1414" t="str">
        <f t="shared" si="43"/>
        <v/>
      </c>
      <c r="G1414" t="str">
        <f>IF($J1414="","",SUMIFS('Hours Log'!$E:$E,'Hours Log'!$A:$A,"&gt;="&amp;$J1414,'Hours Log'!$A:$A,"&lt;"&amp;$J1414+7))</f>
        <v/>
      </c>
      <c r="J1414" t="str">
        <f>IF(COUNT('Hours Log'!$A$4:$A$5000)=0,"",IF(MIN('Hours Log'!$A$4:$A$5000)+7*(ROW()-10)&gt;MAX('Hours Log'!$A$4:$A$5000),"",MIN('Hours Log'!$A$4:$A$5000)+7*(ROW()-10)))</f>
        <v/>
      </c>
    </row>
    <row r="1415" spans="1:10" x14ac:dyDescent="0.25">
      <c r="A1415" t="str">
        <f>IF($J1415="","",YEAR($J1415-WEEKDAY($J1415,2)+4)&amp;"-W"&amp;TEXT(_xludf.ISOWEEKNUM($J1415),"00"))</f>
        <v/>
      </c>
      <c r="B1415"/>
      <c r="C1415" t="str">
        <f>IF($J1415="","",SUMIFS('Hours Log'!$C:$C,'Hours Log'!$A:$A,"&gt;="&amp;$J1415,'Hours Log'!$A:$A,"&lt;"&amp;$J1415+7)+SUMIFS('Hours Log'!$D:$D,'Hours Log'!$A:$A,"&gt;="&amp;$J1415,'Hours Log'!$A:$A,"&lt;"&amp;$J1415+7))</f>
        <v/>
      </c>
      <c r="D1415" t="str">
        <f>IF($J1415="","",SUMIFS('Hours Log'!$D:$D,'Hours Log'!$A:$A,"&gt;="&amp;$J1415,'Hours Log'!$A:$A,"&lt;"&amp;$J1415+7))</f>
        <v/>
      </c>
      <c r="E1415" t="str">
        <f t="shared" si="42"/>
        <v/>
      </c>
      <c r="F1415" t="str">
        <f t="shared" si="43"/>
        <v/>
      </c>
      <c r="G1415" t="str">
        <f>IF($J1415="","",SUMIFS('Hours Log'!$E:$E,'Hours Log'!$A:$A,"&gt;="&amp;$J1415,'Hours Log'!$A:$A,"&lt;"&amp;$J1415+7))</f>
        <v/>
      </c>
      <c r="J1415" t="str">
        <f>IF(COUNT('Hours Log'!$A$4:$A$5000)=0,"",IF(MIN('Hours Log'!$A$4:$A$5000)+7*(ROW()-10)&gt;MAX('Hours Log'!$A$4:$A$5000),"",MIN('Hours Log'!$A$4:$A$5000)+7*(ROW()-10)))</f>
        <v/>
      </c>
    </row>
    <row r="1416" spans="1:10" x14ac:dyDescent="0.25">
      <c r="A1416" t="str">
        <f>IF($J1416="","",YEAR($J1416-WEEKDAY($J1416,2)+4)&amp;"-W"&amp;TEXT(_xludf.ISOWEEKNUM($J1416),"00"))</f>
        <v/>
      </c>
      <c r="B1416"/>
      <c r="C1416" t="str">
        <f>IF($J1416="","",SUMIFS('Hours Log'!$C:$C,'Hours Log'!$A:$A,"&gt;="&amp;$J1416,'Hours Log'!$A:$A,"&lt;"&amp;$J1416+7)+SUMIFS('Hours Log'!$D:$D,'Hours Log'!$A:$A,"&gt;="&amp;$J1416,'Hours Log'!$A:$A,"&lt;"&amp;$J1416+7))</f>
        <v/>
      </c>
      <c r="D1416" t="str">
        <f>IF($J1416="","",SUMIFS('Hours Log'!$D:$D,'Hours Log'!$A:$A,"&gt;="&amp;$J1416,'Hours Log'!$A:$A,"&lt;"&amp;$J1416+7))</f>
        <v/>
      </c>
      <c r="E1416" t="str">
        <f t="shared" si="42"/>
        <v/>
      </c>
      <c r="F1416" t="str">
        <f t="shared" si="43"/>
        <v/>
      </c>
      <c r="G1416" t="str">
        <f>IF($J1416="","",SUMIFS('Hours Log'!$E:$E,'Hours Log'!$A:$A,"&gt;="&amp;$J1416,'Hours Log'!$A:$A,"&lt;"&amp;$J1416+7))</f>
        <v/>
      </c>
      <c r="J1416" t="str">
        <f>IF(COUNT('Hours Log'!$A$4:$A$5000)=0,"",IF(MIN('Hours Log'!$A$4:$A$5000)+7*(ROW()-10)&gt;MAX('Hours Log'!$A$4:$A$5000),"",MIN('Hours Log'!$A$4:$A$5000)+7*(ROW()-10)))</f>
        <v/>
      </c>
    </row>
    <row r="1417" spans="1:10" x14ac:dyDescent="0.25">
      <c r="A1417" t="str">
        <f>IF($J1417="","",YEAR($J1417-WEEKDAY($J1417,2)+4)&amp;"-W"&amp;TEXT(_xludf.ISOWEEKNUM($J1417),"00"))</f>
        <v/>
      </c>
      <c r="B1417"/>
      <c r="C1417" t="str">
        <f>IF($J1417="","",SUMIFS('Hours Log'!$C:$C,'Hours Log'!$A:$A,"&gt;="&amp;$J1417,'Hours Log'!$A:$A,"&lt;"&amp;$J1417+7)+SUMIFS('Hours Log'!$D:$D,'Hours Log'!$A:$A,"&gt;="&amp;$J1417,'Hours Log'!$A:$A,"&lt;"&amp;$J1417+7))</f>
        <v/>
      </c>
      <c r="D1417" t="str">
        <f>IF($J1417="","",SUMIFS('Hours Log'!$D:$D,'Hours Log'!$A:$A,"&gt;="&amp;$J1417,'Hours Log'!$A:$A,"&lt;"&amp;$J1417+7))</f>
        <v/>
      </c>
      <c r="E1417" t="str">
        <f t="shared" si="42"/>
        <v/>
      </c>
      <c r="F1417" t="str">
        <f t="shared" si="43"/>
        <v/>
      </c>
      <c r="G1417" t="str">
        <f>IF($J1417="","",SUMIFS('Hours Log'!$E:$E,'Hours Log'!$A:$A,"&gt;="&amp;$J1417,'Hours Log'!$A:$A,"&lt;"&amp;$J1417+7))</f>
        <v/>
      </c>
      <c r="J1417" t="str">
        <f>IF(COUNT('Hours Log'!$A$4:$A$5000)=0,"",IF(MIN('Hours Log'!$A$4:$A$5000)+7*(ROW()-10)&gt;MAX('Hours Log'!$A$4:$A$5000),"",MIN('Hours Log'!$A$4:$A$5000)+7*(ROW()-10)))</f>
        <v/>
      </c>
    </row>
    <row r="1418" spans="1:10" x14ac:dyDescent="0.25">
      <c r="A1418" t="str">
        <f>IF($J1418="","",YEAR($J1418-WEEKDAY($J1418,2)+4)&amp;"-W"&amp;TEXT(_xludf.ISOWEEKNUM($J1418),"00"))</f>
        <v/>
      </c>
      <c r="B1418"/>
      <c r="C1418" t="str">
        <f>IF($J1418="","",SUMIFS('Hours Log'!$C:$C,'Hours Log'!$A:$A,"&gt;="&amp;$J1418,'Hours Log'!$A:$A,"&lt;"&amp;$J1418+7)+SUMIFS('Hours Log'!$D:$D,'Hours Log'!$A:$A,"&gt;="&amp;$J1418,'Hours Log'!$A:$A,"&lt;"&amp;$J1418+7))</f>
        <v/>
      </c>
      <c r="D1418" t="str">
        <f>IF($J1418="","",SUMIFS('Hours Log'!$D:$D,'Hours Log'!$A:$A,"&gt;="&amp;$J1418,'Hours Log'!$A:$A,"&lt;"&amp;$J1418+7))</f>
        <v/>
      </c>
      <c r="E1418" t="str">
        <f t="shared" ref="E1418:E1481" si="44">IF($J1418="","",IFERROR(C1418/(B1418*40),0))</f>
        <v/>
      </c>
      <c r="F1418" t="str">
        <f t="shared" ref="F1418:F1481" si="45">IF($J1418="","",0)</f>
        <v/>
      </c>
      <c r="G1418" t="str">
        <f>IF($J1418="","",SUMIFS('Hours Log'!$E:$E,'Hours Log'!$A:$A,"&gt;="&amp;$J1418,'Hours Log'!$A:$A,"&lt;"&amp;$J1418+7))</f>
        <v/>
      </c>
      <c r="J1418" t="str">
        <f>IF(COUNT('Hours Log'!$A$4:$A$5000)=0,"",IF(MIN('Hours Log'!$A$4:$A$5000)+7*(ROW()-10)&gt;MAX('Hours Log'!$A$4:$A$5000),"",MIN('Hours Log'!$A$4:$A$5000)+7*(ROW()-10)))</f>
        <v/>
      </c>
    </row>
    <row r="1419" spans="1:10" x14ac:dyDescent="0.25">
      <c r="A1419" t="str">
        <f>IF($J1419="","",YEAR($J1419-WEEKDAY($J1419,2)+4)&amp;"-W"&amp;TEXT(_xludf.ISOWEEKNUM($J1419),"00"))</f>
        <v/>
      </c>
      <c r="B1419"/>
      <c r="C1419" t="str">
        <f>IF($J1419="","",SUMIFS('Hours Log'!$C:$C,'Hours Log'!$A:$A,"&gt;="&amp;$J1419,'Hours Log'!$A:$A,"&lt;"&amp;$J1419+7)+SUMIFS('Hours Log'!$D:$D,'Hours Log'!$A:$A,"&gt;="&amp;$J1419,'Hours Log'!$A:$A,"&lt;"&amp;$J1419+7))</f>
        <v/>
      </c>
      <c r="D1419" t="str">
        <f>IF($J1419="","",SUMIFS('Hours Log'!$D:$D,'Hours Log'!$A:$A,"&gt;="&amp;$J1419,'Hours Log'!$A:$A,"&lt;"&amp;$J1419+7))</f>
        <v/>
      </c>
      <c r="E1419" t="str">
        <f t="shared" si="44"/>
        <v/>
      </c>
      <c r="F1419" t="str">
        <f t="shared" si="45"/>
        <v/>
      </c>
      <c r="G1419" t="str">
        <f>IF($J1419="","",SUMIFS('Hours Log'!$E:$E,'Hours Log'!$A:$A,"&gt;="&amp;$J1419,'Hours Log'!$A:$A,"&lt;"&amp;$J1419+7))</f>
        <v/>
      </c>
      <c r="J1419" t="str">
        <f>IF(COUNT('Hours Log'!$A$4:$A$5000)=0,"",IF(MIN('Hours Log'!$A$4:$A$5000)+7*(ROW()-10)&gt;MAX('Hours Log'!$A$4:$A$5000),"",MIN('Hours Log'!$A$4:$A$5000)+7*(ROW()-10)))</f>
        <v/>
      </c>
    </row>
    <row r="1420" spans="1:10" x14ac:dyDescent="0.25">
      <c r="A1420" t="str">
        <f>IF($J1420="","",YEAR($J1420-WEEKDAY($J1420,2)+4)&amp;"-W"&amp;TEXT(_xludf.ISOWEEKNUM($J1420),"00"))</f>
        <v/>
      </c>
      <c r="B1420"/>
      <c r="C1420" t="str">
        <f>IF($J1420="","",SUMIFS('Hours Log'!$C:$C,'Hours Log'!$A:$A,"&gt;="&amp;$J1420,'Hours Log'!$A:$A,"&lt;"&amp;$J1420+7)+SUMIFS('Hours Log'!$D:$D,'Hours Log'!$A:$A,"&gt;="&amp;$J1420,'Hours Log'!$A:$A,"&lt;"&amp;$J1420+7))</f>
        <v/>
      </c>
      <c r="D1420" t="str">
        <f>IF($J1420="","",SUMIFS('Hours Log'!$D:$D,'Hours Log'!$A:$A,"&gt;="&amp;$J1420,'Hours Log'!$A:$A,"&lt;"&amp;$J1420+7))</f>
        <v/>
      </c>
      <c r="E1420" t="str">
        <f t="shared" si="44"/>
        <v/>
      </c>
      <c r="F1420" t="str">
        <f t="shared" si="45"/>
        <v/>
      </c>
      <c r="G1420" t="str">
        <f>IF($J1420="","",SUMIFS('Hours Log'!$E:$E,'Hours Log'!$A:$A,"&gt;="&amp;$J1420,'Hours Log'!$A:$A,"&lt;"&amp;$J1420+7))</f>
        <v/>
      </c>
      <c r="J1420" t="str">
        <f>IF(COUNT('Hours Log'!$A$4:$A$5000)=0,"",IF(MIN('Hours Log'!$A$4:$A$5000)+7*(ROW()-10)&gt;MAX('Hours Log'!$A$4:$A$5000),"",MIN('Hours Log'!$A$4:$A$5000)+7*(ROW()-10)))</f>
        <v/>
      </c>
    </row>
    <row r="1421" spans="1:10" x14ac:dyDescent="0.25">
      <c r="A1421" t="str">
        <f>IF($J1421="","",YEAR($J1421-WEEKDAY($J1421,2)+4)&amp;"-W"&amp;TEXT(_xludf.ISOWEEKNUM($J1421),"00"))</f>
        <v/>
      </c>
      <c r="B1421"/>
      <c r="C1421" t="str">
        <f>IF($J1421="","",SUMIFS('Hours Log'!$C:$C,'Hours Log'!$A:$A,"&gt;="&amp;$J1421,'Hours Log'!$A:$A,"&lt;"&amp;$J1421+7)+SUMIFS('Hours Log'!$D:$D,'Hours Log'!$A:$A,"&gt;="&amp;$J1421,'Hours Log'!$A:$A,"&lt;"&amp;$J1421+7))</f>
        <v/>
      </c>
      <c r="D1421" t="str">
        <f>IF($J1421="","",SUMIFS('Hours Log'!$D:$D,'Hours Log'!$A:$A,"&gt;="&amp;$J1421,'Hours Log'!$A:$A,"&lt;"&amp;$J1421+7))</f>
        <v/>
      </c>
      <c r="E1421" t="str">
        <f t="shared" si="44"/>
        <v/>
      </c>
      <c r="F1421" t="str">
        <f t="shared" si="45"/>
        <v/>
      </c>
      <c r="G1421" t="str">
        <f>IF($J1421="","",SUMIFS('Hours Log'!$E:$E,'Hours Log'!$A:$A,"&gt;="&amp;$J1421,'Hours Log'!$A:$A,"&lt;"&amp;$J1421+7))</f>
        <v/>
      </c>
      <c r="J1421" t="str">
        <f>IF(COUNT('Hours Log'!$A$4:$A$5000)=0,"",IF(MIN('Hours Log'!$A$4:$A$5000)+7*(ROW()-10)&gt;MAX('Hours Log'!$A$4:$A$5000),"",MIN('Hours Log'!$A$4:$A$5000)+7*(ROW()-10)))</f>
        <v/>
      </c>
    </row>
    <row r="1422" spans="1:10" x14ac:dyDescent="0.25">
      <c r="A1422" t="str">
        <f>IF($J1422="","",YEAR($J1422-WEEKDAY($J1422,2)+4)&amp;"-W"&amp;TEXT(_xludf.ISOWEEKNUM($J1422),"00"))</f>
        <v/>
      </c>
      <c r="B1422"/>
      <c r="C1422" t="str">
        <f>IF($J1422="","",SUMIFS('Hours Log'!$C:$C,'Hours Log'!$A:$A,"&gt;="&amp;$J1422,'Hours Log'!$A:$A,"&lt;"&amp;$J1422+7)+SUMIFS('Hours Log'!$D:$D,'Hours Log'!$A:$A,"&gt;="&amp;$J1422,'Hours Log'!$A:$A,"&lt;"&amp;$J1422+7))</f>
        <v/>
      </c>
      <c r="D1422" t="str">
        <f>IF($J1422="","",SUMIFS('Hours Log'!$D:$D,'Hours Log'!$A:$A,"&gt;="&amp;$J1422,'Hours Log'!$A:$A,"&lt;"&amp;$J1422+7))</f>
        <v/>
      </c>
      <c r="E1422" t="str">
        <f t="shared" si="44"/>
        <v/>
      </c>
      <c r="F1422" t="str">
        <f t="shared" si="45"/>
        <v/>
      </c>
      <c r="G1422" t="str">
        <f>IF($J1422="","",SUMIFS('Hours Log'!$E:$E,'Hours Log'!$A:$A,"&gt;="&amp;$J1422,'Hours Log'!$A:$A,"&lt;"&amp;$J1422+7))</f>
        <v/>
      </c>
      <c r="J1422" t="str">
        <f>IF(COUNT('Hours Log'!$A$4:$A$5000)=0,"",IF(MIN('Hours Log'!$A$4:$A$5000)+7*(ROW()-10)&gt;MAX('Hours Log'!$A$4:$A$5000),"",MIN('Hours Log'!$A$4:$A$5000)+7*(ROW()-10)))</f>
        <v/>
      </c>
    </row>
    <row r="1423" spans="1:10" x14ac:dyDescent="0.25">
      <c r="A1423" t="str">
        <f>IF($J1423="","",YEAR($J1423-WEEKDAY($J1423,2)+4)&amp;"-W"&amp;TEXT(_xludf.ISOWEEKNUM($J1423),"00"))</f>
        <v/>
      </c>
      <c r="B1423"/>
      <c r="C1423" t="str">
        <f>IF($J1423="","",SUMIFS('Hours Log'!$C:$C,'Hours Log'!$A:$A,"&gt;="&amp;$J1423,'Hours Log'!$A:$A,"&lt;"&amp;$J1423+7)+SUMIFS('Hours Log'!$D:$D,'Hours Log'!$A:$A,"&gt;="&amp;$J1423,'Hours Log'!$A:$A,"&lt;"&amp;$J1423+7))</f>
        <v/>
      </c>
      <c r="D1423" t="str">
        <f>IF($J1423="","",SUMIFS('Hours Log'!$D:$D,'Hours Log'!$A:$A,"&gt;="&amp;$J1423,'Hours Log'!$A:$A,"&lt;"&amp;$J1423+7))</f>
        <v/>
      </c>
      <c r="E1423" t="str">
        <f t="shared" si="44"/>
        <v/>
      </c>
      <c r="F1423" t="str">
        <f t="shared" si="45"/>
        <v/>
      </c>
      <c r="G1423" t="str">
        <f>IF($J1423="","",SUMIFS('Hours Log'!$E:$E,'Hours Log'!$A:$A,"&gt;="&amp;$J1423,'Hours Log'!$A:$A,"&lt;"&amp;$J1423+7))</f>
        <v/>
      </c>
      <c r="J1423" t="str">
        <f>IF(COUNT('Hours Log'!$A$4:$A$5000)=0,"",IF(MIN('Hours Log'!$A$4:$A$5000)+7*(ROW()-10)&gt;MAX('Hours Log'!$A$4:$A$5000),"",MIN('Hours Log'!$A$4:$A$5000)+7*(ROW()-10)))</f>
        <v/>
      </c>
    </row>
    <row r="1424" spans="1:10" x14ac:dyDescent="0.25">
      <c r="A1424" t="str">
        <f>IF($J1424="","",YEAR($J1424-WEEKDAY($J1424,2)+4)&amp;"-W"&amp;TEXT(_xludf.ISOWEEKNUM($J1424),"00"))</f>
        <v/>
      </c>
      <c r="B1424"/>
      <c r="C1424" t="str">
        <f>IF($J1424="","",SUMIFS('Hours Log'!$C:$C,'Hours Log'!$A:$A,"&gt;="&amp;$J1424,'Hours Log'!$A:$A,"&lt;"&amp;$J1424+7)+SUMIFS('Hours Log'!$D:$D,'Hours Log'!$A:$A,"&gt;="&amp;$J1424,'Hours Log'!$A:$A,"&lt;"&amp;$J1424+7))</f>
        <v/>
      </c>
      <c r="D1424" t="str">
        <f>IF($J1424="","",SUMIFS('Hours Log'!$D:$D,'Hours Log'!$A:$A,"&gt;="&amp;$J1424,'Hours Log'!$A:$A,"&lt;"&amp;$J1424+7))</f>
        <v/>
      </c>
      <c r="E1424" t="str">
        <f t="shared" si="44"/>
        <v/>
      </c>
      <c r="F1424" t="str">
        <f t="shared" si="45"/>
        <v/>
      </c>
      <c r="G1424" t="str">
        <f>IF($J1424="","",SUMIFS('Hours Log'!$E:$E,'Hours Log'!$A:$A,"&gt;="&amp;$J1424,'Hours Log'!$A:$A,"&lt;"&amp;$J1424+7))</f>
        <v/>
      </c>
      <c r="J1424" t="str">
        <f>IF(COUNT('Hours Log'!$A$4:$A$5000)=0,"",IF(MIN('Hours Log'!$A$4:$A$5000)+7*(ROW()-10)&gt;MAX('Hours Log'!$A$4:$A$5000),"",MIN('Hours Log'!$A$4:$A$5000)+7*(ROW()-10)))</f>
        <v/>
      </c>
    </row>
    <row r="1425" spans="1:10" x14ac:dyDescent="0.25">
      <c r="A1425" t="str">
        <f>IF($J1425="","",YEAR($J1425-WEEKDAY($J1425,2)+4)&amp;"-W"&amp;TEXT(_xludf.ISOWEEKNUM($J1425),"00"))</f>
        <v/>
      </c>
      <c r="B1425"/>
      <c r="C1425" t="str">
        <f>IF($J1425="","",SUMIFS('Hours Log'!$C:$C,'Hours Log'!$A:$A,"&gt;="&amp;$J1425,'Hours Log'!$A:$A,"&lt;"&amp;$J1425+7)+SUMIFS('Hours Log'!$D:$D,'Hours Log'!$A:$A,"&gt;="&amp;$J1425,'Hours Log'!$A:$A,"&lt;"&amp;$J1425+7))</f>
        <v/>
      </c>
      <c r="D1425" t="str">
        <f>IF($J1425="","",SUMIFS('Hours Log'!$D:$D,'Hours Log'!$A:$A,"&gt;="&amp;$J1425,'Hours Log'!$A:$A,"&lt;"&amp;$J1425+7))</f>
        <v/>
      </c>
      <c r="E1425" t="str">
        <f t="shared" si="44"/>
        <v/>
      </c>
      <c r="F1425" t="str">
        <f t="shared" si="45"/>
        <v/>
      </c>
      <c r="G1425" t="str">
        <f>IF($J1425="","",SUMIFS('Hours Log'!$E:$E,'Hours Log'!$A:$A,"&gt;="&amp;$J1425,'Hours Log'!$A:$A,"&lt;"&amp;$J1425+7))</f>
        <v/>
      </c>
      <c r="J1425" t="str">
        <f>IF(COUNT('Hours Log'!$A$4:$A$5000)=0,"",IF(MIN('Hours Log'!$A$4:$A$5000)+7*(ROW()-10)&gt;MAX('Hours Log'!$A$4:$A$5000),"",MIN('Hours Log'!$A$4:$A$5000)+7*(ROW()-10)))</f>
        <v/>
      </c>
    </row>
    <row r="1426" spans="1:10" x14ac:dyDescent="0.25">
      <c r="A1426" t="str">
        <f>IF($J1426="","",YEAR($J1426-WEEKDAY($J1426,2)+4)&amp;"-W"&amp;TEXT(_xludf.ISOWEEKNUM($J1426),"00"))</f>
        <v/>
      </c>
      <c r="B1426"/>
      <c r="C1426" t="str">
        <f>IF($J1426="","",SUMIFS('Hours Log'!$C:$C,'Hours Log'!$A:$A,"&gt;="&amp;$J1426,'Hours Log'!$A:$A,"&lt;"&amp;$J1426+7)+SUMIFS('Hours Log'!$D:$D,'Hours Log'!$A:$A,"&gt;="&amp;$J1426,'Hours Log'!$A:$A,"&lt;"&amp;$J1426+7))</f>
        <v/>
      </c>
      <c r="D1426" t="str">
        <f>IF($J1426="","",SUMIFS('Hours Log'!$D:$D,'Hours Log'!$A:$A,"&gt;="&amp;$J1426,'Hours Log'!$A:$A,"&lt;"&amp;$J1426+7))</f>
        <v/>
      </c>
      <c r="E1426" t="str">
        <f t="shared" si="44"/>
        <v/>
      </c>
      <c r="F1426" t="str">
        <f t="shared" si="45"/>
        <v/>
      </c>
      <c r="G1426" t="str">
        <f>IF($J1426="","",SUMIFS('Hours Log'!$E:$E,'Hours Log'!$A:$A,"&gt;="&amp;$J1426,'Hours Log'!$A:$A,"&lt;"&amp;$J1426+7))</f>
        <v/>
      </c>
      <c r="J1426" t="str">
        <f>IF(COUNT('Hours Log'!$A$4:$A$5000)=0,"",IF(MIN('Hours Log'!$A$4:$A$5000)+7*(ROW()-10)&gt;MAX('Hours Log'!$A$4:$A$5000),"",MIN('Hours Log'!$A$4:$A$5000)+7*(ROW()-10)))</f>
        <v/>
      </c>
    </row>
    <row r="1427" spans="1:10" x14ac:dyDescent="0.25">
      <c r="A1427" t="str">
        <f>IF($J1427="","",YEAR($J1427-WEEKDAY($J1427,2)+4)&amp;"-W"&amp;TEXT(_xludf.ISOWEEKNUM($J1427),"00"))</f>
        <v/>
      </c>
      <c r="B1427"/>
      <c r="C1427" t="str">
        <f>IF($J1427="","",SUMIFS('Hours Log'!$C:$C,'Hours Log'!$A:$A,"&gt;="&amp;$J1427,'Hours Log'!$A:$A,"&lt;"&amp;$J1427+7)+SUMIFS('Hours Log'!$D:$D,'Hours Log'!$A:$A,"&gt;="&amp;$J1427,'Hours Log'!$A:$A,"&lt;"&amp;$J1427+7))</f>
        <v/>
      </c>
      <c r="D1427" t="str">
        <f>IF($J1427="","",SUMIFS('Hours Log'!$D:$D,'Hours Log'!$A:$A,"&gt;="&amp;$J1427,'Hours Log'!$A:$A,"&lt;"&amp;$J1427+7))</f>
        <v/>
      </c>
      <c r="E1427" t="str">
        <f t="shared" si="44"/>
        <v/>
      </c>
      <c r="F1427" t="str">
        <f t="shared" si="45"/>
        <v/>
      </c>
      <c r="G1427" t="str">
        <f>IF($J1427="","",SUMIFS('Hours Log'!$E:$E,'Hours Log'!$A:$A,"&gt;="&amp;$J1427,'Hours Log'!$A:$A,"&lt;"&amp;$J1427+7))</f>
        <v/>
      </c>
      <c r="J1427" t="str">
        <f>IF(COUNT('Hours Log'!$A$4:$A$5000)=0,"",IF(MIN('Hours Log'!$A$4:$A$5000)+7*(ROW()-10)&gt;MAX('Hours Log'!$A$4:$A$5000),"",MIN('Hours Log'!$A$4:$A$5000)+7*(ROW()-10)))</f>
        <v/>
      </c>
    </row>
    <row r="1428" spans="1:10" x14ac:dyDescent="0.25">
      <c r="A1428" t="str">
        <f>IF($J1428="","",YEAR($J1428-WEEKDAY($J1428,2)+4)&amp;"-W"&amp;TEXT(_xludf.ISOWEEKNUM($J1428),"00"))</f>
        <v/>
      </c>
      <c r="B1428"/>
      <c r="C1428" t="str">
        <f>IF($J1428="","",SUMIFS('Hours Log'!$C:$C,'Hours Log'!$A:$A,"&gt;="&amp;$J1428,'Hours Log'!$A:$A,"&lt;"&amp;$J1428+7)+SUMIFS('Hours Log'!$D:$D,'Hours Log'!$A:$A,"&gt;="&amp;$J1428,'Hours Log'!$A:$A,"&lt;"&amp;$J1428+7))</f>
        <v/>
      </c>
      <c r="D1428" t="str">
        <f>IF($J1428="","",SUMIFS('Hours Log'!$D:$D,'Hours Log'!$A:$A,"&gt;="&amp;$J1428,'Hours Log'!$A:$A,"&lt;"&amp;$J1428+7))</f>
        <v/>
      </c>
      <c r="E1428" t="str">
        <f t="shared" si="44"/>
        <v/>
      </c>
      <c r="F1428" t="str">
        <f t="shared" si="45"/>
        <v/>
      </c>
      <c r="G1428" t="str">
        <f>IF($J1428="","",SUMIFS('Hours Log'!$E:$E,'Hours Log'!$A:$A,"&gt;="&amp;$J1428,'Hours Log'!$A:$A,"&lt;"&amp;$J1428+7))</f>
        <v/>
      </c>
      <c r="J1428" t="str">
        <f>IF(COUNT('Hours Log'!$A$4:$A$5000)=0,"",IF(MIN('Hours Log'!$A$4:$A$5000)+7*(ROW()-10)&gt;MAX('Hours Log'!$A$4:$A$5000),"",MIN('Hours Log'!$A$4:$A$5000)+7*(ROW()-10)))</f>
        <v/>
      </c>
    </row>
    <row r="1429" spans="1:10" x14ac:dyDescent="0.25">
      <c r="A1429" t="str">
        <f>IF($J1429="","",YEAR($J1429-WEEKDAY($J1429,2)+4)&amp;"-W"&amp;TEXT(_xludf.ISOWEEKNUM($J1429),"00"))</f>
        <v/>
      </c>
      <c r="B1429"/>
      <c r="C1429" t="str">
        <f>IF($J1429="","",SUMIFS('Hours Log'!$C:$C,'Hours Log'!$A:$A,"&gt;="&amp;$J1429,'Hours Log'!$A:$A,"&lt;"&amp;$J1429+7)+SUMIFS('Hours Log'!$D:$D,'Hours Log'!$A:$A,"&gt;="&amp;$J1429,'Hours Log'!$A:$A,"&lt;"&amp;$J1429+7))</f>
        <v/>
      </c>
      <c r="D1429" t="str">
        <f>IF($J1429="","",SUMIFS('Hours Log'!$D:$D,'Hours Log'!$A:$A,"&gt;="&amp;$J1429,'Hours Log'!$A:$A,"&lt;"&amp;$J1429+7))</f>
        <v/>
      </c>
      <c r="E1429" t="str">
        <f t="shared" si="44"/>
        <v/>
      </c>
      <c r="F1429" t="str">
        <f t="shared" si="45"/>
        <v/>
      </c>
      <c r="G1429" t="str">
        <f>IF($J1429="","",SUMIFS('Hours Log'!$E:$E,'Hours Log'!$A:$A,"&gt;="&amp;$J1429,'Hours Log'!$A:$A,"&lt;"&amp;$J1429+7))</f>
        <v/>
      </c>
      <c r="J1429" t="str">
        <f>IF(COUNT('Hours Log'!$A$4:$A$5000)=0,"",IF(MIN('Hours Log'!$A$4:$A$5000)+7*(ROW()-10)&gt;MAX('Hours Log'!$A$4:$A$5000),"",MIN('Hours Log'!$A$4:$A$5000)+7*(ROW()-10)))</f>
        <v/>
      </c>
    </row>
    <row r="1430" spans="1:10" x14ac:dyDescent="0.25">
      <c r="A1430" t="str">
        <f>IF($J1430="","",YEAR($J1430-WEEKDAY($J1430,2)+4)&amp;"-W"&amp;TEXT(_xludf.ISOWEEKNUM($J1430),"00"))</f>
        <v/>
      </c>
      <c r="B1430"/>
      <c r="C1430" t="str">
        <f>IF($J1430="","",SUMIFS('Hours Log'!$C:$C,'Hours Log'!$A:$A,"&gt;="&amp;$J1430,'Hours Log'!$A:$A,"&lt;"&amp;$J1430+7)+SUMIFS('Hours Log'!$D:$D,'Hours Log'!$A:$A,"&gt;="&amp;$J1430,'Hours Log'!$A:$A,"&lt;"&amp;$J1430+7))</f>
        <v/>
      </c>
      <c r="D1430" t="str">
        <f>IF($J1430="","",SUMIFS('Hours Log'!$D:$D,'Hours Log'!$A:$A,"&gt;="&amp;$J1430,'Hours Log'!$A:$A,"&lt;"&amp;$J1430+7))</f>
        <v/>
      </c>
      <c r="E1430" t="str">
        <f t="shared" si="44"/>
        <v/>
      </c>
      <c r="F1430" t="str">
        <f t="shared" si="45"/>
        <v/>
      </c>
      <c r="G1430" t="str">
        <f>IF($J1430="","",SUMIFS('Hours Log'!$E:$E,'Hours Log'!$A:$A,"&gt;="&amp;$J1430,'Hours Log'!$A:$A,"&lt;"&amp;$J1430+7))</f>
        <v/>
      </c>
      <c r="J1430" t="str">
        <f>IF(COUNT('Hours Log'!$A$4:$A$5000)=0,"",IF(MIN('Hours Log'!$A$4:$A$5000)+7*(ROW()-10)&gt;MAX('Hours Log'!$A$4:$A$5000),"",MIN('Hours Log'!$A$4:$A$5000)+7*(ROW()-10)))</f>
        <v/>
      </c>
    </row>
    <row r="1431" spans="1:10" x14ac:dyDescent="0.25">
      <c r="A1431" t="str">
        <f>IF($J1431="","",YEAR($J1431-WEEKDAY($J1431,2)+4)&amp;"-W"&amp;TEXT(_xludf.ISOWEEKNUM($J1431),"00"))</f>
        <v/>
      </c>
      <c r="B1431"/>
      <c r="C1431" t="str">
        <f>IF($J1431="","",SUMIFS('Hours Log'!$C:$C,'Hours Log'!$A:$A,"&gt;="&amp;$J1431,'Hours Log'!$A:$A,"&lt;"&amp;$J1431+7)+SUMIFS('Hours Log'!$D:$D,'Hours Log'!$A:$A,"&gt;="&amp;$J1431,'Hours Log'!$A:$A,"&lt;"&amp;$J1431+7))</f>
        <v/>
      </c>
      <c r="D1431" t="str">
        <f>IF($J1431="","",SUMIFS('Hours Log'!$D:$D,'Hours Log'!$A:$A,"&gt;="&amp;$J1431,'Hours Log'!$A:$A,"&lt;"&amp;$J1431+7))</f>
        <v/>
      </c>
      <c r="E1431" t="str">
        <f t="shared" si="44"/>
        <v/>
      </c>
      <c r="F1431" t="str">
        <f t="shared" si="45"/>
        <v/>
      </c>
      <c r="G1431" t="str">
        <f>IF($J1431="","",SUMIFS('Hours Log'!$E:$E,'Hours Log'!$A:$A,"&gt;="&amp;$J1431,'Hours Log'!$A:$A,"&lt;"&amp;$J1431+7))</f>
        <v/>
      </c>
      <c r="J1431" t="str">
        <f>IF(COUNT('Hours Log'!$A$4:$A$5000)=0,"",IF(MIN('Hours Log'!$A$4:$A$5000)+7*(ROW()-10)&gt;MAX('Hours Log'!$A$4:$A$5000),"",MIN('Hours Log'!$A$4:$A$5000)+7*(ROW()-10)))</f>
        <v/>
      </c>
    </row>
    <row r="1432" spans="1:10" x14ac:dyDescent="0.25">
      <c r="A1432" t="str">
        <f>IF($J1432="","",YEAR($J1432-WEEKDAY($J1432,2)+4)&amp;"-W"&amp;TEXT(_xludf.ISOWEEKNUM($J1432),"00"))</f>
        <v/>
      </c>
      <c r="B1432"/>
      <c r="C1432" t="str">
        <f>IF($J1432="","",SUMIFS('Hours Log'!$C:$C,'Hours Log'!$A:$A,"&gt;="&amp;$J1432,'Hours Log'!$A:$A,"&lt;"&amp;$J1432+7)+SUMIFS('Hours Log'!$D:$D,'Hours Log'!$A:$A,"&gt;="&amp;$J1432,'Hours Log'!$A:$A,"&lt;"&amp;$J1432+7))</f>
        <v/>
      </c>
      <c r="D1432" t="str">
        <f>IF($J1432="","",SUMIFS('Hours Log'!$D:$D,'Hours Log'!$A:$A,"&gt;="&amp;$J1432,'Hours Log'!$A:$A,"&lt;"&amp;$J1432+7))</f>
        <v/>
      </c>
      <c r="E1432" t="str">
        <f t="shared" si="44"/>
        <v/>
      </c>
      <c r="F1432" t="str">
        <f t="shared" si="45"/>
        <v/>
      </c>
      <c r="G1432" t="str">
        <f>IF($J1432="","",SUMIFS('Hours Log'!$E:$E,'Hours Log'!$A:$A,"&gt;="&amp;$J1432,'Hours Log'!$A:$A,"&lt;"&amp;$J1432+7))</f>
        <v/>
      </c>
      <c r="J1432" t="str">
        <f>IF(COUNT('Hours Log'!$A$4:$A$5000)=0,"",IF(MIN('Hours Log'!$A$4:$A$5000)+7*(ROW()-10)&gt;MAX('Hours Log'!$A$4:$A$5000),"",MIN('Hours Log'!$A$4:$A$5000)+7*(ROW()-10)))</f>
        <v/>
      </c>
    </row>
    <row r="1433" spans="1:10" x14ac:dyDescent="0.25">
      <c r="A1433" t="str">
        <f>IF($J1433="","",YEAR($J1433-WEEKDAY($J1433,2)+4)&amp;"-W"&amp;TEXT(_xludf.ISOWEEKNUM($J1433),"00"))</f>
        <v/>
      </c>
      <c r="B1433"/>
      <c r="C1433" t="str">
        <f>IF($J1433="","",SUMIFS('Hours Log'!$C:$C,'Hours Log'!$A:$A,"&gt;="&amp;$J1433,'Hours Log'!$A:$A,"&lt;"&amp;$J1433+7)+SUMIFS('Hours Log'!$D:$D,'Hours Log'!$A:$A,"&gt;="&amp;$J1433,'Hours Log'!$A:$A,"&lt;"&amp;$J1433+7))</f>
        <v/>
      </c>
      <c r="D1433" t="str">
        <f>IF($J1433="","",SUMIFS('Hours Log'!$D:$D,'Hours Log'!$A:$A,"&gt;="&amp;$J1433,'Hours Log'!$A:$A,"&lt;"&amp;$J1433+7))</f>
        <v/>
      </c>
      <c r="E1433" t="str">
        <f t="shared" si="44"/>
        <v/>
      </c>
      <c r="F1433" t="str">
        <f t="shared" si="45"/>
        <v/>
      </c>
      <c r="G1433" t="str">
        <f>IF($J1433="","",SUMIFS('Hours Log'!$E:$E,'Hours Log'!$A:$A,"&gt;="&amp;$J1433,'Hours Log'!$A:$A,"&lt;"&amp;$J1433+7))</f>
        <v/>
      </c>
      <c r="J1433" t="str">
        <f>IF(COUNT('Hours Log'!$A$4:$A$5000)=0,"",IF(MIN('Hours Log'!$A$4:$A$5000)+7*(ROW()-10)&gt;MAX('Hours Log'!$A$4:$A$5000),"",MIN('Hours Log'!$A$4:$A$5000)+7*(ROW()-10)))</f>
        <v/>
      </c>
    </row>
    <row r="1434" spans="1:10" x14ac:dyDescent="0.25">
      <c r="A1434" t="str">
        <f>IF($J1434="","",YEAR($J1434-WEEKDAY($J1434,2)+4)&amp;"-W"&amp;TEXT(_xludf.ISOWEEKNUM($J1434),"00"))</f>
        <v/>
      </c>
      <c r="B1434"/>
      <c r="C1434" t="str">
        <f>IF($J1434="","",SUMIFS('Hours Log'!$C:$C,'Hours Log'!$A:$A,"&gt;="&amp;$J1434,'Hours Log'!$A:$A,"&lt;"&amp;$J1434+7)+SUMIFS('Hours Log'!$D:$D,'Hours Log'!$A:$A,"&gt;="&amp;$J1434,'Hours Log'!$A:$A,"&lt;"&amp;$J1434+7))</f>
        <v/>
      </c>
      <c r="D1434" t="str">
        <f>IF($J1434="","",SUMIFS('Hours Log'!$D:$D,'Hours Log'!$A:$A,"&gt;="&amp;$J1434,'Hours Log'!$A:$A,"&lt;"&amp;$J1434+7))</f>
        <v/>
      </c>
      <c r="E1434" t="str">
        <f t="shared" si="44"/>
        <v/>
      </c>
      <c r="F1434" t="str">
        <f t="shared" si="45"/>
        <v/>
      </c>
      <c r="G1434" t="str">
        <f>IF($J1434="","",SUMIFS('Hours Log'!$E:$E,'Hours Log'!$A:$A,"&gt;="&amp;$J1434,'Hours Log'!$A:$A,"&lt;"&amp;$J1434+7))</f>
        <v/>
      </c>
      <c r="J1434" t="str">
        <f>IF(COUNT('Hours Log'!$A$4:$A$5000)=0,"",IF(MIN('Hours Log'!$A$4:$A$5000)+7*(ROW()-10)&gt;MAX('Hours Log'!$A$4:$A$5000),"",MIN('Hours Log'!$A$4:$A$5000)+7*(ROW()-10)))</f>
        <v/>
      </c>
    </row>
    <row r="1435" spans="1:10" x14ac:dyDescent="0.25">
      <c r="A1435" t="str">
        <f>IF($J1435="","",YEAR($J1435-WEEKDAY($J1435,2)+4)&amp;"-W"&amp;TEXT(_xludf.ISOWEEKNUM($J1435),"00"))</f>
        <v/>
      </c>
      <c r="B1435"/>
      <c r="C1435" t="str">
        <f>IF($J1435="","",SUMIFS('Hours Log'!$C:$C,'Hours Log'!$A:$A,"&gt;="&amp;$J1435,'Hours Log'!$A:$A,"&lt;"&amp;$J1435+7)+SUMIFS('Hours Log'!$D:$D,'Hours Log'!$A:$A,"&gt;="&amp;$J1435,'Hours Log'!$A:$A,"&lt;"&amp;$J1435+7))</f>
        <v/>
      </c>
      <c r="D1435" t="str">
        <f>IF($J1435="","",SUMIFS('Hours Log'!$D:$D,'Hours Log'!$A:$A,"&gt;="&amp;$J1435,'Hours Log'!$A:$A,"&lt;"&amp;$J1435+7))</f>
        <v/>
      </c>
      <c r="E1435" t="str">
        <f t="shared" si="44"/>
        <v/>
      </c>
      <c r="F1435" t="str">
        <f t="shared" si="45"/>
        <v/>
      </c>
      <c r="G1435" t="str">
        <f>IF($J1435="","",SUMIFS('Hours Log'!$E:$E,'Hours Log'!$A:$A,"&gt;="&amp;$J1435,'Hours Log'!$A:$A,"&lt;"&amp;$J1435+7))</f>
        <v/>
      </c>
      <c r="J1435" t="str">
        <f>IF(COUNT('Hours Log'!$A$4:$A$5000)=0,"",IF(MIN('Hours Log'!$A$4:$A$5000)+7*(ROW()-10)&gt;MAX('Hours Log'!$A$4:$A$5000),"",MIN('Hours Log'!$A$4:$A$5000)+7*(ROW()-10)))</f>
        <v/>
      </c>
    </row>
    <row r="1436" spans="1:10" x14ac:dyDescent="0.25">
      <c r="A1436" t="str">
        <f>IF($J1436="","",YEAR($J1436-WEEKDAY($J1436,2)+4)&amp;"-W"&amp;TEXT(_xludf.ISOWEEKNUM($J1436),"00"))</f>
        <v/>
      </c>
      <c r="B1436"/>
      <c r="C1436" t="str">
        <f>IF($J1436="","",SUMIFS('Hours Log'!$C:$C,'Hours Log'!$A:$A,"&gt;="&amp;$J1436,'Hours Log'!$A:$A,"&lt;"&amp;$J1436+7)+SUMIFS('Hours Log'!$D:$D,'Hours Log'!$A:$A,"&gt;="&amp;$J1436,'Hours Log'!$A:$A,"&lt;"&amp;$J1436+7))</f>
        <v/>
      </c>
      <c r="D1436" t="str">
        <f>IF($J1436="","",SUMIFS('Hours Log'!$D:$D,'Hours Log'!$A:$A,"&gt;="&amp;$J1436,'Hours Log'!$A:$A,"&lt;"&amp;$J1436+7))</f>
        <v/>
      </c>
      <c r="E1436" t="str">
        <f t="shared" si="44"/>
        <v/>
      </c>
      <c r="F1436" t="str">
        <f t="shared" si="45"/>
        <v/>
      </c>
      <c r="G1436" t="str">
        <f>IF($J1436="","",SUMIFS('Hours Log'!$E:$E,'Hours Log'!$A:$A,"&gt;="&amp;$J1436,'Hours Log'!$A:$A,"&lt;"&amp;$J1436+7))</f>
        <v/>
      </c>
      <c r="J1436" t="str">
        <f>IF(COUNT('Hours Log'!$A$4:$A$5000)=0,"",IF(MIN('Hours Log'!$A$4:$A$5000)+7*(ROW()-10)&gt;MAX('Hours Log'!$A$4:$A$5000),"",MIN('Hours Log'!$A$4:$A$5000)+7*(ROW()-10)))</f>
        <v/>
      </c>
    </row>
    <row r="1437" spans="1:10" x14ac:dyDescent="0.25">
      <c r="A1437" t="str">
        <f>IF($J1437="","",YEAR($J1437-WEEKDAY($J1437,2)+4)&amp;"-W"&amp;TEXT(_xludf.ISOWEEKNUM($J1437),"00"))</f>
        <v/>
      </c>
      <c r="B1437"/>
      <c r="C1437" t="str">
        <f>IF($J1437="","",SUMIFS('Hours Log'!$C:$C,'Hours Log'!$A:$A,"&gt;="&amp;$J1437,'Hours Log'!$A:$A,"&lt;"&amp;$J1437+7)+SUMIFS('Hours Log'!$D:$D,'Hours Log'!$A:$A,"&gt;="&amp;$J1437,'Hours Log'!$A:$A,"&lt;"&amp;$J1437+7))</f>
        <v/>
      </c>
      <c r="D1437" t="str">
        <f>IF($J1437="","",SUMIFS('Hours Log'!$D:$D,'Hours Log'!$A:$A,"&gt;="&amp;$J1437,'Hours Log'!$A:$A,"&lt;"&amp;$J1437+7))</f>
        <v/>
      </c>
      <c r="E1437" t="str">
        <f t="shared" si="44"/>
        <v/>
      </c>
      <c r="F1437" t="str">
        <f t="shared" si="45"/>
        <v/>
      </c>
      <c r="G1437" t="str">
        <f>IF($J1437="","",SUMIFS('Hours Log'!$E:$E,'Hours Log'!$A:$A,"&gt;="&amp;$J1437,'Hours Log'!$A:$A,"&lt;"&amp;$J1437+7))</f>
        <v/>
      </c>
      <c r="J1437" t="str">
        <f>IF(COUNT('Hours Log'!$A$4:$A$5000)=0,"",IF(MIN('Hours Log'!$A$4:$A$5000)+7*(ROW()-10)&gt;MAX('Hours Log'!$A$4:$A$5000),"",MIN('Hours Log'!$A$4:$A$5000)+7*(ROW()-10)))</f>
        <v/>
      </c>
    </row>
    <row r="1438" spans="1:10" x14ac:dyDescent="0.25">
      <c r="A1438" t="str">
        <f>IF($J1438="","",YEAR($J1438-WEEKDAY($J1438,2)+4)&amp;"-W"&amp;TEXT(_xludf.ISOWEEKNUM($J1438),"00"))</f>
        <v/>
      </c>
      <c r="B1438"/>
      <c r="C1438" t="str">
        <f>IF($J1438="","",SUMIFS('Hours Log'!$C:$C,'Hours Log'!$A:$A,"&gt;="&amp;$J1438,'Hours Log'!$A:$A,"&lt;"&amp;$J1438+7)+SUMIFS('Hours Log'!$D:$D,'Hours Log'!$A:$A,"&gt;="&amp;$J1438,'Hours Log'!$A:$A,"&lt;"&amp;$J1438+7))</f>
        <v/>
      </c>
      <c r="D1438" t="str">
        <f>IF($J1438="","",SUMIFS('Hours Log'!$D:$D,'Hours Log'!$A:$A,"&gt;="&amp;$J1438,'Hours Log'!$A:$A,"&lt;"&amp;$J1438+7))</f>
        <v/>
      </c>
      <c r="E1438" t="str">
        <f t="shared" si="44"/>
        <v/>
      </c>
      <c r="F1438" t="str">
        <f t="shared" si="45"/>
        <v/>
      </c>
      <c r="G1438" t="str">
        <f>IF($J1438="","",SUMIFS('Hours Log'!$E:$E,'Hours Log'!$A:$A,"&gt;="&amp;$J1438,'Hours Log'!$A:$A,"&lt;"&amp;$J1438+7))</f>
        <v/>
      </c>
      <c r="J1438" t="str">
        <f>IF(COUNT('Hours Log'!$A$4:$A$5000)=0,"",IF(MIN('Hours Log'!$A$4:$A$5000)+7*(ROW()-10)&gt;MAX('Hours Log'!$A$4:$A$5000),"",MIN('Hours Log'!$A$4:$A$5000)+7*(ROW()-10)))</f>
        <v/>
      </c>
    </row>
    <row r="1439" spans="1:10" x14ac:dyDescent="0.25">
      <c r="A1439" t="str">
        <f>IF($J1439="","",YEAR($J1439-WEEKDAY($J1439,2)+4)&amp;"-W"&amp;TEXT(_xludf.ISOWEEKNUM($J1439),"00"))</f>
        <v/>
      </c>
      <c r="B1439"/>
      <c r="C1439" t="str">
        <f>IF($J1439="","",SUMIFS('Hours Log'!$C:$C,'Hours Log'!$A:$A,"&gt;="&amp;$J1439,'Hours Log'!$A:$A,"&lt;"&amp;$J1439+7)+SUMIFS('Hours Log'!$D:$D,'Hours Log'!$A:$A,"&gt;="&amp;$J1439,'Hours Log'!$A:$A,"&lt;"&amp;$J1439+7))</f>
        <v/>
      </c>
      <c r="D1439" t="str">
        <f>IF($J1439="","",SUMIFS('Hours Log'!$D:$D,'Hours Log'!$A:$A,"&gt;="&amp;$J1439,'Hours Log'!$A:$A,"&lt;"&amp;$J1439+7))</f>
        <v/>
      </c>
      <c r="E1439" t="str">
        <f t="shared" si="44"/>
        <v/>
      </c>
      <c r="F1439" t="str">
        <f t="shared" si="45"/>
        <v/>
      </c>
      <c r="G1439" t="str">
        <f>IF($J1439="","",SUMIFS('Hours Log'!$E:$E,'Hours Log'!$A:$A,"&gt;="&amp;$J1439,'Hours Log'!$A:$A,"&lt;"&amp;$J1439+7))</f>
        <v/>
      </c>
      <c r="J1439" t="str">
        <f>IF(COUNT('Hours Log'!$A$4:$A$5000)=0,"",IF(MIN('Hours Log'!$A$4:$A$5000)+7*(ROW()-10)&gt;MAX('Hours Log'!$A$4:$A$5000),"",MIN('Hours Log'!$A$4:$A$5000)+7*(ROW()-10)))</f>
        <v/>
      </c>
    </row>
    <row r="1440" spans="1:10" x14ac:dyDescent="0.25">
      <c r="A1440" t="str">
        <f>IF($J1440="","",YEAR($J1440-WEEKDAY($J1440,2)+4)&amp;"-W"&amp;TEXT(_xludf.ISOWEEKNUM($J1440),"00"))</f>
        <v/>
      </c>
      <c r="B1440"/>
      <c r="C1440" t="str">
        <f>IF($J1440="","",SUMIFS('Hours Log'!$C:$C,'Hours Log'!$A:$A,"&gt;="&amp;$J1440,'Hours Log'!$A:$A,"&lt;"&amp;$J1440+7)+SUMIFS('Hours Log'!$D:$D,'Hours Log'!$A:$A,"&gt;="&amp;$J1440,'Hours Log'!$A:$A,"&lt;"&amp;$J1440+7))</f>
        <v/>
      </c>
      <c r="D1440" t="str">
        <f>IF($J1440="","",SUMIFS('Hours Log'!$D:$D,'Hours Log'!$A:$A,"&gt;="&amp;$J1440,'Hours Log'!$A:$A,"&lt;"&amp;$J1440+7))</f>
        <v/>
      </c>
      <c r="E1440" t="str">
        <f t="shared" si="44"/>
        <v/>
      </c>
      <c r="F1440" t="str">
        <f t="shared" si="45"/>
        <v/>
      </c>
      <c r="G1440" t="str">
        <f>IF($J1440="","",SUMIFS('Hours Log'!$E:$E,'Hours Log'!$A:$A,"&gt;="&amp;$J1440,'Hours Log'!$A:$A,"&lt;"&amp;$J1440+7))</f>
        <v/>
      </c>
      <c r="J1440" t="str">
        <f>IF(COUNT('Hours Log'!$A$4:$A$5000)=0,"",IF(MIN('Hours Log'!$A$4:$A$5000)+7*(ROW()-10)&gt;MAX('Hours Log'!$A$4:$A$5000),"",MIN('Hours Log'!$A$4:$A$5000)+7*(ROW()-10)))</f>
        <v/>
      </c>
    </row>
    <row r="1441" spans="1:10" x14ac:dyDescent="0.25">
      <c r="A1441" t="str">
        <f>IF($J1441="","",YEAR($J1441-WEEKDAY($J1441,2)+4)&amp;"-W"&amp;TEXT(_xludf.ISOWEEKNUM($J1441),"00"))</f>
        <v/>
      </c>
      <c r="B1441"/>
      <c r="C1441" t="str">
        <f>IF($J1441="","",SUMIFS('Hours Log'!$C:$C,'Hours Log'!$A:$A,"&gt;="&amp;$J1441,'Hours Log'!$A:$A,"&lt;"&amp;$J1441+7)+SUMIFS('Hours Log'!$D:$D,'Hours Log'!$A:$A,"&gt;="&amp;$J1441,'Hours Log'!$A:$A,"&lt;"&amp;$J1441+7))</f>
        <v/>
      </c>
      <c r="D1441" t="str">
        <f>IF($J1441="","",SUMIFS('Hours Log'!$D:$D,'Hours Log'!$A:$A,"&gt;="&amp;$J1441,'Hours Log'!$A:$A,"&lt;"&amp;$J1441+7))</f>
        <v/>
      </c>
      <c r="E1441" t="str">
        <f t="shared" si="44"/>
        <v/>
      </c>
      <c r="F1441" t="str">
        <f t="shared" si="45"/>
        <v/>
      </c>
      <c r="G1441" t="str">
        <f>IF($J1441="","",SUMIFS('Hours Log'!$E:$E,'Hours Log'!$A:$A,"&gt;="&amp;$J1441,'Hours Log'!$A:$A,"&lt;"&amp;$J1441+7))</f>
        <v/>
      </c>
      <c r="J1441" t="str">
        <f>IF(COUNT('Hours Log'!$A$4:$A$5000)=0,"",IF(MIN('Hours Log'!$A$4:$A$5000)+7*(ROW()-10)&gt;MAX('Hours Log'!$A$4:$A$5000),"",MIN('Hours Log'!$A$4:$A$5000)+7*(ROW()-10)))</f>
        <v/>
      </c>
    </row>
    <row r="1442" spans="1:10" x14ac:dyDescent="0.25">
      <c r="A1442" t="str">
        <f>IF($J1442="","",YEAR($J1442-WEEKDAY($J1442,2)+4)&amp;"-W"&amp;TEXT(_xludf.ISOWEEKNUM($J1442),"00"))</f>
        <v/>
      </c>
      <c r="B1442"/>
      <c r="C1442" t="str">
        <f>IF($J1442="","",SUMIFS('Hours Log'!$C:$C,'Hours Log'!$A:$A,"&gt;="&amp;$J1442,'Hours Log'!$A:$A,"&lt;"&amp;$J1442+7)+SUMIFS('Hours Log'!$D:$D,'Hours Log'!$A:$A,"&gt;="&amp;$J1442,'Hours Log'!$A:$A,"&lt;"&amp;$J1442+7))</f>
        <v/>
      </c>
      <c r="D1442" t="str">
        <f>IF($J1442="","",SUMIFS('Hours Log'!$D:$D,'Hours Log'!$A:$A,"&gt;="&amp;$J1442,'Hours Log'!$A:$A,"&lt;"&amp;$J1442+7))</f>
        <v/>
      </c>
      <c r="E1442" t="str">
        <f t="shared" si="44"/>
        <v/>
      </c>
      <c r="F1442" t="str">
        <f t="shared" si="45"/>
        <v/>
      </c>
      <c r="G1442" t="str">
        <f>IF($J1442="","",SUMIFS('Hours Log'!$E:$E,'Hours Log'!$A:$A,"&gt;="&amp;$J1442,'Hours Log'!$A:$A,"&lt;"&amp;$J1442+7))</f>
        <v/>
      </c>
      <c r="J1442" t="str">
        <f>IF(COUNT('Hours Log'!$A$4:$A$5000)=0,"",IF(MIN('Hours Log'!$A$4:$A$5000)+7*(ROW()-10)&gt;MAX('Hours Log'!$A$4:$A$5000),"",MIN('Hours Log'!$A$4:$A$5000)+7*(ROW()-10)))</f>
        <v/>
      </c>
    </row>
    <row r="1443" spans="1:10" x14ac:dyDescent="0.25">
      <c r="A1443" t="str">
        <f>IF($J1443="","",YEAR($J1443-WEEKDAY($J1443,2)+4)&amp;"-W"&amp;TEXT(_xludf.ISOWEEKNUM($J1443),"00"))</f>
        <v/>
      </c>
      <c r="B1443"/>
      <c r="C1443" t="str">
        <f>IF($J1443="","",SUMIFS('Hours Log'!$C:$C,'Hours Log'!$A:$A,"&gt;="&amp;$J1443,'Hours Log'!$A:$A,"&lt;"&amp;$J1443+7)+SUMIFS('Hours Log'!$D:$D,'Hours Log'!$A:$A,"&gt;="&amp;$J1443,'Hours Log'!$A:$A,"&lt;"&amp;$J1443+7))</f>
        <v/>
      </c>
      <c r="D1443" t="str">
        <f>IF($J1443="","",SUMIFS('Hours Log'!$D:$D,'Hours Log'!$A:$A,"&gt;="&amp;$J1443,'Hours Log'!$A:$A,"&lt;"&amp;$J1443+7))</f>
        <v/>
      </c>
      <c r="E1443" t="str">
        <f t="shared" si="44"/>
        <v/>
      </c>
      <c r="F1443" t="str">
        <f t="shared" si="45"/>
        <v/>
      </c>
      <c r="G1443" t="str">
        <f>IF($J1443="","",SUMIFS('Hours Log'!$E:$E,'Hours Log'!$A:$A,"&gt;="&amp;$J1443,'Hours Log'!$A:$A,"&lt;"&amp;$J1443+7))</f>
        <v/>
      </c>
      <c r="J1443" t="str">
        <f>IF(COUNT('Hours Log'!$A$4:$A$5000)=0,"",IF(MIN('Hours Log'!$A$4:$A$5000)+7*(ROW()-10)&gt;MAX('Hours Log'!$A$4:$A$5000),"",MIN('Hours Log'!$A$4:$A$5000)+7*(ROW()-10)))</f>
        <v/>
      </c>
    </row>
    <row r="1444" spans="1:10" x14ac:dyDescent="0.25">
      <c r="A1444" t="str">
        <f>IF($J1444="","",YEAR($J1444-WEEKDAY($J1444,2)+4)&amp;"-W"&amp;TEXT(_xludf.ISOWEEKNUM($J1444),"00"))</f>
        <v/>
      </c>
      <c r="B1444"/>
      <c r="C1444" t="str">
        <f>IF($J1444="","",SUMIFS('Hours Log'!$C:$C,'Hours Log'!$A:$A,"&gt;="&amp;$J1444,'Hours Log'!$A:$A,"&lt;"&amp;$J1444+7)+SUMIFS('Hours Log'!$D:$D,'Hours Log'!$A:$A,"&gt;="&amp;$J1444,'Hours Log'!$A:$A,"&lt;"&amp;$J1444+7))</f>
        <v/>
      </c>
      <c r="D1444" t="str">
        <f>IF($J1444="","",SUMIFS('Hours Log'!$D:$D,'Hours Log'!$A:$A,"&gt;="&amp;$J1444,'Hours Log'!$A:$A,"&lt;"&amp;$J1444+7))</f>
        <v/>
      </c>
      <c r="E1444" t="str">
        <f t="shared" si="44"/>
        <v/>
      </c>
      <c r="F1444" t="str">
        <f t="shared" si="45"/>
        <v/>
      </c>
      <c r="G1444" t="str">
        <f>IF($J1444="","",SUMIFS('Hours Log'!$E:$E,'Hours Log'!$A:$A,"&gt;="&amp;$J1444,'Hours Log'!$A:$A,"&lt;"&amp;$J1444+7))</f>
        <v/>
      </c>
      <c r="J1444" t="str">
        <f>IF(COUNT('Hours Log'!$A$4:$A$5000)=0,"",IF(MIN('Hours Log'!$A$4:$A$5000)+7*(ROW()-10)&gt;MAX('Hours Log'!$A$4:$A$5000),"",MIN('Hours Log'!$A$4:$A$5000)+7*(ROW()-10)))</f>
        <v/>
      </c>
    </row>
    <row r="1445" spans="1:10" x14ac:dyDescent="0.25">
      <c r="A1445" t="str">
        <f>IF($J1445="","",YEAR($J1445-WEEKDAY($J1445,2)+4)&amp;"-W"&amp;TEXT(_xludf.ISOWEEKNUM($J1445),"00"))</f>
        <v/>
      </c>
      <c r="B1445"/>
      <c r="C1445" t="str">
        <f>IF($J1445="","",SUMIFS('Hours Log'!$C:$C,'Hours Log'!$A:$A,"&gt;="&amp;$J1445,'Hours Log'!$A:$A,"&lt;"&amp;$J1445+7)+SUMIFS('Hours Log'!$D:$D,'Hours Log'!$A:$A,"&gt;="&amp;$J1445,'Hours Log'!$A:$A,"&lt;"&amp;$J1445+7))</f>
        <v/>
      </c>
      <c r="D1445" t="str">
        <f>IF($J1445="","",SUMIFS('Hours Log'!$D:$D,'Hours Log'!$A:$A,"&gt;="&amp;$J1445,'Hours Log'!$A:$A,"&lt;"&amp;$J1445+7))</f>
        <v/>
      </c>
      <c r="E1445" t="str">
        <f t="shared" si="44"/>
        <v/>
      </c>
      <c r="F1445" t="str">
        <f t="shared" si="45"/>
        <v/>
      </c>
      <c r="G1445" t="str">
        <f>IF($J1445="","",SUMIFS('Hours Log'!$E:$E,'Hours Log'!$A:$A,"&gt;="&amp;$J1445,'Hours Log'!$A:$A,"&lt;"&amp;$J1445+7))</f>
        <v/>
      </c>
      <c r="J1445" t="str">
        <f>IF(COUNT('Hours Log'!$A$4:$A$5000)=0,"",IF(MIN('Hours Log'!$A$4:$A$5000)+7*(ROW()-10)&gt;MAX('Hours Log'!$A$4:$A$5000),"",MIN('Hours Log'!$A$4:$A$5000)+7*(ROW()-10)))</f>
        <v/>
      </c>
    </row>
    <row r="1446" spans="1:10" x14ac:dyDescent="0.25">
      <c r="A1446" t="str">
        <f>IF($J1446="","",YEAR($J1446-WEEKDAY($J1446,2)+4)&amp;"-W"&amp;TEXT(_xludf.ISOWEEKNUM($J1446),"00"))</f>
        <v/>
      </c>
      <c r="B1446"/>
      <c r="C1446" t="str">
        <f>IF($J1446="","",SUMIFS('Hours Log'!$C:$C,'Hours Log'!$A:$A,"&gt;="&amp;$J1446,'Hours Log'!$A:$A,"&lt;"&amp;$J1446+7)+SUMIFS('Hours Log'!$D:$D,'Hours Log'!$A:$A,"&gt;="&amp;$J1446,'Hours Log'!$A:$A,"&lt;"&amp;$J1446+7))</f>
        <v/>
      </c>
      <c r="D1446" t="str">
        <f>IF($J1446="","",SUMIFS('Hours Log'!$D:$D,'Hours Log'!$A:$A,"&gt;="&amp;$J1446,'Hours Log'!$A:$A,"&lt;"&amp;$J1446+7))</f>
        <v/>
      </c>
      <c r="E1446" t="str">
        <f t="shared" si="44"/>
        <v/>
      </c>
      <c r="F1446" t="str">
        <f t="shared" si="45"/>
        <v/>
      </c>
      <c r="G1446" t="str">
        <f>IF($J1446="","",SUMIFS('Hours Log'!$E:$E,'Hours Log'!$A:$A,"&gt;="&amp;$J1446,'Hours Log'!$A:$A,"&lt;"&amp;$J1446+7))</f>
        <v/>
      </c>
      <c r="J1446" t="str">
        <f>IF(COUNT('Hours Log'!$A$4:$A$5000)=0,"",IF(MIN('Hours Log'!$A$4:$A$5000)+7*(ROW()-10)&gt;MAX('Hours Log'!$A$4:$A$5000),"",MIN('Hours Log'!$A$4:$A$5000)+7*(ROW()-10)))</f>
        <v/>
      </c>
    </row>
    <row r="1447" spans="1:10" x14ac:dyDescent="0.25">
      <c r="A1447" t="str">
        <f>IF($J1447="","",YEAR($J1447-WEEKDAY($J1447,2)+4)&amp;"-W"&amp;TEXT(_xludf.ISOWEEKNUM($J1447),"00"))</f>
        <v/>
      </c>
      <c r="B1447"/>
      <c r="C1447" t="str">
        <f>IF($J1447="","",SUMIFS('Hours Log'!$C:$C,'Hours Log'!$A:$A,"&gt;="&amp;$J1447,'Hours Log'!$A:$A,"&lt;"&amp;$J1447+7)+SUMIFS('Hours Log'!$D:$D,'Hours Log'!$A:$A,"&gt;="&amp;$J1447,'Hours Log'!$A:$A,"&lt;"&amp;$J1447+7))</f>
        <v/>
      </c>
      <c r="D1447" t="str">
        <f>IF($J1447="","",SUMIFS('Hours Log'!$D:$D,'Hours Log'!$A:$A,"&gt;="&amp;$J1447,'Hours Log'!$A:$A,"&lt;"&amp;$J1447+7))</f>
        <v/>
      </c>
      <c r="E1447" t="str">
        <f t="shared" si="44"/>
        <v/>
      </c>
      <c r="F1447" t="str">
        <f t="shared" si="45"/>
        <v/>
      </c>
      <c r="G1447" t="str">
        <f>IF($J1447="","",SUMIFS('Hours Log'!$E:$E,'Hours Log'!$A:$A,"&gt;="&amp;$J1447,'Hours Log'!$A:$A,"&lt;"&amp;$J1447+7))</f>
        <v/>
      </c>
      <c r="J1447" t="str">
        <f>IF(COUNT('Hours Log'!$A$4:$A$5000)=0,"",IF(MIN('Hours Log'!$A$4:$A$5000)+7*(ROW()-10)&gt;MAX('Hours Log'!$A$4:$A$5000),"",MIN('Hours Log'!$A$4:$A$5000)+7*(ROW()-10)))</f>
        <v/>
      </c>
    </row>
    <row r="1448" spans="1:10" x14ac:dyDescent="0.25">
      <c r="A1448" t="str">
        <f>IF($J1448="","",YEAR($J1448-WEEKDAY($J1448,2)+4)&amp;"-W"&amp;TEXT(_xludf.ISOWEEKNUM($J1448),"00"))</f>
        <v/>
      </c>
      <c r="B1448"/>
      <c r="C1448" t="str">
        <f>IF($J1448="","",SUMIFS('Hours Log'!$C:$C,'Hours Log'!$A:$A,"&gt;="&amp;$J1448,'Hours Log'!$A:$A,"&lt;"&amp;$J1448+7)+SUMIFS('Hours Log'!$D:$D,'Hours Log'!$A:$A,"&gt;="&amp;$J1448,'Hours Log'!$A:$A,"&lt;"&amp;$J1448+7))</f>
        <v/>
      </c>
      <c r="D1448" t="str">
        <f>IF($J1448="","",SUMIFS('Hours Log'!$D:$D,'Hours Log'!$A:$A,"&gt;="&amp;$J1448,'Hours Log'!$A:$A,"&lt;"&amp;$J1448+7))</f>
        <v/>
      </c>
      <c r="E1448" t="str">
        <f t="shared" si="44"/>
        <v/>
      </c>
      <c r="F1448" t="str">
        <f t="shared" si="45"/>
        <v/>
      </c>
      <c r="G1448" t="str">
        <f>IF($J1448="","",SUMIFS('Hours Log'!$E:$E,'Hours Log'!$A:$A,"&gt;="&amp;$J1448,'Hours Log'!$A:$A,"&lt;"&amp;$J1448+7))</f>
        <v/>
      </c>
      <c r="J1448" t="str">
        <f>IF(COUNT('Hours Log'!$A$4:$A$5000)=0,"",IF(MIN('Hours Log'!$A$4:$A$5000)+7*(ROW()-10)&gt;MAX('Hours Log'!$A$4:$A$5000),"",MIN('Hours Log'!$A$4:$A$5000)+7*(ROW()-10)))</f>
        <v/>
      </c>
    </row>
    <row r="1449" spans="1:10" x14ac:dyDescent="0.25">
      <c r="A1449" t="str">
        <f>IF($J1449="","",YEAR($J1449-WEEKDAY($J1449,2)+4)&amp;"-W"&amp;TEXT(_xludf.ISOWEEKNUM($J1449),"00"))</f>
        <v/>
      </c>
      <c r="B1449"/>
      <c r="C1449" t="str">
        <f>IF($J1449="","",SUMIFS('Hours Log'!$C:$C,'Hours Log'!$A:$A,"&gt;="&amp;$J1449,'Hours Log'!$A:$A,"&lt;"&amp;$J1449+7)+SUMIFS('Hours Log'!$D:$D,'Hours Log'!$A:$A,"&gt;="&amp;$J1449,'Hours Log'!$A:$A,"&lt;"&amp;$J1449+7))</f>
        <v/>
      </c>
      <c r="D1449" t="str">
        <f>IF($J1449="","",SUMIFS('Hours Log'!$D:$D,'Hours Log'!$A:$A,"&gt;="&amp;$J1449,'Hours Log'!$A:$A,"&lt;"&amp;$J1449+7))</f>
        <v/>
      </c>
      <c r="E1449" t="str">
        <f t="shared" si="44"/>
        <v/>
      </c>
      <c r="F1449" t="str">
        <f t="shared" si="45"/>
        <v/>
      </c>
      <c r="G1449" t="str">
        <f>IF($J1449="","",SUMIFS('Hours Log'!$E:$E,'Hours Log'!$A:$A,"&gt;="&amp;$J1449,'Hours Log'!$A:$A,"&lt;"&amp;$J1449+7))</f>
        <v/>
      </c>
      <c r="J1449" t="str">
        <f>IF(COUNT('Hours Log'!$A$4:$A$5000)=0,"",IF(MIN('Hours Log'!$A$4:$A$5000)+7*(ROW()-10)&gt;MAX('Hours Log'!$A$4:$A$5000),"",MIN('Hours Log'!$A$4:$A$5000)+7*(ROW()-10)))</f>
        <v/>
      </c>
    </row>
    <row r="1450" spans="1:10" x14ac:dyDescent="0.25">
      <c r="A1450" t="str">
        <f>IF($J1450="","",YEAR($J1450-WEEKDAY($J1450,2)+4)&amp;"-W"&amp;TEXT(_xludf.ISOWEEKNUM($J1450),"00"))</f>
        <v/>
      </c>
      <c r="B1450"/>
      <c r="C1450" t="str">
        <f>IF($J1450="","",SUMIFS('Hours Log'!$C:$C,'Hours Log'!$A:$A,"&gt;="&amp;$J1450,'Hours Log'!$A:$A,"&lt;"&amp;$J1450+7)+SUMIFS('Hours Log'!$D:$D,'Hours Log'!$A:$A,"&gt;="&amp;$J1450,'Hours Log'!$A:$A,"&lt;"&amp;$J1450+7))</f>
        <v/>
      </c>
      <c r="D1450" t="str">
        <f>IF($J1450="","",SUMIFS('Hours Log'!$D:$D,'Hours Log'!$A:$A,"&gt;="&amp;$J1450,'Hours Log'!$A:$A,"&lt;"&amp;$J1450+7))</f>
        <v/>
      </c>
      <c r="E1450" t="str">
        <f t="shared" si="44"/>
        <v/>
      </c>
      <c r="F1450" t="str">
        <f t="shared" si="45"/>
        <v/>
      </c>
      <c r="G1450" t="str">
        <f>IF($J1450="","",SUMIFS('Hours Log'!$E:$E,'Hours Log'!$A:$A,"&gt;="&amp;$J1450,'Hours Log'!$A:$A,"&lt;"&amp;$J1450+7))</f>
        <v/>
      </c>
      <c r="J1450" t="str">
        <f>IF(COUNT('Hours Log'!$A$4:$A$5000)=0,"",IF(MIN('Hours Log'!$A$4:$A$5000)+7*(ROW()-10)&gt;MAX('Hours Log'!$A$4:$A$5000),"",MIN('Hours Log'!$A$4:$A$5000)+7*(ROW()-10)))</f>
        <v/>
      </c>
    </row>
    <row r="1451" spans="1:10" x14ac:dyDescent="0.25">
      <c r="A1451" t="str">
        <f>IF($J1451="","",YEAR($J1451-WEEKDAY($J1451,2)+4)&amp;"-W"&amp;TEXT(_xludf.ISOWEEKNUM($J1451),"00"))</f>
        <v/>
      </c>
      <c r="B1451"/>
      <c r="C1451" t="str">
        <f>IF($J1451="","",SUMIFS('Hours Log'!$C:$C,'Hours Log'!$A:$A,"&gt;="&amp;$J1451,'Hours Log'!$A:$A,"&lt;"&amp;$J1451+7)+SUMIFS('Hours Log'!$D:$D,'Hours Log'!$A:$A,"&gt;="&amp;$J1451,'Hours Log'!$A:$A,"&lt;"&amp;$J1451+7))</f>
        <v/>
      </c>
      <c r="D1451" t="str">
        <f>IF($J1451="","",SUMIFS('Hours Log'!$D:$D,'Hours Log'!$A:$A,"&gt;="&amp;$J1451,'Hours Log'!$A:$A,"&lt;"&amp;$J1451+7))</f>
        <v/>
      </c>
      <c r="E1451" t="str">
        <f t="shared" si="44"/>
        <v/>
      </c>
      <c r="F1451" t="str">
        <f t="shared" si="45"/>
        <v/>
      </c>
      <c r="G1451" t="str">
        <f>IF($J1451="","",SUMIFS('Hours Log'!$E:$E,'Hours Log'!$A:$A,"&gt;="&amp;$J1451,'Hours Log'!$A:$A,"&lt;"&amp;$J1451+7))</f>
        <v/>
      </c>
      <c r="J1451" t="str">
        <f>IF(COUNT('Hours Log'!$A$4:$A$5000)=0,"",IF(MIN('Hours Log'!$A$4:$A$5000)+7*(ROW()-10)&gt;MAX('Hours Log'!$A$4:$A$5000),"",MIN('Hours Log'!$A$4:$A$5000)+7*(ROW()-10)))</f>
        <v/>
      </c>
    </row>
    <row r="1452" spans="1:10" x14ac:dyDescent="0.25">
      <c r="A1452" t="str">
        <f>IF($J1452="","",YEAR($J1452-WEEKDAY($J1452,2)+4)&amp;"-W"&amp;TEXT(_xludf.ISOWEEKNUM($J1452),"00"))</f>
        <v/>
      </c>
      <c r="B1452"/>
      <c r="C1452" t="str">
        <f>IF($J1452="","",SUMIFS('Hours Log'!$C:$C,'Hours Log'!$A:$A,"&gt;="&amp;$J1452,'Hours Log'!$A:$A,"&lt;"&amp;$J1452+7)+SUMIFS('Hours Log'!$D:$D,'Hours Log'!$A:$A,"&gt;="&amp;$J1452,'Hours Log'!$A:$A,"&lt;"&amp;$J1452+7))</f>
        <v/>
      </c>
      <c r="D1452" t="str">
        <f>IF($J1452="","",SUMIFS('Hours Log'!$D:$D,'Hours Log'!$A:$A,"&gt;="&amp;$J1452,'Hours Log'!$A:$A,"&lt;"&amp;$J1452+7))</f>
        <v/>
      </c>
      <c r="E1452" t="str">
        <f t="shared" si="44"/>
        <v/>
      </c>
      <c r="F1452" t="str">
        <f t="shared" si="45"/>
        <v/>
      </c>
      <c r="G1452" t="str">
        <f>IF($J1452="","",SUMIFS('Hours Log'!$E:$E,'Hours Log'!$A:$A,"&gt;="&amp;$J1452,'Hours Log'!$A:$A,"&lt;"&amp;$J1452+7))</f>
        <v/>
      </c>
      <c r="J1452" t="str">
        <f>IF(COUNT('Hours Log'!$A$4:$A$5000)=0,"",IF(MIN('Hours Log'!$A$4:$A$5000)+7*(ROW()-10)&gt;MAX('Hours Log'!$A$4:$A$5000),"",MIN('Hours Log'!$A$4:$A$5000)+7*(ROW()-10)))</f>
        <v/>
      </c>
    </row>
    <row r="1453" spans="1:10" x14ac:dyDescent="0.25">
      <c r="A1453" t="str">
        <f>IF($J1453="","",YEAR($J1453-WEEKDAY($J1453,2)+4)&amp;"-W"&amp;TEXT(_xludf.ISOWEEKNUM($J1453),"00"))</f>
        <v/>
      </c>
      <c r="B1453"/>
      <c r="C1453" t="str">
        <f>IF($J1453="","",SUMIFS('Hours Log'!$C:$C,'Hours Log'!$A:$A,"&gt;="&amp;$J1453,'Hours Log'!$A:$A,"&lt;"&amp;$J1453+7)+SUMIFS('Hours Log'!$D:$D,'Hours Log'!$A:$A,"&gt;="&amp;$J1453,'Hours Log'!$A:$A,"&lt;"&amp;$J1453+7))</f>
        <v/>
      </c>
      <c r="D1453" t="str">
        <f>IF($J1453="","",SUMIFS('Hours Log'!$D:$D,'Hours Log'!$A:$A,"&gt;="&amp;$J1453,'Hours Log'!$A:$A,"&lt;"&amp;$J1453+7))</f>
        <v/>
      </c>
      <c r="E1453" t="str">
        <f t="shared" si="44"/>
        <v/>
      </c>
      <c r="F1453" t="str">
        <f t="shared" si="45"/>
        <v/>
      </c>
      <c r="G1453" t="str">
        <f>IF($J1453="","",SUMIFS('Hours Log'!$E:$E,'Hours Log'!$A:$A,"&gt;="&amp;$J1453,'Hours Log'!$A:$A,"&lt;"&amp;$J1453+7))</f>
        <v/>
      </c>
      <c r="J1453" t="str">
        <f>IF(COUNT('Hours Log'!$A$4:$A$5000)=0,"",IF(MIN('Hours Log'!$A$4:$A$5000)+7*(ROW()-10)&gt;MAX('Hours Log'!$A$4:$A$5000),"",MIN('Hours Log'!$A$4:$A$5000)+7*(ROW()-10)))</f>
        <v/>
      </c>
    </row>
    <row r="1454" spans="1:10" x14ac:dyDescent="0.25">
      <c r="A1454" t="str">
        <f>IF($J1454="","",YEAR($J1454-WEEKDAY($J1454,2)+4)&amp;"-W"&amp;TEXT(_xludf.ISOWEEKNUM($J1454),"00"))</f>
        <v/>
      </c>
      <c r="B1454"/>
      <c r="C1454" t="str">
        <f>IF($J1454="","",SUMIFS('Hours Log'!$C:$C,'Hours Log'!$A:$A,"&gt;="&amp;$J1454,'Hours Log'!$A:$A,"&lt;"&amp;$J1454+7)+SUMIFS('Hours Log'!$D:$D,'Hours Log'!$A:$A,"&gt;="&amp;$J1454,'Hours Log'!$A:$A,"&lt;"&amp;$J1454+7))</f>
        <v/>
      </c>
      <c r="D1454" t="str">
        <f>IF($J1454="","",SUMIFS('Hours Log'!$D:$D,'Hours Log'!$A:$A,"&gt;="&amp;$J1454,'Hours Log'!$A:$A,"&lt;"&amp;$J1454+7))</f>
        <v/>
      </c>
      <c r="E1454" t="str">
        <f t="shared" si="44"/>
        <v/>
      </c>
      <c r="F1454" t="str">
        <f t="shared" si="45"/>
        <v/>
      </c>
      <c r="G1454" t="str">
        <f>IF($J1454="","",SUMIFS('Hours Log'!$E:$E,'Hours Log'!$A:$A,"&gt;="&amp;$J1454,'Hours Log'!$A:$A,"&lt;"&amp;$J1454+7))</f>
        <v/>
      </c>
      <c r="J1454" t="str">
        <f>IF(COUNT('Hours Log'!$A$4:$A$5000)=0,"",IF(MIN('Hours Log'!$A$4:$A$5000)+7*(ROW()-10)&gt;MAX('Hours Log'!$A$4:$A$5000),"",MIN('Hours Log'!$A$4:$A$5000)+7*(ROW()-10)))</f>
        <v/>
      </c>
    </row>
    <row r="1455" spans="1:10" x14ac:dyDescent="0.25">
      <c r="A1455" t="str">
        <f>IF($J1455="","",YEAR($J1455-WEEKDAY($J1455,2)+4)&amp;"-W"&amp;TEXT(_xludf.ISOWEEKNUM($J1455),"00"))</f>
        <v/>
      </c>
      <c r="B1455"/>
      <c r="C1455" t="str">
        <f>IF($J1455="","",SUMIFS('Hours Log'!$C:$C,'Hours Log'!$A:$A,"&gt;="&amp;$J1455,'Hours Log'!$A:$A,"&lt;"&amp;$J1455+7)+SUMIFS('Hours Log'!$D:$D,'Hours Log'!$A:$A,"&gt;="&amp;$J1455,'Hours Log'!$A:$A,"&lt;"&amp;$J1455+7))</f>
        <v/>
      </c>
      <c r="D1455" t="str">
        <f>IF($J1455="","",SUMIFS('Hours Log'!$D:$D,'Hours Log'!$A:$A,"&gt;="&amp;$J1455,'Hours Log'!$A:$A,"&lt;"&amp;$J1455+7))</f>
        <v/>
      </c>
      <c r="E1455" t="str">
        <f t="shared" si="44"/>
        <v/>
      </c>
      <c r="F1455" t="str">
        <f t="shared" si="45"/>
        <v/>
      </c>
      <c r="G1455" t="str">
        <f>IF($J1455="","",SUMIFS('Hours Log'!$E:$E,'Hours Log'!$A:$A,"&gt;="&amp;$J1455,'Hours Log'!$A:$A,"&lt;"&amp;$J1455+7))</f>
        <v/>
      </c>
      <c r="J1455" t="str">
        <f>IF(COUNT('Hours Log'!$A$4:$A$5000)=0,"",IF(MIN('Hours Log'!$A$4:$A$5000)+7*(ROW()-10)&gt;MAX('Hours Log'!$A$4:$A$5000),"",MIN('Hours Log'!$A$4:$A$5000)+7*(ROW()-10)))</f>
        <v/>
      </c>
    </row>
    <row r="1456" spans="1:10" x14ac:dyDescent="0.25">
      <c r="A1456" t="str">
        <f>IF($J1456="","",YEAR($J1456-WEEKDAY($J1456,2)+4)&amp;"-W"&amp;TEXT(_xludf.ISOWEEKNUM($J1456),"00"))</f>
        <v/>
      </c>
      <c r="B1456"/>
      <c r="C1456" t="str">
        <f>IF($J1456="","",SUMIFS('Hours Log'!$C:$C,'Hours Log'!$A:$A,"&gt;="&amp;$J1456,'Hours Log'!$A:$A,"&lt;"&amp;$J1456+7)+SUMIFS('Hours Log'!$D:$D,'Hours Log'!$A:$A,"&gt;="&amp;$J1456,'Hours Log'!$A:$A,"&lt;"&amp;$J1456+7))</f>
        <v/>
      </c>
      <c r="D1456" t="str">
        <f>IF($J1456="","",SUMIFS('Hours Log'!$D:$D,'Hours Log'!$A:$A,"&gt;="&amp;$J1456,'Hours Log'!$A:$A,"&lt;"&amp;$J1456+7))</f>
        <v/>
      </c>
      <c r="E1456" t="str">
        <f t="shared" si="44"/>
        <v/>
      </c>
      <c r="F1456" t="str">
        <f t="shared" si="45"/>
        <v/>
      </c>
      <c r="G1456" t="str">
        <f>IF($J1456="","",SUMIFS('Hours Log'!$E:$E,'Hours Log'!$A:$A,"&gt;="&amp;$J1456,'Hours Log'!$A:$A,"&lt;"&amp;$J1456+7))</f>
        <v/>
      </c>
      <c r="J1456" t="str">
        <f>IF(COUNT('Hours Log'!$A$4:$A$5000)=0,"",IF(MIN('Hours Log'!$A$4:$A$5000)+7*(ROW()-10)&gt;MAX('Hours Log'!$A$4:$A$5000),"",MIN('Hours Log'!$A$4:$A$5000)+7*(ROW()-10)))</f>
        <v/>
      </c>
    </row>
    <row r="1457" spans="1:10" x14ac:dyDescent="0.25">
      <c r="A1457" t="str">
        <f>IF($J1457="","",YEAR($J1457-WEEKDAY($J1457,2)+4)&amp;"-W"&amp;TEXT(_xludf.ISOWEEKNUM($J1457),"00"))</f>
        <v/>
      </c>
      <c r="B1457"/>
      <c r="C1457" t="str">
        <f>IF($J1457="","",SUMIFS('Hours Log'!$C:$C,'Hours Log'!$A:$A,"&gt;="&amp;$J1457,'Hours Log'!$A:$A,"&lt;"&amp;$J1457+7)+SUMIFS('Hours Log'!$D:$D,'Hours Log'!$A:$A,"&gt;="&amp;$J1457,'Hours Log'!$A:$A,"&lt;"&amp;$J1457+7))</f>
        <v/>
      </c>
      <c r="D1457" t="str">
        <f>IF($J1457="","",SUMIFS('Hours Log'!$D:$D,'Hours Log'!$A:$A,"&gt;="&amp;$J1457,'Hours Log'!$A:$A,"&lt;"&amp;$J1457+7))</f>
        <v/>
      </c>
      <c r="E1457" t="str">
        <f t="shared" si="44"/>
        <v/>
      </c>
      <c r="F1457" t="str">
        <f t="shared" si="45"/>
        <v/>
      </c>
      <c r="G1457" t="str">
        <f>IF($J1457="","",SUMIFS('Hours Log'!$E:$E,'Hours Log'!$A:$A,"&gt;="&amp;$J1457,'Hours Log'!$A:$A,"&lt;"&amp;$J1457+7))</f>
        <v/>
      </c>
      <c r="J1457" t="str">
        <f>IF(COUNT('Hours Log'!$A$4:$A$5000)=0,"",IF(MIN('Hours Log'!$A$4:$A$5000)+7*(ROW()-10)&gt;MAX('Hours Log'!$A$4:$A$5000),"",MIN('Hours Log'!$A$4:$A$5000)+7*(ROW()-10)))</f>
        <v/>
      </c>
    </row>
    <row r="1458" spans="1:10" x14ac:dyDescent="0.25">
      <c r="A1458" t="str">
        <f>IF($J1458="","",YEAR($J1458-WEEKDAY($J1458,2)+4)&amp;"-W"&amp;TEXT(_xludf.ISOWEEKNUM($J1458),"00"))</f>
        <v/>
      </c>
      <c r="B1458"/>
      <c r="C1458" t="str">
        <f>IF($J1458="","",SUMIFS('Hours Log'!$C:$C,'Hours Log'!$A:$A,"&gt;="&amp;$J1458,'Hours Log'!$A:$A,"&lt;"&amp;$J1458+7)+SUMIFS('Hours Log'!$D:$D,'Hours Log'!$A:$A,"&gt;="&amp;$J1458,'Hours Log'!$A:$A,"&lt;"&amp;$J1458+7))</f>
        <v/>
      </c>
      <c r="D1458" t="str">
        <f>IF($J1458="","",SUMIFS('Hours Log'!$D:$D,'Hours Log'!$A:$A,"&gt;="&amp;$J1458,'Hours Log'!$A:$A,"&lt;"&amp;$J1458+7))</f>
        <v/>
      </c>
      <c r="E1458" t="str">
        <f t="shared" si="44"/>
        <v/>
      </c>
      <c r="F1458" t="str">
        <f t="shared" si="45"/>
        <v/>
      </c>
      <c r="G1458" t="str">
        <f>IF($J1458="","",SUMIFS('Hours Log'!$E:$E,'Hours Log'!$A:$A,"&gt;="&amp;$J1458,'Hours Log'!$A:$A,"&lt;"&amp;$J1458+7))</f>
        <v/>
      </c>
      <c r="J1458" t="str">
        <f>IF(COUNT('Hours Log'!$A$4:$A$5000)=0,"",IF(MIN('Hours Log'!$A$4:$A$5000)+7*(ROW()-10)&gt;MAX('Hours Log'!$A$4:$A$5000),"",MIN('Hours Log'!$A$4:$A$5000)+7*(ROW()-10)))</f>
        <v/>
      </c>
    </row>
    <row r="1459" spans="1:10" x14ac:dyDescent="0.25">
      <c r="A1459" t="str">
        <f>IF($J1459="","",YEAR($J1459-WEEKDAY($J1459,2)+4)&amp;"-W"&amp;TEXT(_xludf.ISOWEEKNUM($J1459),"00"))</f>
        <v/>
      </c>
      <c r="B1459"/>
      <c r="C1459" t="str">
        <f>IF($J1459="","",SUMIFS('Hours Log'!$C:$C,'Hours Log'!$A:$A,"&gt;="&amp;$J1459,'Hours Log'!$A:$A,"&lt;"&amp;$J1459+7)+SUMIFS('Hours Log'!$D:$D,'Hours Log'!$A:$A,"&gt;="&amp;$J1459,'Hours Log'!$A:$A,"&lt;"&amp;$J1459+7))</f>
        <v/>
      </c>
      <c r="D1459" t="str">
        <f>IF($J1459="","",SUMIFS('Hours Log'!$D:$D,'Hours Log'!$A:$A,"&gt;="&amp;$J1459,'Hours Log'!$A:$A,"&lt;"&amp;$J1459+7))</f>
        <v/>
      </c>
      <c r="E1459" t="str">
        <f t="shared" si="44"/>
        <v/>
      </c>
      <c r="F1459" t="str">
        <f t="shared" si="45"/>
        <v/>
      </c>
      <c r="G1459" t="str">
        <f>IF($J1459="","",SUMIFS('Hours Log'!$E:$E,'Hours Log'!$A:$A,"&gt;="&amp;$J1459,'Hours Log'!$A:$A,"&lt;"&amp;$J1459+7))</f>
        <v/>
      </c>
      <c r="J1459" t="str">
        <f>IF(COUNT('Hours Log'!$A$4:$A$5000)=0,"",IF(MIN('Hours Log'!$A$4:$A$5000)+7*(ROW()-10)&gt;MAX('Hours Log'!$A$4:$A$5000),"",MIN('Hours Log'!$A$4:$A$5000)+7*(ROW()-10)))</f>
        <v/>
      </c>
    </row>
    <row r="1460" spans="1:10" x14ac:dyDescent="0.25">
      <c r="A1460" t="str">
        <f>IF($J1460="","",YEAR($J1460-WEEKDAY($J1460,2)+4)&amp;"-W"&amp;TEXT(_xludf.ISOWEEKNUM($J1460),"00"))</f>
        <v/>
      </c>
      <c r="B1460"/>
      <c r="C1460" t="str">
        <f>IF($J1460="","",SUMIFS('Hours Log'!$C:$C,'Hours Log'!$A:$A,"&gt;="&amp;$J1460,'Hours Log'!$A:$A,"&lt;"&amp;$J1460+7)+SUMIFS('Hours Log'!$D:$D,'Hours Log'!$A:$A,"&gt;="&amp;$J1460,'Hours Log'!$A:$A,"&lt;"&amp;$J1460+7))</f>
        <v/>
      </c>
      <c r="D1460" t="str">
        <f>IF($J1460="","",SUMIFS('Hours Log'!$D:$D,'Hours Log'!$A:$A,"&gt;="&amp;$J1460,'Hours Log'!$A:$A,"&lt;"&amp;$J1460+7))</f>
        <v/>
      </c>
      <c r="E1460" t="str">
        <f t="shared" si="44"/>
        <v/>
      </c>
      <c r="F1460" t="str">
        <f t="shared" si="45"/>
        <v/>
      </c>
      <c r="G1460" t="str">
        <f>IF($J1460="","",SUMIFS('Hours Log'!$E:$E,'Hours Log'!$A:$A,"&gt;="&amp;$J1460,'Hours Log'!$A:$A,"&lt;"&amp;$J1460+7))</f>
        <v/>
      </c>
      <c r="J1460" t="str">
        <f>IF(COUNT('Hours Log'!$A$4:$A$5000)=0,"",IF(MIN('Hours Log'!$A$4:$A$5000)+7*(ROW()-10)&gt;MAX('Hours Log'!$A$4:$A$5000),"",MIN('Hours Log'!$A$4:$A$5000)+7*(ROW()-10)))</f>
        <v/>
      </c>
    </row>
    <row r="1461" spans="1:10" x14ac:dyDescent="0.25">
      <c r="A1461" t="str">
        <f>IF($J1461="","",YEAR($J1461-WEEKDAY($J1461,2)+4)&amp;"-W"&amp;TEXT(_xludf.ISOWEEKNUM($J1461),"00"))</f>
        <v/>
      </c>
      <c r="B1461"/>
      <c r="C1461" t="str">
        <f>IF($J1461="","",SUMIFS('Hours Log'!$C:$C,'Hours Log'!$A:$A,"&gt;="&amp;$J1461,'Hours Log'!$A:$A,"&lt;"&amp;$J1461+7)+SUMIFS('Hours Log'!$D:$D,'Hours Log'!$A:$A,"&gt;="&amp;$J1461,'Hours Log'!$A:$A,"&lt;"&amp;$J1461+7))</f>
        <v/>
      </c>
      <c r="D1461" t="str">
        <f>IF($J1461="","",SUMIFS('Hours Log'!$D:$D,'Hours Log'!$A:$A,"&gt;="&amp;$J1461,'Hours Log'!$A:$A,"&lt;"&amp;$J1461+7))</f>
        <v/>
      </c>
      <c r="E1461" t="str">
        <f t="shared" si="44"/>
        <v/>
      </c>
      <c r="F1461" t="str">
        <f t="shared" si="45"/>
        <v/>
      </c>
      <c r="G1461" t="str">
        <f>IF($J1461="","",SUMIFS('Hours Log'!$E:$E,'Hours Log'!$A:$A,"&gt;="&amp;$J1461,'Hours Log'!$A:$A,"&lt;"&amp;$J1461+7))</f>
        <v/>
      </c>
      <c r="J1461" t="str">
        <f>IF(COUNT('Hours Log'!$A$4:$A$5000)=0,"",IF(MIN('Hours Log'!$A$4:$A$5000)+7*(ROW()-10)&gt;MAX('Hours Log'!$A$4:$A$5000),"",MIN('Hours Log'!$A$4:$A$5000)+7*(ROW()-10)))</f>
        <v/>
      </c>
    </row>
    <row r="1462" spans="1:10" x14ac:dyDescent="0.25">
      <c r="A1462" t="str">
        <f>IF($J1462="","",YEAR($J1462-WEEKDAY($J1462,2)+4)&amp;"-W"&amp;TEXT(_xludf.ISOWEEKNUM($J1462),"00"))</f>
        <v/>
      </c>
      <c r="B1462"/>
      <c r="C1462" t="str">
        <f>IF($J1462="","",SUMIFS('Hours Log'!$C:$C,'Hours Log'!$A:$A,"&gt;="&amp;$J1462,'Hours Log'!$A:$A,"&lt;"&amp;$J1462+7)+SUMIFS('Hours Log'!$D:$D,'Hours Log'!$A:$A,"&gt;="&amp;$J1462,'Hours Log'!$A:$A,"&lt;"&amp;$J1462+7))</f>
        <v/>
      </c>
      <c r="D1462" t="str">
        <f>IF($J1462="","",SUMIFS('Hours Log'!$D:$D,'Hours Log'!$A:$A,"&gt;="&amp;$J1462,'Hours Log'!$A:$A,"&lt;"&amp;$J1462+7))</f>
        <v/>
      </c>
      <c r="E1462" t="str">
        <f t="shared" si="44"/>
        <v/>
      </c>
      <c r="F1462" t="str">
        <f t="shared" si="45"/>
        <v/>
      </c>
      <c r="G1462" t="str">
        <f>IF($J1462="","",SUMIFS('Hours Log'!$E:$E,'Hours Log'!$A:$A,"&gt;="&amp;$J1462,'Hours Log'!$A:$A,"&lt;"&amp;$J1462+7))</f>
        <v/>
      </c>
      <c r="J1462" t="str">
        <f>IF(COUNT('Hours Log'!$A$4:$A$5000)=0,"",IF(MIN('Hours Log'!$A$4:$A$5000)+7*(ROW()-10)&gt;MAX('Hours Log'!$A$4:$A$5000),"",MIN('Hours Log'!$A$4:$A$5000)+7*(ROW()-10)))</f>
        <v/>
      </c>
    </row>
    <row r="1463" spans="1:10" x14ac:dyDescent="0.25">
      <c r="A1463" t="str">
        <f>IF($J1463="","",YEAR($J1463-WEEKDAY($J1463,2)+4)&amp;"-W"&amp;TEXT(_xludf.ISOWEEKNUM($J1463),"00"))</f>
        <v/>
      </c>
      <c r="B1463"/>
      <c r="C1463" t="str">
        <f>IF($J1463="","",SUMIFS('Hours Log'!$C:$C,'Hours Log'!$A:$A,"&gt;="&amp;$J1463,'Hours Log'!$A:$A,"&lt;"&amp;$J1463+7)+SUMIFS('Hours Log'!$D:$D,'Hours Log'!$A:$A,"&gt;="&amp;$J1463,'Hours Log'!$A:$A,"&lt;"&amp;$J1463+7))</f>
        <v/>
      </c>
      <c r="D1463" t="str">
        <f>IF($J1463="","",SUMIFS('Hours Log'!$D:$D,'Hours Log'!$A:$A,"&gt;="&amp;$J1463,'Hours Log'!$A:$A,"&lt;"&amp;$J1463+7))</f>
        <v/>
      </c>
      <c r="E1463" t="str">
        <f t="shared" si="44"/>
        <v/>
      </c>
      <c r="F1463" t="str">
        <f t="shared" si="45"/>
        <v/>
      </c>
      <c r="G1463" t="str">
        <f>IF($J1463="","",SUMIFS('Hours Log'!$E:$E,'Hours Log'!$A:$A,"&gt;="&amp;$J1463,'Hours Log'!$A:$A,"&lt;"&amp;$J1463+7))</f>
        <v/>
      </c>
      <c r="J1463" t="str">
        <f>IF(COUNT('Hours Log'!$A$4:$A$5000)=0,"",IF(MIN('Hours Log'!$A$4:$A$5000)+7*(ROW()-10)&gt;MAX('Hours Log'!$A$4:$A$5000),"",MIN('Hours Log'!$A$4:$A$5000)+7*(ROW()-10)))</f>
        <v/>
      </c>
    </row>
    <row r="1464" spans="1:10" x14ac:dyDescent="0.25">
      <c r="A1464" t="str">
        <f>IF($J1464="","",YEAR($J1464-WEEKDAY($J1464,2)+4)&amp;"-W"&amp;TEXT(_xludf.ISOWEEKNUM($J1464),"00"))</f>
        <v/>
      </c>
      <c r="B1464"/>
      <c r="C1464" t="str">
        <f>IF($J1464="","",SUMIFS('Hours Log'!$C:$C,'Hours Log'!$A:$A,"&gt;="&amp;$J1464,'Hours Log'!$A:$A,"&lt;"&amp;$J1464+7)+SUMIFS('Hours Log'!$D:$D,'Hours Log'!$A:$A,"&gt;="&amp;$J1464,'Hours Log'!$A:$A,"&lt;"&amp;$J1464+7))</f>
        <v/>
      </c>
      <c r="D1464" t="str">
        <f>IF($J1464="","",SUMIFS('Hours Log'!$D:$D,'Hours Log'!$A:$A,"&gt;="&amp;$J1464,'Hours Log'!$A:$A,"&lt;"&amp;$J1464+7))</f>
        <v/>
      </c>
      <c r="E1464" t="str">
        <f t="shared" si="44"/>
        <v/>
      </c>
      <c r="F1464" t="str">
        <f t="shared" si="45"/>
        <v/>
      </c>
      <c r="G1464" t="str">
        <f>IF($J1464="","",SUMIFS('Hours Log'!$E:$E,'Hours Log'!$A:$A,"&gt;="&amp;$J1464,'Hours Log'!$A:$A,"&lt;"&amp;$J1464+7))</f>
        <v/>
      </c>
      <c r="J1464" t="str">
        <f>IF(COUNT('Hours Log'!$A$4:$A$5000)=0,"",IF(MIN('Hours Log'!$A$4:$A$5000)+7*(ROW()-10)&gt;MAX('Hours Log'!$A$4:$A$5000),"",MIN('Hours Log'!$A$4:$A$5000)+7*(ROW()-10)))</f>
        <v/>
      </c>
    </row>
    <row r="1465" spans="1:10" x14ac:dyDescent="0.25">
      <c r="A1465" t="str">
        <f>IF($J1465="","",YEAR($J1465-WEEKDAY($J1465,2)+4)&amp;"-W"&amp;TEXT(_xludf.ISOWEEKNUM($J1465),"00"))</f>
        <v/>
      </c>
      <c r="B1465"/>
      <c r="C1465" t="str">
        <f>IF($J1465="","",SUMIFS('Hours Log'!$C:$C,'Hours Log'!$A:$A,"&gt;="&amp;$J1465,'Hours Log'!$A:$A,"&lt;"&amp;$J1465+7)+SUMIFS('Hours Log'!$D:$D,'Hours Log'!$A:$A,"&gt;="&amp;$J1465,'Hours Log'!$A:$A,"&lt;"&amp;$J1465+7))</f>
        <v/>
      </c>
      <c r="D1465" t="str">
        <f>IF($J1465="","",SUMIFS('Hours Log'!$D:$D,'Hours Log'!$A:$A,"&gt;="&amp;$J1465,'Hours Log'!$A:$A,"&lt;"&amp;$J1465+7))</f>
        <v/>
      </c>
      <c r="E1465" t="str">
        <f t="shared" si="44"/>
        <v/>
      </c>
      <c r="F1465" t="str">
        <f t="shared" si="45"/>
        <v/>
      </c>
      <c r="G1465" t="str">
        <f>IF($J1465="","",SUMIFS('Hours Log'!$E:$E,'Hours Log'!$A:$A,"&gt;="&amp;$J1465,'Hours Log'!$A:$A,"&lt;"&amp;$J1465+7))</f>
        <v/>
      </c>
      <c r="J1465" t="str">
        <f>IF(COUNT('Hours Log'!$A$4:$A$5000)=0,"",IF(MIN('Hours Log'!$A$4:$A$5000)+7*(ROW()-10)&gt;MAX('Hours Log'!$A$4:$A$5000),"",MIN('Hours Log'!$A$4:$A$5000)+7*(ROW()-10)))</f>
        <v/>
      </c>
    </row>
    <row r="1466" spans="1:10" x14ac:dyDescent="0.25">
      <c r="A1466" t="str">
        <f>IF($J1466="","",YEAR($J1466-WEEKDAY($J1466,2)+4)&amp;"-W"&amp;TEXT(_xludf.ISOWEEKNUM($J1466),"00"))</f>
        <v/>
      </c>
      <c r="B1466"/>
      <c r="C1466" t="str">
        <f>IF($J1466="","",SUMIFS('Hours Log'!$C:$C,'Hours Log'!$A:$A,"&gt;="&amp;$J1466,'Hours Log'!$A:$A,"&lt;"&amp;$J1466+7)+SUMIFS('Hours Log'!$D:$D,'Hours Log'!$A:$A,"&gt;="&amp;$J1466,'Hours Log'!$A:$A,"&lt;"&amp;$J1466+7))</f>
        <v/>
      </c>
      <c r="D1466" t="str">
        <f>IF($J1466="","",SUMIFS('Hours Log'!$D:$D,'Hours Log'!$A:$A,"&gt;="&amp;$J1466,'Hours Log'!$A:$A,"&lt;"&amp;$J1466+7))</f>
        <v/>
      </c>
      <c r="E1466" t="str">
        <f t="shared" si="44"/>
        <v/>
      </c>
      <c r="F1466" t="str">
        <f t="shared" si="45"/>
        <v/>
      </c>
      <c r="G1466" t="str">
        <f>IF($J1466="","",SUMIFS('Hours Log'!$E:$E,'Hours Log'!$A:$A,"&gt;="&amp;$J1466,'Hours Log'!$A:$A,"&lt;"&amp;$J1466+7))</f>
        <v/>
      </c>
      <c r="J1466" t="str">
        <f>IF(COUNT('Hours Log'!$A$4:$A$5000)=0,"",IF(MIN('Hours Log'!$A$4:$A$5000)+7*(ROW()-10)&gt;MAX('Hours Log'!$A$4:$A$5000),"",MIN('Hours Log'!$A$4:$A$5000)+7*(ROW()-10)))</f>
        <v/>
      </c>
    </row>
    <row r="1467" spans="1:10" x14ac:dyDescent="0.25">
      <c r="A1467" t="str">
        <f>IF($J1467="","",YEAR($J1467-WEEKDAY($J1467,2)+4)&amp;"-W"&amp;TEXT(_xludf.ISOWEEKNUM($J1467),"00"))</f>
        <v/>
      </c>
      <c r="B1467"/>
      <c r="C1467" t="str">
        <f>IF($J1467="","",SUMIFS('Hours Log'!$C:$C,'Hours Log'!$A:$A,"&gt;="&amp;$J1467,'Hours Log'!$A:$A,"&lt;"&amp;$J1467+7)+SUMIFS('Hours Log'!$D:$D,'Hours Log'!$A:$A,"&gt;="&amp;$J1467,'Hours Log'!$A:$A,"&lt;"&amp;$J1467+7))</f>
        <v/>
      </c>
      <c r="D1467" t="str">
        <f>IF($J1467="","",SUMIFS('Hours Log'!$D:$D,'Hours Log'!$A:$A,"&gt;="&amp;$J1467,'Hours Log'!$A:$A,"&lt;"&amp;$J1467+7))</f>
        <v/>
      </c>
      <c r="E1467" t="str">
        <f t="shared" si="44"/>
        <v/>
      </c>
      <c r="F1467" t="str">
        <f t="shared" si="45"/>
        <v/>
      </c>
      <c r="G1467" t="str">
        <f>IF($J1467="","",SUMIFS('Hours Log'!$E:$E,'Hours Log'!$A:$A,"&gt;="&amp;$J1467,'Hours Log'!$A:$A,"&lt;"&amp;$J1467+7))</f>
        <v/>
      </c>
      <c r="J1467" t="str">
        <f>IF(COUNT('Hours Log'!$A$4:$A$5000)=0,"",IF(MIN('Hours Log'!$A$4:$A$5000)+7*(ROW()-10)&gt;MAX('Hours Log'!$A$4:$A$5000),"",MIN('Hours Log'!$A$4:$A$5000)+7*(ROW()-10)))</f>
        <v/>
      </c>
    </row>
    <row r="1468" spans="1:10" x14ac:dyDescent="0.25">
      <c r="A1468" t="str">
        <f>IF($J1468="","",YEAR($J1468-WEEKDAY($J1468,2)+4)&amp;"-W"&amp;TEXT(_xludf.ISOWEEKNUM($J1468),"00"))</f>
        <v/>
      </c>
      <c r="B1468"/>
      <c r="C1468" t="str">
        <f>IF($J1468="","",SUMIFS('Hours Log'!$C:$C,'Hours Log'!$A:$A,"&gt;="&amp;$J1468,'Hours Log'!$A:$A,"&lt;"&amp;$J1468+7)+SUMIFS('Hours Log'!$D:$D,'Hours Log'!$A:$A,"&gt;="&amp;$J1468,'Hours Log'!$A:$A,"&lt;"&amp;$J1468+7))</f>
        <v/>
      </c>
      <c r="D1468" t="str">
        <f>IF($J1468="","",SUMIFS('Hours Log'!$D:$D,'Hours Log'!$A:$A,"&gt;="&amp;$J1468,'Hours Log'!$A:$A,"&lt;"&amp;$J1468+7))</f>
        <v/>
      </c>
      <c r="E1468" t="str">
        <f t="shared" si="44"/>
        <v/>
      </c>
      <c r="F1468" t="str">
        <f t="shared" si="45"/>
        <v/>
      </c>
      <c r="G1468" t="str">
        <f>IF($J1468="","",SUMIFS('Hours Log'!$E:$E,'Hours Log'!$A:$A,"&gt;="&amp;$J1468,'Hours Log'!$A:$A,"&lt;"&amp;$J1468+7))</f>
        <v/>
      </c>
      <c r="J1468" t="str">
        <f>IF(COUNT('Hours Log'!$A$4:$A$5000)=0,"",IF(MIN('Hours Log'!$A$4:$A$5000)+7*(ROW()-10)&gt;MAX('Hours Log'!$A$4:$A$5000),"",MIN('Hours Log'!$A$4:$A$5000)+7*(ROW()-10)))</f>
        <v/>
      </c>
    </row>
    <row r="1469" spans="1:10" x14ac:dyDescent="0.25">
      <c r="A1469" t="str">
        <f>IF($J1469="","",YEAR($J1469-WEEKDAY($J1469,2)+4)&amp;"-W"&amp;TEXT(_xludf.ISOWEEKNUM($J1469),"00"))</f>
        <v/>
      </c>
      <c r="B1469"/>
      <c r="C1469" t="str">
        <f>IF($J1469="","",SUMIFS('Hours Log'!$C:$C,'Hours Log'!$A:$A,"&gt;="&amp;$J1469,'Hours Log'!$A:$A,"&lt;"&amp;$J1469+7)+SUMIFS('Hours Log'!$D:$D,'Hours Log'!$A:$A,"&gt;="&amp;$J1469,'Hours Log'!$A:$A,"&lt;"&amp;$J1469+7))</f>
        <v/>
      </c>
      <c r="D1469" t="str">
        <f>IF($J1469="","",SUMIFS('Hours Log'!$D:$D,'Hours Log'!$A:$A,"&gt;="&amp;$J1469,'Hours Log'!$A:$A,"&lt;"&amp;$J1469+7))</f>
        <v/>
      </c>
      <c r="E1469" t="str">
        <f t="shared" si="44"/>
        <v/>
      </c>
      <c r="F1469" t="str">
        <f t="shared" si="45"/>
        <v/>
      </c>
      <c r="G1469" t="str">
        <f>IF($J1469="","",SUMIFS('Hours Log'!$E:$E,'Hours Log'!$A:$A,"&gt;="&amp;$J1469,'Hours Log'!$A:$A,"&lt;"&amp;$J1469+7))</f>
        <v/>
      </c>
      <c r="J1469" t="str">
        <f>IF(COUNT('Hours Log'!$A$4:$A$5000)=0,"",IF(MIN('Hours Log'!$A$4:$A$5000)+7*(ROW()-10)&gt;MAX('Hours Log'!$A$4:$A$5000),"",MIN('Hours Log'!$A$4:$A$5000)+7*(ROW()-10)))</f>
        <v/>
      </c>
    </row>
    <row r="1470" spans="1:10" x14ac:dyDescent="0.25">
      <c r="A1470" t="str">
        <f>IF($J1470="","",YEAR($J1470-WEEKDAY($J1470,2)+4)&amp;"-W"&amp;TEXT(_xludf.ISOWEEKNUM($J1470),"00"))</f>
        <v/>
      </c>
      <c r="B1470"/>
      <c r="C1470" t="str">
        <f>IF($J1470="","",SUMIFS('Hours Log'!$C:$C,'Hours Log'!$A:$A,"&gt;="&amp;$J1470,'Hours Log'!$A:$A,"&lt;"&amp;$J1470+7)+SUMIFS('Hours Log'!$D:$D,'Hours Log'!$A:$A,"&gt;="&amp;$J1470,'Hours Log'!$A:$A,"&lt;"&amp;$J1470+7))</f>
        <v/>
      </c>
      <c r="D1470" t="str">
        <f>IF($J1470="","",SUMIFS('Hours Log'!$D:$D,'Hours Log'!$A:$A,"&gt;="&amp;$J1470,'Hours Log'!$A:$A,"&lt;"&amp;$J1470+7))</f>
        <v/>
      </c>
      <c r="E1470" t="str">
        <f t="shared" si="44"/>
        <v/>
      </c>
      <c r="F1470" t="str">
        <f t="shared" si="45"/>
        <v/>
      </c>
      <c r="G1470" t="str">
        <f>IF($J1470="","",SUMIFS('Hours Log'!$E:$E,'Hours Log'!$A:$A,"&gt;="&amp;$J1470,'Hours Log'!$A:$A,"&lt;"&amp;$J1470+7))</f>
        <v/>
      </c>
      <c r="J1470" t="str">
        <f>IF(COUNT('Hours Log'!$A$4:$A$5000)=0,"",IF(MIN('Hours Log'!$A$4:$A$5000)+7*(ROW()-10)&gt;MAX('Hours Log'!$A$4:$A$5000),"",MIN('Hours Log'!$A$4:$A$5000)+7*(ROW()-10)))</f>
        <v/>
      </c>
    </row>
    <row r="1471" spans="1:10" x14ac:dyDescent="0.25">
      <c r="A1471" t="str">
        <f>IF($J1471="","",YEAR($J1471-WEEKDAY($J1471,2)+4)&amp;"-W"&amp;TEXT(_xludf.ISOWEEKNUM($J1471),"00"))</f>
        <v/>
      </c>
      <c r="B1471"/>
      <c r="C1471" t="str">
        <f>IF($J1471="","",SUMIFS('Hours Log'!$C:$C,'Hours Log'!$A:$A,"&gt;="&amp;$J1471,'Hours Log'!$A:$A,"&lt;"&amp;$J1471+7)+SUMIFS('Hours Log'!$D:$D,'Hours Log'!$A:$A,"&gt;="&amp;$J1471,'Hours Log'!$A:$A,"&lt;"&amp;$J1471+7))</f>
        <v/>
      </c>
      <c r="D1471" t="str">
        <f>IF($J1471="","",SUMIFS('Hours Log'!$D:$D,'Hours Log'!$A:$A,"&gt;="&amp;$J1471,'Hours Log'!$A:$A,"&lt;"&amp;$J1471+7))</f>
        <v/>
      </c>
      <c r="E1471" t="str">
        <f t="shared" si="44"/>
        <v/>
      </c>
      <c r="F1471" t="str">
        <f t="shared" si="45"/>
        <v/>
      </c>
      <c r="G1471" t="str">
        <f>IF($J1471="","",SUMIFS('Hours Log'!$E:$E,'Hours Log'!$A:$A,"&gt;="&amp;$J1471,'Hours Log'!$A:$A,"&lt;"&amp;$J1471+7))</f>
        <v/>
      </c>
      <c r="J1471" t="str">
        <f>IF(COUNT('Hours Log'!$A$4:$A$5000)=0,"",IF(MIN('Hours Log'!$A$4:$A$5000)+7*(ROW()-10)&gt;MAX('Hours Log'!$A$4:$A$5000),"",MIN('Hours Log'!$A$4:$A$5000)+7*(ROW()-10)))</f>
        <v/>
      </c>
    </row>
    <row r="1472" spans="1:10" x14ac:dyDescent="0.25">
      <c r="A1472" t="str">
        <f>IF($J1472="","",YEAR($J1472-WEEKDAY($J1472,2)+4)&amp;"-W"&amp;TEXT(_xludf.ISOWEEKNUM($J1472),"00"))</f>
        <v/>
      </c>
      <c r="B1472"/>
      <c r="C1472" t="str">
        <f>IF($J1472="","",SUMIFS('Hours Log'!$C:$C,'Hours Log'!$A:$A,"&gt;="&amp;$J1472,'Hours Log'!$A:$A,"&lt;"&amp;$J1472+7)+SUMIFS('Hours Log'!$D:$D,'Hours Log'!$A:$A,"&gt;="&amp;$J1472,'Hours Log'!$A:$A,"&lt;"&amp;$J1472+7))</f>
        <v/>
      </c>
      <c r="D1472" t="str">
        <f>IF($J1472="","",SUMIFS('Hours Log'!$D:$D,'Hours Log'!$A:$A,"&gt;="&amp;$J1472,'Hours Log'!$A:$A,"&lt;"&amp;$J1472+7))</f>
        <v/>
      </c>
      <c r="E1472" t="str">
        <f t="shared" si="44"/>
        <v/>
      </c>
      <c r="F1472" t="str">
        <f t="shared" si="45"/>
        <v/>
      </c>
      <c r="G1472" t="str">
        <f>IF($J1472="","",SUMIFS('Hours Log'!$E:$E,'Hours Log'!$A:$A,"&gt;="&amp;$J1472,'Hours Log'!$A:$A,"&lt;"&amp;$J1472+7))</f>
        <v/>
      </c>
      <c r="J1472" t="str">
        <f>IF(COUNT('Hours Log'!$A$4:$A$5000)=0,"",IF(MIN('Hours Log'!$A$4:$A$5000)+7*(ROW()-10)&gt;MAX('Hours Log'!$A$4:$A$5000),"",MIN('Hours Log'!$A$4:$A$5000)+7*(ROW()-10)))</f>
        <v/>
      </c>
    </row>
    <row r="1473" spans="1:10" x14ac:dyDescent="0.25">
      <c r="A1473" t="str">
        <f>IF($J1473="","",YEAR($J1473-WEEKDAY($J1473,2)+4)&amp;"-W"&amp;TEXT(_xludf.ISOWEEKNUM($J1473),"00"))</f>
        <v/>
      </c>
      <c r="B1473"/>
      <c r="C1473" t="str">
        <f>IF($J1473="","",SUMIFS('Hours Log'!$C:$C,'Hours Log'!$A:$A,"&gt;="&amp;$J1473,'Hours Log'!$A:$A,"&lt;"&amp;$J1473+7)+SUMIFS('Hours Log'!$D:$D,'Hours Log'!$A:$A,"&gt;="&amp;$J1473,'Hours Log'!$A:$A,"&lt;"&amp;$J1473+7))</f>
        <v/>
      </c>
      <c r="D1473" t="str">
        <f>IF($J1473="","",SUMIFS('Hours Log'!$D:$D,'Hours Log'!$A:$A,"&gt;="&amp;$J1473,'Hours Log'!$A:$A,"&lt;"&amp;$J1473+7))</f>
        <v/>
      </c>
      <c r="E1473" t="str">
        <f t="shared" si="44"/>
        <v/>
      </c>
      <c r="F1473" t="str">
        <f t="shared" si="45"/>
        <v/>
      </c>
      <c r="G1473" t="str">
        <f>IF($J1473="","",SUMIFS('Hours Log'!$E:$E,'Hours Log'!$A:$A,"&gt;="&amp;$J1473,'Hours Log'!$A:$A,"&lt;"&amp;$J1473+7))</f>
        <v/>
      </c>
      <c r="J1473" t="str">
        <f>IF(COUNT('Hours Log'!$A$4:$A$5000)=0,"",IF(MIN('Hours Log'!$A$4:$A$5000)+7*(ROW()-10)&gt;MAX('Hours Log'!$A$4:$A$5000),"",MIN('Hours Log'!$A$4:$A$5000)+7*(ROW()-10)))</f>
        <v/>
      </c>
    </row>
    <row r="1474" spans="1:10" x14ac:dyDescent="0.25">
      <c r="A1474" t="str">
        <f>IF($J1474="","",YEAR($J1474-WEEKDAY($J1474,2)+4)&amp;"-W"&amp;TEXT(_xludf.ISOWEEKNUM($J1474),"00"))</f>
        <v/>
      </c>
      <c r="B1474"/>
      <c r="C1474" t="str">
        <f>IF($J1474="","",SUMIFS('Hours Log'!$C:$C,'Hours Log'!$A:$A,"&gt;="&amp;$J1474,'Hours Log'!$A:$A,"&lt;"&amp;$J1474+7)+SUMIFS('Hours Log'!$D:$D,'Hours Log'!$A:$A,"&gt;="&amp;$J1474,'Hours Log'!$A:$A,"&lt;"&amp;$J1474+7))</f>
        <v/>
      </c>
      <c r="D1474" t="str">
        <f>IF($J1474="","",SUMIFS('Hours Log'!$D:$D,'Hours Log'!$A:$A,"&gt;="&amp;$J1474,'Hours Log'!$A:$A,"&lt;"&amp;$J1474+7))</f>
        <v/>
      </c>
      <c r="E1474" t="str">
        <f t="shared" si="44"/>
        <v/>
      </c>
      <c r="F1474" t="str">
        <f t="shared" si="45"/>
        <v/>
      </c>
      <c r="G1474" t="str">
        <f>IF($J1474="","",SUMIFS('Hours Log'!$E:$E,'Hours Log'!$A:$A,"&gt;="&amp;$J1474,'Hours Log'!$A:$A,"&lt;"&amp;$J1474+7))</f>
        <v/>
      </c>
      <c r="J1474" t="str">
        <f>IF(COUNT('Hours Log'!$A$4:$A$5000)=0,"",IF(MIN('Hours Log'!$A$4:$A$5000)+7*(ROW()-10)&gt;MAX('Hours Log'!$A$4:$A$5000),"",MIN('Hours Log'!$A$4:$A$5000)+7*(ROW()-10)))</f>
        <v/>
      </c>
    </row>
    <row r="1475" spans="1:10" x14ac:dyDescent="0.25">
      <c r="A1475" t="str">
        <f>IF($J1475="","",YEAR($J1475-WEEKDAY($J1475,2)+4)&amp;"-W"&amp;TEXT(_xludf.ISOWEEKNUM($J1475),"00"))</f>
        <v/>
      </c>
      <c r="B1475"/>
      <c r="C1475" t="str">
        <f>IF($J1475="","",SUMIFS('Hours Log'!$C:$C,'Hours Log'!$A:$A,"&gt;="&amp;$J1475,'Hours Log'!$A:$A,"&lt;"&amp;$J1475+7)+SUMIFS('Hours Log'!$D:$D,'Hours Log'!$A:$A,"&gt;="&amp;$J1475,'Hours Log'!$A:$A,"&lt;"&amp;$J1475+7))</f>
        <v/>
      </c>
      <c r="D1475" t="str">
        <f>IF($J1475="","",SUMIFS('Hours Log'!$D:$D,'Hours Log'!$A:$A,"&gt;="&amp;$J1475,'Hours Log'!$A:$A,"&lt;"&amp;$J1475+7))</f>
        <v/>
      </c>
      <c r="E1475" t="str">
        <f t="shared" si="44"/>
        <v/>
      </c>
      <c r="F1475" t="str">
        <f t="shared" si="45"/>
        <v/>
      </c>
      <c r="G1475" t="str">
        <f>IF($J1475="","",SUMIFS('Hours Log'!$E:$E,'Hours Log'!$A:$A,"&gt;="&amp;$J1475,'Hours Log'!$A:$A,"&lt;"&amp;$J1475+7))</f>
        <v/>
      </c>
      <c r="J1475" t="str">
        <f>IF(COUNT('Hours Log'!$A$4:$A$5000)=0,"",IF(MIN('Hours Log'!$A$4:$A$5000)+7*(ROW()-10)&gt;MAX('Hours Log'!$A$4:$A$5000),"",MIN('Hours Log'!$A$4:$A$5000)+7*(ROW()-10)))</f>
        <v/>
      </c>
    </row>
    <row r="1476" spans="1:10" x14ac:dyDescent="0.25">
      <c r="A1476" t="str">
        <f>IF($J1476="","",YEAR($J1476-WEEKDAY($J1476,2)+4)&amp;"-W"&amp;TEXT(_xludf.ISOWEEKNUM($J1476),"00"))</f>
        <v/>
      </c>
      <c r="B1476"/>
      <c r="C1476" t="str">
        <f>IF($J1476="","",SUMIFS('Hours Log'!$C:$C,'Hours Log'!$A:$A,"&gt;="&amp;$J1476,'Hours Log'!$A:$A,"&lt;"&amp;$J1476+7)+SUMIFS('Hours Log'!$D:$D,'Hours Log'!$A:$A,"&gt;="&amp;$J1476,'Hours Log'!$A:$A,"&lt;"&amp;$J1476+7))</f>
        <v/>
      </c>
      <c r="D1476" t="str">
        <f>IF($J1476="","",SUMIFS('Hours Log'!$D:$D,'Hours Log'!$A:$A,"&gt;="&amp;$J1476,'Hours Log'!$A:$A,"&lt;"&amp;$J1476+7))</f>
        <v/>
      </c>
      <c r="E1476" t="str">
        <f t="shared" si="44"/>
        <v/>
      </c>
      <c r="F1476" t="str">
        <f t="shared" si="45"/>
        <v/>
      </c>
      <c r="G1476" t="str">
        <f>IF($J1476="","",SUMIFS('Hours Log'!$E:$E,'Hours Log'!$A:$A,"&gt;="&amp;$J1476,'Hours Log'!$A:$A,"&lt;"&amp;$J1476+7))</f>
        <v/>
      </c>
      <c r="J1476" t="str">
        <f>IF(COUNT('Hours Log'!$A$4:$A$5000)=0,"",IF(MIN('Hours Log'!$A$4:$A$5000)+7*(ROW()-10)&gt;MAX('Hours Log'!$A$4:$A$5000),"",MIN('Hours Log'!$A$4:$A$5000)+7*(ROW()-10)))</f>
        <v/>
      </c>
    </row>
    <row r="1477" spans="1:10" x14ac:dyDescent="0.25">
      <c r="A1477" t="str">
        <f>IF($J1477="","",YEAR($J1477-WEEKDAY($J1477,2)+4)&amp;"-W"&amp;TEXT(_xludf.ISOWEEKNUM($J1477),"00"))</f>
        <v/>
      </c>
      <c r="B1477"/>
      <c r="C1477" t="str">
        <f>IF($J1477="","",SUMIFS('Hours Log'!$C:$C,'Hours Log'!$A:$A,"&gt;="&amp;$J1477,'Hours Log'!$A:$A,"&lt;"&amp;$J1477+7)+SUMIFS('Hours Log'!$D:$D,'Hours Log'!$A:$A,"&gt;="&amp;$J1477,'Hours Log'!$A:$A,"&lt;"&amp;$J1477+7))</f>
        <v/>
      </c>
      <c r="D1477" t="str">
        <f>IF($J1477="","",SUMIFS('Hours Log'!$D:$D,'Hours Log'!$A:$A,"&gt;="&amp;$J1477,'Hours Log'!$A:$A,"&lt;"&amp;$J1477+7))</f>
        <v/>
      </c>
      <c r="E1477" t="str">
        <f t="shared" si="44"/>
        <v/>
      </c>
      <c r="F1477" t="str">
        <f t="shared" si="45"/>
        <v/>
      </c>
      <c r="G1477" t="str">
        <f>IF($J1477="","",SUMIFS('Hours Log'!$E:$E,'Hours Log'!$A:$A,"&gt;="&amp;$J1477,'Hours Log'!$A:$A,"&lt;"&amp;$J1477+7))</f>
        <v/>
      </c>
      <c r="J1477" t="str">
        <f>IF(COUNT('Hours Log'!$A$4:$A$5000)=0,"",IF(MIN('Hours Log'!$A$4:$A$5000)+7*(ROW()-10)&gt;MAX('Hours Log'!$A$4:$A$5000),"",MIN('Hours Log'!$A$4:$A$5000)+7*(ROW()-10)))</f>
        <v/>
      </c>
    </row>
    <row r="1478" spans="1:10" x14ac:dyDescent="0.25">
      <c r="A1478" t="str">
        <f>IF($J1478="","",YEAR($J1478-WEEKDAY($J1478,2)+4)&amp;"-W"&amp;TEXT(_xludf.ISOWEEKNUM($J1478),"00"))</f>
        <v/>
      </c>
      <c r="B1478"/>
      <c r="C1478" t="str">
        <f>IF($J1478="","",SUMIFS('Hours Log'!$C:$C,'Hours Log'!$A:$A,"&gt;="&amp;$J1478,'Hours Log'!$A:$A,"&lt;"&amp;$J1478+7)+SUMIFS('Hours Log'!$D:$D,'Hours Log'!$A:$A,"&gt;="&amp;$J1478,'Hours Log'!$A:$A,"&lt;"&amp;$J1478+7))</f>
        <v/>
      </c>
      <c r="D1478" t="str">
        <f>IF($J1478="","",SUMIFS('Hours Log'!$D:$D,'Hours Log'!$A:$A,"&gt;="&amp;$J1478,'Hours Log'!$A:$A,"&lt;"&amp;$J1478+7))</f>
        <v/>
      </c>
      <c r="E1478" t="str">
        <f t="shared" si="44"/>
        <v/>
      </c>
      <c r="F1478" t="str">
        <f t="shared" si="45"/>
        <v/>
      </c>
      <c r="G1478" t="str">
        <f>IF($J1478="","",SUMIFS('Hours Log'!$E:$E,'Hours Log'!$A:$A,"&gt;="&amp;$J1478,'Hours Log'!$A:$A,"&lt;"&amp;$J1478+7))</f>
        <v/>
      </c>
      <c r="J1478" t="str">
        <f>IF(COUNT('Hours Log'!$A$4:$A$5000)=0,"",IF(MIN('Hours Log'!$A$4:$A$5000)+7*(ROW()-10)&gt;MAX('Hours Log'!$A$4:$A$5000),"",MIN('Hours Log'!$A$4:$A$5000)+7*(ROW()-10)))</f>
        <v/>
      </c>
    </row>
    <row r="1479" spans="1:10" x14ac:dyDescent="0.25">
      <c r="A1479" t="str">
        <f>IF($J1479="","",YEAR($J1479-WEEKDAY($J1479,2)+4)&amp;"-W"&amp;TEXT(_xludf.ISOWEEKNUM($J1479),"00"))</f>
        <v/>
      </c>
      <c r="B1479"/>
      <c r="C1479" t="str">
        <f>IF($J1479="","",SUMIFS('Hours Log'!$C:$C,'Hours Log'!$A:$A,"&gt;="&amp;$J1479,'Hours Log'!$A:$A,"&lt;"&amp;$J1479+7)+SUMIFS('Hours Log'!$D:$D,'Hours Log'!$A:$A,"&gt;="&amp;$J1479,'Hours Log'!$A:$A,"&lt;"&amp;$J1479+7))</f>
        <v/>
      </c>
      <c r="D1479" t="str">
        <f>IF($J1479="","",SUMIFS('Hours Log'!$D:$D,'Hours Log'!$A:$A,"&gt;="&amp;$J1479,'Hours Log'!$A:$A,"&lt;"&amp;$J1479+7))</f>
        <v/>
      </c>
      <c r="E1479" t="str">
        <f t="shared" si="44"/>
        <v/>
      </c>
      <c r="F1479" t="str">
        <f t="shared" si="45"/>
        <v/>
      </c>
      <c r="G1479" t="str">
        <f>IF($J1479="","",SUMIFS('Hours Log'!$E:$E,'Hours Log'!$A:$A,"&gt;="&amp;$J1479,'Hours Log'!$A:$A,"&lt;"&amp;$J1479+7))</f>
        <v/>
      </c>
      <c r="J1479" t="str">
        <f>IF(COUNT('Hours Log'!$A$4:$A$5000)=0,"",IF(MIN('Hours Log'!$A$4:$A$5000)+7*(ROW()-10)&gt;MAX('Hours Log'!$A$4:$A$5000),"",MIN('Hours Log'!$A$4:$A$5000)+7*(ROW()-10)))</f>
        <v/>
      </c>
    </row>
    <row r="1480" spans="1:10" x14ac:dyDescent="0.25">
      <c r="A1480" t="str">
        <f>IF($J1480="","",YEAR($J1480-WEEKDAY($J1480,2)+4)&amp;"-W"&amp;TEXT(_xludf.ISOWEEKNUM($J1480),"00"))</f>
        <v/>
      </c>
      <c r="B1480"/>
      <c r="C1480" t="str">
        <f>IF($J1480="","",SUMIFS('Hours Log'!$C:$C,'Hours Log'!$A:$A,"&gt;="&amp;$J1480,'Hours Log'!$A:$A,"&lt;"&amp;$J1480+7)+SUMIFS('Hours Log'!$D:$D,'Hours Log'!$A:$A,"&gt;="&amp;$J1480,'Hours Log'!$A:$A,"&lt;"&amp;$J1480+7))</f>
        <v/>
      </c>
      <c r="D1480" t="str">
        <f>IF($J1480="","",SUMIFS('Hours Log'!$D:$D,'Hours Log'!$A:$A,"&gt;="&amp;$J1480,'Hours Log'!$A:$A,"&lt;"&amp;$J1480+7))</f>
        <v/>
      </c>
      <c r="E1480" t="str">
        <f t="shared" si="44"/>
        <v/>
      </c>
      <c r="F1480" t="str">
        <f t="shared" si="45"/>
        <v/>
      </c>
      <c r="G1480" t="str">
        <f>IF($J1480="","",SUMIFS('Hours Log'!$E:$E,'Hours Log'!$A:$A,"&gt;="&amp;$J1480,'Hours Log'!$A:$A,"&lt;"&amp;$J1480+7))</f>
        <v/>
      </c>
      <c r="J1480" t="str">
        <f>IF(COUNT('Hours Log'!$A$4:$A$5000)=0,"",IF(MIN('Hours Log'!$A$4:$A$5000)+7*(ROW()-10)&gt;MAX('Hours Log'!$A$4:$A$5000),"",MIN('Hours Log'!$A$4:$A$5000)+7*(ROW()-10)))</f>
        <v/>
      </c>
    </row>
    <row r="1481" spans="1:10" x14ac:dyDescent="0.25">
      <c r="A1481" t="str">
        <f>IF($J1481="","",YEAR($J1481-WEEKDAY($J1481,2)+4)&amp;"-W"&amp;TEXT(_xludf.ISOWEEKNUM($J1481),"00"))</f>
        <v/>
      </c>
      <c r="B1481"/>
      <c r="C1481" t="str">
        <f>IF($J1481="","",SUMIFS('Hours Log'!$C:$C,'Hours Log'!$A:$A,"&gt;="&amp;$J1481,'Hours Log'!$A:$A,"&lt;"&amp;$J1481+7)+SUMIFS('Hours Log'!$D:$D,'Hours Log'!$A:$A,"&gt;="&amp;$J1481,'Hours Log'!$A:$A,"&lt;"&amp;$J1481+7))</f>
        <v/>
      </c>
      <c r="D1481" t="str">
        <f>IF($J1481="","",SUMIFS('Hours Log'!$D:$D,'Hours Log'!$A:$A,"&gt;="&amp;$J1481,'Hours Log'!$A:$A,"&lt;"&amp;$J1481+7))</f>
        <v/>
      </c>
      <c r="E1481" t="str">
        <f t="shared" si="44"/>
        <v/>
      </c>
      <c r="F1481" t="str">
        <f t="shared" si="45"/>
        <v/>
      </c>
      <c r="G1481" t="str">
        <f>IF($J1481="","",SUMIFS('Hours Log'!$E:$E,'Hours Log'!$A:$A,"&gt;="&amp;$J1481,'Hours Log'!$A:$A,"&lt;"&amp;$J1481+7))</f>
        <v/>
      </c>
      <c r="J1481" t="str">
        <f>IF(COUNT('Hours Log'!$A$4:$A$5000)=0,"",IF(MIN('Hours Log'!$A$4:$A$5000)+7*(ROW()-10)&gt;MAX('Hours Log'!$A$4:$A$5000),"",MIN('Hours Log'!$A$4:$A$5000)+7*(ROW()-10)))</f>
        <v/>
      </c>
    </row>
    <row r="1482" spans="1:10" x14ac:dyDescent="0.25">
      <c r="A1482" t="str">
        <f>IF($J1482="","",YEAR($J1482-WEEKDAY($J1482,2)+4)&amp;"-W"&amp;TEXT(_xludf.ISOWEEKNUM($J1482),"00"))</f>
        <v/>
      </c>
      <c r="B1482"/>
      <c r="C1482" t="str">
        <f>IF($J1482="","",SUMIFS('Hours Log'!$C:$C,'Hours Log'!$A:$A,"&gt;="&amp;$J1482,'Hours Log'!$A:$A,"&lt;"&amp;$J1482+7)+SUMIFS('Hours Log'!$D:$D,'Hours Log'!$A:$A,"&gt;="&amp;$J1482,'Hours Log'!$A:$A,"&lt;"&amp;$J1482+7))</f>
        <v/>
      </c>
      <c r="D1482" t="str">
        <f>IF($J1482="","",SUMIFS('Hours Log'!$D:$D,'Hours Log'!$A:$A,"&gt;="&amp;$J1482,'Hours Log'!$A:$A,"&lt;"&amp;$J1482+7))</f>
        <v/>
      </c>
      <c r="E1482" t="str">
        <f t="shared" ref="E1482:E1545" si="46">IF($J1482="","",IFERROR(C1482/(B1482*40),0))</f>
        <v/>
      </c>
      <c r="F1482" t="str">
        <f t="shared" ref="F1482:F1545" si="47">IF($J1482="","",0)</f>
        <v/>
      </c>
      <c r="G1482" t="str">
        <f>IF($J1482="","",SUMIFS('Hours Log'!$E:$E,'Hours Log'!$A:$A,"&gt;="&amp;$J1482,'Hours Log'!$A:$A,"&lt;"&amp;$J1482+7))</f>
        <v/>
      </c>
      <c r="J1482" t="str">
        <f>IF(COUNT('Hours Log'!$A$4:$A$5000)=0,"",IF(MIN('Hours Log'!$A$4:$A$5000)+7*(ROW()-10)&gt;MAX('Hours Log'!$A$4:$A$5000),"",MIN('Hours Log'!$A$4:$A$5000)+7*(ROW()-10)))</f>
        <v/>
      </c>
    </row>
    <row r="1483" spans="1:10" x14ac:dyDescent="0.25">
      <c r="A1483" t="str">
        <f>IF($J1483="","",YEAR($J1483-WEEKDAY($J1483,2)+4)&amp;"-W"&amp;TEXT(_xludf.ISOWEEKNUM($J1483),"00"))</f>
        <v/>
      </c>
      <c r="B1483"/>
      <c r="C1483" t="str">
        <f>IF($J1483="","",SUMIFS('Hours Log'!$C:$C,'Hours Log'!$A:$A,"&gt;="&amp;$J1483,'Hours Log'!$A:$A,"&lt;"&amp;$J1483+7)+SUMIFS('Hours Log'!$D:$D,'Hours Log'!$A:$A,"&gt;="&amp;$J1483,'Hours Log'!$A:$A,"&lt;"&amp;$J1483+7))</f>
        <v/>
      </c>
      <c r="D1483" t="str">
        <f>IF($J1483="","",SUMIFS('Hours Log'!$D:$D,'Hours Log'!$A:$A,"&gt;="&amp;$J1483,'Hours Log'!$A:$A,"&lt;"&amp;$J1483+7))</f>
        <v/>
      </c>
      <c r="E1483" t="str">
        <f t="shared" si="46"/>
        <v/>
      </c>
      <c r="F1483" t="str">
        <f t="shared" si="47"/>
        <v/>
      </c>
      <c r="G1483" t="str">
        <f>IF($J1483="","",SUMIFS('Hours Log'!$E:$E,'Hours Log'!$A:$A,"&gt;="&amp;$J1483,'Hours Log'!$A:$A,"&lt;"&amp;$J1483+7))</f>
        <v/>
      </c>
      <c r="J1483" t="str">
        <f>IF(COUNT('Hours Log'!$A$4:$A$5000)=0,"",IF(MIN('Hours Log'!$A$4:$A$5000)+7*(ROW()-10)&gt;MAX('Hours Log'!$A$4:$A$5000),"",MIN('Hours Log'!$A$4:$A$5000)+7*(ROW()-10)))</f>
        <v/>
      </c>
    </row>
    <row r="1484" spans="1:10" x14ac:dyDescent="0.25">
      <c r="A1484" t="str">
        <f>IF($J1484="","",YEAR($J1484-WEEKDAY($J1484,2)+4)&amp;"-W"&amp;TEXT(_xludf.ISOWEEKNUM($J1484),"00"))</f>
        <v/>
      </c>
      <c r="B1484"/>
      <c r="C1484" t="str">
        <f>IF($J1484="","",SUMIFS('Hours Log'!$C:$C,'Hours Log'!$A:$A,"&gt;="&amp;$J1484,'Hours Log'!$A:$A,"&lt;"&amp;$J1484+7)+SUMIFS('Hours Log'!$D:$D,'Hours Log'!$A:$A,"&gt;="&amp;$J1484,'Hours Log'!$A:$A,"&lt;"&amp;$J1484+7))</f>
        <v/>
      </c>
      <c r="D1484" t="str">
        <f>IF($J1484="","",SUMIFS('Hours Log'!$D:$D,'Hours Log'!$A:$A,"&gt;="&amp;$J1484,'Hours Log'!$A:$A,"&lt;"&amp;$J1484+7))</f>
        <v/>
      </c>
      <c r="E1484" t="str">
        <f t="shared" si="46"/>
        <v/>
      </c>
      <c r="F1484" t="str">
        <f t="shared" si="47"/>
        <v/>
      </c>
      <c r="G1484" t="str">
        <f>IF($J1484="","",SUMIFS('Hours Log'!$E:$E,'Hours Log'!$A:$A,"&gt;="&amp;$J1484,'Hours Log'!$A:$A,"&lt;"&amp;$J1484+7))</f>
        <v/>
      </c>
      <c r="J1484" t="str">
        <f>IF(COUNT('Hours Log'!$A$4:$A$5000)=0,"",IF(MIN('Hours Log'!$A$4:$A$5000)+7*(ROW()-10)&gt;MAX('Hours Log'!$A$4:$A$5000),"",MIN('Hours Log'!$A$4:$A$5000)+7*(ROW()-10)))</f>
        <v/>
      </c>
    </row>
    <row r="1485" spans="1:10" x14ac:dyDescent="0.25">
      <c r="A1485" t="str">
        <f>IF($J1485="","",YEAR($J1485-WEEKDAY($J1485,2)+4)&amp;"-W"&amp;TEXT(_xludf.ISOWEEKNUM($J1485),"00"))</f>
        <v/>
      </c>
      <c r="B1485"/>
      <c r="C1485" t="str">
        <f>IF($J1485="","",SUMIFS('Hours Log'!$C:$C,'Hours Log'!$A:$A,"&gt;="&amp;$J1485,'Hours Log'!$A:$A,"&lt;"&amp;$J1485+7)+SUMIFS('Hours Log'!$D:$D,'Hours Log'!$A:$A,"&gt;="&amp;$J1485,'Hours Log'!$A:$A,"&lt;"&amp;$J1485+7))</f>
        <v/>
      </c>
      <c r="D1485" t="str">
        <f>IF($J1485="","",SUMIFS('Hours Log'!$D:$D,'Hours Log'!$A:$A,"&gt;="&amp;$J1485,'Hours Log'!$A:$A,"&lt;"&amp;$J1485+7))</f>
        <v/>
      </c>
      <c r="E1485" t="str">
        <f t="shared" si="46"/>
        <v/>
      </c>
      <c r="F1485" t="str">
        <f t="shared" si="47"/>
        <v/>
      </c>
      <c r="G1485" t="str">
        <f>IF($J1485="","",SUMIFS('Hours Log'!$E:$E,'Hours Log'!$A:$A,"&gt;="&amp;$J1485,'Hours Log'!$A:$A,"&lt;"&amp;$J1485+7))</f>
        <v/>
      </c>
      <c r="J1485" t="str">
        <f>IF(COUNT('Hours Log'!$A$4:$A$5000)=0,"",IF(MIN('Hours Log'!$A$4:$A$5000)+7*(ROW()-10)&gt;MAX('Hours Log'!$A$4:$A$5000),"",MIN('Hours Log'!$A$4:$A$5000)+7*(ROW()-10)))</f>
        <v/>
      </c>
    </row>
    <row r="1486" spans="1:10" x14ac:dyDescent="0.25">
      <c r="A1486" t="str">
        <f>IF($J1486="","",YEAR($J1486-WEEKDAY($J1486,2)+4)&amp;"-W"&amp;TEXT(_xludf.ISOWEEKNUM($J1486),"00"))</f>
        <v/>
      </c>
      <c r="B1486"/>
      <c r="C1486" t="str">
        <f>IF($J1486="","",SUMIFS('Hours Log'!$C:$C,'Hours Log'!$A:$A,"&gt;="&amp;$J1486,'Hours Log'!$A:$A,"&lt;"&amp;$J1486+7)+SUMIFS('Hours Log'!$D:$D,'Hours Log'!$A:$A,"&gt;="&amp;$J1486,'Hours Log'!$A:$A,"&lt;"&amp;$J1486+7))</f>
        <v/>
      </c>
      <c r="D1486" t="str">
        <f>IF($J1486="","",SUMIFS('Hours Log'!$D:$D,'Hours Log'!$A:$A,"&gt;="&amp;$J1486,'Hours Log'!$A:$A,"&lt;"&amp;$J1486+7))</f>
        <v/>
      </c>
      <c r="E1486" t="str">
        <f t="shared" si="46"/>
        <v/>
      </c>
      <c r="F1486" t="str">
        <f t="shared" si="47"/>
        <v/>
      </c>
      <c r="G1486" t="str">
        <f>IF($J1486="","",SUMIFS('Hours Log'!$E:$E,'Hours Log'!$A:$A,"&gt;="&amp;$J1486,'Hours Log'!$A:$A,"&lt;"&amp;$J1486+7))</f>
        <v/>
      </c>
      <c r="J1486" t="str">
        <f>IF(COUNT('Hours Log'!$A$4:$A$5000)=0,"",IF(MIN('Hours Log'!$A$4:$A$5000)+7*(ROW()-10)&gt;MAX('Hours Log'!$A$4:$A$5000),"",MIN('Hours Log'!$A$4:$A$5000)+7*(ROW()-10)))</f>
        <v/>
      </c>
    </row>
    <row r="1487" spans="1:10" x14ac:dyDescent="0.25">
      <c r="A1487" t="str">
        <f>IF($J1487="","",YEAR($J1487-WEEKDAY($J1487,2)+4)&amp;"-W"&amp;TEXT(_xludf.ISOWEEKNUM($J1487),"00"))</f>
        <v/>
      </c>
      <c r="B1487"/>
      <c r="C1487" t="str">
        <f>IF($J1487="","",SUMIFS('Hours Log'!$C:$C,'Hours Log'!$A:$A,"&gt;="&amp;$J1487,'Hours Log'!$A:$A,"&lt;"&amp;$J1487+7)+SUMIFS('Hours Log'!$D:$D,'Hours Log'!$A:$A,"&gt;="&amp;$J1487,'Hours Log'!$A:$A,"&lt;"&amp;$J1487+7))</f>
        <v/>
      </c>
      <c r="D1487" t="str">
        <f>IF($J1487="","",SUMIFS('Hours Log'!$D:$D,'Hours Log'!$A:$A,"&gt;="&amp;$J1487,'Hours Log'!$A:$A,"&lt;"&amp;$J1487+7))</f>
        <v/>
      </c>
      <c r="E1487" t="str">
        <f t="shared" si="46"/>
        <v/>
      </c>
      <c r="F1487" t="str">
        <f t="shared" si="47"/>
        <v/>
      </c>
      <c r="G1487" t="str">
        <f>IF($J1487="","",SUMIFS('Hours Log'!$E:$E,'Hours Log'!$A:$A,"&gt;="&amp;$J1487,'Hours Log'!$A:$A,"&lt;"&amp;$J1487+7))</f>
        <v/>
      </c>
      <c r="J1487" t="str">
        <f>IF(COUNT('Hours Log'!$A$4:$A$5000)=0,"",IF(MIN('Hours Log'!$A$4:$A$5000)+7*(ROW()-10)&gt;MAX('Hours Log'!$A$4:$A$5000),"",MIN('Hours Log'!$A$4:$A$5000)+7*(ROW()-10)))</f>
        <v/>
      </c>
    </row>
    <row r="1488" spans="1:10" x14ac:dyDescent="0.25">
      <c r="A1488" t="str">
        <f>IF($J1488="","",YEAR($J1488-WEEKDAY($J1488,2)+4)&amp;"-W"&amp;TEXT(_xludf.ISOWEEKNUM($J1488),"00"))</f>
        <v/>
      </c>
      <c r="B1488"/>
      <c r="C1488" t="str">
        <f>IF($J1488="","",SUMIFS('Hours Log'!$C:$C,'Hours Log'!$A:$A,"&gt;="&amp;$J1488,'Hours Log'!$A:$A,"&lt;"&amp;$J1488+7)+SUMIFS('Hours Log'!$D:$D,'Hours Log'!$A:$A,"&gt;="&amp;$J1488,'Hours Log'!$A:$A,"&lt;"&amp;$J1488+7))</f>
        <v/>
      </c>
      <c r="D1488" t="str">
        <f>IF($J1488="","",SUMIFS('Hours Log'!$D:$D,'Hours Log'!$A:$A,"&gt;="&amp;$J1488,'Hours Log'!$A:$A,"&lt;"&amp;$J1488+7))</f>
        <v/>
      </c>
      <c r="E1488" t="str">
        <f t="shared" si="46"/>
        <v/>
      </c>
      <c r="F1488" t="str">
        <f t="shared" si="47"/>
        <v/>
      </c>
      <c r="G1488" t="str">
        <f>IF($J1488="","",SUMIFS('Hours Log'!$E:$E,'Hours Log'!$A:$A,"&gt;="&amp;$J1488,'Hours Log'!$A:$A,"&lt;"&amp;$J1488+7))</f>
        <v/>
      </c>
      <c r="J1488" t="str">
        <f>IF(COUNT('Hours Log'!$A$4:$A$5000)=0,"",IF(MIN('Hours Log'!$A$4:$A$5000)+7*(ROW()-10)&gt;MAX('Hours Log'!$A$4:$A$5000),"",MIN('Hours Log'!$A$4:$A$5000)+7*(ROW()-10)))</f>
        <v/>
      </c>
    </row>
    <row r="1489" spans="1:10" x14ac:dyDescent="0.25">
      <c r="A1489" t="str">
        <f>IF($J1489="","",YEAR($J1489-WEEKDAY($J1489,2)+4)&amp;"-W"&amp;TEXT(_xludf.ISOWEEKNUM($J1489),"00"))</f>
        <v/>
      </c>
      <c r="B1489"/>
      <c r="C1489" t="str">
        <f>IF($J1489="","",SUMIFS('Hours Log'!$C:$C,'Hours Log'!$A:$A,"&gt;="&amp;$J1489,'Hours Log'!$A:$A,"&lt;"&amp;$J1489+7)+SUMIFS('Hours Log'!$D:$D,'Hours Log'!$A:$A,"&gt;="&amp;$J1489,'Hours Log'!$A:$A,"&lt;"&amp;$J1489+7))</f>
        <v/>
      </c>
      <c r="D1489" t="str">
        <f>IF($J1489="","",SUMIFS('Hours Log'!$D:$D,'Hours Log'!$A:$A,"&gt;="&amp;$J1489,'Hours Log'!$A:$A,"&lt;"&amp;$J1489+7))</f>
        <v/>
      </c>
      <c r="E1489" t="str">
        <f t="shared" si="46"/>
        <v/>
      </c>
      <c r="F1489" t="str">
        <f t="shared" si="47"/>
        <v/>
      </c>
      <c r="G1489" t="str">
        <f>IF($J1489="","",SUMIFS('Hours Log'!$E:$E,'Hours Log'!$A:$A,"&gt;="&amp;$J1489,'Hours Log'!$A:$A,"&lt;"&amp;$J1489+7))</f>
        <v/>
      </c>
      <c r="J1489" t="str">
        <f>IF(COUNT('Hours Log'!$A$4:$A$5000)=0,"",IF(MIN('Hours Log'!$A$4:$A$5000)+7*(ROW()-10)&gt;MAX('Hours Log'!$A$4:$A$5000),"",MIN('Hours Log'!$A$4:$A$5000)+7*(ROW()-10)))</f>
        <v/>
      </c>
    </row>
    <row r="1490" spans="1:10" x14ac:dyDescent="0.25">
      <c r="A1490" t="str">
        <f>IF($J1490="","",YEAR($J1490-WEEKDAY($J1490,2)+4)&amp;"-W"&amp;TEXT(_xludf.ISOWEEKNUM($J1490),"00"))</f>
        <v/>
      </c>
      <c r="B1490"/>
      <c r="C1490" t="str">
        <f>IF($J1490="","",SUMIFS('Hours Log'!$C:$C,'Hours Log'!$A:$A,"&gt;="&amp;$J1490,'Hours Log'!$A:$A,"&lt;"&amp;$J1490+7)+SUMIFS('Hours Log'!$D:$D,'Hours Log'!$A:$A,"&gt;="&amp;$J1490,'Hours Log'!$A:$A,"&lt;"&amp;$J1490+7))</f>
        <v/>
      </c>
      <c r="D1490" t="str">
        <f>IF($J1490="","",SUMIFS('Hours Log'!$D:$D,'Hours Log'!$A:$A,"&gt;="&amp;$J1490,'Hours Log'!$A:$A,"&lt;"&amp;$J1490+7))</f>
        <v/>
      </c>
      <c r="E1490" t="str">
        <f t="shared" si="46"/>
        <v/>
      </c>
      <c r="F1490" t="str">
        <f t="shared" si="47"/>
        <v/>
      </c>
      <c r="G1490" t="str">
        <f>IF($J1490="","",SUMIFS('Hours Log'!$E:$E,'Hours Log'!$A:$A,"&gt;="&amp;$J1490,'Hours Log'!$A:$A,"&lt;"&amp;$J1490+7))</f>
        <v/>
      </c>
      <c r="J1490" t="str">
        <f>IF(COUNT('Hours Log'!$A$4:$A$5000)=0,"",IF(MIN('Hours Log'!$A$4:$A$5000)+7*(ROW()-10)&gt;MAX('Hours Log'!$A$4:$A$5000),"",MIN('Hours Log'!$A$4:$A$5000)+7*(ROW()-10)))</f>
        <v/>
      </c>
    </row>
    <row r="1491" spans="1:10" x14ac:dyDescent="0.25">
      <c r="A1491" t="str">
        <f>IF($J1491="","",YEAR($J1491-WEEKDAY($J1491,2)+4)&amp;"-W"&amp;TEXT(_xludf.ISOWEEKNUM($J1491),"00"))</f>
        <v/>
      </c>
      <c r="B1491"/>
      <c r="C1491" t="str">
        <f>IF($J1491="","",SUMIFS('Hours Log'!$C:$C,'Hours Log'!$A:$A,"&gt;="&amp;$J1491,'Hours Log'!$A:$A,"&lt;"&amp;$J1491+7)+SUMIFS('Hours Log'!$D:$D,'Hours Log'!$A:$A,"&gt;="&amp;$J1491,'Hours Log'!$A:$A,"&lt;"&amp;$J1491+7))</f>
        <v/>
      </c>
      <c r="D1491" t="str">
        <f>IF($J1491="","",SUMIFS('Hours Log'!$D:$D,'Hours Log'!$A:$A,"&gt;="&amp;$J1491,'Hours Log'!$A:$A,"&lt;"&amp;$J1491+7))</f>
        <v/>
      </c>
      <c r="E1491" t="str">
        <f t="shared" si="46"/>
        <v/>
      </c>
      <c r="F1491" t="str">
        <f t="shared" si="47"/>
        <v/>
      </c>
      <c r="G1491" t="str">
        <f>IF($J1491="","",SUMIFS('Hours Log'!$E:$E,'Hours Log'!$A:$A,"&gt;="&amp;$J1491,'Hours Log'!$A:$A,"&lt;"&amp;$J1491+7))</f>
        <v/>
      </c>
      <c r="J1491" t="str">
        <f>IF(COUNT('Hours Log'!$A$4:$A$5000)=0,"",IF(MIN('Hours Log'!$A$4:$A$5000)+7*(ROW()-10)&gt;MAX('Hours Log'!$A$4:$A$5000),"",MIN('Hours Log'!$A$4:$A$5000)+7*(ROW()-10)))</f>
        <v/>
      </c>
    </row>
    <row r="1492" spans="1:10" x14ac:dyDescent="0.25">
      <c r="A1492" t="str">
        <f>IF($J1492="","",YEAR($J1492-WEEKDAY($J1492,2)+4)&amp;"-W"&amp;TEXT(_xludf.ISOWEEKNUM($J1492),"00"))</f>
        <v/>
      </c>
      <c r="B1492"/>
      <c r="C1492" t="str">
        <f>IF($J1492="","",SUMIFS('Hours Log'!$C:$C,'Hours Log'!$A:$A,"&gt;="&amp;$J1492,'Hours Log'!$A:$A,"&lt;"&amp;$J1492+7)+SUMIFS('Hours Log'!$D:$D,'Hours Log'!$A:$A,"&gt;="&amp;$J1492,'Hours Log'!$A:$A,"&lt;"&amp;$J1492+7))</f>
        <v/>
      </c>
      <c r="D1492" t="str">
        <f>IF($J1492="","",SUMIFS('Hours Log'!$D:$D,'Hours Log'!$A:$A,"&gt;="&amp;$J1492,'Hours Log'!$A:$A,"&lt;"&amp;$J1492+7))</f>
        <v/>
      </c>
      <c r="E1492" t="str">
        <f t="shared" si="46"/>
        <v/>
      </c>
      <c r="F1492" t="str">
        <f t="shared" si="47"/>
        <v/>
      </c>
      <c r="G1492" t="str">
        <f>IF($J1492="","",SUMIFS('Hours Log'!$E:$E,'Hours Log'!$A:$A,"&gt;="&amp;$J1492,'Hours Log'!$A:$A,"&lt;"&amp;$J1492+7))</f>
        <v/>
      </c>
      <c r="J1492" t="str">
        <f>IF(COUNT('Hours Log'!$A$4:$A$5000)=0,"",IF(MIN('Hours Log'!$A$4:$A$5000)+7*(ROW()-10)&gt;MAX('Hours Log'!$A$4:$A$5000),"",MIN('Hours Log'!$A$4:$A$5000)+7*(ROW()-10)))</f>
        <v/>
      </c>
    </row>
    <row r="1493" spans="1:10" x14ac:dyDescent="0.25">
      <c r="A1493" t="str">
        <f>IF($J1493="","",YEAR($J1493-WEEKDAY($J1493,2)+4)&amp;"-W"&amp;TEXT(_xludf.ISOWEEKNUM($J1493),"00"))</f>
        <v/>
      </c>
      <c r="B1493"/>
      <c r="C1493" t="str">
        <f>IF($J1493="","",SUMIFS('Hours Log'!$C:$C,'Hours Log'!$A:$A,"&gt;="&amp;$J1493,'Hours Log'!$A:$A,"&lt;"&amp;$J1493+7)+SUMIFS('Hours Log'!$D:$D,'Hours Log'!$A:$A,"&gt;="&amp;$J1493,'Hours Log'!$A:$A,"&lt;"&amp;$J1493+7))</f>
        <v/>
      </c>
      <c r="D1493" t="str">
        <f>IF($J1493="","",SUMIFS('Hours Log'!$D:$D,'Hours Log'!$A:$A,"&gt;="&amp;$J1493,'Hours Log'!$A:$A,"&lt;"&amp;$J1493+7))</f>
        <v/>
      </c>
      <c r="E1493" t="str">
        <f t="shared" si="46"/>
        <v/>
      </c>
      <c r="F1493" t="str">
        <f t="shared" si="47"/>
        <v/>
      </c>
      <c r="G1493" t="str">
        <f>IF($J1493="","",SUMIFS('Hours Log'!$E:$E,'Hours Log'!$A:$A,"&gt;="&amp;$J1493,'Hours Log'!$A:$A,"&lt;"&amp;$J1493+7))</f>
        <v/>
      </c>
      <c r="J1493" t="str">
        <f>IF(COUNT('Hours Log'!$A$4:$A$5000)=0,"",IF(MIN('Hours Log'!$A$4:$A$5000)+7*(ROW()-10)&gt;MAX('Hours Log'!$A$4:$A$5000),"",MIN('Hours Log'!$A$4:$A$5000)+7*(ROW()-10)))</f>
        <v/>
      </c>
    </row>
    <row r="1494" spans="1:10" x14ac:dyDescent="0.25">
      <c r="A1494" t="str">
        <f>IF($J1494="","",YEAR($J1494-WEEKDAY($J1494,2)+4)&amp;"-W"&amp;TEXT(_xludf.ISOWEEKNUM($J1494),"00"))</f>
        <v/>
      </c>
      <c r="B1494"/>
      <c r="C1494" t="str">
        <f>IF($J1494="","",SUMIFS('Hours Log'!$C:$C,'Hours Log'!$A:$A,"&gt;="&amp;$J1494,'Hours Log'!$A:$A,"&lt;"&amp;$J1494+7)+SUMIFS('Hours Log'!$D:$D,'Hours Log'!$A:$A,"&gt;="&amp;$J1494,'Hours Log'!$A:$A,"&lt;"&amp;$J1494+7))</f>
        <v/>
      </c>
      <c r="D1494" t="str">
        <f>IF($J1494="","",SUMIFS('Hours Log'!$D:$D,'Hours Log'!$A:$A,"&gt;="&amp;$J1494,'Hours Log'!$A:$A,"&lt;"&amp;$J1494+7))</f>
        <v/>
      </c>
      <c r="E1494" t="str">
        <f t="shared" si="46"/>
        <v/>
      </c>
      <c r="F1494" t="str">
        <f t="shared" si="47"/>
        <v/>
      </c>
      <c r="G1494" t="str">
        <f>IF($J1494="","",SUMIFS('Hours Log'!$E:$E,'Hours Log'!$A:$A,"&gt;="&amp;$J1494,'Hours Log'!$A:$A,"&lt;"&amp;$J1494+7))</f>
        <v/>
      </c>
      <c r="J1494" t="str">
        <f>IF(COUNT('Hours Log'!$A$4:$A$5000)=0,"",IF(MIN('Hours Log'!$A$4:$A$5000)+7*(ROW()-10)&gt;MAX('Hours Log'!$A$4:$A$5000),"",MIN('Hours Log'!$A$4:$A$5000)+7*(ROW()-10)))</f>
        <v/>
      </c>
    </row>
    <row r="1495" spans="1:10" x14ac:dyDescent="0.25">
      <c r="A1495" t="str">
        <f>IF($J1495="","",YEAR($J1495-WEEKDAY($J1495,2)+4)&amp;"-W"&amp;TEXT(_xludf.ISOWEEKNUM($J1495),"00"))</f>
        <v/>
      </c>
      <c r="B1495"/>
      <c r="C1495" t="str">
        <f>IF($J1495="","",SUMIFS('Hours Log'!$C:$C,'Hours Log'!$A:$A,"&gt;="&amp;$J1495,'Hours Log'!$A:$A,"&lt;"&amp;$J1495+7)+SUMIFS('Hours Log'!$D:$D,'Hours Log'!$A:$A,"&gt;="&amp;$J1495,'Hours Log'!$A:$A,"&lt;"&amp;$J1495+7))</f>
        <v/>
      </c>
      <c r="D1495" t="str">
        <f>IF($J1495="","",SUMIFS('Hours Log'!$D:$D,'Hours Log'!$A:$A,"&gt;="&amp;$J1495,'Hours Log'!$A:$A,"&lt;"&amp;$J1495+7))</f>
        <v/>
      </c>
      <c r="E1495" t="str">
        <f t="shared" si="46"/>
        <v/>
      </c>
      <c r="F1495" t="str">
        <f t="shared" si="47"/>
        <v/>
      </c>
      <c r="G1495" t="str">
        <f>IF($J1495="","",SUMIFS('Hours Log'!$E:$E,'Hours Log'!$A:$A,"&gt;="&amp;$J1495,'Hours Log'!$A:$A,"&lt;"&amp;$J1495+7))</f>
        <v/>
      </c>
      <c r="J1495" t="str">
        <f>IF(COUNT('Hours Log'!$A$4:$A$5000)=0,"",IF(MIN('Hours Log'!$A$4:$A$5000)+7*(ROW()-10)&gt;MAX('Hours Log'!$A$4:$A$5000),"",MIN('Hours Log'!$A$4:$A$5000)+7*(ROW()-10)))</f>
        <v/>
      </c>
    </row>
    <row r="1496" spans="1:10" x14ac:dyDescent="0.25">
      <c r="A1496" t="str">
        <f>IF($J1496="","",YEAR($J1496-WEEKDAY($J1496,2)+4)&amp;"-W"&amp;TEXT(_xludf.ISOWEEKNUM($J1496),"00"))</f>
        <v/>
      </c>
      <c r="B1496"/>
      <c r="C1496" t="str">
        <f>IF($J1496="","",SUMIFS('Hours Log'!$C:$C,'Hours Log'!$A:$A,"&gt;="&amp;$J1496,'Hours Log'!$A:$A,"&lt;"&amp;$J1496+7)+SUMIFS('Hours Log'!$D:$D,'Hours Log'!$A:$A,"&gt;="&amp;$J1496,'Hours Log'!$A:$A,"&lt;"&amp;$J1496+7))</f>
        <v/>
      </c>
      <c r="D1496" t="str">
        <f>IF($J1496="","",SUMIFS('Hours Log'!$D:$D,'Hours Log'!$A:$A,"&gt;="&amp;$J1496,'Hours Log'!$A:$A,"&lt;"&amp;$J1496+7))</f>
        <v/>
      </c>
      <c r="E1496" t="str">
        <f t="shared" si="46"/>
        <v/>
      </c>
      <c r="F1496" t="str">
        <f t="shared" si="47"/>
        <v/>
      </c>
      <c r="G1496" t="str">
        <f>IF($J1496="","",SUMIFS('Hours Log'!$E:$E,'Hours Log'!$A:$A,"&gt;="&amp;$J1496,'Hours Log'!$A:$A,"&lt;"&amp;$J1496+7))</f>
        <v/>
      </c>
      <c r="J1496" t="str">
        <f>IF(COUNT('Hours Log'!$A$4:$A$5000)=0,"",IF(MIN('Hours Log'!$A$4:$A$5000)+7*(ROW()-10)&gt;MAX('Hours Log'!$A$4:$A$5000),"",MIN('Hours Log'!$A$4:$A$5000)+7*(ROW()-10)))</f>
        <v/>
      </c>
    </row>
    <row r="1497" spans="1:10" x14ac:dyDescent="0.25">
      <c r="A1497" t="str">
        <f>IF($J1497="","",YEAR($J1497-WEEKDAY($J1497,2)+4)&amp;"-W"&amp;TEXT(_xludf.ISOWEEKNUM($J1497),"00"))</f>
        <v/>
      </c>
      <c r="B1497"/>
      <c r="C1497" t="str">
        <f>IF($J1497="","",SUMIFS('Hours Log'!$C:$C,'Hours Log'!$A:$A,"&gt;="&amp;$J1497,'Hours Log'!$A:$A,"&lt;"&amp;$J1497+7)+SUMIFS('Hours Log'!$D:$D,'Hours Log'!$A:$A,"&gt;="&amp;$J1497,'Hours Log'!$A:$A,"&lt;"&amp;$J1497+7))</f>
        <v/>
      </c>
      <c r="D1497" t="str">
        <f>IF($J1497="","",SUMIFS('Hours Log'!$D:$D,'Hours Log'!$A:$A,"&gt;="&amp;$J1497,'Hours Log'!$A:$A,"&lt;"&amp;$J1497+7))</f>
        <v/>
      </c>
      <c r="E1497" t="str">
        <f t="shared" si="46"/>
        <v/>
      </c>
      <c r="F1497" t="str">
        <f t="shared" si="47"/>
        <v/>
      </c>
      <c r="G1497" t="str">
        <f>IF($J1497="","",SUMIFS('Hours Log'!$E:$E,'Hours Log'!$A:$A,"&gt;="&amp;$J1497,'Hours Log'!$A:$A,"&lt;"&amp;$J1497+7))</f>
        <v/>
      </c>
      <c r="J1497" t="str">
        <f>IF(COUNT('Hours Log'!$A$4:$A$5000)=0,"",IF(MIN('Hours Log'!$A$4:$A$5000)+7*(ROW()-10)&gt;MAX('Hours Log'!$A$4:$A$5000),"",MIN('Hours Log'!$A$4:$A$5000)+7*(ROW()-10)))</f>
        <v/>
      </c>
    </row>
    <row r="1498" spans="1:10" x14ac:dyDescent="0.25">
      <c r="A1498" t="str">
        <f>IF($J1498="","",YEAR($J1498-WEEKDAY($J1498,2)+4)&amp;"-W"&amp;TEXT(_xludf.ISOWEEKNUM($J1498),"00"))</f>
        <v/>
      </c>
      <c r="B1498"/>
      <c r="C1498" t="str">
        <f>IF($J1498="","",SUMIFS('Hours Log'!$C:$C,'Hours Log'!$A:$A,"&gt;="&amp;$J1498,'Hours Log'!$A:$A,"&lt;"&amp;$J1498+7)+SUMIFS('Hours Log'!$D:$D,'Hours Log'!$A:$A,"&gt;="&amp;$J1498,'Hours Log'!$A:$A,"&lt;"&amp;$J1498+7))</f>
        <v/>
      </c>
      <c r="D1498" t="str">
        <f>IF($J1498="","",SUMIFS('Hours Log'!$D:$D,'Hours Log'!$A:$A,"&gt;="&amp;$J1498,'Hours Log'!$A:$A,"&lt;"&amp;$J1498+7))</f>
        <v/>
      </c>
      <c r="E1498" t="str">
        <f t="shared" si="46"/>
        <v/>
      </c>
      <c r="F1498" t="str">
        <f t="shared" si="47"/>
        <v/>
      </c>
      <c r="G1498" t="str">
        <f>IF($J1498="","",SUMIFS('Hours Log'!$E:$E,'Hours Log'!$A:$A,"&gt;="&amp;$J1498,'Hours Log'!$A:$A,"&lt;"&amp;$J1498+7))</f>
        <v/>
      </c>
      <c r="J1498" t="str">
        <f>IF(COUNT('Hours Log'!$A$4:$A$5000)=0,"",IF(MIN('Hours Log'!$A$4:$A$5000)+7*(ROW()-10)&gt;MAX('Hours Log'!$A$4:$A$5000),"",MIN('Hours Log'!$A$4:$A$5000)+7*(ROW()-10)))</f>
        <v/>
      </c>
    </row>
    <row r="1499" spans="1:10" x14ac:dyDescent="0.25">
      <c r="A1499" t="str">
        <f>IF($J1499="","",YEAR($J1499-WEEKDAY($J1499,2)+4)&amp;"-W"&amp;TEXT(_xludf.ISOWEEKNUM($J1499),"00"))</f>
        <v/>
      </c>
      <c r="B1499"/>
      <c r="C1499" t="str">
        <f>IF($J1499="","",SUMIFS('Hours Log'!$C:$C,'Hours Log'!$A:$A,"&gt;="&amp;$J1499,'Hours Log'!$A:$A,"&lt;"&amp;$J1499+7)+SUMIFS('Hours Log'!$D:$D,'Hours Log'!$A:$A,"&gt;="&amp;$J1499,'Hours Log'!$A:$A,"&lt;"&amp;$J1499+7))</f>
        <v/>
      </c>
      <c r="D1499" t="str">
        <f>IF($J1499="","",SUMIFS('Hours Log'!$D:$D,'Hours Log'!$A:$A,"&gt;="&amp;$J1499,'Hours Log'!$A:$A,"&lt;"&amp;$J1499+7))</f>
        <v/>
      </c>
      <c r="E1499" t="str">
        <f t="shared" si="46"/>
        <v/>
      </c>
      <c r="F1499" t="str">
        <f t="shared" si="47"/>
        <v/>
      </c>
      <c r="G1499" t="str">
        <f>IF($J1499="","",SUMIFS('Hours Log'!$E:$E,'Hours Log'!$A:$A,"&gt;="&amp;$J1499,'Hours Log'!$A:$A,"&lt;"&amp;$J1499+7))</f>
        <v/>
      </c>
      <c r="J1499" t="str">
        <f>IF(COUNT('Hours Log'!$A$4:$A$5000)=0,"",IF(MIN('Hours Log'!$A$4:$A$5000)+7*(ROW()-10)&gt;MAX('Hours Log'!$A$4:$A$5000),"",MIN('Hours Log'!$A$4:$A$5000)+7*(ROW()-10)))</f>
        <v/>
      </c>
    </row>
    <row r="1500" spans="1:10" x14ac:dyDescent="0.25">
      <c r="A1500" t="str">
        <f>IF($J1500="","",YEAR($J1500-WEEKDAY($J1500,2)+4)&amp;"-W"&amp;TEXT(_xludf.ISOWEEKNUM($J1500),"00"))</f>
        <v/>
      </c>
      <c r="B1500"/>
      <c r="C1500" t="str">
        <f>IF($J1500="","",SUMIFS('Hours Log'!$C:$C,'Hours Log'!$A:$A,"&gt;="&amp;$J1500,'Hours Log'!$A:$A,"&lt;"&amp;$J1500+7)+SUMIFS('Hours Log'!$D:$D,'Hours Log'!$A:$A,"&gt;="&amp;$J1500,'Hours Log'!$A:$A,"&lt;"&amp;$J1500+7))</f>
        <v/>
      </c>
      <c r="D1500" t="str">
        <f>IF($J1500="","",SUMIFS('Hours Log'!$D:$D,'Hours Log'!$A:$A,"&gt;="&amp;$J1500,'Hours Log'!$A:$A,"&lt;"&amp;$J1500+7))</f>
        <v/>
      </c>
      <c r="E1500" t="str">
        <f t="shared" si="46"/>
        <v/>
      </c>
      <c r="F1500" t="str">
        <f t="shared" si="47"/>
        <v/>
      </c>
      <c r="G1500" t="str">
        <f>IF($J1500="","",SUMIFS('Hours Log'!$E:$E,'Hours Log'!$A:$A,"&gt;="&amp;$J1500,'Hours Log'!$A:$A,"&lt;"&amp;$J1500+7))</f>
        <v/>
      </c>
      <c r="J1500" t="str">
        <f>IF(COUNT('Hours Log'!$A$4:$A$5000)=0,"",IF(MIN('Hours Log'!$A$4:$A$5000)+7*(ROW()-10)&gt;MAX('Hours Log'!$A$4:$A$5000),"",MIN('Hours Log'!$A$4:$A$5000)+7*(ROW()-10)))</f>
        <v/>
      </c>
    </row>
    <row r="1501" spans="1:10" x14ac:dyDescent="0.25">
      <c r="A1501" t="str">
        <f>IF($J1501="","",YEAR($J1501-WEEKDAY($J1501,2)+4)&amp;"-W"&amp;TEXT(_xludf.ISOWEEKNUM($J1501),"00"))</f>
        <v/>
      </c>
      <c r="B1501"/>
      <c r="C1501" t="str">
        <f>IF($J1501="","",SUMIFS('Hours Log'!$C:$C,'Hours Log'!$A:$A,"&gt;="&amp;$J1501,'Hours Log'!$A:$A,"&lt;"&amp;$J1501+7)+SUMIFS('Hours Log'!$D:$D,'Hours Log'!$A:$A,"&gt;="&amp;$J1501,'Hours Log'!$A:$A,"&lt;"&amp;$J1501+7))</f>
        <v/>
      </c>
      <c r="D1501" t="str">
        <f>IF($J1501="","",SUMIFS('Hours Log'!$D:$D,'Hours Log'!$A:$A,"&gt;="&amp;$J1501,'Hours Log'!$A:$A,"&lt;"&amp;$J1501+7))</f>
        <v/>
      </c>
      <c r="E1501" t="str">
        <f t="shared" si="46"/>
        <v/>
      </c>
      <c r="F1501" t="str">
        <f t="shared" si="47"/>
        <v/>
      </c>
      <c r="G1501" t="str">
        <f>IF($J1501="","",SUMIFS('Hours Log'!$E:$E,'Hours Log'!$A:$A,"&gt;="&amp;$J1501,'Hours Log'!$A:$A,"&lt;"&amp;$J1501+7))</f>
        <v/>
      </c>
      <c r="J1501" t="str">
        <f>IF(COUNT('Hours Log'!$A$4:$A$5000)=0,"",IF(MIN('Hours Log'!$A$4:$A$5000)+7*(ROW()-10)&gt;MAX('Hours Log'!$A$4:$A$5000),"",MIN('Hours Log'!$A$4:$A$5000)+7*(ROW()-10)))</f>
        <v/>
      </c>
    </row>
    <row r="1502" spans="1:10" x14ac:dyDescent="0.25">
      <c r="A1502" t="str">
        <f>IF($J1502="","",YEAR($J1502-WEEKDAY($J1502,2)+4)&amp;"-W"&amp;TEXT(_xludf.ISOWEEKNUM($J1502),"00"))</f>
        <v/>
      </c>
      <c r="B1502"/>
      <c r="C1502" t="str">
        <f>IF($J1502="","",SUMIFS('Hours Log'!$C:$C,'Hours Log'!$A:$A,"&gt;="&amp;$J1502,'Hours Log'!$A:$A,"&lt;"&amp;$J1502+7)+SUMIFS('Hours Log'!$D:$D,'Hours Log'!$A:$A,"&gt;="&amp;$J1502,'Hours Log'!$A:$A,"&lt;"&amp;$J1502+7))</f>
        <v/>
      </c>
      <c r="D1502" t="str">
        <f>IF($J1502="","",SUMIFS('Hours Log'!$D:$D,'Hours Log'!$A:$A,"&gt;="&amp;$J1502,'Hours Log'!$A:$A,"&lt;"&amp;$J1502+7))</f>
        <v/>
      </c>
      <c r="E1502" t="str">
        <f t="shared" si="46"/>
        <v/>
      </c>
      <c r="F1502" t="str">
        <f t="shared" si="47"/>
        <v/>
      </c>
      <c r="G1502" t="str">
        <f>IF($J1502="","",SUMIFS('Hours Log'!$E:$E,'Hours Log'!$A:$A,"&gt;="&amp;$J1502,'Hours Log'!$A:$A,"&lt;"&amp;$J1502+7))</f>
        <v/>
      </c>
      <c r="J1502" t="str">
        <f>IF(COUNT('Hours Log'!$A$4:$A$5000)=0,"",IF(MIN('Hours Log'!$A$4:$A$5000)+7*(ROW()-10)&gt;MAX('Hours Log'!$A$4:$A$5000),"",MIN('Hours Log'!$A$4:$A$5000)+7*(ROW()-10)))</f>
        <v/>
      </c>
    </row>
    <row r="1503" spans="1:10" x14ac:dyDescent="0.25">
      <c r="A1503" t="str">
        <f>IF($J1503="","",YEAR($J1503-WEEKDAY($J1503,2)+4)&amp;"-W"&amp;TEXT(_xludf.ISOWEEKNUM($J1503),"00"))</f>
        <v/>
      </c>
      <c r="B1503"/>
      <c r="C1503" t="str">
        <f>IF($J1503="","",SUMIFS('Hours Log'!$C:$C,'Hours Log'!$A:$A,"&gt;="&amp;$J1503,'Hours Log'!$A:$A,"&lt;"&amp;$J1503+7)+SUMIFS('Hours Log'!$D:$D,'Hours Log'!$A:$A,"&gt;="&amp;$J1503,'Hours Log'!$A:$A,"&lt;"&amp;$J1503+7))</f>
        <v/>
      </c>
      <c r="D1503" t="str">
        <f>IF($J1503="","",SUMIFS('Hours Log'!$D:$D,'Hours Log'!$A:$A,"&gt;="&amp;$J1503,'Hours Log'!$A:$A,"&lt;"&amp;$J1503+7))</f>
        <v/>
      </c>
      <c r="E1503" t="str">
        <f t="shared" si="46"/>
        <v/>
      </c>
      <c r="F1503" t="str">
        <f t="shared" si="47"/>
        <v/>
      </c>
      <c r="G1503" t="str">
        <f>IF($J1503="","",SUMIFS('Hours Log'!$E:$E,'Hours Log'!$A:$A,"&gt;="&amp;$J1503,'Hours Log'!$A:$A,"&lt;"&amp;$J1503+7))</f>
        <v/>
      </c>
      <c r="J1503" t="str">
        <f>IF(COUNT('Hours Log'!$A$4:$A$5000)=0,"",IF(MIN('Hours Log'!$A$4:$A$5000)+7*(ROW()-10)&gt;MAX('Hours Log'!$A$4:$A$5000),"",MIN('Hours Log'!$A$4:$A$5000)+7*(ROW()-10)))</f>
        <v/>
      </c>
    </row>
    <row r="1504" spans="1:10" x14ac:dyDescent="0.25">
      <c r="A1504" t="str">
        <f>IF($J1504="","",YEAR($J1504-WEEKDAY($J1504,2)+4)&amp;"-W"&amp;TEXT(_xludf.ISOWEEKNUM($J1504),"00"))</f>
        <v/>
      </c>
      <c r="B1504"/>
      <c r="C1504" t="str">
        <f>IF($J1504="","",SUMIFS('Hours Log'!$C:$C,'Hours Log'!$A:$A,"&gt;="&amp;$J1504,'Hours Log'!$A:$A,"&lt;"&amp;$J1504+7)+SUMIFS('Hours Log'!$D:$D,'Hours Log'!$A:$A,"&gt;="&amp;$J1504,'Hours Log'!$A:$A,"&lt;"&amp;$J1504+7))</f>
        <v/>
      </c>
      <c r="D1504" t="str">
        <f>IF($J1504="","",SUMIFS('Hours Log'!$D:$D,'Hours Log'!$A:$A,"&gt;="&amp;$J1504,'Hours Log'!$A:$A,"&lt;"&amp;$J1504+7))</f>
        <v/>
      </c>
      <c r="E1504" t="str">
        <f t="shared" si="46"/>
        <v/>
      </c>
      <c r="F1504" t="str">
        <f t="shared" si="47"/>
        <v/>
      </c>
      <c r="G1504" t="str">
        <f>IF($J1504="","",SUMIFS('Hours Log'!$E:$E,'Hours Log'!$A:$A,"&gt;="&amp;$J1504,'Hours Log'!$A:$A,"&lt;"&amp;$J1504+7))</f>
        <v/>
      </c>
      <c r="J1504" t="str">
        <f>IF(COUNT('Hours Log'!$A$4:$A$5000)=0,"",IF(MIN('Hours Log'!$A$4:$A$5000)+7*(ROW()-10)&gt;MAX('Hours Log'!$A$4:$A$5000),"",MIN('Hours Log'!$A$4:$A$5000)+7*(ROW()-10)))</f>
        <v/>
      </c>
    </row>
    <row r="1505" spans="1:10" x14ac:dyDescent="0.25">
      <c r="A1505" t="str">
        <f>IF($J1505="","",YEAR($J1505-WEEKDAY($J1505,2)+4)&amp;"-W"&amp;TEXT(_xludf.ISOWEEKNUM($J1505),"00"))</f>
        <v/>
      </c>
      <c r="B1505"/>
      <c r="C1505" t="str">
        <f>IF($J1505="","",SUMIFS('Hours Log'!$C:$C,'Hours Log'!$A:$A,"&gt;="&amp;$J1505,'Hours Log'!$A:$A,"&lt;"&amp;$J1505+7)+SUMIFS('Hours Log'!$D:$D,'Hours Log'!$A:$A,"&gt;="&amp;$J1505,'Hours Log'!$A:$A,"&lt;"&amp;$J1505+7))</f>
        <v/>
      </c>
      <c r="D1505" t="str">
        <f>IF($J1505="","",SUMIFS('Hours Log'!$D:$D,'Hours Log'!$A:$A,"&gt;="&amp;$J1505,'Hours Log'!$A:$A,"&lt;"&amp;$J1505+7))</f>
        <v/>
      </c>
      <c r="E1505" t="str">
        <f t="shared" si="46"/>
        <v/>
      </c>
      <c r="F1505" t="str">
        <f t="shared" si="47"/>
        <v/>
      </c>
      <c r="G1505" t="str">
        <f>IF($J1505="","",SUMIFS('Hours Log'!$E:$E,'Hours Log'!$A:$A,"&gt;="&amp;$J1505,'Hours Log'!$A:$A,"&lt;"&amp;$J1505+7))</f>
        <v/>
      </c>
      <c r="J1505" t="str">
        <f>IF(COUNT('Hours Log'!$A$4:$A$5000)=0,"",IF(MIN('Hours Log'!$A$4:$A$5000)+7*(ROW()-10)&gt;MAX('Hours Log'!$A$4:$A$5000),"",MIN('Hours Log'!$A$4:$A$5000)+7*(ROW()-10)))</f>
        <v/>
      </c>
    </row>
    <row r="1506" spans="1:10" x14ac:dyDescent="0.25">
      <c r="A1506" t="str">
        <f>IF($J1506="","",YEAR($J1506-WEEKDAY($J1506,2)+4)&amp;"-W"&amp;TEXT(_xludf.ISOWEEKNUM($J1506),"00"))</f>
        <v/>
      </c>
      <c r="B1506"/>
      <c r="C1506" t="str">
        <f>IF($J1506="","",SUMIFS('Hours Log'!$C:$C,'Hours Log'!$A:$A,"&gt;="&amp;$J1506,'Hours Log'!$A:$A,"&lt;"&amp;$J1506+7)+SUMIFS('Hours Log'!$D:$D,'Hours Log'!$A:$A,"&gt;="&amp;$J1506,'Hours Log'!$A:$A,"&lt;"&amp;$J1506+7))</f>
        <v/>
      </c>
      <c r="D1506" t="str">
        <f>IF($J1506="","",SUMIFS('Hours Log'!$D:$D,'Hours Log'!$A:$A,"&gt;="&amp;$J1506,'Hours Log'!$A:$A,"&lt;"&amp;$J1506+7))</f>
        <v/>
      </c>
      <c r="E1506" t="str">
        <f t="shared" si="46"/>
        <v/>
      </c>
      <c r="F1506" t="str">
        <f t="shared" si="47"/>
        <v/>
      </c>
      <c r="G1506" t="str">
        <f>IF($J1506="","",SUMIFS('Hours Log'!$E:$E,'Hours Log'!$A:$A,"&gt;="&amp;$J1506,'Hours Log'!$A:$A,"&lt;"&amp;$J1506+7))</f>
        <v/>
      </c>
      <c r="J1506" t="str">
        <f>IF(COUNT('Hours Log'!$A$4:$A$5000)=0,"",IF(MIN('Hours Log'!$A$4:$A$5000)+7*(ROW()-10)&gt;MAX('Hours Log'!$A$4:$A$5000),"",MIN('Hours Log'!$A$4:$A$5000)+7*(ROW()-10)))</f>
        <v/>
      </c>
    </row>
    <row r="1507" spans="1:10" x14ac:dyDescent="0.25">
      <c r="A1507" t="str">
        <f>IF($J1507="","",YEAR($J1507-WEEKDAY($J1507,2)+4)&amp;"-W"&amp;TEXT(_xludf.ISOWEEKNUM($J1507),"00"))</f>
        <v/>
      </c>
      <c r="B1507"/>
      <c r="C1507" t="str">
        <f>IF($J1507="","",SUMIFS('Hours Log'!$C:$C,'Hours Log'!$A:$A,"&gt;="&amp;$J1507,'Hours Log'!$A:$A,"&lt;"&amp;$J1507+7)+SUMIFS('Hours Log'!$D:$D,'Hours Log'!$A:$A,"&gt;="&amp;$J1507,'Hours Log'!$A:$A,"&lt;"&amp;$J1507+7))</f>
        <v/>
      </c>
      <c r="D1507" t="str">
        <f>IF($J1507="","",SUMIFS('Hours Log'!$D:$D,'Hours Log'!$A:$A,"&gt;="&amp;$J1507,'Hours Log'!$A:$A,"&lt;"&amp;$J1507+7))</f>
        <v/>
      </c>
      <c r="E1507" t="str">
        <f t="shared" si="46"/>
        <v/>
      </c>
      <c r="F1507" t="str">
        <f t="shared" si="47"/>
        <v/>
      </c>
      <c r="G1507" t="str">
        <f>IF($J1507="","",SUMIFS('Hours Log'!$E:$E,'Hours Log'!$A:$A,"&gt;="&amp;$J1507,'Hours Log'!$A:$A,"&lt;"&amp;$J1507+7))</f>
        <v/>
      </c>
      <c r="J1507" t="str">
        <f>IF(COUNT('Hours Log'!$A$4:$A$5000)=0,"",IF(MIN('Hours Log'!$A$4:$A$5000)+7*(ROW()-10)&gt;MAX('Hours Log'!$A$4:$A$5000),"",MIN('Hours Log'!$A$4:$A$5000)+7*(ROW()-10)))</f>
        <v/>
      </c>
    </row>
    <row r="1508" spans="1:10" x14ac:dyDescent="0.25">
      <c r="A1508" t="str">
        <f>IF($J1508="","",YEAR($J1508-WEEKDAY($J1508,2)+4)&amp;"-W"&amp;TEXT(_xludf.ISOWEEKNUM($J1508),"00"))</f>
        <v/>
      </c>
      <c r="B1508"/>
      <c r="C1508" t="str">
        <f>IF($J1508="","",SUMIFS('Hours Log'!$C:$C,'Hours Log'!$A:$A,"&gt;="&amp;$J1508,'Hours Log'!$A:$A,"&lt;"&amp;$J1508+7)+SUMIFS('Hours Log'!$D:$D,'Hours Log'!$A:$A,"&gt;="&amp;$J1508,'Hours Log'!$A:$A,"&lt;"&amp;$J1508+7))</f>
        <v/>
      </c>
      <c r="D1508" t="str">
        <f>IF($J1508="","",SUMIFS('Hours Log'!$D:$D,'Hours Log'!$A:$A,"&gt;="&amp;$J1508,'Hours Log'!$A:$A,"&lt;"&amp;$J1508+7))</f>
        <v/>
      </c>
      <c r="E1508" t="str">
        <f t="shared" si="46"/>
        <v/>
      </c>
      <c r="F1508" t="str">
        <f t="shared" si="47"/>
        <v/>
      </c>
      <c r="G1508" t="str">
        <f>IF($J1508="","",SUMIFS('Hours Log'!$E:$E,'Hours Log'!$A:$A,"&gt;="&amp;$J1508,'Hours Log'!$A:$A,"&lt;"&amp;$J1508+7))</f>
        <v/>
      </c>
      <c r="J1508" t="str">
        <f>IF(COUNT('Hours Log'!$A$4:$A$5000)=0,"",IF(MIN('Hours Log'!$A$4:$A$5000)+7*(ROW()-10)&gt;MAX('Hours Log'!$A$4:$A$5000),"",MIN('Hours Log'!$A$4:$A$5000)+7*(ROW()-10)))</f>
        <v/>
      </c>
    </row>
    <row r="1509" spans="1:10" x14ac:dyDescent="0.25">
      <c r="A1509" t="str">
        <f>IF($J1509="","",YEAR($J1509-WEEKDAY($J1509,2)+4)&amp;"-W"&amp;TEXT(_xludf.ISOWEEKNUM($J1509),"00"))</f>
        <v/>
      </c>
      <c r="B1509"/>
      <c r="C1509" t="str">
        <f>IF($J1509="","",SUMIFS('Hours Log'!$C:$C,'Hours Log'!$A:$A,"&gt;="&amp;$J1509,'Hours Log'!$A:$A,"&lt;"&amp;$J1509+7)+SUMIFS('Hours Log'!$D:$D,'Hours Log'!$A:$A,"&gt;="&amp;$J1509,'Hours Log'!$A:$A,"&lt;"&amp;$J1509+7))</f>
        <v/>
      </c>
      <c r="D1509" t="str">
        <f>IF($J1509="","",SUMIFS('Hours Log'!$D:$D,'Hours Log'!$A:$A,"&gt;="&amp;$J1509,'Hours Log'!$A:$A,"&lt;"&amp;$J1509+7))</f>
        <v/>
      </c>
      <c r="E1509" t="str">
        <f t="shared" si="46"/>
        <v/>
      </c>
      <c r="F1509" t="str">
        <f t="shared" si="47"/>
        <v/>
      </c>
      <c r="G1509" t="str">
        <f>IF($J1509="","",SUMIFS('Hours Log'!$E:$E,'Hours Log'!$A:$A,"&gt;="&amp;$J1509,'Hours Log'!$A:$A,"&lt;"&amp;$J1509+7))</f>
        <v/>
      </c>
      <c r="J1509" t="str">
        <f>IF(COUNT('Hours Log'!$A$4:$A$5000)=0,"",IF(MIN('Hours Log'!$A$4:$A$5000)+7*(ROW()-10)&gt;MAX('Hours Log'!$A$4:$A$5000),"",MIN('Hours Log'!$A$4:$A$5000)+7*(ROW()-10)))</f>
        <v/>
      </c>
    </row>
    <row r="1510" spans="1:10" x14ac:dyDescent="0.25">
      <c r="A1510" t="str">
        <f>IF($J1510="","",YEAR($J1510-WEEKDAY($J1510,2)+4)&amp;"-W"&amp;TEXT(_xludf.ISOWEEKNUM($J1510),"00"))</f>
        <v/>
      </c>
      <c r="B1510"/>
      <c r="C1510" t="str">
        <f>IF($J1510="","",SUMIFS('Hours Log'!$C:$C,'Hours Log'!$A:$A,"&gt;="&amp;$J1510,'Hours Log'!$A:$A,"&lt;"&amp;$J1510+7)+SUMIFS('Hours Log'!$D:$D,'Hours Log'!$A:$A,"&gt;="&amp;$J1510,'Hours Log'!$A:$A,"&lt;"&amp;$J1510+7))</f>
        <v/>
      </c>
      <c r="D1510" t="str">
        <f>IF($J1510="","",SUMIFS('Hours Log'!$D:$D,'Hours Log'!$A:$A,"&gt;="&amp;$J1510,'Hours Log'!$A:$A,"&lt;"&amp;$J1510+7))</f>
        <v/>
      </c>
      <c r="E1510" t="str">
        <f t="shared" si="46"/>
        <v/>
      </c>
      <c r="F1510" t="str">
        <f t="shared" si="47"/>
        <v/>
      </c>
      <c r="G1510" t="str">
        <f>IF($J1510="","",SUMIFS('Hours Log'!$E:$E,'Hours Log'!$A:$A,"&gt;="&amp;$J1510,'Hours Log'!$A:$A,"&lt;"&amp;$J1510+7))</f>
        <v/>
      </c>
      <c r="J1510" t="str">
        <f>IF(COUNT('Hours Log'!$A$4:$A$5000)=0,"",IF(MIN('Hours Log'!$A$4:$A$5000)+7*(ROW()-10)&gt;MAX('Hours Log'!$A$4:$A$5000),"",MIN('Hours Log'!$A$4:$A$5000)+7*(ROW()-10)))</f>
        <v/>
      </c>
    </row>
    <row r="1511" spans="1:10" x14ac:dyDescent="0.25">
      <c r="A1511" t="str">
        <f>IF($J1511="","",YEAR($J1511-WEEKDAY($J1511,2)+4)&amp;"-W"&amp;TEXT(_xludf.ISOWEEKNUM($J1511),"00"))</f>
        <v/>
      </c>
      <c r="B1511"/>
      <c r="C1511" t="str">
        <f>IF($J1511="","",SUMIFS('Hours Log'!$C:$C,'Hours Log'!$A:$A,"&gt;="&amp;$J1511,'Hours Log'!$A:$A,"&lt;"&amp;$J1511+7)+SUMIFS('Hours Log'!$D:$D,'Hours Log'!$A:$A,"&gt;="&amp;$J1511,'Hours Log'!$A:$A,"&lt;"&amp;$J1511+7))</f>
        <v/>
      </c>
      <c r="D1511" t="str">
        <f>IF($J1511="","",SUMIFS('Hours Log'!$D:$D,'Hours Log'!$A:$A,"&gt;="&amp;$J1511,'Hours Log'!$A:$A,"&lt;"&amp;$J1511+7))</f>
        <v/>
      </c>
      <c r="E1511" t="str">
        <f t="shared" si="46"/>
        <v/>
      </c>
      <c r="F1511" t="str">
        <f t="shared" si="47"/>
        <v/>
      </c>
      <c r="G1511" t="str">
        <f>IF($J1511="","",SUMIFS('Hours Log'!$E:$E,'Hours Log'!$A:$A,"&gt;="&amp;$J1511,'Hours Log'!$A:$A,"&lt;"&amp;$J1511+7))</f>
        <v/>
      </c>
      <c r="J1511" t="str">
        <f>IF(COUNT('Hours Log'!$A$4:$A$5000)=0,"",IF(MIN('Hours Log'!$A$4:$A$5000)+7*(ROW()-10)&gt;MAX('Hours Log'!$A$4:$A$5000),"",MIN('Hours Log'!$A$4:$A$5000)+7*(ROW()-10)))</f>
        <v/>
      </c>
    </row>
    <row r="1512" spans="1:10" x14ac:dyDescent="0.25">
      <c r="A1512" t="str">
        <f>IF($J1512="","",YEAR($J1512-WEEKDAY($J1512,2)+4)&amp;"-W"&amp;TEXT(_xludf.ISOWEEKNUM($J1512),"00"))</f>
        <v/>
      </c>
      <c r="B1512"/>
      <c r="C1512" t="str">
        <f>IF($J1512="","",SUMIFS('Hours Log'!$C:$C,'Hours Log'!$A:$A,"&gt;="&amp;$J1512,'Hours Log'!$A:$A,"&lt;"&amp;$J1512+7)+SUMIFS('Hours Log'!$D:$D,'Hours Log'!$A:$A,"&gt;="&amp;$J1512,'Hours Log'!$A:$A,"&lt;"&amp;$J1512+7))</f>
        <v/>
      </c>
      <c r="D1512" t="str">
        <f>IF($J1512="","",SUMIFS('Hours Log'!$D:$D,'Hours Log'!$A:$A,"&gt;="&amp;$J1512,'Hours Log'!$A:$A,"&lt;"&amp;$J1512+7))</f>
        <v/>
      </c>
      <c r="E1512" t="str">
        <f t="shared" si="46"/>
        <v/>
      </c>
      <c r="F1512" t="str">
        <f t="shared" si="47"/>
        <v/>
      </c>
      <c r="G1512" t="str">
        <f>IF($J1512="","",SUMIFS('Hours Log'!$E:$E,'Hours Log'!$A:$A,"&gt;="&amp;$J1512,'Hours Log'!$A:$A,"&lt;"&amp;$J1512+7))</f>
        <v/>
      </c>
      <c r="J1512" t="str">
        <f>IF(COUNT('Hours Log'!$A$4:$A$5000)=0,"",IF(MIN('Hours Log'!$A$4:$A$5000)+7*(ROW()-10)&gt;MAX('Hours Log'!$A$4:$A$5000),"",MIN('Hours Log'!$A$4:$A$5000)+7*(ROW()-10)))</f>
        <v/>
      </c>
    </row>
    <row r="1513" spans="1:10" x14ac:dyDescent="0.25">
      <c r="A1513" t="str">
        <f>IF($J1513="","",YEAR($J1513-WEEKDAY($J1513,2)+4)&amp;"-W"&amp;TEXT(_xludf.ISOWEEKNUM($J1513),"00"))</f>
        <v/>
      </c>
      <c r="B1513"/>
      <c r="C1513" t="str">
        <f>IF($J1513="","",SUMIFS('Hours Log'!$C:$C,'Hours Log'!$A:$A,"&gt;="&amp;$J1513,'Hours Log'!$A:$A,"&lt;"&amp;$J1513+7)+SUMIFS('Hours Log'!$D:$D,'Hours Log'!$A:$A,"&gt;="&amp;$J1513,'Hours Log'!$A:$A,"&lt;"&amp;$J1513+7))</f>
        <v/>
      </c>
      <c r="D1513" t="str">
        <f>IF($J1513="","",SUMIFS('Hours Log'!$D:$D,'Hours Log'!$A:$A,"&gt;="&amp;$J1513,'Hours Log'!$A:$A,"&lt;"&amp;$J1513+7))</f>
        <v/>
      </c>
      <c r="E1513" t="str">
        <f t="shared" si="46"/>
        <v/>
      </c>
      <c r="F1513" t="str">
        <f t="shared" si="47"/>
        <v/>
      </c>
      <c r="G1513" t="str">
        <f>IF($J1513="","",SUMIFS('Hours Log'!$E:$E,'Hours Log'!$A:$A,"&gt;="&amp;$J1513,'Hours Log'!$A:$A,"&lt;"&amp;$J1513+7))</f>
        <v/>
      </c>
      <c r="J1513" t="str">
        <f>IF(COUNT('Hours Log'!$A$4:$A$5000)=0,"",IF(MIN('Hours Log'!$A$4:$A$5000)+7*(ROW()-10)&gt;MAX('Hours Log'!$A$4:$A$5000),"",MIN('Hours Log'!$A$4:$A$5000)+7*(ROW()-10)))</f>
        <v/>
      </c>
    </row>
    <row r="1514" spans="1:10" x14ac:dyDescent="0.25">
      <c r="A1514" t="str">
        <f>IF($J1514="","",YEAR($J1514-WEEKDAY($J1514,2)+4)&amp;"-W"&amp;TEXT(_xludf.ISOWEEKNUM($J1514),"00"))</f>
        <v/>
      </c>
      <c r="B1514"/>
      <c r="C1514" t="str">
        <f>IF($J1514="","",SUMIFS('Hours Log'!$C:$C,'Hours Log'!$A:$A,"&gt;="&amp;$J1514,'Hours Log'!$A:$A,"&lt;"&amp;$J1514+7)+SUMIFS('Hours Log'!$D:$D,'Hours Log'!$A:$A,"&gt;="&amp;$J1514,'Hours Log'!$A:$A,"&lt;"&amp;$J1514+7))</f>
        <v/>
      </c>
      <c r="D1514" t="str">
        <f>IF($J1514="","",SUMIFS('Hours Log'!$D:$D,'Hours Log'!$A:$A,"&gt;="&amp;$J1514,'Hours Log'!$A:$A,"&lt;"&amp;$J1514+7))</f>
        <v/>
      </c>
      <c r="E1514" t="str">
        <f t="shared" si="46"/>
        <v/>
      </c>
      <c r="F1514" t="str">
        <f t="shared" si="47"/>
        <v/>
      </c>
      <c r="G1514" t="str">
        <f>IF($J1514="","",SUMIFS('Hours Log'!$E:$E,'Hours Log'!$A:$A,"&gt;="&amp;$J1514,'Hours Log'!$A:$A,"&lt;"&amp;$J1514+7))</f>
        <v/>
      </c>
      <c r="J1514" t="str">
        <f>IF(COUNT('Hours Log'!$A$4:$A$5000)=0,"",IF(MIN('Hours Log'!$A$4:$A$5000)+7*(ROW()-10)&gt;MAX('Hours Log'!$A$4:$A$5000),"",MIN('Hours Log'!$A$4:$A$5000)+7*(ROW()-10)))</f>
        <v/>
      </c>
    </row>
    <row r="1515" spans="1:10" x14ac:dyDescent="0.25">
      <c r="A1515" t="str">
        <f>IF($J1515="","",YEAR($J1515-WEEKDAY($J1515,2)+4)&amp;"-W"&amp;TEXT(_xludf.ISOWEEKNUM($J1515),"00"))</f>
        <v/>
      </c>
      <c r="B1515"/>
      <c r="C1515" t="str">
        <f>IF($J1515="","",SUMIFS('Hours Log'!$C:$C,'Hours Log'!$A:$A,"&gt;="&amp;$J1515,'Hours Log'!$A:$A,"&lt;"&amp;$J1515+7)+SUMIFS('Hours Log'!$D:$D,'Hours Log'!$A:$A,"&gt;="&amp;$J1515,'Hours Log'!$A:$A,"&lt;"&amp;$J1515+7))</f>
        <v/>
      </c>
      <c r="D1515" t="str">
        <f>IF($J1515="","",SUMIFS('Hours Log'!$D:$D,'Hours Log'!$A:$A,"&gt;="&amp;$J1515,'Hours Log'!$A:$A,"&lt;"&amp;$J1515+7))</f>
        <v/>
      </c>
      <c r="E1515" t="str">
        <f t="shared" si="46"/>
        <v/>
      </c>
      <c r="F1515" t="str">
        <f t="shared" si="47"/>
        <v/>
      </c>
      <c r="G1515" t="str">
        <f>IF($J1515="","",SUMIFS('Hours Log'!$E:$E,'Hours Log'!$A:$A,"&gt;="&amp;$J1515,'Hours Log'!$A:$A,"&lt;"&amp;$J1515+7))</f>
        <v/>
      </c>
      <c r="J1515" t="str">
        <f>IF(COUNT('Hours Log'!$A$4:$A$5000)=0,"",IF(MIN('Hours Log'!$A$4:$A$5000)+7*(ROW()-10)&gt;MAX('Hours Log'!$A$4:$A$5000),"",MIN('Hours Log'!$A$4:$A$5000)+7*(ROW()-10)))</f>
        <v/>
      </c>
    </row>
    <row r="1516" spans="1:10" x14ac:dyDescent="0.25">
      <c r="A1516" t="str">
        <f>IF($J1516="","",YEAR($J1516-WEEKDAY($J1516,2)+4)&amp;"-W"&amp;TEXT(_xludf.ISOWEEKNUM($J1516),"00"))</f>
        <v/>
      </c>
      <c r="B1516"/>
      <c r="C1516" t="str">
        <f>IF($J1516="","",SUMIFS('Hours Log'!$C:$C,'Hours Log'!$A:$A,"&gt;="&amp;$J1516,'Hours Log'!$A:$A,"&lt;"&amp;$J1516+7)+SUMIFS('Hours Log'!$D:$D,'Hours Log'!$A:$A,"&gt;="&amp;$J1516,'Hours Log'!$A:$A,"&lt;"&amp;$J1516+7))</f>
        <v/>
      </c>
      <c r="D1516" t="str">
        <f>IF($J1516="","",SUMIFS('Hours Log'!$D:$D,'Hours Log'!$A:$A,"&gt;="&amp;$J1516,'Hours Log'!$A:$A,"&lt;"&amp;$J1516+7))</f>
        <v/>
      </c>
      <c r="E1516" t="str">
        <f t="shared" si="46"/>
        <v/>
      </c>
      <c r="F1516" t="str">
        <f t="shared" si="47"/>
        <v/>
      </c>
      <c r="G1516" t="str">
        <f>IF($J1516="","",SUMIFS('Hours Log'!$E:$E,'Hours Log'!$A:$A,"&gt;="&amp;$J1516,'Hours Log'!$A:$A,"&lt;"&amp;$J1516+7))</f>
        <v/>
      </c>
      <c r="J1516" t="str">
        <f>IF(COUNT('Hours Log'!$A$4:$A$5000)=0,"",IF(MIN('Hours Log'!$A$4:$A$5000)+7*(ROW()-10)&gt;MAX('Hours Log'!$A$4:$A$5000),"",MIN('Hours Log'!$A$4:$A$5000)+7*(ROW()-10)))</f>
        <v/>
      </c>
    </row>
    <row r="1517" spans="1:10" x14ac:dyDescent="0.25">
      <c r="A1517" t="str">
        <f>IF($J1517="","",YEAR($J1517-WEEKDAY($J1517,2)+4)&amp;"-W"&amp;TEXT(_xludf.ISOWEEKNUM($J1517),"00"))</f>
        <v/>
      </c>
      <c r="B1517"/>
      <c r="C1517" t="str">
        <f>IF($J1517="","",SUMIFS('Hours Log'!$C:$C,'Hours Log'!$A:$A,"&gt;="&amp;$J1517,'Hours Log'!$A:$A,"&lt;"&amp;$J1517+7)+SUMIFS('Hours Log'!$D:$D,'Hours Log'!$A:$A,"&gt;="&amp;$J1517,'Hours Log'!$A:$A,"&lt;"&amp;$J1517+7))</f>
        <v/>
      </c>
      <c r="D1517" t="str">
        <f>IF($J1517="","",SUMIFS('Hours Log'!$D:$D,'Hours Log'!$A:$A,"&gt;="&amp;$J1517,'Hours Log'!$A:$A,"&lt;"&amp;$J1517+7))</f>
        <v/>
      </c>
      <c r="E1517" t="str">
        <f t="shared" si="46"/>
        <v/>
      </c>
      <c r="F1517" t="str">
        <f t="shared" si="47"/>
        <v/>
      </c>
      <c r="G1517" t="str">
        <f>IF($J1517="","",SUMIFS('Hours Log'!$E:$E,'Hours Log'!$A:$A,"&gt;="&amp;$J1517,'Hours Log'!$A:$A,"&lt;"&amp;$J1517+7))</f>
        <v/>
      </c>
      <c r="J1517" t="str">
        <f>IF(COUNT('Hours Log'!$A$4:$A$5000)=0,"",IF(MIN('Hours Log'!$A$4:$A$5000)+7*(ROW()-10)&gt;MAX('Hours Log'!$A$4:$A$5000),"",MIN('Hours Log'!$A$4:$A$5000)+7*(ROW()-10)))</f>
        <v/>
      </c>
    </row>
    <row r="1518" spans="1:10" x14ac:dyDescent="0.25">
      <c r="A1518" t="str">
        <f>IF($J1518="","",YEAR($J1518-WEEKDAY($J1518,2)+4)&amp;"-W"&amp;TEXT(_xludf.ISOWEEKNUM($J1518),"00"))</f>
        <v/>
      </c>
      <c r="B1518"/>
      <c r="C1518" t="str">
        <f>IF($J1518="","",SUMIFS('Hours Log'!$C:$C,'Hours Log'!$A:$A,"&gt;="&amp;$J1518,'Hours Log'!$A:$A,"&lt;"&amp;$J1518+7)+SUMIFS('Hours Log'!$D:$D,'Hours Log'!$A:$A,"&gt;="&amp;$J1518,'Hours Log'!$A:$A,"&lt;"&amp;$J1518+7))</f>
        <v/>
      </c>
      <c r="D1518" t="str">
        <f>IF($J1518="","",SUMIFS('Hours Log'!$D:$D,'Hours Log'!$A:$A,"&gt;="&amp;$J1518,'Hours Log'!$A:$A,"&lt;"&amp;$J1518+7))</f>
        <v/>
      </c>
      <c r="E1518" t="str">
        <f t="shared" si="46"/>
        <v/>
      </c>
      <c r="F1518" t="str">
        <f t="shared" si="47"/>
        <v/>
      </c>
      <c r="G1518" t="str">
        <f>IF($J1518="","",SUMIFS('Hours Log'!$E:$E,'Hours Log'!$A:$A,"&gt;="&amp;$J1518,'Hours Log'!$A:$A,"&lt;"&amp;$J1518+7))</f>
        <v/>
      </c>
      <c r="J1518" t="str">
        <f>IF(COUNT('Hours Log'!$A$4:$A$5000)=0,"",IF(MIN('Hours Log'!$A$4:$A$5000)+7*(ROW()-10)&gt;MAX('Hours Log'!$A$4:$A$5000),"",MIN('Hours Log'!$A$4:$A$5000)+7*(ROW()-10)))</f>
        <v/>
      </c>
    </row>
    <row r="1519" spans="1:10" x14ac:dyDescent="0.25">
      <c r="A1519" t="str">
        <f>IF($J1519="","",YEAR($J1519-WEEKDAY($J1519,2)+4)&amp;"-W"&amp;TEXT(_xludf.ISOWEEKNUM($J1519),"00"))</f>
        <v/>
      </c>
      <c r="B1519"/>
      <c r="C1519" t="str">
        <f>IF($J1519="","",SUMIFS('Hours Log'!$C:$C,'Hours Log'!$A:$A,"&gt;="&amp;$J1519,'Hours Log'!$A:$A,"&lt;"&amp;$J1519+7)+SUMIFS('Hours Log'!$D:$D,'Hours Log'!$A:$A,"&gt;="&amp;$J1519,'Hours Log'!$A:$A,"&lt;"&amp;$J1519+7))</f>
        <v/>
      </c>
      <c r="D1519" t="str">
        <f>IF($J1519="","",SUMIFS('Hours Log'!$D:$D,'Hours Log'!$A:$A,"&gt;="&amp;$J1519,'Hours Log'!$A:$A,"&lt;"&amp;$J1519+7))</f>
        <v/>
      </c>
      <c r="E1519" t="str">
        <f t="shared" si="46"/>
        <v/>
      </c>
      <c r="F1519" t="str">
        <f t="shared" si="47"/>
        <v/>
      </c>
      <c r="G1519" t="str">
        <f>IF($J1519="","",SUMIFS('Hours Log'!$E:$E,'Hours Log'!$A:$A,"&gt;="&amp;$J1519,'Hours Log'!$A:$A,"&lt;"&amp;$J1519+7))</f>
        <v/>
      </c>
      <c r="J1519" t="str">
        <f>IF(COUNT('Hours Log'!$A$4:$A$5000)=0,"",IF(MIN('Hours Log'!$A$4:$A$5000)+7*(ROW()-10)&gt;MAX('Hours Log'!$A$4:$A$5000),"",MIN('Hours Log'!$A$4:$A$5000)+7*(ROW()-10)))</f>
        <v/>
      </c>
    </row>
    <row r="1520" spans="1:10" x14ac:dyDescent="0.25">
      <c r="A1520" t="str">
        <f>IF($J1520="","",YEAR($J1520-WEEKDAY($J1520,2)+4)&amp;"-W"&amp;TEXT(_xludf.ISOWEEKNUM($J1520),"00"))</f>
        <v/>
      </c>
      <c r="B1520"/>
      <c r="C1520" t="str">
        <f>IF($J1520="","",SUMIFS('Hours Log'!$C:$C,'Hours Log'!$A:$A,"&gt;="&amp;$J1520,'Hours Log'!$A:$A,"&lt;"&amp;$J1520+7)+SUMIFS('Hours Log'!$D:$D,'Hours Log'!$A:$A,"&gt;="&amp;$J1520,'Hours Log'!$A:$A,"&lt;"&amp;$J1520+7))</f>
        <v/>
      </c>
      <c r="D1520" t="str">
        <f>IF($J1520="","",SUMIFS('Hours Log'!$D:$D,'Hours Log'!$A:$A,"&gt;="&amp;$J1520,'Hours Log'!$A:$A,"&lt;"&amp;$J1520+7))</f>
        <v/>
      </c>
      <c r="E1520" t="str">
        <f t="shared" si="46"/>
        <v/>
      </c>
      <c r="F1520" t="str">
        <f t="shared" si="47"/>
        <v/>
      </c>
      <c r="G1520" t="str">
        <f>IF($J1520="","",SUMIFS('Hours Log'!$E:$E,'Hours Log'!$A:$A,"&gt;="&amp;$J1520,'Hours Log'!$A:$A,"&lt;"&amp;$J1520+7))</f>
        <v/>
      </c>
      <c r="J1520" t="str">
        <f>IF(COUNT('Hours Log'!$A$4:$A$5000)=0,"",IF(MIN('Hours Log'!$A$4:$A$5000)+7*(ROW()-10)&gt;MAX('Hours Log'!$A$4:$A$5000),"",MIN('Hours Log'!$A$4:$A$5000)+7*(ROW()-10)))</f>
        <v/>
      </c>
    </row>
    <row r="1521" spans="1:10" x14ac:dyDescent="0.25">
      <c r="A1521" t="str">
        <f>IF($J1521="","",YEAR($J1521-WEEKDAY($J1521,2)+4)&amp;"-W"&amp;TEXT(_xludf.ISOWEEKNUM($J1521),"00"))</f>
        <v/>
      </c>
      <c r="B1521"/>
      <c r="C1521" t="str">
        <f>IF($J1521="","",SUMIFS('Hours Log'!$C:$C,'Hours Log'!$A:$A,"&gt;="&amp;$J1521,'Hours Log'!$A:$A,"&lt;"&amp;$J1521+7)+SUMIFS('Hours Log'!$D:$D,'Hours Log'!$A:$A,"&gt;="&amp;$J1521,'Hours Log'!$A:$A,"&lt;"&amp;$J1521+7))</f>
        <v/>
      </c>
      <c r="D1521" t="str">
        <f>IF($J1521="","",SUMIFS('Hours Log'!$D:$D,'Hours Log'!$A:$A,"&gt;="&amp;$J1521,'Hours Log'!$A:$A,"&lt;"&amp;$J1521+7))</f>
        <v/>
      </c>
      <c r="E1521" t="str">
        <f t="shared" si="46"/>
        <v/>
      </c>
      <c r="F1521" t="str">
        <f t="shared" si="47"/>
        <v/>
      </c>
      <c r="G1521" t="str">
        <f>IF($J1521="","",SUMIFS('Hours Log'!$E:$E,'Hours Log'!$A:$A,"&gt;="&amp;$J1521,'Hours Log'!$A:$A,"&lt;"&amp;$J1521+7))</f>
        <v/>
      </c>
      <c r="J1521" t="str">
        <f>IF(COUNT('Hours Log'!$A$4:$A$5000)=0,"",IF(MIN('Hours Log'!$A$4:$A$5000)+7*(ROW()-10)&gt;MAX('Hours Log'!$A$4:$A$5000),"",MIN('Hours Log'!$A$4:$A$5000)+7*(ROW()-10)))</f>
        <v/>
      </c>
    </row>
    <row r="1522" spans="1:10" x14ac:dyDescent="0.25">
      <c r="A1522" t="str">
        <f>IF($J1522="","",YEAR($J1522-WEEKDAY($J1522,2)+4)&amp;"-W"&amp;TEXT(_xludf.ISOWEEKNUM($J1522),"00"))</f>
        <v/>
      </c>
      <c r="B1522"/>
      <c r="C1522" t="str">
        <f>IF($J1522="","",SUMIFS('Hours Log'!$C:$C,'Hours Log'!$A:$A,"&gt;="&amp;$J1522,'Hours Log'!$A:$A,"&lt;"&amp;$J1522+7)+SUMIFS('Hours Log'!$D:$D,'Hours Log'!$A:$A,"&gt;="&amp;$J1522,'Hours Log'!$A:$A,"&lt;"&amp;$J1522+7))</f>
        <v/>
      </c>
      <c r="D1522" t="str">
        <f>IF($J1522="","",SUMIFS('Hours Log'!$D:$D,'Hours Log'!$A:$A,"&gt;="&amp;$J1522,'Hours Log'!$A:$A,"&lt;"&amp;$J1522+7))</f>
        <v/>
      </c>
      <c r="E1522" t="str">
        <f t="shared" si="46"/>
        <v/>
      </c>
      <c r="F1522" t="str">
        <f t="shared" si="47"/>
        <v/>
      </c>
      <c r="G1522" t="str">
        <f>IF($J1522="","",SUMIFS('Hours Log'!$E:$E,'Hours Log'!$A:$A,"&gt;="&amp;$J1522,'Hours Log'!$A:$A,"&lt;"&amp;$J1522+7))</f>
        <v/>
      </c>
      <c r="J1522" t="str">
        <f>IF(COUNT('Hours Log'!$A$4:$A$5000)=0,"",IF(MIN('Hours Log'!$A$4:$A$5000)+7*(ROW()-10)&gt;MAX('Hours Log'!$A$4:$A$5000),"",MIN('Hours Log'!$A$4:$A$5000)+7*(ROW()-10)))</f>
        <v/>
      </c>
    </row>
    <row r="1523" spans="1:10" x14ac:dyDescent="0.25">
      <c r="A1523" t="str">
        <f>IF($J1523="","",YEAR($J1523-WEEKDAY($J1523,2)+4)&amp;"-W"&amp;TEXT(_xludf.ISOWEEKNUM($J1523),"00"))</f>
        <v/>
      </c>
      <c r="B1523"/>
      <c r="C1523" t="str">
        <f>IF($J1523="","",SUMIFS('Hours Log'!$C:$C,'Hours Log'!$A:$A,"&gt;="&amp;$J1523,'Hours Log'!$A:$A,"&lt;"&amp;$J1523+7)+SUMIFS('Hours Log'!$D:$D,'Hours Log'!$A:$A,"&gt;="&amp;$J1523,'Hours Log'!$A:$A,"&lt;"&amp;$J1523+7))</f>
        <v/>
      </c>
      <c r="D1523" t="str">
        <f>IF($J1523="","",SUMIFS('Hours Log'!$D:$D,'Hours Log'!$A:$A,"&gt;="&amp;$J1523,'Hours Log'!$A:$A,"&lt;"&amp;$J1523+7))</f>
        <v/>
      </c>
      <c r="E1523" t="str">
        <f t="shared" si="46"/>
        <v/>
      </c>
      <c r="F1523" t="str">
        <f t="shared" si="47"/>
        <v/>
      </c>
      <c r="G1523" t="str">
        <f>IF($J1523="","",SUMIFS('Hours Log'!$E:$E,'Hours Log'!$A:$A,"&gt;="&amp;$J1523,'Hours Log'!$A:$A,"&lt;"&amp;$J1523+7))</f>
        <v/>
      </c>
      <c r="J1523" t="str">
        <f>IF(COUNT('Hours Log'!$A$4:$A$5000)=0,"",IF(MIN('Hours Log'!$A$4:$A$5000)+7*(ROW()-10)&gt;MAX('Hours Log'!$A$4:$A$5000),"",MIN('Hours Log'!$A$4:$A$5000)+7*(ROW()-10)))</f>
        <v/>
      </c>
    </row>
    <row r="1524" spans="1:10" x14ac:dyDescent="0.25">
      <c r="A1524" t="str">
        <f>IF($J1524="","",YEAR($J1524-WEEKDAY($J1524,2)+4)&amp;"-W"&amp;TEXT(_xludf.ISOWEEKNUM($J1524),"00"))</f>
        <v/>
      </c>
      <c r="B1524"/>
      <c r="C1524" t="str">
        <f>IF($J1524="","",SUMIFS('Hours Log'!$C:$C,'Hours Log'!$A:$A,"&gt;="&amp;$J1524,'Hours Log'!$A:$A,"&lt;"&amp;$J1524+7)+SUMIFS('Hours Log'!$D:$D,'Hours Log'!$A:$A,"&gt;="&amp;$J1524,'Hours Log'!$A:$A,"&lt;"&amp;$J1524+7))</f>
        <v/>
      </c>
      <c r="D1524" t="str">
        <f>IF($J1524="","",SUMIFS('Hours Log'!$D:$D,'Hours Log'!$A:$A,"&gt;="&amp;$J1524,'Hours Log'!$A:$A,"&lt;"&amp;$J1524+7))</f>
        <v/>
      </c>
      <c r="E1524" t="str">
        <f t="shared" si="46"/>
        <v/>
      </c>
      <c r="F1524" t="str">
        <f t="shared" si="47"/>
        <v/>
      </c>
      <c r="G1524" t="str">
        <f>IF($J1524="","",SUMIFS('Hours Log'!$E:$E,'Hours Log'!$A:$A,"&gt;="&amp;$J1524,'Hours Log'!$A:$A,"&lt;"&amp;$J1524+7))</f>
        <v/>
      </c>
      <c r="J1524" t="str">
        <f>IF(COUNT('Hours Log'!$A$4:$A$5000)=0,"",IF(MIN('Hours Log'!$A$4:$A$5000)+7*(ROW()-10)&gt;MAX('Hours Log'!$A$4:$A$5000),"",MIN('Hours Log'!$A$4:$A$5000)+7*(ROW()-10)))</f>
        <v/>
      </c>
    </row>
    <row r="1525" spans="1:10" x14ac:dyDescent="0.25">
      <c r="A1525" t="str">
        <f>IF($J1525="","",YEAR($J1525-WEEKDAY($J1525,2)+4)&amp;"-W"&amp;TEXT(_xludf.ISOWEEKNUM($J1525),"00"))</f>
        <v/>
      </c>
      <c r="B1525"/>
      <c r="C1525" t="str">
        <f>IF($J1525="","",SUMIFS('Hours Log'!$C:$C,'Hours Log'!$A:$A,"&gt;="&amp;$J1525,'Hours Log'!$A:$A,"&lt;"&amp;$J1525+7)+SUMIFS('Hours Log'!$D:$D,'Hours Log'!$A:$A,"&gt;="&amp;$J1525,'Hours Log'!$A:$A,"&lt;"&amp;$J1525+7))</f>
        <v/>
      </c>
      <c r="D1525" t="str">
        <f>IF($J1525="","",SUMIFS('Hours Log'!$D:$D,'Hours Log'!$A:$A,"&gt;="&amp;$J1525,'Hours Log'!$A:$A,"&lt;"&amp;$J1525+7))</f>
        <v/>
      </c>
      <c r="E1525" t="str">
        <f t="shared" si="46"/>
        <v/>
      </c>
      <c r="F1525" t="str">
        <f t="shared" si="47"/>
        <v/>
      </c>
      <c r="G1525" t="str">
        <f>IF($J1525="","",SUMIFS('Hours Log'!$E:$E,'Hours Log'!$A:$A,"&gt;="&amp;$J1525,'Hours Log'!$A:$A,"&lt;"&amp;$J1525+7))</f>
        <v/>
      </c>
      <c r="J1525" t="str">
        <f>IF(COUNT('Hours Log'!$A$4:$A$5000)=0,"",IF(MIN('Hours Log'!$A$4:$A$5000)+7*(ROW()-10)&gt;MAX('Hours Log'!$A$4:$A$5000),"",MIN('Hours Log'!$A$4:$A$5000)+7*(ROW()-10)))</f>
        <v/>
      </c>
    </row>
    <row r="1526" spans="1:10" x14ac:dyDescent="0.25">
      <c r="A1526" t="str">
        <f>IF($J1526="","",YEAR($J1526-WEEKDAY($J1526,2)+4)&amp;"-W"&amp;TEXT(_xludf.ISOWEEKNUM($J1526),"00"))</f>
        <v/>
      </c>
      <c r="B1526"/>
      <c r="C1526" t="str">
        <f>IF($J1526="","",SUMIFS('Hours Log'!$C:$C,'Hours Log'!$A:$A,"&gt;="&amp;$J1526,'Hours Log'!$A:$A,"&lt;"&amp;$J1526+7)+SUMIFS('Hours Log'!$D:$D,'Hours Log'!$A:$A,"&gt;="&amp;$J1526,'Hours Log'!$A:$A,"&lt;"&amp;$J1526+7))</f>
        <v/>
      </c>
      <c r="D1526" t="str">
        <f>IF($J1526="","",SUMIFS('Hours Log'!$D:$D,'Hours Log'!$A:$A,"&gt;="&amp;$J1526,'Hours Log'!$A:$A,"&lt;"&amp;$J1526+7))</f>
        <v/>
      </c>
      <c r="E1526" t="str">
        <f t="shared" si="46"/>
        <v/>
      </c>
      <c r="F1526" t="str">
        <f t="shared" si="47"/>
        <v/>
      </c>
      <c r="G1526" t="str">
        <f>IF($J1526="","",SUMIFS('Hours Log'!$E:$E,'Hours Log'!$A:$A,"&gt;="&amp;$J1526,'Hours Log'!$A:$A,"&lt;"&amp;$J1526+7))</f>
        <v/>
      </c>
      <c r="J1526" t="str">
        <f>IF(COUNT('Hours Log'!$A$4:$A$5000)=0,"",IF(MIN('Hours Log'!$A$4:$A$5000)+7*(ROW()-10)&gt;MAX('Hours Log'!$A$4:$A$5000),"",MIN('Hours Log'!$A$4:$A$5000)+7*(ROW()-10)))</f>
        <v/>
      </c>
    </row>
    <row r="1527" spans="1:10" x14ac:dyDescent="0.25">
      <c r="A1527" t="str">
        <f>IF($J1527="","",YEAR($J1527-WEEKDAY($J1527,2)+4)&amp;"-W"&amp;TEXT(_xludf.ISOWEEKNUM($J1527),"00"))</f>
        <v/>
      </c>
      <c r="B1527"/>
      <c r="C1527" t="str">
        <f>IF($J1527="","",SUMIFS('Hours Log'!$C:$C,'Hours Log'!$A:$A,"&gt;="&amp;$J1527,'Hours Log'!$A:$A,"&lt;"&amp;$J1527+7)+SUMIFS('Hours Log'!$D:$D,'Hours Log'!$A:$A,"&gt;="&amp;$J1527,'Hours Log'!$A:$A,"&lt;"&amp;$J1527+7))</f>
        <v/>
      </c>
      <c r="D1527" t="str">
        <f>IF($J1527="","",SUMIFS('Hours Log'!$D:$D,'Hours Log'!$A:$A,"&gt;="&amp;$J1527,'Hours Log'!$A:$A,"&lt;"&amp;$J1527+7))</f>
        <v/>
      </c>
      <c r="E1527" t="str">
        <f t="shared" si="46"/>
        <v/>
      </c>
      <c r="F1527" t="str">
        <f t="shared" si="47"/>
        <v/>
      </c>
      <c r="G1527" t="str">
        <f>IF($J1527="","",SUMIFS('Hours Log'!$E:$E,'Hours Log'!$A:$A,"&gt;="&amp;$J1527,'Hours Log'!$A:$A,"&lt;"&amp;$J1527+7))</f>
        <v/>
      </c>
      <c r="J1527" t="str">
        <f>IF(COUNT('Hours Log'!$A$4:$A$5000)=0,"",IF(MIN('Hours Log'!$A$4:$A$5000)+7*(ROW()-10)&gt;MAX('Hours Log'!$A$4:$A$5000),"",MIN('Hours Log'!$A$4:$A$5000)+7*(ROW()-10)))</f>
        <v/>
      </c>
    </row>
    <row r="1528" spans="1:10" x14ac:dyDescent="0.25">
      <c r="A1528" t="str">
        <f>IF($J1528="","",YEAR($J1528-WEEKDAY($J1528,2)+4)&amp;"-W"&amp;TEXT(_xludf.ISOWEEKNUM($J1528),"00"))</f>
        <v/>
      </c>
      <c r="B1528"/>
      <c r="C1528" t="str">
        <f>IF($J1528="","",SUMIFS('Hours Log'!$C:$C,'Hours Log'!$A:$A,"&gt;="&amp;$J1528,'Hours Log'!$A:$A,"&lt;"&amp;$J1528+7)+SUMIFS('Hours Log'!$D:$D,'Hours Log'!$A:$A,"&gt;="&amp;$J1528,'Hours Log'!$A:$A,"&lt;"&amp;$J1528+7))</f>
        <v/>
      </c>
      <c r="D1528" t="str">
        <f>IF($J1528="","",SUMIFS('Hours Log'!$D:$D,'Hours Log'!$A:$A,"&gt;="&amp;$J1528,'Hours Log'!$A:$A,"&lt;"&amp;$J1528+7))</f>
        <v/>
      </c>
      <c r="E1528" t="str">
        <f t="shared" si="46"/>
        <v/>
      </c>
      <c r="F1528" t="str">
        <f t="shared" si="47"/>
        <v/>
      </c>
      <c r="G1528" t="str">
        <f>IF($J1528="","",SUMIFS('Hours Log'!$E:$E,'Hours Log'!$A:$A,"&gt;="&amp;$J1528,'Hours Log'!$A:$A,"&lt;"&amp;$J1528+7))</f>
        <v/>
      </c>
      <c r="J1528" t="str">
        <f>IF(COUNT('Hours Log'!$A$4:$A$5000)=0,"",IF(MIN('Hours Log'!$A$4:$A$5000)+7*(ROW()-10)&gt;MAX('Hours Log'!$A$4:$A$5000),"",MIN('Hours Log'!$A$4:$A$5000)+7*(ROW()-10)))</f>
        <v/>
      </c>
    </row>
    <row r="1529" spans="1:10" x14ac:dyDescent="0.25">
      <c r="A1529" t="str">
        <f>IF($J1529="","",YEAR($J1529-WEEKDAY($J1529,2)+4)&amp;"-W"&amp;TEXT(_xludf.ISOWEEKNUM($J1529),"00"))</f>
        <v/>
      </c>
      <c r="B1529"/>
      <c r="C1529" t="str">
        <f>IF($J1529="","",SUMIFS('Hours Log'!$C:$C,'Hours Log'!$A:$A,"&gt;="&amp;$J1529,'Hours Log'!$A:$A,"&lt;"&amp;$J1529+7)+SUMIFS('Hours Log'!$D:$D,'Hours Log'!$A:$A,"&gt;="&amp;$J1529,'Hours Log'!$A:$A,"&lt;"&amp;$J1529+7))</f>
        <v/>
      </c>
      <c r="D1529" t="str">
        <f>IF($J1529="","",SUMIFS('Hours Log'!$D:$D,'Hours Log'!$A:$A,"&gt;="&amp;$J1529,'Hours Log'!$A:$A,"&lt;"&amp;$J1529+7))</f>
        <v/>
      </c>
      <c r="E1529" t="str">
        <f t="shared" si="46"/>
        <v/>
      </c>
      <c r="F1529" t="str">
        <f t="shared" si="47"/>
        <v/>
      </c>
      <c r="G1529" t="str">
        <f>IF($J1529="","",SUMIFS('Hours Log'!$E:$E,'Hours Log'!$A:$A,"&gt;="&amp;$J1529,'Hours Log'!$A:$A,"&lt;"&amp;$J1529+7))</f>
        <v/>
      </c>
      <c r="J1529" t="str">
        <f>IF(COUNT('Hours Log'!$A$4:$A$5000)=0,"",IF(MIN('Hours Log'!$A$4:$A$5000)+7*(ROW()-10)&gt;MAX('Hours Log'!$A$4:$A$5000),"",MIN('Hours Log'!$A$4:$A$5000)+7*(ROW()-10)))</f>
        <v/>
      </c>
    </row>
    <row r="1530" spans="1:10" x14ac:dyDescent="0.25">
      <c r="A1530" t="str">
        <f>IF($J1530="","",YEAR($J1530-WEEKDAY($J1530,2)+4)&amp;"-W"&amp;TEXT(_xludf.ISOWEEKNUM($J1530),"00"))</f>
        <v/>
      </c>
      <c r="B1530"/>
      <c r="C1530" t="str">
        <f>IF($J1530="","",SUMIFS('Hours Log'!$C:$C,'Hours Log'!$A:$A,"&gt;="&amp;$J1530,'Hours Log'!$A:$A,"&lt;"&amp;$J1530+7)+SUMIFS('Hours Log'!$D:$D,'Hours Log'!$A:$A,"&gt;="&amp;$J1530,'Hours Log'!$A:$A,"&lt;"&amp;$J1530+7))</f>
        <v/>
      </c>
      <c r="D1530" t="str">
        <f>IF($J1530="","",SUMIFS('Hours Log'!$D:$D,'Hours Log'!$A:$A,"&gt;="&amp;$J1530,'Hours Log'!$A:$A,"&lt;"&amp;$J1530+7))</f>
        <v/>
      </c>
      <c r="E1530" t="str">
        <f t="shared" si="46"/>
        <v/>
      </c>
      <c r="F1530" t="str">
        <f t="shared" si="47"/>
        <v/>
      </c>
      <c r="G1530" t="str">
        <f>IF($J1530="","",SUMIFS('Hours Log'!$E:$E,'Hours Log'!$A:$A,"&gt;="&amp;$J1530,'Hours Log'!$A:$A,"&lt;"&amp;$J1530+7))</f>
        <v/>
      </c>
      <c r="J1530" t="str">
        <f>IF(COUNT('Hours Log'!$A$4:$A$5000)=0,"",IF(MIN('Hours Log'!$A$4:$A$5000)+7*(ROW()-10)&gt;MAX('Hours Log'!$A$4:$A$5000),"",MIN('Hours Log'!$A$4:$A$5000)+7*(ROW()-10)))</f>
        <v/>
      </c>
    </row>
    <row r="1531" spans="1:10" x14ac:dyDescent="0.25">
      <c r="A1531" t="str">
        <f>IF($J1531="","",YEAR($J1531-WEEKDAY($J1531,2)+4)&amp;"-W"&amp;TEXT(_xludf.ISOWEEKNUM($J1531),"00"))</f>
        <v/>
      </c>
      <c r="B1531"/>
      <c r="C1531" t="str">
        <f>IF($J1531="","",SUMIFS('Hours Log'!$C:$C,'Hours Log'!$A:$A,"&gt;="&amp;$J1531,'Hours Log'!$A:$A,"&lt;"&amp;$J1531+7)+SUMIFS('Hours Log'!$D:$D,'Hours Log'!$A:$A,"&gt;="&amp;$J1531,'Hours Log'!$A:$A,"&lt;"&amp;$J1531+7))</f>
        <v/>
      </c>
      <c r="D1531" t="str">
        <f>IF($J1531="","",SUMIFS('Hours Log'!$D:$D,'Hours Log'!$A:$A,"&gt;="&amp;$J1531,'Hours Log'!$A:$A,"&lt;"&amp;$J1531+7))</f>
        <v/>
      </c>
      <c r="E1531" t="str">
        <f t="shared" si="46"/>
        <v/>
      </c>
      <c r="F1531" t="str">
        <f t="shared" si="47"/>
        <v/>
      </c>
      <c r="G1531" t="str">
        <f>IF($J1531="","",SUMIFS('Hours Log'!$E:$E,'Hours Log'!$A:$A,"&gt;="&amp;$J1531,'Hours Log'!$A:$A,"&lt;"&amp;$J1531+7))</f>
        <v/>
      </c>
      <c r="J1531" t="str">
        <f>IF(COUNT('Hours Log'!$A$4:$A$5000)=0,"",IF(MIN('Hours Log'!$A$4:$A$5000)+7*(ROW()-10)&gt;MAX('Hours Log'!$A$4:$A$5000),"",MIN('Hours Log'!$A$4:$A$5000)+7*(ROW()-10)))</f>
        <v/>
      </c>
    </row>
    <row r="1532" spans="1:10" x14ac:dyDescent="0.25">
      <c r="A1532" t="str">
        <f>IF($J1532="","",YEAR($J1532-WEEKDAY($J1532,2)+4)&amp;"-W"&amp;TEXT(_xludf.ISOWEEKNUM($J1532),"00"))</f>
        <v/>
      </c>
      <c r="B1532"/>
      <c r="C1532" t="str">
        <f>IF($J1532="","",SUMIFS('Hours Log'!$C:$C,'Hours Log'!$A:$A,"&gt;="&amp;$J1532,'Hours Log'!$A:$A,"&lt;"&amp;$J1532+7)+SUMIFS('Hours Log'!$D:$D,'Hours Log'!$A:$A,"&gt;="&amp;$J1532,'Hours Log'!$A:$A,"&lt;"&amp;$J1532+7))</f>
        <v/>
      </c>
      <c r="D1532" t="str">
        <f>IF($J1532="","",SUMIFS('Hours Log'!$D:$D,'Hours Log'!$A:$A,"&gt;="&amp;$J1532,'Hours Log'!$A:$A,"&lt;"&amp;$J1532+7))</f>
        <v/>
      </c>
      <c r="E1532" t="str">
        <f t="shared" si="46"/>
        <v/>
      </c>
      <c r="F1532" t="str">
        <f t="shared" si="47"/>
        <v/>
      </c>
      <c r="G1532" t="str">
        <f>IF($J1532="","",SUMIFS('Hours Log'!$E:$E,'Hours Log'!$A:$A,"&gt;="&amp;$J1532,'Hours Log'!$A:$A,"&lt;"&amp;$J1532+7))</f>
        <v/>
      </c>
      <c r="J1532" t="str">
        <f>IF(COUNT('Hours Log'!$A$4:$A$5000)=0,"",IF(MIN('Hours Log'!$A$4:$A$5000)+7*(ROW()-10)&gt;MAX('Hours Log'!$A$4:$A$5000),"",MIN('Hours Log'!$A$4:$A$5000)+7*(ROW()-10)))</f>
        <v/>
      </c>
    </row>
    <row r="1533" spans="1:10" x14ac:dyDescent="0.25">
      <c r="A1533" t="str">
        <f>IF($J1533="","",YEAR($J1533-WEEKDAY($J1533,2)+4)&amp;"-W"&amp;TEXT(_xludf.ISOWEEKNUM($J1533),"00"))</f>
        <v/>
      </c>
      <c r="B1533"/>
      <c r="C1533" t="str">
        <f>IF($J1533="","",SUMIFS('Hours Log'!$C:$C,'Hours Log'!$A:$A,"&gt;="&amp;$J1533,'Hours Log'!$A:$A,"&lt;"&amp;$J1533+7)+SUMIFS('Hours Log'!$D:$D,'Hours Log'!$A:$A,"&gt;="&amp;$J1533,'Hours Log'!$A:$A,"&lt;"&amp;$J1533+7))</f>
        <v/>
      </c>
      <c r="D1533" t="str">
        <f>IF($J1533="","",SUMIFS('Hours Log'!$D:$D,'Hours Log'!$A:$A,"&gt;="&amp;$J1533,'Hours Log'!$A:$A,"&lt;"&amp;$J1533+7))</f>
        <v/>
      </c>
      <c r="E1533" t="str">
        <f t="shared" si="46"/>
        <v/>
      </c>
      <c r="F1533" t="str">
        <f t="shared" si="47"/>
        <v/>
      </c>
      <c r="G1533" t="str">
        <f>IF($J1533="","",SUMIFS('Hours Log'!$E:$E,'Hours Log'!$A:$A,"&gt;="&amp;$J1533,'Hours Log'!$A:$A,"&lt;"&amp;$J1533+7))</f>
        <v/>
      </c>
      <c r="J1533" t="str">
        <f>IF(COUNT('Hours Log'!$A$4:$A$5000)=0,"",IF(MIN('Hours Log'!$A$4:$A$5000)+7*(ROW()-10)&gt;MAX('Hours Log'!$A$4:$A$5000),"",MIN('Hours Log'!$A$4:$A$5000)+7*(ROW()-10)))</f>
        <v/>
      </c>
    </row>
    <row r="1534" spans="1:10" x14ac:dyDescent="0.25">
      <c r="A1534" t="str">
        <f>IF($J1534="","",YEAR($J1534-WEEKDAY($J1534,2)+4)&amp;"-W"&amp;TEXT(_xludf.ISOWEEKNUM($J1534),"00"))</f>
        <v/>
      </c>
      <c r="B1534"/>
      <c r="C1534" t="str">
        <f>IF($J1534="","",SUMIFS('Hours Log'!$C:$C,'Hours Log'!$A:$A,"&gt;="&amp;$J1534,'Hours Log'!$A:$A,"&lt;"&amp;$J1534+7)+SUMIFS('Hours Log'!$D:$D,'Hours Log'!$A:$A,"&gt;="&amp;$J1534,'Hours Log'!$A:$A,"&lt;"&amp;$J1534+7))</f>
        <v/>
      </c>
      <c r="D1534" t="str">
        <f>IF($J1534="","",SUMIFS('Hours Log'!$D:$D,'Hours Log'!$A:$A,"&gt;="&amp;$J1534,'Hours Log'!$A:$A,"&lt;"&amp;$J1534+7))</f>
        <v/>
      </c>
      <c r="E1534" t="str">
        <f t="shared" si="46"/>
        <v/>
      </c>
      <c r="F1534" t="str">
        <f t="shared" si="47"/>
        <v/>
      </c>
      <c r="G1534" t="str">
        <f>IF($J1534="","",SUMIFS('Hours Log'!$E:$E,'Hours Log'!$A:$A,"&gt;="&amp;$J1534,'Hours Log'!$A:$A,"&lt;"&amp;$J1534+7))</f>
        <v/>
      </c>
      <c r="J1534" t="str">
        <f>IF(COUNT('Hours Log'!$A$4:$A$5000)=0,"",IF(MIN('Hours Log'!$A$4:$A$5000)+7*(ROW()-10)&gt;MAX('Hours Log'!$A$4:$A$5000),"",MIN('Hours Log'!$A$4:$A$5000)+7*(ROW()-10)))</f>
        <v/>
      </c>
    </row>
    <row r="1535" spans="1:10" x14ac:dyDescent="0.25">
      <c r="A1535" t="str">
        <f>IF($J1535="","",YEAR($J1535-WEEKDAY($J1535,2)+4)&amp;"-W"&amp;TEXT(_xludf.ISOWEEKNUM($J1535),"00"))</f>
        <v/>
      </c>
      <c r="B1535"/>
      <c r="C1535" t="str">
        <f>IF($J1535="","",SUMIFS('Hours Log'!$C:$C,'Hours Log'!$A:$A,"&gt;="&amp;$J1535,'Hours Log'!$A:$A,"&lt;"&amp;$J1535+7)+SUMIFS('Hours Log'!$D:$D,'Hours Log'!$A:$A,"&gt;="&amp;$J1535,'Hours Log'!$A:$A,"&lt;"&amp;$J1535+7))</f>
        <v/>
      </c>
      <c r="D1535" t="str">
        <f>IF($J1535="","",SUMIFS('Hours Log'!$D:$D,'Hours Log'!$A:$A,"&gt;="&amp;$J1535,'Hours Log'!$A:$A,"&lt;"&amp;$J1535+7))</f>
        <v/>
      </c>
      <c r="E1535" t="str">
        <f t="shared" si="46"/>
        <v/>
      </c>
      <c r="F1535" t="str">
        <f t="shared" si="47"/>
        <v/>
      </c>
      <c r="G1535" t="str">
        <f>IF($J1535="","",SUMIFS('Hours Log'!$E:$E,'Hours Log'!$A:$A,"&gt;="&amp;$J1535,'Hours Log'!$A:$A,"&lt;"&amp;$J1535+7))</f>
        <v/>
      </c>
      <c r="J1535" t="str">
        <f>IF(COUNT('Hours Log'!$A$4:$A$5000)=0,"",IF(MIN('Hours Log'!$A$4:$A$5000)+7*(ROW()-10)&gt;MAX('Hours Log'!$A$4:$A$5000),"",MIN('Hours Log'!$A$4:$A$5000)+7*(ROW()-10)))</f>
        <v/>
      </c>
    </row>
    <row r="1536" spans="1:10" x14ac:dyDescent="0.25">
      <c r="A1536" t="str">
        <f>IF($J1536="","",YEAR($J1536-WEEKDAY($J1536,2)+4)&amp;"-W"&amp;TEXT(_xludf.ISOWEEKNUM($J1536),"00"))</f>
        <v/>
      </c>
      <c r="B1536"/>
      <c r="C1536" t="str">
        <f>IF($J1536="","",SUMIFS('Hours Log'!$C:$C,'Hours Log'!$A:$A,"&gt;="&amp;$J1536,'Hours Log'!$A:$A,"&lt;"&amp;$J1536+7)+SUMIFS('Hours Log'!$D:$D,'Hours Log'!$A:$A,"&gt;="&amp;$J1536,'Hours Log'!$A:$A,"&lt;"&amp;$J1536+7))</f>
        <v/>
      </c>
      <c r="D1536" t="str">
        <f>IF($J1536="","",SUMIFS('Hours Log'!$D:$D,'Hours Log'!$A:$A,"&gt;="&amp;$J1536,'Hours Log'!$A:$A,"&lt;"&amp;$J1536+7))</f>
        <v/>
      </c>
      <c r="E1536" t="str">
        <f t="shared" si="46"/>
        <v/>
      </c>
      <c r="F1536" t="str">
        <f t="shared" si="47"/>
        <v/>
      </c>
      <c r="G1536" t="str">
        <f>IF($J1536="","",SUMIFS('Hours Log'!$E:$E,'Hours Log'!$A:$A,"&gt;="&amp;$J1536,'Hours Log'!$A:$A,"&lt;"&amp;$J1536+7))</f>
        <v/>
      </c>
      <c r="J1536" t="str">
        <f>IF(COUNT('Hours Log'!$A$4:$A$5000)=0,"",IF(MIN('Hours Log'!$A$4:$A$5000)+7*(ROW()-10)&gt;MAX('Hours Log'!$A$4:$A$5000),"",MIN('Hours Log'!$A$4:$A$5000)+7*(ROW()-10)))</f>
        <v/>
      </c>
    </row>
    <row r="1537" spans="1:10" x14ac:dyDescent="0.25">
      <c r="A1537" t="str">
        <f>IF($J1537="","",YEAR($J1537-WEEKDAY($J1537,2)+4)&amp;"-W"&amp;TEXT(_xludf.ISOWEEKNUM($J1537),"00"))</f>
        <v/>
      </c>
      <c r="B1537"/>
      <c r="C1537" t="str">
        <f>IF($J1537="","",SUMIFS('Hours Log'!$C:$C,'Hours Log'!$A:$A,"&gt;="&amp;$J1537,'Hours Log'!$A:$A,"&lt;"&amp;$J1537+7)+SUMIFS('Hours Log'!$D:$D,'Hours Log'!$A:$A,"&gt;="&amp;$J1537,'Hours Log'!$A:$A,"&lt;"&amp;$J1537+7))</f>
        <v/>
      </c>
      <c r="D1537" t="str">
        <f>IF($J1537="","",SUMIFS('Hours Log'!$D:$D,'Hours Log'!$A:$A,"&gt;="&amp;$J1537,'Hours Log'!$A:$A,"&lt;"&amp;$J1537+7))</f>
        <v/>
      </c>
      <c r="E1537" t="str">
        <f t="shared" si="46"/>
        <v/>
      </c>
      <c r="F1537" t="str">
        <f t="shared" si="47"/>
        <v/>
      </c>
      <c r="G1537" t="str">
        <f>IF($J1537="","",SUMIFS('Hours Log'!$E:$E,'Hours Log'!$A:$A,"&gt;="&amp;$J1537,'Hours Log'!$A:$A,"&lt;"&amp;$J1537+7))</f>
        <v/>
      </c>
      <c r="J1537" t="str">
        <f>IF(COUNT('Hours Log'!$A$4:$A$5000)=0,"",IF(MIN('Hours Log'!$A$4:$A$5000)+7*(ROW()-10)&gt;MAX('Hours Log'!$A$4:$A$5000),"",MIN('Hours Log'!$A$4:$A$5000)+7*(ROW()-10)))</f>
        <v/>
      </c>
    </row>
    <row r="1538" spans="1:10" x14ac:dyDescent="0.25">
      <c r="A1538" t="str">
        <f>IF($J1538="","",YEAR($J1538-WEEKDAY($J1538,2)+4)&amp;"-W"&amp;TEXT(_xludf.ISOWEEKNUM($J1538),"00"))</f>
        <v/>
      </c>
      <c r="B1538"/>
      <c r="C1538" t="str">
        <f>IF($J1538="","",SUMIFS('Hours Log'!$C:$C,'Hours Log'!$A:$A,"&gt;="&amp;$J1538,'Hours Log'!$A:$A,"&lt;"&amp;$J1538+7)+SUMIFS('Hours Log'!$D:$D,'Hours Log'!$A:$A,"&gt;="&amp;$J1538,'Hours Log'!$A:$A,"&lt;"&amp;$J1538+7))</f>
        <v/>
      </c>
      <c r="D1538" t="str">
        <f>IF($J1538="","",SUMIFS('Hours Log'!$D:$D,'Hours Log'!$A:$A,"&gt;="&amp;$J1538,'Hours Log'!$A:$A,"&lt;"&amp;$J1538+7))</f>
        <v/>
      </c>
      <c r="E1538" t="str">
        <f t="shared" si="46"/>
        <v/>
      </c>
      <c r="F1538" t="str">
        <f t="shared" si="47"/>
        <v/>
      </c>
      <c r="G1538" t="str">
        <f>IF($J1538="","",SUMIFS('Hours Log'!$E:$E,'Hours Log'!$A:$A,"&gt;="&amp;$J1538,'Hours Log'!$A:$A,"&lt;"&amp;$J1538+7))</f>
        <v/>
      </c>
      <c r="J1538" t="str">
        <f>IF(COUNT('Hours Log'!$A$4:$A$5000)=0,"",IF(MIN('Hours Log'!$A$4:$A$5000)+7*(ROW()-10)&gt;MAX('Hours Log'!$A$4:$A$5000),"",MIN('Hours Log'!$A$4:$A$5000)+7*(ROW()-10)))</f>
        <v/>
      </c>
    </row>
    <row r="1539" spans="1:10" x14ac:dyDescent="0.25">
      <c r="A1539" t="str">
        <f>IF($J1539="","",YEAR($J1539-WEEKDAY($J1539,2)+4)&amp;"-W"&amp;TEXT(_xludf.ISOWEEKNUM($J1539),"00"))</f>
        <v/>
      </c>
      <c r="B1539"/>
      <c r="C1539" t="str">
        <f>IF($J1539="","",SUMIFS('Hours Log'!$C:$C,'Hours Log'!$A:$A,"&gt;="&amp;$J1539,'Hours Log'!$A:$A,"&lt;"&amp;$J1539+7)+SUMIFS('Hours Log'!$D:$D,'Hours Log'!$A:$A,"&gt;="&amp;$J1539,'Hours Log'!$A:$A,"&lt;"&amp;$J1539+7))</f>
        <v/>
      </c>
      <c r="D1539" t="str">
        <f>IF($J1539="","",SUMIFS('Hours Log'!$D:$D,'Hours Log'!$A:$A,"&gt;="&amp;$J1539,'Hours Log'!$A:$A,"&lt;"&amp;$J1539+7))</f>
        <v/>
      </c>
      <c r="E1539" t="str">
        <f t="shared" si="46"/>
        <v/>
      </c>
      <c r="F1539" t="str">
        <f t="shared" si="47"/>
        <v/>
      </c>
      <c r="G1539" t="str">
        <f>IF($J1539="","",SUMIFS('Hours Log'!$E:$E,'Hours Log'!$A:$A,"&gt;="&amp;$J1539,'Hours Log'!$A:$A,"&lt;"&amp;$J1539+7))</f>
        <v/>
      </c>
      <c r="J1539" t="str">
        <f>IF(COUNT('Hours Log'!$A$4:$A$5000)=0,"",IF(MIN('Hours Log'!$A$4:$A$5000)+7*(ROW()-10)&gt;MAX('Hours Log'!$A$4:$A$5000),"",MIN('Hours Log'!$A$4:$A$5000)+7*(ROW()-10)))</f>
        <v/>
      </c>
    </row>
    <row r="1540" spans="1:10" x14ac:dyDescent="0.25">
      <c r="A1540" t="str">
        <f>IF($J1540="","",YEAR($J1540-WEEKDAY($J1540,2)+4)&amp;"-W"&amp;TEXT(_xludf.ISOWEEKNUM($J1540),"00"))</f>
        <v/>
      </c>
      <c r="B1540"/>
      <c r="C1540" t="str">
        <f>IF($J1540="","",SUMIFS('Hours Log'!$C:$C,'Hours Log'!$A:$A,"&gt;="&amp;$J1540,'Hours Log'!$A:$A,"&lt;"&amp;$J1540+7)+SUMIFS('Hours Log'!$D:$D,'Hours Log'!$A:$A,"&gt;="&amp;$J1540,'Hours Log'!$A:$A,"&lt;"&amp;$J1540+7))</f>
        <v/>
      </c>
      <c r="D1540" t="str">
        <f>IF($J1540="","",SUMIFS('Hours Log'!$D:$D,'Hours Log'!$A:$A,"&gt;="&amp;$J1540,'Hours Log'!$A:$A,"&lt;"&amp;$J1540+7))</f>
        <v/>
      </c>
      <c r="E1540" t="str">
        <f t="shared" si="46"/>
        <v/>
      </c>
      <c r="F1540" t="str">
        <f t="shared" si="47"/>
        <v/>
      </c>
      <c r="G1540" t="str">
        <f>IF($J1540="","",SUMIFS('Hours Log'!$E:$E,'Hours Log'!$A:$A,"&gt;="&amp;$J1540,'Hours Log'!$A:$A,"&lt;"&amp;$J1540+7))</f>
        <v/>
      </c>
      <c r="J1540" t="str">
        <f>IF(COUNT('Hours Log'!$A$4:$A$5000)=0,"",IF(MIN('Hours Log'!$A$4:$A$5000)+7*(ROW()-10)&gt;MAX('Hours Log'!$A$4:$A$5000),"",MIN('Hours Log'!$A$4:$A$5000)+7*(ROW()-10)))</f>
        <v/>
      </c>
    </row>
    <row r="1541" spans="1:10" x14ac:dyDescent="0.25">
      <c r="A1541" t="str">
        <f>IF($J1541="","",YEAR($J1541-WEEKDAY($J1541,2)+4)&amp;"-W"&amp;TEXT(_xludf.ISOWEEKNUM($J1541),"00"))</f>
        <v/>
      </c>
      <c r="B1541"/>
      <c r="C1541" t="str">
        <f>IF($J1541="","",SUMIFS('Hours Log'!$C:$C,'Hours Log'!$A:$A,"&gt;="&amp;$J1541,'Hours Log'!$A:$A,"&lt;"&amp;$J1541+7)+SUMIFS('Hours Log'!$D:$D,'Hours Log'!$A:$A,"&gt;="&amp;$J1541,'Hours Log'!$A:$A,"&lt;"&amp;$J1541+7))</f>
        <v/>
      </c>
      <c r="D1541" t="str">
        <f>IF($J1541="","",SUMIFS('Hours Log'!$D:$D,'Hours Log'!$A:$A,"&gt;="&amp;$J1541,'Hours Log'!$A:$A,"&lt;"&amp;$J1541+7))</f>
        <v/>
      </c>
      <c r="E1541" t="str">
        <f t="shared" si="46"/>
        <v/>
      </c>
      <c r="F1541" t="str">
        <f t="shared" si="47"/>
        <v/>
      </c>
      <c r="G1541" t="str">
        <f>IF($J1541="","",SUMIFS('Hours Log'!$E:$E,'Hours Log'!$A:$A,"&gt;="&amp;$J1541,'Hours Log'!$A:$A,"&lt;"&amp;$J1541+7))</f>
        <v/>
      </c>
      <c r="J1541" t="str">
        <f>IF(COUNT('Hours Log'!$A$4:$A$5000)=0,"",IF(MIN('Hours Log'!$A$4:$A$5000)+7*(ROW()-10)&gt;MAX('Hours Log'!$A$4:$A$5000),"",MIN('Hours Log'!$A$4:$A$5000)+7*(ROW()-10)))</f>
        <v/>
      </c>
    </row>
    <row r="1542" spans="1:10" x14ac:dyDescent="0.25">
      <c r="A1542" t="str">
        <f>IF($J1542="","",YEAR($J1542-WEEKDAY($J1542,2)+4)&amp;"-W"&amp;TEXT(_xludf.ISOWEEKNUM($J1542),"00"))</f>
        <v/>
      </c>
      <c r="B1542"/>
      <c r="C1542" t="str">
        <f>IF($J1542="","",SUMIFS('Hours Log'!$C:$C,'Hours Log'!$A:$A,"&gt;="&amp;$J1542,'Hours Log'!$A:$A,"&lt;"&amp;$J1542+7)+SUMIFS('Hours Log'!$D:$D,'Hours Log'!$A:$A,"&gt;="&amp;$J1542,'Hours Log'!$A:$A,"&lt;"&amp;$J1542+7))</f>
        <v/>
      </c>
      <c r="D1542" t="str">
        <f>IF($J1542="","",SUMIFS('Hours Log'!$D:$D,'Hours Log'!$A:$A,"&gt;="&amp;$J1542,'Hours Log'!$A:$A,"&lt;"&amp;$J1542+7))</f>
        <v/>
      </c>
      <c r="E1542" t="str">
        <f t="shared" si="46"/>
        <v/>
      </c>
      <c r="F1542" t="str">
        <f t="shared" si="47"/>
        <v/>
      </c>
      <c r="G1542" t="str">
        <f>IF($J1542="","",SUMIFS('Hours Log'!$E:$E,'Hours Log'!$A:$A,"&gt;="&amp;$J1542,'Hours Log'!$A:$A,"&lt;"&amp;$J1542+7))</f>
        <v/>
      </c>
      <c r="J1542" t="str">
        <f>IF(COUNT('Hours Log'!$A$4:$A$5000)=0,"",IF(MIN('Hours Log'!$A$4:$A$5000)+7*(ROW()-10)&gt;MAX('Hours Log'!$A$4:$A$5000),"",MIN('Hours Log'!$A$4:$A$5000)+7*(ROW()-10)))</f>
        <v/>
      </c>
    </row>
    <row r="1543" spans="1:10" x14ac:dyDescent="0.25">
      <c r="A1543" t="str">
        <f>IF($J1543="","",YEAR($J1543-WEEKDAY($J1543,2)+4)&amp;"-W"&amp;TEXT(_xludf.ISOWEEKNUM($J1543),"00"))</f>
        <v/>
      </c>
      <c r="B1543"/>
      <c r="C1543" t="str">
        <f>IF($J1543="","",SUMIFS('Hours Log'!$C:$C,'Hours Log'!$A:$A,"&gt;="&amp;$J1543,'Hours Log'!$A:$A,"&lt;"&amp;$J1543+7)+SUMIFS('Hours Log'!$D:$D,'Hours Log'!$A:$A,"&gt;="&amp;$J1543,'Hours Log'!$A:$A,"&lt;"&amp;$J1543+7))</f>
        <v/>
      </c>
      <c r="D1543" t="str">
        <f>IF($J1543="","",SUMIFS('Hours Log'!$D:$D,'Hours Log'!$A:$A,"&gt;="&amp;$J1543,'Hours Log'!$A:$A,"&lt;"&amp;$J1543+7))</f>
        <v/>
      </c>
      <c r="E1543" t="str">
        <f t="shared" si="46"/>
        <v/>
      </c>
      <c r="F1543" t="str">
        <f t="shared" si="47"/>
        <v/>
      </c>
      <c r="G1543" t="str">
        <f>IF($J1543="","",SUMIFS('Hours Log'!$E:$E,'Hours Log'!$A:$A,"&gt;="&amp;$J1543,'Hours Log'!$A:$A,"&lt;"&amp;$J1543+7))</f>
        <v/>
      </c>
      <c r="J1543" t="str">
        <f>IF(COUNT('Hours Log'!$A$4:$A$5000)=0,"",IF(MIN('Hours Log'!$A$4:$A$5000)+7*(ROW()-10)&gt;MAX('Hours Log'!$A$4:$A$5000),"",MIN('Hours Log'!$A$4:$A$5000)+7*(ROW()-10)))</f>
        <v/>
      </c>
    </row>
    <row r="1544" spans="1:10" x14ac:dyDescent="0.25">
      <c r="A1544" t="str">
        <f>IF($J1544="","",YEAR($J1544-WEEKDAY($J1544,2)+4)&amp;"-W"&amp;TEXT(_xludf.ISOWEEKNUM($J1544),"00"))</f>
        <v/>
      </c>
      <c r="B1544"/>
      <c r="C1544" t="str">
        <f>IF($J1544="","",SUMIFS('Hours Log'!$C:$C,'Hours Log'!$A:$A,"&gt;="&amp;$J1544,'Hours Log'!$A:$A,"&lt;"&amp;$J1544+7)+SUMIFS('Hours Log'!$D:$D,'Hours Log'!$A:$A,"&gt;="&amp;$J1544,'Hours Log'!$A:$A,"&lt;"&amp;$J1544+7))</f>
        <v/>
      </c>
      <c r="D1544" t="str">
        <f>IF($J1544="","",SUMIFS('Hours Log'!$D:$D,'Hours Log'!$A:$A,"&gt;="&amp;$J1544,'Hours Log'!$A:$A,"&lt;"&amp;$J1544+7))</f>
        <v/>
      </c>
      <c r="E1544" t="str">
        <f t="shared" si="46"/>
        <v/>
      </c>
      <c r="F1544" t="str">
        <f t="shared" si="47"/>
        <v/>
      </c>
      <c r="G1544" t="str">
        <f>IF($J1544="","",SUMIFS('Hours Log'!$E:$E,'Hours Log'!$A:$A,"&gt;="&amp;$J1544,'Hours Log'!$A:$A,"&lt;"&amp;$J1544+7))</f>
        <v/>
      </c>
      <c r="J1544" t="str">
        <f>IF(COUNT('Hours Log'!$A$4:$A$5000)=0,"",IF(MIN('Hours Log'!$A$4:$A$5000)+7*(ROW()-10)&gt;MAX('Hours Log'!$A$4:$A$5000),"",MIN('Hours Log'!$A$4:$A$5000)+7*(ROW()-10)))</f>
        <v/>
      </c>
    </row>
    <row r="1545" spans="1:10" x14ac:dyDescent="0.25">
      <c r="A1545" t="str">
        <f>IF($J1545="","",YEAR($J1545-WEEKDAY($J1545,2)+4)&amp;"-W"&amp;TEXT(_xludf.ISOWEEKNUM($J1545),"00"))</f>
        <v/>
      </c>
      <c r="B1545"/>
      <c r="C1545" t="str">
        <f>IF($J1545="","",SUMIFS('Hours Log'!$C:$C,'Hours Log'!$A:$A,"&gt;="&amp;$J1545,'Hours Log'!$A:$A,"&lt;"&amp;$J1545+7)+SUMIFS('Hours Log'!$D:$D,'Hours Log'!$A:$A,"&gt;="&amp;$J1545,'Hours Log'!$A:$A,"&lt;"&amp;$J1545+7))</f>
        <v/>
      </c>
      <c r="D1545" t="str">
        <f>IF($J1545="","",SUMIFS('Hours Log'!$D:$D,'Hours Log'!$A:$A,"&gt;="&amp;$J1545,'Hours Log'!$A:$A,"&lt;"&amp;$J1545+7))</f>
        <v/>
      </c>
      <c r="E1545" t="str">
        <f t="shared" si="46"/>
        <v/>
      </c>
      <c r="F1545" t="str">
        <f t="shared" si="47"/>
        <v/>
      </c>
      <c r="G1545" t="str">
        <f>IF($J1545="","",SUMIFS('Hours Log'!$E:$E,'Hours Log'!$A:$A,"&gt;="&amp;$J1545,'Hours Log'!$A:$A,"&lt;"&amp;$J1545+7))</f>
        <v/>
      </c>
      <c r="J1545" t="str">
        <f>IF(COUNT('Hours Log'!$A$4:$A$5000)=0,"",IF(MIN('Hours Log'!$A$4:$A$5000)+7*(ROW()-10)&gt;MAX('Hours Log'!$A$4:$A$5000),"",MIN('Hours Log'!$A$4:$A$5000)+7*(ROW()-10)))</f>
        <v/>
      </c>
    </row>
    <row r="1546" spans="1:10" x14ac:dyDescent="0.25">
      <c r="A1546" t="str">
        <f>IF($J1546="","",YEAR($J1546-WEEKDAY($J1546,2)+4)&amp;"-W"&amp;TEXT(_xludf.ISOWEEKNUM($J1546),"00"))</f>
        <v/>
      </c>
      <c r="B1546"/>
      <c r="C1546" t="str">
        <f>IF($J1546="","",SUMIFS('Hours Log'!$C:$C,'Hours Log'!$A:$A,"&gt;="&amp;$J1546,'Hours Log'!$A:$A,"&lt;"&amp;$J1546+7)+SUMIFS('Hours Log'!$D:$D,'Hours Log'!$A:$A,"&gt;="&amp;$J1546,'Hours Log'!$A:$A,"&lt;"&amp;$J1546+7))</f>
        <v/>
      </c>
      <c r="D1546" t="str">
        <f>IF($J1546="","",SUMIFS('Hours Log'!$D:$D,'Hours Log'!$A:$A,"&gt;="&amp;$J1546,'Hours Log'!$A:$A,"&lt;"&amp;$J1546+7))</f>
        <v/>
      </c>
      <c r="E1546" t="str">
        <f t="shared" ref="E1546:E1609" si="48">IF($J1546="","",IFERROR(C1546/(B1546*40),0))</f>
        <v/>
      </c>
      <c r="F1546" t="str">
        <f t="shared" ref="F1546:F1609" si="49">IF($J1546="","",0)</f>
        <v/>
      </c>
      <c r="G1546" t="str">
        <f>IF($J1546="","",SUMIFS('Hours Log'!$E:$E,'Hours Log'!$A:$A,"&gt;="&amp;$J1546,'Hours Log'!$A:$A,"&lt;"&amp;$J1546+7))</f>
        <v/>
      </c>
      <c r="J1546" t="str">
        <f>IF(COUNT('Hours Log'!$A$4:$A$5000)=0,"",IF(MIN('Hours Log'!$A$4:$A$5000)+7*(ROW()-10)&gt;MAX('Hours Log'!$A$4:$A$5000),"",MIN('Hours Log'!$A$4:$A$5000)+7*(ROW()-10)))</f>
        <v/>
      </c>
    </row>
    <row r="1547" spans="1:10" x14ac:dyDescent="0.25">
      <c r="A1547" t="str">
        <f>IF($J1547="","",YEAR($J1547-WEEKDAY($J1547,2)+4)&amp;"-W"&amp;TEXT(_xludf.ISOWEEKNUM($J1547),"00"))</f>
        <v/>
      </c>
      <c r="B1547"/>
      <c r="C1547" t="str">
        <f>IF($J1547="","",SUMIFS('Hours Log'!$C:$C,'Hours Log'!$A:$A,"&gt;="&amp;$J1547,'Hours Log'!$A:$A,"&lt;"&amp;$J1547+7)+SUMIFS('Hours Log'!$D:$D,'Hours Log'!$A:$A,"&gt;="&amp;$J1547,'Hours Log'!$A:$A,"&lt;"&amp;$J1547+7))</f>
        <v/>
      </c>
      <c r="D1547" t="str">
        <f>IF($J1547="","",SUMIFS('Hours Log'!$D:$D,'Hours Log'!$A:$A,"&gt;="&amp;$J1547,'Hours Log'!$A:$A,"&lt;"&amp;$J1547+7))</f>
        <v/>
      </c>
      <c r="E1547" t="str">
        <f t="shared" si="48"/>
        <v/>
      </c>
      <c r="F1547" t="str">
        <f t="shared" si="49"/>
        <v/>
      </c>
      <c r="G1547" t="str">
        <f>IF($J1547="","",SUMIFS('Hours Log'!$E:$E,'Hours Log'!$A:$A,"&gt;="&amp;$J1547,'Hours Log'!$A:$A,"&lt;"&amp;$J1547+7))</f>
        <v/>
      </c>
      <c r="J1547" t="str">
        <f>IF(COUNT('Hours Log'!$A$4:$A$5000)=0,"",IF(MIN('Hours Log'!$A$4:$A$5000)+7*(ROW()-10)&gt;MAX('Hours Log'!$A$4:$A$5000),"",MIN('Hours Log'!$A$4:$A$5000)+7*(ROW()-10)))</f>
        <v/>
      </c>
    </row>
    <row r="1548" spans="1:10" x14ac:dyDescent="0.25">
      <c r="A1548" t="str">
        <f>IF($J1548="","",YEAR($J1548-WEEKDAY($J1548,2)+4)&amp;"-W"&amp;TEXT(_xludf.ISOWEEKNUM($J1548),"00"))</f>
        <v/>
      </c>
      <c r="B1548"/>
      <c r="C1548" t="str">
        <f>IF($J1548="","",SUMIFS('Hours Log'!$C:$C,'Hours Log'!$A:$A,"&gt;="&amp;$J1548,'Hours Log'!$A:$A,"&lt;"&amp;$J1548+7)+SUMIFS('Hours Log'!$D:$D,'Hours Log'!$A:$A,"&gt;="&amp;$J1548,'Hours Log'!$A:$A,"&lt;"&amp;$J1548+7))</f>
        <v/>
      </c>
      <c r="D1548" t="str">
        <f>IF($J1548="","",SUMIFS('Hours Log'!$D:$D,'Hours Log'!$A:$A,"&gt;="&amp;$J1548,'Hours Log'!$A:$A,"&lt;"&amp;$J1548+7))</f>
        <v/>
      </c>
      <c r="E1548" t="str">
        <f t="shared" si="48"/>
        <v/>
      </c>
      <c r="F1548" t="str">
        <f t="shared" si="49"/>
        <v/>
      </c>
      <c r="G1548" t="str">
        <f>IF($J1548="","",SUMIFS('Hours Log'!$E:$E,'Hours Log'!$A:$A,"&gt;="&amp;$J1548,'Hours Log'!$A:$A,"&lt;"&amp;$J1548+7))</f>
        <v/>
      </c>
      <c r="J1548" t="str">
        <f>IF(COUNT('Hours Log'!$A$4:$A$5000)=0,"",IF(MIN('Hours Log'!$A$4:$A$5000)+7*(ROW()-10)&gt;MAX('Hours Log'!$A$4:$A$5000),"",MIN('Hours Log'!$A$4:$A$5000)+7*(ROW()-10)))</f>
        <v/>
      </c>
    </row>
    <row r="1549" spans="1:10" x14ac:dyDescent="0.25">
      <c r="A1549" t="str">
        <f>IF($J1549="","",YEAR($J1549-WEEKDAY($J1549,2)+4)&amp;"-W"&amp;TEXT(_xludf.ISOWEEKNUM($J1549),"00"))</f>
        <v/>
      </c>
      <c r="B1549"/>
      <c r="C1549" t="str">
        <f>IF($J1549="","",SUMIFS('Hours Log'!$C:$C,'Hours Log'!$A:$A,"&gt;="&amp;$J1549,'Hours Log'!$A:$A,"&lt;"&amp;$J1549+7)+SUMIFS('Hours Log'!$D:$D,'Hours Log'!$A:$A,"&gt;="&amp;$J1549,'Hours Log'!$A:$A,"&lt;"&amp;$J1549+7))</f>
        <v/>
      </c>
      <c r="D1549" t="str">
        <f>IF($J1549="","",SUMIFS('Hours Log'!$D:$D,'Hours Log'!$A:$A,"&gt;="&amp;$J1549,'Hours Log'!$A:$A,"&lt;"&amp;$J1549+7))</f>
        <v/>
      </c>
      <c r="E1549" t="str">
        <f t="shared" si="48"/>
        <v/>
      </c>
      <c r="F1549" t="str">
        <f t="shared" si="49"/>
        <v/>
      </c>
      <c r="G1549" t="str">
        <f>IF($J1549="","",SUMIFS('Hours Log'!$E:$E,'Hours Log'!$A:$A,"&gt;="&amp;$J1549,'Hours Log'!$A:$A,"&lt;"&amp;$J1549+7))</f>
        <v/>
      </c>
      <c r="J1549" t="str">
        <f>IF(COUNT('Hours Log'!$A$4:$A$5000)=0,"",IF(MIN('Hours Log'!$A$4:$A$5000)+7*(ROW()-10)&gt;MAX('Hours Log'!$A$4:$A$5000),"",MIN('Hours Log'!$A$4:$A$5000)+7*(ROW()-10)))</f>
        <v/>
      </c>
    </row>
    <row r="1550" spans="1:10" x14ac:dyDescent="0.25">
      <c r="A1550" t="str">
        <f>IF($J1550="","",YEAR($J1550-WEEKDAY($J1550,2)+4)&amp;"-W"&amp;TEXT(_xludf.ISOWEEKNUM($J1550),"00"))</f>
        <v/>
      </c>
      <c r="B1550"/>
      <c r="C1550" t="str">
        <f>IF($J1550="","",SUMIFS('Hours Log'!$C:$C,'Hours Log'!$A:$A,"&gt;="&amp;$J1550,'Hours Log'!$A:$A,"&lt;"&amp;$J1550+7)+SUMIFS('Hours Log'!$D:$D,'Hours Log'!$A:$A,"&gt;="&amp;$J1550,'Hours Log'!$A:$A,"&lt;"&amp;$J1550+7))</f>
        <v/>
      </c>
      <c r="D1550" t="str">
        <f>IF($J1550="","",SUMIFS('Hours Log'!$D:$D,'Hours Log'!$A:$A,"&gt;="&amp;$J1550,'Hours Log'!$A:$A,"&lt;"&amp;$J1550+7))</f>
        <v/>
      </c>
      <c r="E1550" t="str">
        <f t="shared" si="48"/>
        <v/>
      </c>
      <c r="F1550" t="str">
        <f t="shared" si="49"/>
        <v/>
      </c>
      <c r="G1550" t="str">
        <f>IF($J1550="","",SUMIFS('Hours Log'!$E:$E,'Hours Log'!$A:$A,"&gt;="&amp;$J1550,'Hours Log'!$A:$A,"&lt;"&amp;$J1550+7))</f>
        <v/>
      </c>
      <c r="J1550" t="str">
        <f>IF(COUNT('Hours Log'!$A$4:$A$5000)=0,"",IF(MIN('Hours Log'!$A$4:$A$5000)+7*(ROW()-10)&gt;MAX('Hours Log'!$A$4:$A$5000),"",MIN('Hours Log'!$A$4:$A$5000)+7*(ROW()-10)))</f>
        <v/>
      </c>
    </row>
    <row r="1551" spans="1:10" x14ac:dyDescent="0.25">
      <c r="A1551" t="str">
        <f>IF($J1551="","",YEAR($J1551-WEEKDAY($J1551,2)+4)&amp;"-W"&amp;TEXT(_xludf.ISOWEEKNUM($J1551),"00"))</f>
        <v/>
      </c>
      <c r="B1551"/>
      <c r="C1551" t="str">
        <f>IF($J1551="","",SUMIFS('Hours Log'!$C:$C,'Hours Log'!$A:$A,"&gt;="&amp;$J1551,'Hours Log'!$A:$A,"&lt;"&amp;$J1551+7)+SUMIFS('Hours Log'!$D:$D,'Hours Log'!$A:$A,"&gt;="&amp;$J1551,'Hours Log'!$A:$A,"&lt;"&amp;$J1551+7))</f>
        <v/>
      </c>
      <c r="D1551" t="str">
        <f>IF($J1551="","",SUMIFS('Hours Log'!$D:$D,'Hours Log'!$A:$A,"&gt;="&amp;$J1551,'Hours Log'!$A:$A,"&lt;"&amp;$J1551+7))</f>
        <v/>
      </c>
      <c r="E1551" t="str">
        <f t="shared" si="48"/>
        <v/>
      </c>
      <c r="F1551" t="str">
        <f t="shared" si="49"/>
        <v/>
      </c>
      <c r="G1551" t="str">
        <f>IF($J1551="","",SUMIFS('Hours Log'!$E:$E,'Hours Log'!$A:$A,"&gt;="&amp;$J1551,'Hours Log'!$A:$A,"&lt;"&amp;$J1551+7))</f>
        <v/>
      </c>
      <c r="J1551" t="str">
        <f>IF(COUNT('Hours Log'!$A$4:$A$5000)=0,"",IF(MIN('Hours Log'!$A$4:$A$5000)+7*(ROW()-10)&gt;MAX('Hours Log'!$A$4:$A$5000),"",MIN('Hours Log'!$A$4:$A$5000)+7*(ROW()-10)))</f>
        <v/>
      </c>
    </row>
    <row r="1552" spans="1:10" x14ac:dyDescent="0.25">
      <c r="A1552" t="str">
        <f>IF($J1552="","",YEAR($J1552-WEEKDAY($J1552,2)+4)&amp;"-W"&amp;TEXT(_xludf.ISOWEEKNUM($J1552),"00"))</f>
        <v/>
      </c>
      <c r="B1552"/>
      <c r="C1552" t="str">
        <f>IF($J1552="","",SUMIFS('Hours Log'!$C:$C,'Hours Log'!$A:$A,"&gt;="&amp;$J1552,'Hours Log'!$A:$A,"&lt;"&amp;$J1552+7)+SUMIFS('Hours Log'!$D:$D,'Hours Log'!$A:$A,"&gt;="&amp;$J1552,'Hours Log'!$A:$A,"&lt;"&amp;$J1552+7))</f>
        <v/>
      </c>
      <c r="D1552" t="str">
        <f>IF($J1552="","",SUMIFS('Hours Log'!$D:$D,'Hours Log'!$A:$A,"&gt;="&amp;$J1552,'Hours Log'!$A:$A,"&lt;"&amp;$J1552+7))</f>
        <v/>
      </c>
      <c r="E1552" t="str">
        <f t="shared" si="48"/>
        <v/>
      </c>
      <c r="F1552" t="str">
        <f t="shared" si="49"/>
        <v/>
      </c>
      <c r="G1552" t="str">
        <f>IF($J1552="","",SUMIFS('Hours Log'!$E:$E,'Hours Log'!$A:$A,"&gt;="&amp;$J1552,'Hours Log'!$A:$A,"&lt;"&amp;$J1552+7))</f>
        <v/>
      </c>
      <c r="J1552" t="str">
        <f>IF(COUNT('Hours Log'!$A$4:$A$5000)=0,"",IF(MIN('Hours Log'!$A$4:$A$5000)+7*(ROW()-10)&gt;MAX('Hours Log'!$A$4:$A$5000),"",MIN('Hours Log'!$A$4:$A$5000)+7*(ROW()-10)))</f>
        <v/>
      </c>
    </row>
    <row r="1553" spans="1:10" x14ac:dyDescent="0.25">
      <c r="A1553" t="str">
        <f>IF($J1553="","",YEAR($J1553-WEEKDAY($J1553,2)+4)&amp;"-W"&amp;TEXT(_xludf.ISOWEEKNUM($J1553),"00"))</f>
        <v/>
      </c>
      <c r="B1553"/>
      <c r="C1553" t="str">
        <f>IF($J1553="","",SUMIFS('Hours Log'!$C:$C,'Hours Log'!$A:$A,"&gt;="&amp;$J1553,'Hours Log'!$A:$A,"&lt;"&amp;$J1553+7)+SUMIFS('Hours Log'!$D:$D,'Hours Log'!$A:$A,"&gt;="&amp;$J1553,'Hours Log'!$A:$A,"&lt;"&amp;$J1553+7))</f>
        <v/>
      </c>
      <c r="D1553" t="str">
        <f>IF($J1553="","",SUMIFS('Hours Log'!$D:$D,'Hours Log'!$A:$A,"&gt;="&amp;$J1553,'Hours Log'!$A:$A,"&lt;"&amp;$J1553+7))</f>
        <v/>
      </c>
      <c r="E1553" t="str">
        <f t="shared" si="48"/>
        <v/>
      </c>
      <c r="F1553" t="str">
        <f t="shared" si="49"/>
        <v/>
      </c>
      <c r="G1553" t="str">
        <f>IF($J1553="","",SUMIFS('Hours Log'!$E:$E,'Hours Log'!$A:$A,"&gt;="&amp;$J1553,'Hours Log'!$A:$A,"&lt;"&amp;$J1553+7))</f>
        <v/>
      </c>
      <c r="J1553" t="str">
        <f>IF(COUNT('Hours Log'!$A$4:$A$5000)=0,"",IF(MIN('Hours Log'!$A$4:$A$5000)+7*(ROW()-10)&gt;MAX('Hours Log'!$A$4:$A$5000),"",MIN('Hours Log'!$A$4:$A$5000)+7*(ROW()-10)))</f>
        <v/>
      </c>
    </row>
    <row r="1554" spans="1:10" x14ac:dyDescent="0.25">
      <c r="A1554" t="str">
        <f>IF($J1554="","",YEAR($J1554-WEEKDAY($J1554,2)+4)&amp;"-W"&amp;TEXT(_xludf.ISOWEEKNUM($J1554),"00"))</f>
        <v/>
      </c>
      <c r="B1554"/>
      <c r="C1554" t="str">
        <f>IF($J1554="","",SUMIFS('Hours Log'!$C:$C,'Hours Log'!$A:$A,"&gt;="&amp;$J1554,'Hours Log'!$A:$A,"&lt;"&amp;$J1554+7)+SUMIFS('Hours Log'!$D:$D,'Hours Log'!$A:$A,"&gt;="&amp;$J1554,'Hours Log'!$A:$A,"&lt;"&amp;$J1554+7))</f>
        <v/>
      </c>
      <c r="D1554" t="str">
        <f>IF($J1554="","",SUMIFS('Hours Log'!$D:$D,'Hours Log'!$A:$A,"&gt;="&amp;$J1554,'Hours Log'!$A:$A,"&lt;"&amp;$J1554+7))</f>
        <v/>
      </c>
      <c r="E1554" t="str">
        <f t="shared" si="48"/>
        <v/>
      </c>
      <c r="F1554" t="str">
        <f t="shared" si="49"/>
        <v/>
      </c>
      <c r="G1554" t="str">
        <f>IF($J1554="","",SUMIFS('Hours Log'!$E:$E,'Hours Log'!$A:$A,"&gt;="&amp;$J1554,'Hours Log'!$A:$A,"&lt;"&amp;$J1554+7))</f>
        <v/>
      </c>
      <c r="J1554" t="str">
        <f>IF(COUNT('Hours Log'!$A$4:$A$5000)=0,"",IF(MIN('Hours Log'!$A$4:$A$5000)+7*(ROW()-10)&gt;MAX('Hours Log'!$A$4:$A$5000),"",MIN('Hours Log'!$A$4:$A$5000)+7*(ROW()-10)))</f>
        <v/>
      </c>
    </row>
    <row r="1555" spans="1:10" x14ac:dyDescent="0.25">
      <c r="A1555" t="str">
        <f>IF($J1555="","",YEAR($J1555-WEEKDAY($J1555,2)+4)&amp;"-W"&amp;TEXT(_xludf.ISOWEEKNUM($J1555),"00"))</f>
        <v/>
      </c>
      <c r="B1555"/>
      <c r="C1555" t="str">
        <f>IF($J1555="","",SUMIFS('Hours Log'!$C:$C,'Hours Log'!$A:$A,"&gt;="&amp;$J1555,'Hours Log'!$A:$A,"&lt;"&amp;$J1555+7)+SUMIFS('Hours Log'!$D:$D,'Hours Log'!$A:$A,"&gt;="&amp;$J1555,'Hours Log'!$A:$A,"&lt;"&amp;$J1555+7))</f>
        <v/>
      </c>
      <c r="D1555" t="str">
        <f>IF($J1555="","",SUMIFS('Hours Log'!$D:$D,'Hours Log'!$A:$A,"&gt;="&amp;$J1555,'Hours Log'!$A:$A,"&lt;"&amp;$J1555+7))</f>
        <v/>
      </c>
      <c r="E1555" t="str">
        <f t="shared" si="48"/>
        <v/>
      </c>
      <c r="F1555" t="str">
        <f t="shared" si="49"/>
        <v/>
      </c>
      <c r="G1555" t="str">
        <f>IF($J1555="","",SUMIFS('Hours Log'!$E:$E,'Hours Log'!$A:$A,"&gt;="&amp;$J1555,'Hours Log'!$A:$A,"&lt;"&amp;$J1555+7))</f>
        <v/>
      </c>
      <c r="J1555" t="str">
        <f>IF(COUNT('Hours Log'!$A$4:$A$5000)=0,"",IF(MIN('Hours Log'!$A$4:$A$5000)+7*(ROW()-10)&gt;MAX('Hours Log'!$A$4:$A$5000),"",MIN('Hours Log'!$A$4:$A$5000)+7*(ROW()-10)))</f>
        <v/>
      </c>
    </row>
    <row r="1556" spans="1:10" x14ac:dyDescent="0.25">
      <c r="A1556" t="str">
        <f>IF($J1556="","",YEAR($J1556-WEEKDAY($J1556,2)+4)&amp;"-W"&amp;TEXT(_xludf.ISOWEEKNUM($J1556),"00"))</f>
        <v/>
      </c>
      <c r="B1556"/>
      <c r="C1556" t="str">
        <f>IF($J1556="","",SUMIFS('Hours Log'!$C:$C,'Hours Log'!$A:$A,"&gt;="&amp;$J1556,'Hours Log'!$A:$A,"&lt;"&amp;$J1556+7)+SUMIFS('Hours Log'!$D:$D,'Hours Log'!$A:$A,"&gt;="&amp;$J1556,'Hours Log'!$A:$A,"&lt;"&amp;$J1556+7))</f>
        <v/>
      </c>
      <c r="D1556" t="str">
        <f>IF($J1556="","",SUMIFS('Hours Log'!$D:$D,'Hours Log'!$A:$A,"&gt;="&amp;$J1556,'Hours Log'!$A:$A,"&lt;"&amp;$J1556+7))</f>
        <v/>
      </c>
      <c r="E1556" t="str">
        <f t="shared" si="48"/>
        <v/>
      </c>
      <c r="F1556" t="str">
        <f t="shared" si="49"/>
        <v/>
      </c>
      <c r="G1556" t="str">
        <f>IF($J1556="","",SUMIFS('Hours Log'!$E:$E,'Hours Log'!$A:$A,"&gt;="&amp;$J1556,'Hours Log'!$A:$A,"&lt;"&amp;$J1556+7))</f>
        <v/>
      </c>
      <c r="J1556" t="str">
        <f>IF(COUNT('Hours Log'!$A$4:$A$5000)=0,"",IF(MIN('Hours Log'!$A$4:$A$5000)+7*(ROW()-10)&gt;MAX('Hours Log'!$A$4:$A$5000),"",MIN('Hours Log'!$A$4:$A$5000)+7*(ROW()-10)))</f>
        <v/>
      </c>
    </row>
    <row r="1557" spans="1:10" x14ac:dyDescent="0.25">
      <c r="A1557" t="str">
        <f>IF($J1557="","",YEAR($J1557-WEEKDAY($J1557,2)+4)&amp;"-W"&amp;TEXT(_xludf.ISOWEEKNUM($J1557),"00"))</f>
        <v/>
      </c>
      <c r="B1557"/>
      <c r="C1557" t="str">
        <f>IF($J1557="","",SUMIFS('Hours Log'!$C:$C,'Hours Log'!$A:$A,"&gt;="&amp;$J1557,'Hours Log'!$A:$A,"&lt;"&amp;$J1557+7)+SUMIFS('Hours Log'!$D:$D,'Hours Log'!$A:$A,"&gt;="&amp;$J1557,'Hours Log'!$A:$A,"&lt;"&amp;$J1557+7))</f>
        <v/>
      </c>
      <c r="D1557" t="str">
        <f>IF($J1557="","",SUMIFS('Hours Log'!$D:$D,'Hours Log'!$A:$A,"&gt;="&amp;$J1557,'Hours Log'!$A:$A,"&lt;"&amp;$J1557+7))</f>
        <v/>
      </c>
      <c r="E1557" t="str">
        <f t="shared" si="48"/>
        <v/>
      </c>
      <c r="F1557" t="str">
        <f t="shared" si="49"/>
        <v/>
      </c>
      <c r="G1557" t="str">
        <f>IF($J1557="","",SUMIFS('Hours Log'!$E:$E,'Hours Log'!$A:$A,"&gt;="&amp;$J1557,'Hours Log'!$A:$A,"&lt;"&amp;$J1557+7))</f>
        <v/>
      </c>
      <c r="J1557" t="str">
        <f>IF(COUNT('Hours Log'!$A$4:$A$5000)=0,"",IF(MIN('Hours Log'!$A$4:$A$5000)+7*(ROW()-10)&gt;MAX('Hours Log'!$A$4:$A$5000),"",MIN('Hours Log'!$A$4:$A$5000)+7*(ROW()-10)))</f>
        <v/>
      </c>
    </row>
    <row r="1558" spans="1:10" x14ac:dyDescent="0.25">
      <c r="A1558" t="str">
        <f>IF($J1558="","",YEAR($J1558-WEEKDAY($J1558,2)+4)&amp;"-W"&amp;TEXT(_xludf.ISOWEEKNUM($J1558),"00"))</f>
        <v/>
      </c>
      <c r="B1558"/>
      <c r="C1558" t="str">
        <f>IF($J1558="","",SUMIFS('Hours Log'!$C:$C,'Hours Log'!$A:$A,"&gt;="&amp;$J1558,'Hours Log'!$A:$A,"&lt;"&amp;$J1558+7)+SUMIFS('Hours Log'!$D:$D,'Hours Log'!$A:$A,"&gt;="&amp;$J1558,'Hours Log'!$A:$A,"&lt;"&amp;$J1558+7))</f>
        <v/>
      </c>
      <c r="D1558" t="str">
        <f>IF($J1558="","",SUMIFS('Hours Log'!$D:$D,'Hours Log'!$A:$A,"&gt;="&amp;$J1558,'Hours Log'!$A:$A,"&lt;"&amp;$J1558+7))</f>
        <v/>
      </c>
      <c r="E1558" t="str">
        <f t="shared" si="48"/>
        <v/>
      </c>
      <c r="F1558" t="str">
        <f t="shared" si="49"/>
        <v/>
      </c>
      <c r="G1558" t="str">
        <f>IF($J1558="","",SUMIFS('Hours Log'!$E:$E,'Hours Log'!$A:$A,"&gt;="&amp;$J1558,'Hours Log'!$A:$A,"&lt;"&amp;$J1558+7))</f>
        <v/>
      </c>
      <c r="J1558" t="str">
        <f>IF(COUNT('Hours Log'!$A$4:$A$5000)=0,"",IF(MIN('Hours Log'!$A$4:$A$5000)+7*(ROW()-10)&gt;MAX('Hours Log'!$A$4:$A$5000),"",MIN('Hours Log'!$A$4:$A$5000)+7*(ROW()-10)))</f>
        <v/>
      </c>
    </row>
    <row r="1559" spans="1:10" x14ac:dyDescent="0.25">
      <c r="A1559" t="str">
        <f>IF($J1559="","",YEAR($J1559-WEEKDAY($J1559,2)+4)&amp;"-W"&amp;TEXT(_xludf.ISOWEEKNUM($J1559),"00"))</f>
        <v/>
      </c>
      <c r="B1559"/>
      <c r="C1559" t="str">
        <f>IF($J1559="","",SUMIFS('Hours Log'!$C:$C,'Hours Log'!$A:$A,"&gt;="&amp;$J1559,'Hours Log'!$A:$A,"&lt;"&amp;$J1559+7)+SUMIFS('Hours Log'!$D:$D,'Hours Log'!$A:$A,"&gt;="&amp;$J1559,'Hours Log'!$A:$A,"&lt;"&amp;$J1559+7))</f>
        <v/>
      </c>
      <c r="D1559" t="str">
        <f>IF($J1559="","",SUMIFS('Hours Log'!$D:$D,'Hours Log'!$A:$A,"&gt;="&amp;$J1559,'Hours Log'!$A:$A,"&lt;"&amp;$J1559+7))</f>
        <v/>
      </c>
      <c r="E1559" t="str">
        <f t="shared" si="48"/>
        <v/>
      </c>
      <c r="F1559" t="str">
        <f t="shared" si="49"/>
        <v/>
      </c>
      <c r="G1559" t="str">
        <f>IF($J1559="","",SUMIFS('Hours Log'!$E:$E,'Hours Log'!$A:$A,"&gt;="&amp;$J1559,'Hours Log'!$A:$A,"&lt;"&amp;$J1559+7))</f>
        <v/>
      </c>
      <c r="J1559" t="str">
        <f>IF(COUNT('Hours Log'!$A$4:$A$5000)=0,"",IF(MIN('Hours Log'!$A$4:$A$5000)+7*(ROW()-10)&gt;MAX('Hours Log'!$A$4:$A$5000),"",MIN('Hours Log'!$A$4:$A$5000)+7*(ROW()-10)))</f>
        <v/>
      </c>
    </row>
    <row r="1560" spans="1:10" x14ac:dyDescent="0.25">
      <c r="A1560" t="str">
        <f>IF($J1560="","",YEAR($J1560-WEEKDAY($J1560,2)+4)&amp;"-W"&amp;TEXT(_xludf.ISOWEEKNUM($J1560),"00"))</f>
        <v/>
      </c>
      <c r="B1560"/>
      <c r="C1560" t="str">
        <f>IF($J1560="","",SUMIFS('Hours Log'!$C:$C,'Hours Log'!$A:$A,"&gt;="&amp;$J1560,'Hours Log'!$A:$A,"&lt;"&amp;$J1560+7)+SUMIFS('Hours Log'!$D:$D,'Hours Log'!$A:$A,"&gt;="&amp;$J1560,'Hours Log'!$A:$A,"&lt;"&amp;$J1560+7))</f>
        <v/>
      </c>
      <c r="D1560" t="str">
        <f>IF($J1560="","",SUMIFS('Hours Log'!$D:$D,'Hours Log'!$A:$A,"&gt;="&amp;$J1560,'Hours Log'!$A:$A,"&lt;"&amp;$J1560+7))</f>
        <v/>
      </c>
      <c r="E1560" t="str">
        <f t="shared" si="48"/>
        <v/>
      </c>
      <c r="F1560" t="str">
        <f t="shared" si="49"/>
        <v/>
      </c>
      <c r="G1560" t="str">
        <f>IF($J1560="","",SUMIFS('Hours Log'!$E:$E,'Hours Log'!$A:$A,"&gt;="&amp;$J1560,'Hours Log'!$A:$A,"&lt;"&amp;$J1560+7))</f>
        <v/>
      </c>
      <c r="J1560" t="str">
        <f>IF(COUNT('Hours Log'!$A$4:$A$5000)=0,"",IF(MIN('Hours Log'!$A$4:$A$5000)+7*(ROW()-10)&gt;MAX('Hours Log'!$A$4:$A$5000),"",MIN('Hours Log'!$A$4:$A$5000)+7*(ROW()-10)))</f>
        <v/>
      </c>
    </row>
    <row r="1561" spans="1:10" x14ac:dyDescent="0.25">
      <c r="A1561" t="str">
        <f>IF($J1561="","",YEAR($J1561-WEEKDAY($J1561,2)+4)&amp;"-W"&amp;TEXT(_xludf.ISOWEEKNUM($J1561),"00"))</f>
        <v/>
      </c>
      <c r="B1561"/>
      <c r="C1561" t="str">
        <f>IF($J1561="","",SUMIFS('Hours Log'!$C:$C,'Hours Log'!$A:$A,"&gt;="&amp;$J1561,'Hours Log'!$A:$A,"&lt;"&amp;$J1561+7)+SUMIFS('Hours Log'!$D:$D,'Hours Log'!$A:$A,"&gt;="&amp;$J1561,'Hours Log'!$A:$A,"&lt;"&amp;$J1561+7))</f>
        <v/>
      </c>
      <c r="D1561" t="str">
        <f>IF($J1561="","",SUMIFS('Hours Log'!$D:$D,'Hours Log'!$A:$A,"&gt;="&amp;$J1561,'Hours Log'!$A:$A,"&lt;"&amp;$J1561+7))</f>
        <v/>
      </c>
      <c r="E1561" t="str">
        <f t="shared" si="48"/>
        <v/>
      </c>
      <c r="F1561" t="str">
        <f t="shared" si="49"/>
        <v/>
      </c>
      <c r="G1561" t="str">
        <f>IF($J1561="","",SUMIFS('Hours Log'!$E:$E,'Hours Log'!$A:$A,"&gt;="&amp;$J1561,'Hours Log'!$A:$A,"&lt;"&amp;$J1561+7))</f>
        <v/>
      </c>
      <c r="J1561" t="str">
        <f>IF(COUNT('Hours Log'!$A$4:$A$5000)=0,"",IF(MIN('Hours Log'!$A$4:$A$5000)+7*(ROW()-10)&gt;MAX('Hours Log'!$A$4:$A$5000),"",MIN('Hours Log'!$A$4:$A$5000)+7*(ROW()-10)))</f>
        <v/>
      </c>
    </row>
    <row r="1562" spans="1:10" x14ac:dyDescent="0.25">
      <c r="A1562" t="str">
        <f>IF($J1562="","",YEAR($J1562-WEEKDAY($J1562,2)+4)&amp;"-W"&amp;TEXT(_xludf.ISOWEEKNUM($J1562),"00"))</f>
        <v/>
      </c>
      <c r="B1562"/>
      <c r="C1562" t="str">
        <f>IF($J1562="","",SUMIFS('Hours Log'!$C:$C,'Hours Log'!$A:$A,"&gt;="&amp;$J1562,'Hours Log'!$A:$A,"&lt;"&amp;$J1562+7)+SUMIFS('Hours Log'!$D:$D,'Hours Log'!$A:$A,"&gt;="&amp;$J1562,'Hours Log'!$A:$A,"&lt;"&amp;$J1562+7))</f>
        <v/>
      </c>
      <c r="D1562" t="str">
        <f>IF($J1562="","",SUMIFS('Hours Log'!$D:$D,'Hours Log'!$A:$A,"&gt;="&amp;$J1562,'Hours Log'!$A:$A,"&lt;"&amp;$J1562+7))</f>
        <v/>
      </c>
      <c r="E1562" t="str">
        <f t="shared" si="48"/>
        <v/>
      </c>
      <c r="F1562" t="str">
        <f t="shared" si="49"/>
        <v/>
      </c>
      <c r="G1562" t="str">
        <f>IF($J1562="","",SUMIFS('Hours Log'!$E:$E,'Hours Log'!$A:$A,"&gt;="&amp;$J1562,'Hours Log'!$A:$A,"&lt;"&amp;$J1562+7))</f>
        <v/>
      </c>
      <c r="J1562" t="str">
        <f>IF(COUNT('Hours Log'!$A$4:$A$5000)=0,"",IF(MIN('Hours Log'!$A$4:$A$5000)+7*(ROW()-10)&gt;MAX('Hours Log'!$A$4:$A$5000),"",MIN('Hours Log'!$A$4:$A$5000)+7*(ROW()-10)))</f>
        <v/>
      </c>
    </row>
    <row r="1563" spans="1:10" x14ac:dyDescent="0.25">
      <c r="A1563" t="str">
        <f>IF($J1563="","",YEAR($J1563-WEEKDAY($J1563,2)+4)&amp;"-W"&amp;TEXT(_xludf.ISOWEEKNUM($J1563),"00"))</f>
        <v/>
      </c>
      <c r="B1563"/>
      <c r="C1563" t="str">
        <f>IF($J1563="","",SUMIFS('Hours Log'!$C:$C,'Hours Log'!$A:$A,"&gt;="&amp;$J1563,'Hours Log'!$A:$A,"&lt;"&amp;$J1563+7)+SUMIFS('Hours Log'!$D:$D,'Hours Log'!$A:$A,"&gt;="&amp;$J1563,'Hours Log'!$A:$A,"&lt;"&amp;$J1563+7))</f>
        <v/>
      </c>
      <c r="D1563" t="str">
        <f>IF($J1563="","",SUMIFS('Hours Log'!$D:$D,'Hours Log'!$A:$A,"&gt;="&amp;$J1563,'Hours Log'!$A:$A,"&lt;"&amp;$J1563+7))</f>
        <v/>
      </c>
      <c r="E1563" t="str">
        <f t="shared" si="48"/>
        <v/>
      </c>
      <c r="F1563" t="str">
        <f t="shared" si="49"/>
        <v/>
      </c>
      <c r="G1563" t="str">
        <f>IF($J1563="","",SUMIFS('Hours Log'!$E:$E,'Hours Log'!$A:$A,"&gt;="&amp;$J1563,'Hours Log'!$A:$A,"&lt;"&amp;$J1563+7))</f>
        <v/>
      </c>
      <c r="J1563" t="str">
        <f>IF(COUNT('Hours Log'!$A$4:$A$5000)=0,"",IF(MIN('Hours Log'!$A$4:$A$5000)+7*(ROW()-10)&gt;MAX('Hours Log'!$A$4:$A$5000),"",MIN('Hours Log'!$A$4:$A$5000)+7*(ROW()-10)))</f>
        <v/>
      </c>
    </row>
    <row r="1564" spans="1:10" x14ac:dyDescent="0.25">
      <c r="A1564" t="str">
        <f>IF($J1564="","",YEAR($J1564-WEEKDAY($J1564,2)+4)&amp;"-W"&amp;TEXT(_xludf.ISOWEEKNUM($J1564),"00"))</f>
        <v/>
      </c>
      <c r="B1564"/>
      <c r="C1564" t="str">
        <f>IF($J1564="","",SUMIFS('Hours Log'!$C:$C,'Hours Log'!$A:$A,"&gt;="&amp;$J1564,'Hours Log'!$A:$A,"&lt;"&amp;$J1564+7)+SUMIFS('Hours Log'!$D:$D,'Hours Log'!$A:$A,"&gt;="&amp;$J1564,'Hours Log'!$A:$A,"&lt;"&amp;$J1564+7))</f>
        <v/>
      </c>
      <c r="D1564" t="str">
        <f>IF($J1564="","",SUMIFS('Hours Log'!$D:$D,'Hours Log'!$A:$A,"&gt;="&amp;$J1564,'Hours Log'!$A:$A,"&lt;"&amp;$J1564+7))</f>
        <v/>
      </c>
      <c r="E1564" t="str">
        <f t="shared" si="48"/>
        <v/>
      </c>
      <c r="F1564" t="str">
        <f t="shared" si="49"/>
        <v/>
      </c>
      <c r="G1564" t="str">
        <f>IF($J1564="","",SUMIFS('Hours Log'!$E:$E,'Hours Log'!$A:$A,"&gt;="&amp;$J1564,'Hours Log'!$A:$A,"&lt;"&amp;$J1564+7))</f>
        <v/>
      </c>
      <c r="J1564" t="str">
        <f>IF(COUNT('Hours Log'!$A$4:$A$5000)=0,"",IF(MIN('Hours Log'!$A$4:$A$5000)+7*(ROW()-10)&gt;MAX('Hours Log'!$A$4:$A$5000),"",MIN('Hours Log'!$A$4:$A$5000)+7*(ROW()-10)))</f>
        <v/>
      </c>
    </row>
    <row r="1565" spans="1:10" x14ac:dyDescent="0.25">
      <c r="A1565" t="str">
        <f>IF($J1565="","",YEAR($J1565-WEEKDAY($J1565,2)+4)&amp;"-W"&amp;TEXT(_xludf.ISOWEEKNUM($J1565),"00"))</f>
        <v/>
      </c>
      <c r="B1565"/>
      <c r="C1565" t="str">
        <f>IF($J1565="","",SUMIFS('Hours Log'!$C:$C,'Hours Log'!$A:$A,"&gt;="&amp;$J1565,'Hours Log'!$A:$A,"&lt;"&amp;$J1565+7)+SUMIFS('Hours Log'!$D:$D,'Hours Log'!$A:$A,"&gt;="&amp;$J1565,'Hours Log'!$A:$A,"&lt;"&amp;$J1565+7))</f>
        <v/>
      </c>
      <c r="D1565" t="str">
        <f>IF($J1565="","",SUMIFS('Hours Log'!$D:$D,'Hours Log'!$A:$A,"&gt;="&amp;$J1565,'Hours Log'!$A:$A,"&lt;"&amp;$J1565+7))</f>
        <v/>
      </c>
      <c r="E1565" t="str">
        <f t="shared" si="48"/>
        <v/>
      </c>
      <c r="F1565" t="str">
        <f t="shared" si="49"/>
        <v/>
      </c>
      <c r="G1565" t="str">
        <f>IF($J1565="","",SUMIFS('Hours Log'!$E:$E,'Hours Log'!$A:$A,"&gt;="&amp;$J1565,'Hours Log'!$A:$A,"&lt;"&amp;$J1565+7))</f>
        <v/>
      </c>
      <c r="J1565" t="str">
        <f>IF(COUNT('Hours Log'!$A$4:$A$5000)=0,"",IF(MIN('Hours Log'!$A$4:$A$5000)+7*(ROW()-10)&gt;MAX('Hours Log'!$A$4:$A$5000),"",MIN('Hours Log'!$A$4:$A$5000)+7*(ROW()-10)))</f>
        <v/>
      </c>
    </row>
    <row r="1566" spans="1:10" x14ac:dyDescent="0.25">
      <c r="A1566" t="str">
        <f>IF($J1566="","",YEAR($J1566-WEEKDAY($J1566,2)+4)&amp;"-W"&amp;TEXT(_xludf.ISOWEEKNUM($J1566),"00"))</f>
        <v/>
      </c>
      <c r="B1566"/>
      <c r="C1566" t="str">
        <f>IF($J1566="","",SUMIFS('Hours Log'!$C:$C,'Hours Log'!$A:$A,"&gt;="&amp;$J1566,'Hours Log'!$A:$A,"&lt;"&amp;$J1566+7)+SUMIFS('Hours Log'!$D:$D,'Hours Log'!$A:$A,"&gt;="&amp;$J1566,'Hours Log'!$A:$A,"&lt;"&amp;$J1566+7))</f>
        <v/>
      </c>
      <c r="D1566" t="str">
        <f>IF($J1566="","",SUMIFS('Hours Log'!$D:$D,'Hours Log'!$A:$A,"&gt;="&amp;$J1566,'Hours Log'!$A:$A,"&lt;"&amp;$J1566+7))</f>
        <v/>
      </c>
      <c r="E1566" t="str">
        <f t="shared" si="48"/>
        <v/>
      </c>
      <c r="F1566" t="str">
        <f t="shared" si="49"/>
        <v/>
      </c>
      <c r="G1566" t="str">
        <f>IF($J1566="","",SUMIFS('Hours Log'!$E:$E,'Hours Log'!$A:$A,"&gt;="&amp;$J1566,'Hours Log'!$A:$A,"&lt;"&amp;$J1566+7))</f>
        <v/>
      </c>
      <c r="J1566" t="str">
        <f>IF(COUNT('Hours Log'!$A$4:$A$5000)=0,"",IF(MIN('Hours Log'!$A$4:$A$5000)+7*(ROW()-10)&gt;MAX('Hours Log'!$A$4:$A$5000),"",MIN('Hours Log'!$A$4:$A$5000)+7*(ROW()-10)))</f>
        <v/>
      </c>
    </row>
    <row r="1567" spans="1:10" x14ac:dyDescent="0.25">
      <c r="A1567" t="str">
        <f>IF($J1567="","",YEAR($J1567-WEEKDAY($J1567,2)+4)&amp;"-W"&amp;TEXT(_xludf.ISOWEEKNUM($J1567),"00"))</f>
        <v/>
      </c>
      <c r="B1567"/>
      <c r="C1567" t="str">
        <f>IF($J1567="","",SUMIFS('Hours Log'!$C:$C,'Hours Log'!$A:$A,"&gt;="&amp;$J1567,'Hours Log'!$A:$A,"&lt;"&amp;$J1567+7)+SUMIFS('Hours Log'!$D:$D,'Hours Log'!$A:$A,"&gt;="&amp;$J1567,'Hours Log'!$A:$A,"&lt;"&amp;$J1567+7))</f>
        <v/>
      </c>
      <c r="D1567" t="str">
        <f>IF($J1567="","",SUMIFS('Hours Log'!$D:$D,'Hours Log'!$A:$A,"&gt;="&amp;$J1567,'Hours Log'!$A:$A,"&lt;"&amp;$J1567+7))</f>
        <v/>
      </c>
      <c r="E1567" t="str">
        <f t="shared" si="48"/>
        <v/>
      </c>
      <c r="F1567" t="str">
        <f t="shared" si="49"/>
        <v/>
      </c>
      <c r="G1567" t="str">
        <f>IF($J1567="","",SUMIFS('Hours Log'!$E:$E,'Hours Log'!$A:$A,"&gt;="&amp;$J1567,'Hours Log'!$A:$A,"&lt;"&amp;$J1567+7))</f>
        <v/>
      </c>
      <c r="J1567" t="str">
        <f>IF(COUNT('Hours Log'!$A$4:$A$5000)=0,"",IF(MIN('Hours Log'!$A$4:$A$5000)+7*(ROW()-10)&gt;MAX('Hours Log'!$A$4:$A$5000),"",MIN('Hours Log'!$A$4:$A$5000)+7*(ROW()-10)))</f>
        <v/>
      </c>
    </row>
    <row r="1568" spans="1:10" x14ac:dyDescent="0.25">
      <c r="A1568" t="str">
        <f>IF($J1568="","",YEAR($J1568-WEEKDAY($J1568,2)+4)&amp;"-W"&amp;TEXT(_xludf.ISOWEEKNUM($J1568),"00"))</f>
        <v/>
      </c>
      <c r="B1568"/>
      <c r="C1568" t="str">
        <f>IF($J1568="","",SUMIFS('Hours Log'!$C:$C,'Hours Log'!$A:$A,"&gt;="&amp;$J1568,'Hours Log'!$A:$A,"&lt;"&amp;$J1568+7)+SUMIFS('Hours Log'!$D:$D,'Hours Log'!$A:$A,"&gt;="&amp;$J1568,'Hours Log'!$A:$A,"&lt;"&amp;$J1568+7))</f>
        <v/>
      </c>
      <c r="D1568" t="str">
        <f>IF($J1568="","",SUMIFS('Hours Log'!$D:$D,'Hours Log'!$A:$A,"&gt;="&amp;$J1568,'Hours Log'!$A:$A,"&lt;"&amp;$J1568+7))</f>
        <v/>
      </c>
      <c r="E1568" t="str">
        <f t="shared" si="48"/>
        <v/>
      </c>
      <c r="F1568" t="str">
        <f t="shared" si="49"/>
        <v/>
      </c>
      <c r="G1568" t="str">
        <f>IF($J1568="","",SUMIFS('Hours Log'!$E:$E,'Hours Log'!$A:$A,"&gt;="&amp;$J1568,'Hours Log'!$A:$A,"&lt;"&amp;$J1568+7))</f>
        <v/>
      </c>
      <c r="J1568" t="str">
        <f>IF(COUNT('Hours Log'!$A$4:$A$5000)=0,"",IF(MIN('Hours Log'!$A$4:$A$5000)+7*(ROW()-10)&gt;MAX('Hours Log'!$A$4:$A$5000),"",MIN('Hours Log'!$A$4:$A$5000)+7*(ROW()-10)))</f>
        <v/>
      </c>
    </row>
    <row r="1569" spans="1:10" x14ac:dyDescent="0.25">
      <c r="A1569" t="str">
        <f>IF($J1569="","",YEAR($J1569-WEEKDAY($J1569,2)+4)&amp;"-W"&amp;TEXT(_xludf.ISOWEEKNUM($J1569),"00"))</f>
        <v/>
      </c>
      <c r="B1569"/>
      <c r="C1569" t="str">
        <f>IF($J1569="","",SUMIFS('Hours Log'!$C:$C,'Hours Log'!$A:$A,"&gt;="&amp;$J1569,'Hours Log'!$A:$A,"&lt;"&amp;$J1569+7)+SUMIFS('Hours Log'!$D:$D,'Hours Log'!$A:$A,"&gt;="&amp;$J1569,'Hours Log'!$A:$A,"&lt;"&amp;$J1569+7))</f>
        <v/>
      </c>
      <c r="D1569" t="str">
        <f>IF($J1569="","",SUMIFS('Hours Log'!$D:$D,'Hours Log'!$A:$A,"&gt;="&amp;$J1569,'Hours Log'!$A:$A,"&lt;"&amp;$J1569+7))</f>
        <v/>
      </c>
      <c r="E1569" t="str">
        <f t="shared" si="48"/>
        <v/>
      </c>
      <c r="F1569" t="str">
        <f t="shared" si="49"/>
        <v/>
      </c>
      <c r="G1569" t="str">
        <f>IF($J1569="","",SUMIFS('Hours Log'!$E:$E,'Hours Log'!$A:$A,"&gt;="&amp;$J1569,'Hours Log'!$A:$A,"&lt;"&amp;$J1569+7))</f>
        <v/>
      </c>
      <c r="J1569" t="str">
        <f>IF(COUNT('Hours Log'!$A$4:$A$5000)=0,"",IF(MIN('Hours Log'!$A$4:$A$5000)+7*(ROW()-10)&gt;MAX('Hours Log'!$A$4:$A$5000),"",MIN('Hours Log'!$A$4:$A$5000)+7*(ROW()-10)))</f>
        <v/>
      </c>
    </row>
    <row r="1570" spans="1:10" x14ac:dyDescent="0.25">
      <c r="A1570" t="str">
        <f>IF($J1570="","",YEAR($J1570-WEEKDAY($J1570,2)+4)&amp;"-W"&amp;TEXT(_xludf.ISOWEEKNUM($J1570),"00"))</f>
        <v/>
      </c>
      <c r="B1570"/>
      <c r="C1570" t="str">
        <f>IF($J1570="","",SUMIFS('Hours Log'!$C:$C,'Hours Log'!$A:$A,"&gt;="&amp;$J1570,'Hours Log'!$A:$A,"&lt;"&amp;$J1570+7)+SUMIFS('Hours Log'!$D:$D,'Hours Log'!$A:$A,"&gt;="&amp;$J1570,'Hours Log'!$A:$A,"&lt;"&amp;$J1570+7))</f>
        <v/>
      </c>
      <c r="D1570" t="str">
        <f>IF($J1570="","",SUMIFS('Hours Log'!$D:$D,'Hours Log'!$A:$A,"&gt;="&amp;$J1570,'Hours Log'!$A:$A,"&lt;"&amp;$J1570+7))</f>
        <v/>
      </c>
      <c r="E1570" t="str">
        <f t="shared" si="48"/>
        <v/>
      </c>
      <c r="F1570" t="str">
        <f t="shared" si="49"/>
        <v/>
      </c>
      <c r="G1570" t="str">
        <f>IF($J1570="","",SUMIFS('Hours Log'!$E:$E,'Hours Log'!$A:$A,"&gt;="&amp;$J1570,'Hours Log'!$A:$A,"&lt;"&amp;$J1570+7))</f>
        <v/>
      </c>
      <c r="J1570" t="str">
        <f>IF(COUNT('Hours Log'!$A$4:$A$5000)=0,"",IF(MIN('Hours Log'!$A$4:$A$5000)+7*(ROW()-10)&gt;MAX('Hours Log'!$A$4:$A$5000),"",MIN('Hours Log'!$A$4:$A$5000)+7*(ROW()-10)))</f>
        <v/>
      </c>
    </row>
    <row r="1571" spans="1:10" x14ac:dyDescent="0.25">
      <c r="A1571" t="str">
        <f>IF($J1571="","",YEAR($J1571-WEEKDAY($J1571,2)+4)&amp;"-W"&amp;TEXT(_xludf.ISOWEEKNUM($J1571),"00"))</f>
        <v/>
      </c>
      <c r="B1571"/>
      <c r="C1571" t="str">
        <f>IF($J1571="","",SUMIFS('Hours Log'!$C:$C,'Hours Log'!$A:$A,"&gt;="&amp;$J1571,'Hours Log'!$A:$A,"&lt;"&amp;$J1571+7)+SUMIFS('Hours Log'!$D:$D,'Hours Log'!$A:$A,"&gt;="&amp;$J1571,'Hours Log'!$A:$A,"&lt;"&amp;$J1571+7))</f>
        <v/>
      </c>
      <c r="D1571" t="str">
        <f>IF($J1571="","",SUMIFS('Hours Log'!$D:$D,'Hours Log'!$A:$A,"&gt;="&amp;$J1571,'Hours Log'!$A:$A,"&lt;"&amp;$J1571+7))</f>
        <v/>
      </c>
      <c r="E1571" t="str">
        <f t="shared" si="48"/>
        <v/>
      </c>
      <c r="F1571" t="str">
        <f t="shared" si="49"/>
        <v/>
      </c>
      <c r="G1571" t="str">
        <f>IF($J1571="","",SUMIFS('Hours Log'!$E:$E,'Hours Log'!$A:$A,"&gt;="&amp;$J1571,'Hours Log'!$A:$A,"&lt;"&amp;$J1571+7))</f>
        <v/>
      </c>
      <c r="J1571" t="str">
        <f>IF(COUNT('Hours Log'!$A$4:$A$5000)=0,"",IF(MIN('Hours Log'!$A$4:$A$5000)+7*(ROW()-10)&gt;MAX('Hours Log'!$A$4:$A$5000),"",MIN('Hours Log'!$A$4:$A$5000)+7*(ROW()-10)))</f>
        <v/>
      </c>
    </row>
    <row r="1572" spans="1:10" x14ac:dyDescent="0.25">
      <c r="A1572" t="str">
        <f>IF($J1572="","",YEAR($J1572-WEEKDAY($J1572,2)+4)&amp;"-W"&amp;TEXT(_xludf.ISOWEEKNUM($J1572),"00"))</f>
        <v/>
      </c>
      <c r="B1572"/>
      <c r="C1572" t="str">
        <f>IF($J1572="","",SUMIFS('Hours Log'!$C:$C,'Hours Log'!$A:$A,"&gt;="&amp;$J1572,'Hours Log'!$A:$A,"&lt;"&amp;$J1572+7)+SUMIFS('Hours Log'!$D:$D,'Hours Log'!$A:$A,"&gt;="&amp;$J1572,'Hours Log'!$A:$A,"&lt;"&amp;$J1572+7))</f>
        <v/>
      </c>
      <c r="D1572" t="str">
        <f>IF($J1572="","",SUMIFS('Hours Log'!$D:$D,'Hours Log'!$A:$A,"&gt;="&amp;$J1572,'Hours Log'!$A:$A,"&lt;"&amp;$J1572+7))</f>
        <v/>
      </c>
      <c r="E1572" t="str">
        <f t="shared" si="48"/>
        <v/>
      </c>
      <c r="F1572" t="str">
        <f t="shared" si="49"/>
        <v/>
      </c>
      <c r="G1572" t="str">
        <f>IF($J1572="","",SUMIFS('Hours Log'!$E:$E,'Hours Log'!$A:$A,"&gt;="&amp;$J1572,'Hours Log'!$A:$A,"&lt;"&amp;$J1572+7))</f>
        <v/>
      </c>
      <c r="J1572" t="str">
        <f>IF(COUNT('Hours Log'!$A$4:$A$5000)=0,"",IF(MIN('Hours Log'!$A$4:$A$5000)+7*(ROW()-10)&gt;MAX('Hours Log'!$A$4:$A$5000),"",MIN('Hours Log'!$A$4:$A$5000)+7*(ROW()-10)))</f>
        <v/>
      </c>
    </row>
    <row r="1573" spans="1:10" x14ac:dyDescent="0.25">
      <c r="A1573" t="str">
        <f>IF($J1573="","",YEAR($J1573-WEEKDAY($J1573,2)+4)&amp;"-W"&amp;TEXT(_xludf.ISOWEEKNUM($J1573),"00"))</f>
        <v/>
      </c>
      <c r="B1573"/>
      <c r="C1573" t="str">
        <f>IF($J1573="","",SUMIFS('Hours Log'!$C:$C,'Hours Log'!$A:$A,"&gt;="&amp;$J1573,'Hours Log'!$A:$A,"&lt;"&amp;$J1573+7)+SUMIFS('Hours Log'!$D:$D,'Hours Log'!$A:$A,"&gt;="&amp;$J1573,'Hours Log'!$A:$A,"&lt;"&amp;$J1573+7))</f>
        <v/>
      </c>
      <c r="D1573" t="str">
        <f>IF($J1573="","",SUMIFS('Hours Log'!$D:$D,'Hours Log'!$A:$A,"&gt;="&amp;$J1573,'Hours Log'!$A:$A,"&lt;"&amp;$J1573+7))</f>
        <v/>
      </c>
      <c r="E1573" t="str">
        <f t="shared" si="48"/>
        <v/>
      </c>
      <c r="F1573" t="str">
        <f t="shared" si="49"/>
        <v/>
      </c>
      <c r="G1573" t="str">
        <f>IF($J1573="","",SUMIFS('Hours Log'!$E:$E,'Hours Log'!$A:$A,"&gt;="&amp;$J1573,'Hours Log'!$A:$A,"&lt;"&amp;$J1573+7))</f>
        <v/>
      </c>
      <c r="J1573" t="str">
        <f>IF(COUNT('Hours Log'!$A$4:$A$5000)=0,"",IF(MIN('Hours Log'!$A$4:$A$5000)+7*(ROW()-10)&gt;MAX('Hours Log'!$A$4:$A$5000),"",MIN('Hours Log'!$A$4:$A$5000)+7*(ROW()-10)))</f>
        <v/>
      </c>
    </row>
    <row r="1574" spans="1:10" x14ac:dyDescent="0.25">
      <c r="A1574" t="str">
        <f>IF($J1574="","",YEAR($J1574-WEEKDAY($J1574,2)+4)&amp;"-W"&amp;TEXT(_xludf.ISOWEEKNUM($J1574),"00"))</f>
        <v/>
      </c>
      <c r="B1574"/>
      <c r="C1574" t="str">
        <f>IF($J1574="","",SUMIFS('Hours Log'!$C:$C,'Hours Log'!$A:$A,"&gt;="&amp;$J1574,'Hours Log'!$A:$A,"&lt;"&amp;$J1574+7)+SUMIFS('Hours Log'!$D:$D,'Hours Log'!$A:$A,"&gt;="&amp;$J1574,'Hours Log'!$A:$A,"&lt;"&amp;$J1574+7))</f>
        <v/>
      </c>
      <c r="D1574" t="str">
        <f>IF($J1574="","",SUMIFS('Hours Log'!$D:$D,'Hours Log'!$A:$A,"&gt;="&amp;$J1574,'Hours Log'!$A:$A,"&lt;"&amp;$J1574+7))</f>
        <v/>
      </c>
      <c r="E1574" t="str">
        <f t="shared" si="48"/>
        <v/>
      </c>
      <c r="F1574" t="str">
        <f t="shared" si="49"/>
        <v/>
      </c>
      <c r="G1574" t="str">
        <f>IF($J1574="","",SUMIFS('Hours Log'!$E:$E,'Hours Log'!$A:$A,"&gt;="&amp;$J1574,'Hours Log'!$A:$A,"&lt;"&amp;$J1574+7))</f>
        <v/>
      </c>
      <c r="J1574" t="str">
        <f>IF(COUNT('Hours Log'!$A$4:$A$5000)=0,"",IF(MIN('Hours Log'!$A$4:$A$5000)+7*(ROW()-10)&gt;MAX('Hours Log'!$A$4:$A$5000),"",MIN('Hours Log'!$A$4:$A$5000)+7*(ROW()-10)))</f>
        <v/>
      </c>
    </row>
    <row r="1575" spans="1:10" x14ac:dyDescent="0.25">
      <c r="A1575" t="str">
        <f>IF($J1575="","",YEAR($J1575-WEEKDAY($J1575,2)+4)&amp;"-W"&amp;TEXT(_xludf.ISOWEEKNUM($J1575),"00"))</f>
        <v/>
      </c>
      <c r="B1575"/>
      <c r="C1575" t="str">
        <f>IF($J1575="","",SUMIFS('Hours Log'!$C:$C,'Hours Log'!$A:$A,"&gt;="&amp;$J1575,'Hours Log'!$A:$A,"&lt;"&amp;$J1575+7)+SUMIFS('Hours Log'!$D:$D,'Hours Log'!$A:$A,"&gt;="&amp;$J1575,'Hours Log'!$A:$A,"&lt;"&amp;$J1575+7))</f>
        <v/>
      </c>
      <c r="D1575" t="str">
        <f>IF($J1575="","",SUMIFS('Hours Log'!$D:$D,'Hours Log'!$A:$A,"&gt;="&amp;$J1575,'Hours Log'!$A:$A,"&lt;"&amp;$J1575+7))</f>
        <v/>
      </c>
      <c r="E1575" t="str">
        <f t="shared" si="48"/>
        <v/>
      </c>
      <c r="F1575" t="str">
        <f t="shared" si="49"/>
        <v/>
      </c>
      <c r="G1575" t="str">
        <f>IF($J1575="","",SUMIFS('Hours Log'!$E:$E,'Hours Log'!$A:$A,"&gt;="&amp;$J1575,'Hours Log'!$A:$A,"&lt;"&amp;$J1575+7))</f>
        <v/>
      </c>
      <c r="J1575" t="str">
        <f>IF(COUNT('Hours Log'!$A$4:$A$5000)=0,"",IF(MIN('Hours Log'!$A$4:$A$5000)+7*(ROW()-10)&gt;MAX('Hours Log'!$A$4:$A$5000),"",MIN('Hours Log'!$A$4:$A$5000)+7*(ROW()-10)))</f>
        <v/>
      </c>
    </row>
    <row r="1576" spans="1:10" x14ac:dyDescent="0.25">
      <c r="A1576" t="str">
        <f>IF($J1576="","",YEAR($J1576-WEEKDAY($J1576,2)+4)&amp;"-W"&amp;TEXT(_xludf.ISOWEEKNUM($J1576),"00"))</f>
        <v/>
      </c>
      <c r="B1576"/>
      <c r="C1576" t="str">
        <f>IF($J1576="","",SUMIFS('Hours Log'!$C:$C,'Hours Log'!$A:$A,"&gt;="&amp;$J1576,'Hours Log'!$A:$A,"&lt;"&amp;$J1576+7)+SUMIFS('Hours Log'!$D:$D,'Hours Log'!$A:$A,"&gt;="&amp;$J1576,'Hours Log'!$A:$A,"&lt;"&amp;$J1576+7))</f>
        <v/>
      </c>
      <c r="D1576" t="str">
        <f>IF($J1576="","",SUMIFS('Hours Log'!$D:$D,'Hours Log'!$A:$A,"&gt;="&amp;$J1576,'Hours Log'!$A:$A,"&lt;"&amp;$J1576+7))</f>
        <v/>
      </c>
      <c r="E1576" t="str">
        <f t="shared" si="48"/>
        <v/>
      </c>
      <c r="F1576" t="str">
        <f t="shared" si="49"/>
        <v/>
      </c>
      <c r="G1576" t="str">
        <f>IF($J1576="","",SUMIFS('Hours Log'!$E:$E,'Hours Log'!$A:$A,"&gt;="&amp;$J1576,'Hours Log'!$A:$A,"&lt;"&amp;$J1576+7))</f>
        <v/>
      </c>
      <c r="J1576" t="str">
        <f>IF(COUNT('Hours Log'!$A$4:$A$5000)=0,"",IF(MIN('Hours Log'!$A$4:$A$5000)+7*(ROW()-10)&gt;MAX('Hours Log'!$A$4:$A$5000),"",MIN('Hours Log'!$A$4:$A$5000)+7*(ROW()-10)))</f>
        <v/>
      </c>
    </row>
    <row r="1577" spans="1:10" x14ac:dyDescent="0.25">
      <c r="A1577" t="str">
        <f>IF($J1577="","",YEAR($J1577-WEEKDAY($J1577,2)+4)&amp;"-W"&amp;TEXT(_xludf.ISOWEEKNUM($J1577),"00"))</f>
        <v/>
      </c>
      <c r="B1577"/>
      <c r="C1577" t="str">
        <f>IF($J1577="","",SUMIFS('Hours Log'!$C:$C,'Hours Log'!$A:$A,"&gt;="&amp;$J1577,'Hours Log'!$A:$A,"&lt;"&amp;$J1577+7)+SUMIFS('Hours Log'!$D:$D,'Hours Log'!$A:$A,"&gt;="&amp;$J1577,'Hours Log'!$A:$A,"&lt;"&amp;$J1577+7))</f>
        <v/>
      </c>
      <c r="D1577" t="str">
        <f>IF($J1577="","",SUMIFS('Hours Log'!$D:$D,'Hours Log'!$A:$A,"&gt;="&amp;$J1577,'Hours Log'!$A:$A,"&lt;"&amp;$J1577+7))</f>
        <v/>
      </c>
      <c r="E1577" t="str">
        <f t="shared" si="48"/>
        <v/>
      </c>
      <c r="F1577" t="str">
        <f t="shared" si="49"/>
        <v/>
      </c>
      <c r="G1577" t="str">
        <f>IF($J1577="","",SUMIFS('Hours Log'!$E:$E,'Hours Log'!$A:$A,"&gt;="&amp;$J1577,'Hours Log'!$A:$A,"&lt;"&amp;$J1577+7))</f>
        <v/>
      </c>
      <c r="J1577" t="str">
        <f>IF(COUNT('Hours Log'!$A$4:$A$5000)=0,"",IF(MIN('Hours Log'!$A$4:$A$5000)+7*(ROW()-10)&gt;MAX('Hours Log'!$A$4:$A$5000),"",MIN('Hours Log'!$A$4:$A$5000)+7*(ROW()-10)))</f>
        <v/>
      </c>
    </row>
    <row r="1578" spans="1:10" x14ac:dyDescent="0.25">
      <c r="A1578" t="str">
        <f>IF($J1578="","",YEAR($J1578-WEEKDAY($J1578,2)+4)&amp;"-W"&amp;TEXT(_xludf.ISOWEEKNUM($J1578),"00"))</f>
        <v/>
      </c>
      <c r="B1578"/>
      <c r="C1578" t="str">
        <f>IF($J1578="","",SUMIFS('Hours Log'!$C:$C,'Hours Log'!$A:$A,"&gt;="&amp;$J1578,'Hours Log'!$A:$A,"&lt;"&amp;$J1578+7)+SUMIFS('Hours Log'!$D:$D,'Hours Log'!$A:$A,"&gt;="&amp;$J1578,'Hours Log'!$A:$A,"&lt;"&amp;$J1578+7))</f>
        <v/>
      </c>
      <c r="D1578" t="str">
        <f>IF($J1578="","",SUMIFS('Hours Log'!$D:$D,'Hours Log'!$A:$A,"&gt;="&amp;$J1578,'Hours Log'!$A:$A,"&lt;"&amp;$J1578+7))</f>
        <v/>
      </c>
      <c r="E1578" t="str">
        <f t="shared" si="48"/>
        <v/>
      </c>
      <c r="F1578" t="str">
        <f t="shared" si="49"/>
        <v/>
      </c>
      <c r="G1578" t="str">
        <f>IF($J1578="","",SUMIFS('Hours Log'!$E:$E,'Hours Log'!$A:$A,"&gt;="&amp;$J1578,'Hours Log'!$A:$A,"&lt;"&amp;$J1578+7))</f>
        <v/>
      </c>
      <c r="J1578" t="str">
        <f>IF(COUNT('Hours Log'!$A$4:$A$5000)=0,"",IF(MIN('Hours Log'!$A$4:$A$5000)+7*(ROW()-10)&gt;MAX('Hours Log'!$A$4:$A$5000),"",MIN('Hours Log'!$A$4:$A$5000)+7*(ROW()-10)))</f>
        <v/>
      </c>
    </row>
    <row r="1579" spans="1:10" x14ac:dyDescent="0.25">
      <c r="A1579" t="str">
        <f>IF($J1579="","",YEAR($J1579-WEEKDAY($J1579,2)+4)&amp;"-W"&amp;TEXT(_xludf.ISOWEEKNUM($J1579),"00"))</f>
        <v/>
      </c>
      <c r="B1579"/>
      <c r="C1579" t="str">
        <f>IF($J1579="","",SUMIFS('Hours Log'!$C:$C,'Hours Log'!$A:$A,"&gt;="&amp;$J1579,'Hours Log'!$A:$A,"&lt;"&amp;$J1579+7)+SUMIFS('Hours Log'!$D:$D,'Hours Log'!$A:$A,"&gt;="&amp;$J1579,'Hours Log'!$A:$A,"&lt;"&amp;$J1579+7))</f>
        <v/>
      </c>
      <c r="D1579" t="str">
        <f>IF($J1579="","",SUMIFS('Hours Log'!$D:$D,'Hours Log'!$A:$A,"&gt;="&amp;$J1579,'Hours Log'!$A:$A,"&lt;"&amp;$J1579+7))</f>
        <v/>
      </c>
      <c r="E1579" t="str">
        <f t="shared" si="48"/>
        <v/>
      </c>
      <c r="F1579" t="str">
        <f t="shared" si="49"/>
        <v/>
      </c>
      <c r="G1579" t="str">
        <f>IF($J1579="","",SUMIFS('Hours Log'!$E:$E,'Hours Log'!$A:$A,"&gt;="&amp;$J1579,'Hours Log'!$A:$A,"&lt;"&amp;$J1579+7))</f>
        <v/>
      </c>
      <c r="J1579" t="str">
        <f>IF(COUNT('Hours Log'!$A$4:$A$5000)=0,"",IF(MIN('Hours Log'!$A$4:$A$5000)+7*(ROW()-10)&gt;MAX('Hours Log'!$A$4:$A$5000),"",MIN('Hours Log'!$A$4:$A$5000)+7*(ROW()-10)))</f>
        <v/>
      </c>
    </row>
    <row r="1580" spans="1:10" x14ac:dyDescent="0.25">
      <c r="A1580" t="str">
        <f>IF($J1580="","",YEAR($J1580-WEEKDAY($J1580,2)+4)&amp;"-W"&amp;TEXT(_xludf.ISOWEEKNUM($J1580),"00"))</f>
        <v/>
      </c>
      <c r="B1580"/>
      <c r="C1580" t="str">
        <f>IF($J1580="","",SUMIFS('Hours Log'!$C:$C,'Hours Log'!$A:$A,"&gt;="&amp;$J1580,'Hours Log'!$A:$A,"&lt;"&amp;$J1580+7)+SUMIFS('Hours Log'!$D:$D,'Hours Log'!$A:$A,"&gt;="&amp;$J1580,'Hours Log'!$A:$A,"&lt;"&amp;$J1580+7))</f>
        <v/>
      </c>
      <c r="D1580" t="str">
        <f>IF($J1580="","",SUMIFS('Hours Log'!$D:$D,'Hours Log'!$A:$A,"&gt;="&amp;$J1580,'Hours Log'!$A:$A,"&lt;"&amp;$J1580+7))</f>
        <v/>
      </c>
      <c r="E1580" t="str">
        <f t="shared" si="48"/>
        <v/>
      </c>
      <c r="F1580" t="str">
        <f t="shared" si="49"/>
        <v/>
      </c>
      <c r="G1580" t="str">
        <f>IF($J1580="","",SUMIFS('Hours Log'!$E:$E,'Hours Log'!$A:$A,"&gt;="&amp;$J1580,'Hours Log'!$A:$A,"&lt;"&amp;$J1580+7))</f>
        <v/>
      </c>
      <c r="J1580" t="str">
        <f>IF(COUNT('Hours Log'!$A$4:$A$5000)=0,"",IF(MIN('Hours Log'!$A$4:$A$5000)+7*(ROW()-10)&gt;MAX('Hours Log'!$A$4:$A$5000),"",MIN('Hours Log'!$A$4:$A$5000)+7*(ROW()-10)))</f>
        <v/>
      </c>
    </row>
    <row r="1581" spans="1:10" x14ac:dyDescent="0.25">
      <c r="A1581" t="str">
        <f>IF($J1581="","",YEAR($J1581-WEEKDAY($J1581,2)+4)&amp;"-W"&amp;TEXT(_xludf.ISOWEEKNUM($J1581),"00"))</f>
        <v/>
      </c>
      <c r="B1581"/>
      <c r="C1581" t="str">
        <f>IF($J1581="","",SUMIFS('Hours Log'!$C:$C,'Hours Log'!$A:$A,"&gt;="&amp;$J1581,'Hours Log'!$A:$A,"&lt;"&amp;$J1581+7)+SUMIFS('Hours Log'!$D:$D,'Hours Log'!$A:$A,"&gt;="&amp;$J1581,'Hours Log'!$A:$A,"&lt;"&amp;$J1581+7))</f>
        <v/>
      </c>
      <c r="D1581" t="str">
        <f>IF($J1581="","",SUMIFS('Hours Log'!$D:$D,'Hours Log'!$A:$A,"&gt;="&amp;$J1581,'Hours Log'!$A:$A,"&lt;"&amp;$J1581+7))</f>
        <v/>
      </c>
      <c r="E1581" t="str">
        <f t="shared" si="48"/>
        <v/>
      </c>
      <c r="F1581" t="str">
        <f t="shared" si="49"/>
        <v/>
      </c>
      <c r="G1581" t="str">
        <f>IF($J1581="","",SUMIFS('Hours Log'!$E:$E,'Hours Log'!$A:$A,"&gt;="&amp;$J1581,'Hours Log'!$A:$A,"&lt;"&amp;$J1581+7))</f>
        <v/>
      </c>
      <c r="J1581" t="str">
        <f>IF(COUNT('Hours Log'!$A$4:$A$5000)=0,"",IF(MIN('Hours Log'!$A$4:$A$5000)+7*(ROW()-10)&gt;MAX('Hours Log'!$A$4:$A$5000),"",MIN('Hours Log'!$A$4:$A$5000)+7*(ROW()-10)))</f>
        <v/>
      </c>
    </row>
    <row r="1582" spans="1:10" x14ac:dyDescent="0.25">
      <c r="A1582" t="str">
        <f>IF($J1582="","",YEAR($J1582-WEEKDAY($J1582,2)+4)&amp;"-W"&amp;TEXT(_xludf.ISOWEEKNUM($J1582),"00"))</f>
        <v/>
      </c>
      <c r="B1582"/>
      <c r="C1582" t="str">
        <f>IF($J1582="","",SUMIFS('Hours Log'!$C:$C,'Hours Log'!$A:$A,"&gt;="&amp;$J1582,'Hours Log'!$A:$A,"&lt;"&amp;$J1582+7)+SUMIFS('Hours Log'!$D:$D,'Hours Log'!$A:$A,"&gt;="&amp;$J1582,'Hours Log'!$A:$A,"&lt;"&amp;$J1582+7))</f>
        <v/>
      </c>
      <c r="D1582" t="str">
        <f>IF($J1582="","",SUMIFS('Hours Log'!$D:$D,'Hours Log'!$A:$A,"&gt;="&amp;$J1582,'Hours Log'!$A:$A,"&lt;"&amp;$J1582+7))</f>
        <v/>
      </c>
      <c r="E1582" t="str">
        <f t="shared" si="48"/>
        <v/>
      </c>
      <c r="F1582" t="str">
        <f t="shared" si="49"/>
        <v/>
      </c>
      <c r="G1582" t="str">
        <f>IF($J1582="","",SUMIFS('Hours Log'!$E:$E,'Hours Log'!$A:$A,"&gt;="&amp;$J1582,'Hours Log'!$A:$A,"&lt;"&amp;$J1582+7))</f>
        <v/>
      </c>
      <c r="J1582" t="str">
        <f>IF(COUNT('Hours Log'!$A$4:$A$5000)=0,"",IF(MIN('Hours Log'!$A$4:$A$5000)+7*(ROW()-10)&gt;MAX('Hours Log'!$A$4:$A$5000),"",MIN('Hours Log'!$A$4:$A$5000)+7*(ROW()-10)))</f>
        <v/>
      </c>
    </row>
    <row r="1583" spans="1:10" x14ac:dyDescent="0.25">
      <c r="A1583" t="str">
        <f>IF($J1583="","",YEAR($J1583-WEEKDAY($J1583,2)+4)&amp;"-W"&amp;TEXT(_xludf.ISOWEEKNUM($J1583),"00"))</f>
        <v/>
      </c>
      <c r="B1583"/>
      <c r="C1583" t="str">
        <f>IF($J1583="","",SUMIFS('Hours Log'!$C:$C,'Hours Log'!$A:$A,"&gt;="&amp;$J1583,'Hours Log'!$A:$A,"&lt;"&amp;$J1583+7)+SUMIFS('Hours Log'!$D:$D,'Hours Log'!$A:$A,"&gt;="&amp;$J1583,'Hours Log'!$A:$A,"&lt;"&amp;$J1583+7))</f>
        <v/>
      </c>
      <c r="D1583" t="str">
        <f>IF($J1583="","",SUMIFS('Hours Log'!$D:$D,'Hours Log'!$A:$A,"&gt;="&amp;$J1583,'Hours Log'!$A:$A,"&lt;"&amp;$J1583+7))</f>
        <v/>
      </c>
      <c r="E1583" t="str">
        <f t="shared" si="48"/>
        <v/>
      </c>
      <c r="F1583" t="str">
        <f t="shared" si="49"/>
        <v/>
      </c>
      <c r="G1583" t="str">
        <f>IF($J1583="","",SUMIFS('Hours Log'!$E:$E,'Hours Log'!$A:$A,"&gt;="&amp;$J1583,'Hours Log'!$A:$A,"&lt;"&amp;$J1583+7))</f>
        <v/>
      </c>
      <c r="J1583" t="str">
        <f>IF(COUNT('Hours Log'!$A$4:$A$5000)=0,"",IF(MIN('Hours Log'!$A$4:$A$5000)+7*(ROW()-10)&gt;MAX('Hours Log'!$A$4:$A$5000),"",MIN('Hours Log'!$A$4:$A$5000)+7*(ROW()-10)))</f>
        <v/>
      </c>
    </row>
    <row r="1584" spans="1:10" x14ac:dyDescent="0.25">
      <c r="A1584" t="str">
        <f>IF($J1584="","",YEAR($J1584-WEEKDAY($J1584,2)+4)&amp;"-W"&amp;TEXT(_xludf.ISOWEEKNUM($J1584),"00"))</f>
        <v/>
      </c>
      <c r="B1584"/>
      <c r="C1584" t="str">
        <f>IF($J1584="","",SUMIFS('Hours Log'!$C:$C,'Hours Log'!$A:$A,"&gt;="&amp;$J1584,'Hours Log'!$A:$A,"&lt;"&amp;$J1584+7)+SUMIFS('Hours Log'!$D:$D,'Hours Log'!$A:$A,"&gt;="&amp;$J1584,'Hours Log'!$A:$A,"&lt;"&amp;$J1584+7))</f>
        <v/>
      </c>
      <c r="D1584" t="str">
        <f>IF($J1584="","",SUMIFS('Hours Log'!$D:$D,'Hours Log'!$A:$A,"&gt;="&amp;$J1584,'Hours Log'!$A:$A,"&lt;"&amp;$J1584+7))</f>
        <v/>
      </c>
      <c r="E1584" t="str">
        <f t="shared" si="48"/>
        <v/>
      </c>
      <c r="F1584" t="str">
        <f t="shared" si="49"/>
        <v/>
      </c>
      <c r="G1584" t="str">
        <f>IF($J1584="","",SUMIFS('Hours Log'!$E:$E,'Hours Log'!$A:$A,"&gt;="&amp;$J1584,'Hours Log'!$A:$A,"&lt;"&amp;$J1584+7))</f>
        <v/>
      </c>
      <c r="J1584" t="str">
        <f>IF(COUNT('Hours Log'!$A$4:$A$5000)=0,"",IF(MIN('Hours Log'!$A$4:$A$5000)+7*(ROW()-10)&gt;MAX('Hours Log'!$A$4:$A$5000),"",MIN('Hours Log'!$A$4:$A$5000)+7*(ROW()-10)))</f>
        <v/>
      </c>
    </row>
    <row r="1585" spans="1:10" x14ac:dyDescent="0.25">
      <c r="A1585" t="str">
        <f>IF($J1585="","",YEAR($J1585-WEEKDAY($J1585,2)+4)&amp;"-W"&amp;TEXT(_xludf.ISOWEEKNUM($J1585),"00"))</f>
        <v/>
      </c>
      <c r="B1585"/>
      <c r="C1585" t="str">
        <f>IF($J1585="","",SUMIFS('Hours Log'!$C:$C,'Hours Log'!$A:$A,"&gt;="&amp;$J1585,'Hours Log'!$A:$A,"&lt;"&amp;$J1585+7)+SUMIFS('Hours Log'!$D:$D,'Hours Log'!$A:$A,"&gt;="&amp;$J1585,'Hours Log'!$A:$A,"&lt;"&amp;$J1585+7))</f>
        <v/>
      </c>
      <c r="D1585" t="str">
        <f>IF($J1585="","",SUMIFS('Hours Log'!$D:$D,'Hours Log'!$A:$A,"&gt;="&amp;$J1585,'Hours Log'!$A:$A,"&lt;"&amp;$J1585+7))</f>
        <v/>
      </c>
      <c r="E1585" t="str">
        <f t="shared" si="48"/>
        <v/>
      </c>
      <c r="F1585" t="str">
        <f t="shared" si="49"/>
        <v/>
      </c>
      <c r="G1585" t="str">
        <f>IF($J1585="","",SUMIFS('Hours Log'!$E:$E,'Hours Log'!$A:$A,"&gt;="&amp;$J1585,'Hours Log'!$A:$A,"&lt;"&amp;$J1585+7))</f>
        <v/>
      </c>
      <c r="J1585" t="str">
        <f>IF(COUNT('Hours Log'!$A$4:$A$5000)=0,"",IF(MIN('Hours Log'!$A$4:$A$5000)+7*(ROW()-10)&gt;MAX('Hours Log'!$A$4:$A$5000),"",MIN('Hours Log'!$A$4:$A$5000)+7*(ROW()-10)))</f>
        <v/>
      </c>
    </row>
    <row r="1586" spans="1:10" x14ac:dyDescent="0.25">
      <c r="A1586" t="str">
        <f>IF($J1586="","",YEAR($J1586-WEEKDAY($J1586,2)+4)&amp;"-W"&amp;TEXT(_xludf.ISOWEEKNUM($J1586),"00"))</f>
        <v/>
      </c>
      <c r="B1586"/>
      <c r="C1586" t="str">
        <f>IF($J1586="","",SUMIFS('Hours Log'!$C:$C,'Hours Log'!$A:$A,"&gt;="&amp;$J1586,'Hours Log'!$A:$A,"&lt;"&amp;$J1586+7)+SUMIFS('Hours Log'!$D:$D,'Hours Log'!$A:$A,"&gt;="&amp;$J1586,'Hours Log'!$A:$A,"&lt;"&amp;$J1586+7))</f>
        <v/>
      </c>
      <c r="D1586" t="str">
        <f>IF($J1586="","",SUMIFS('Hours Log'!$D:$D,'Hours Log'!$A:$A,"&gt;="&amp;$J1586,'Hours Log'!$A:$A,"&lt;"&amp;$J1586+7))</f>
        <v/>
      </c>
      <c r="E1586" t="str">
        <f t="shared" si="48"/>
        <v/>
      </c>
      <c r="F1586" t="str">
        <f t="shared" si="49"/>
        <v/>
      </c>
      <c r="G1586" t="str">
        <f>IF($J1586="","",SUMIFS('Hours Log'!$E:$E,'Hours Log'!$A:$A,"&gt;="&amp;$J1586,'Hours Log'!$A:$A,"&lt;"&amp;$J1586+7))</f>
        <v/>
      </c>
      <c r="J1586" t="str">
        <f>IF(COUNT('Hours Log'!$A$4:$A$5000)=0,"",IF(MIN('Hours Log'!$A$4:$A$5000)+7*(ROW()-10)&gt;MAX('Hours Log'!$A$4:$A$5000),"",MIN('Hours Log'!$A$4:$A$5000)+7*(ROW()-10)))</f>
        <v/>
      </c>
    </row>
    <row r="1587" spans="1:10" x14ac:dyDescent="0.25">
      <c r="A1587" t="str">
        <f>IF($J1587="","",YEAR($J1587-WEEKDAY($J1587,2)+4)&amp;"-W"&amp;TEXT(_xludf.ISOWEEKNUM($J1587),"00"))</f>
        <v/>
      </c>
      <c r="B1587"/>
      <c r="C1587" t="str">
        <f>IF($J1587="","",SUMIFS('Hours Log'!$C:$C,'Hours Log'!$A:$A,"&gt;="&amp;$J1587,'Hours Log'!$A:$A,"&lt;"&amp;$J1587+7)+SUMIFS('Hours Log'!$D:$D,'Hours Log'!$A:$A,"&gt;="&amp;$J1587,'Hours Log'!$A:$A,"&lt;"&amp;$J1587+7))</f>
        <v/>
      </c>
      <c r="D1587" t="str">
        <f>IF($J1587="","",SUMIFS('Hours Log'!$D:$D,'Hours Log'!$A:$A,"&gt;="&amp;$J1587,'Hours Log'!$A:$A,"&lt;"&amp;$J1587+7))</f>
        <v/>
      </c>
      <c r="E1587" t="str">
        <f t="shared" si="48"/>
        <v/>
      </c>
      <c r="F1587" t="str">
        <f t="shared" si="49"/>
        <v/>
      </c>
      <c r="G1587" t="str">
        <f>IF($J1587="","",SUMIFS('Hours Log'!$E:$E,'Hours Log'!$A:$A,"&gt;="&amp;$J1587,'Hours Log'!$A:$A,"&lt;"&amp;$J1587+7))</f>
        <v/>
      </c>
      <c r="J1587" t="str">
        <f>IF(COUNT('Hours Log'!$A$4:$A$5000)=0,"",IF(MIN('Hours Log'!$A$4:$A$5000)+7*(ROW()-10)&gt;MAX('Hours Log'!$A$4:$A$5000),"",MIN('Hours Log'!$A$4:$A$5000)+7*(ROW()-10)))</f>
        <v/>
      </c>
    </row>
    <row r="1588" spans="1:10" x14ac:dyDescent="0.25">
      <c r="A1588" t="str">
        <f>IF($J1588="","",YEAR($J1588-WEEKDAY($J1588,2)+4)&amp;"-W"&amp;TEXT(_xludf.ISOWEEKNUM($J1588),"00"))</f>
        <v/>
      </c>
      <c r="B1588"/>
      <c r="C1588" t="str">
        <f>IF($J1588="","",SUMIFS('Hours Log'!$C:$C,'Hours Log'!$A:$A,"&gt;="&amp;$J1588,'Hours Log'!$A:$A,"&lt;"&amp;$J1588+7)+SUMIFS('Hours Log'!$D:$D,'Hours Log'!$A:$A,"&gt;="&amp;$J1588,'Hours Log'!$A:$A,"&lt;"&amp;$J1588+7))</f>
        <v/>
      </c>
      <c r="D1588" t="str">
        <f>IF($J1588="","",SUMIFS('Hours Log'!$D:$D,'Hours Log'!$A:$A,"&gt;="&amp;$J1588,'Hours Log'!$A:$A,"&lt;"&amp;$J1588+7))</f>
        <v/>
      </c>
      <c r="E1588" t="str">
        <f t="shared" si="48"/>
        <v/>
      </c>
      <c r="F1588" t="str">
        <f t="shared" si="49"/>
        <v/>
      </c>
      <c r="G1588" t="str">
        <f>IF($J1588="","",SUMIFS('Hours Log'!$E:$E,'Hours Log'!$A:$A,"&gt;="&amp;$J1588,'Hours Log'!$A:$A,"&lt;"&amp;$J1588+7))</f>
        <v/>
      </c>
      <c r="J1588" t="str">
        <f>IF(COUNT('Hours Log'!$A$4:$A$5000)=0,"",IF(MIN('Hours Log'!$A$4:$A$5000)+7*(ROW()-10)&gt;MAX('Hours Log'!$A$4:$A$5000),"",MIN('Hours Log'!$A$4:$A$5000)+7*(ROW()-10)))</f>
        <v/>
      </c>
    </row>
    <row r="1589" spans="1:10" x14ac:dyDescent="0.25">
      <c r="A1589" t="str">
        <f>IF($J1589="","",YEAR($J1589-WEEKDAY($J1589,2)+4)&amp;"-W"&amp;TEXT(_xludf.ISOWEEKNUM($J1589),"00"))</f>
        <v/>
      </c>
      <c r="B1589"/>
      <c r="C1589" t="str">
        <f>IF($J1589="","",SUMIFS('Hours Log'!$C:$C,'Hours Log'!$A:$A,"&gt;="&amp;$J1589,'Hours Log'!$A:$A,"&lt;"&amp;$J1589+7)+SUMIFS('Hours Log'!$D:$D,'Hours Log'!$A:$A,"&gt;="&amp;$J1589,'Hours Log'!$A:$A,"&lt;"&amp;$J1589+7))</f>
        <v/>
      </c>
      <c r="D1589" t="str">
        <f>IF($J1589="","",SUMIFS('Hours Log'!$D:$D,'Hours Log'!$A:$A,"&gt;="&amp;$J1589,'Hours Log'!$A:$A,"&lt;"&amp;$J1589+7))</f>
        <v/>
      </c>
      <c r="E1589" t="str">
        <f t="shared" si="48"/>
        <v/>
      </c>
      <c r="F1589" t="str">
        <f t="shared" si="49"/>
        <v/>
      </c>
      <c r="G1589" t="str">
        <f>IF($J1589="","",SUMIFS('Hours Log'!$E:$E,'Hours Log'!$A:$A,"&gt;="&amp;$J1589,'Hours Log'!$A:$A,"&lt;"&amp;$J1589+7))</f>
        <v/>
      </c>
      <c r="J1589" t="str">
        <f>IF(COUNT('Hours Log'!$A$4:$A$5000)=0,"",IF(MIN('Hours Log'!$A$4:$A$5000)+7*(ROW()-10)&gt;MAX('Hours Log'!$A$4:$A$5000),"",MIN('Hours Log'!$A$4:$A$5000)+7*(ROW()-10)))</f>
        <v/>
      </c>
    </row>
    <row r="1590" spans="1:10" x14ac:dyDescent="0.25">
      <c r="A1590" t="str">
        <f>IF($J1590="","",YEAR($J1590-WEEKDAY($J1590,2)+4)&amp;"-W"&amp;TEXT(_xludf.ISOWEEKNUM($J1590),"00"))</f>
        <v/>
      </c>
      <c r="B1590"/>
      <c r="C1590" t="str">
        <f>IF($J1590="","",SUMIFS('Hours Log'!$C:$C,'Hours Log'!$A:$A,"&gt;="&amp;$J1590,'Hours Log'!$A:$A,"&lt;"&amp;$J1590+7)+SUMIFS('Hours Log'!$D:$D,'Hours Log'!$A:$A,"&gt;="&amp;$J1590,'Hours Log'!$A:$A,"&lt;"&amp;$J1590+7))</f>
        <v/>
      </c>
      <c r="D1590" t="str">
        <f>IF($J1590="","",SUMIFS('Hours Log'!$D:$D,'Hours Log'!$A:$A,"&gt;="&amp;$J1590,'Hours Log'!$A:$A,"&lt;"&amp;$J1590+7))</f>
        <v/>
      </c>
      <c r="E1590" t="str">
        <f t="shared" si="48"/>
        <v/>
      </c>
      <c r="F1590" t="str">
        <f t="shared" si="49"/>
        <v/>
      </c>
      <c r="G1590" t="str">
        <f>IF($J1590="","",SUMIFS('Hours Log'!$E:$E,'Hours Log'!$A:$A,"&gt;="&amp;$J1590,'Hours Log'!$A:$A,"&lt;"&amp;$J1590+7))</f>
        <v/>
      </c>
      <c r="J1590" t="str">
        <f>IF(COUNT('Hours Log'!$A$4:$A$5000)=0,"",IF(MIN('Hours Log'!$A$4:$A$5000)+7*(ROW()-10)&gt;MAX('Hours Log'!$A$4:$A$5000),"",MIN('Hours Log'!$A$4:$A$5000)+7*(ROW()-10)))</f>
        <v/>
      </c>
    </row>
    <row r="1591" spans="1:10" x14ac:dyDescent="0.25">
      <c r="A1591" t="str">
        <f>IF($J1591="","",YEAR($J1591-WEEKDAY($J1591,2)+4)&amp;"-W"&amp;TEXT(_xludf.ISOWEEKNUM($J1591),"00"))</f>
        <v/>
      </c>
      <c r="B1591"/>
      <c r="C1591" t="str">
        <f>IF($J1591="","",SUMIFS('Hours Log'!$C:$C,'Hours Log'!$A:$A,"&gt;="&amp;$J1591,'Hours Log'!$A:$A,"&lt;"&amp;$J1591+7)+SUMIFS('Hours Log'!$D:$D,'Hours Log'!$A:$A,"&gt;="&amp;$J1591,'Hours Log'!$A:$A,"&lt;"&amp;$J1591+7))</f>
        <v/>
      </c>
      <c r="D1591" t="str">
        <f>IF($J1591="","",SUMIFS('Hours Log'!$D:$D,'Hours Log'!$A:$A,"&gt;="&amp;$J1591,'Hours Log'!$A:$A,"&lt;"&amp;$J1591+7))</f>
        <v/>
      </c>
      <c r="E1591" t="str">
        <f t="shared" si="48"/>
        <v/>
      </c>
      <c r="F1591" t="str">
        <f t="shared" si="49"/>
        <v/>
      </c>
      <c r="G1591" t="str">
        <f>IF($J1591="","",SUMIFS('Hours Log'!$E:$E,'Hours Log'!$A:$A,"&gt;="&amp;$J1591,'Hours Log'!$A:$A,"&lt;"&amp;$J1591+7))</f>
        <v/>
      </c>
      <c r="J1591" t="str">
        <f>IF(COUNT('Hours Log'!$A$4:$A$5000)=0,"",IF(MIN('Hours Log'!$A$4:$A$5000)+7*(ROW()-10)&gt;MAX('Hours Log'!$A$4:$A$5000),"",MIN('Hours Log'!$A$4:$A$5000)+7*(ROW()-10)))</f>
        <v/>
      </c>
    </row>
    <row r="1592" spans="1:10" x14ac:dyDescent="0.25">
      <c r="A1592" t="str">
        <f>IF($J1592="","",YEAR($J1592-WEEKDAY($J1592,2)+4)&amp;"-W"&amp;TEXT(_xludf.ISOWEEKNUM($J1592),"00"))</f>
        <v/>
      </c>
      <c r="B1592"/>
      <c r="C1592" t="str">
        <f>IF($J1592="","",SUMIFS('Hours Log'!$C:$C,'Hours Log'!$A:$A,"&gt;="&amp;$J1592,'Hours Log'!$A:$A,"&lt;"&amp;$J1592+7)+SUMIFS('Hours Log'!$D:$D,'Hours Log'!$A:$A,"&gt;="&amp;$J1592,'Hours Log'!$A:$A,"&lt;"&amp;$J1592+7))</f>
        <v/>
      </c>
      <c r="D1592" t="str">
        <f>IF($J1592="","",SUMIFS('Hours Log'!$D:$D,'Hours Log'!$A:$A,"&gt;="&amp;$J1592,'Hours Log'!$A:$A,"&lt;"&amp;$J1592+7))</f>
        <v/>
      </c>
      <c r="E1592" t="str">
        <f t="shared" si="48"/>
        <v/>
      </c>
      <c r="F1592" t="str">
        <f t="shared" si="49"/>
        <v/>
      </c>
      <c r="G1592" t="str">
        <f>IF($J1592="","",SUMIFS('Hours Log'!$E:$E,'Hours Log'!$A:$A,"&gt;="&amp;$J1592,'Hours Log'!$A:$A,"&lt;"&amp;$J1592+7))</f>
        <v/>
      </c>
      <c r="J1592" t="str">
        <f>IF(COUNT('Hours Log'!$A$4:$A$5000)=0,"",IF(MIN('Hours Log'!$A$4:$A$5000)+7*(ROW()-10)&gt;MAX('Hours Log'!$A$4:$A$5000),"",MIN('Hours Log'!$A$4:$A$5000)+7*(ROW()-10)))</f>
        <v/>
      </c>
    </row>
    <row r="1593" spans="1:10" x14ac:dyDescent="0.25">
      <c r="A1593" t="str">
        <f>IF($J1593="","",YEAR($J1593-WEEKDAY($J1593,2)+4)&amp;"-W"&amp;TEXT(_xludf.ISOWEEKNUM($J1593),"00"))</f>
        <v/>
      </c>
      <c r="B1593"/>
      <c r="C1593" t="str">
        <f>IF($J1593="","",SUMIFS('Hours Log'!$C:$C,'Hours Log'!$A:$A,"&gt;="&amp;$J1593,'Hours Log'!$A:$A,"&lt;"&amp;$J1593+7)+SUMIFS('Hours Log'!$D:$D,'Hours Log'!$A:$A,"&gt;="&amp;$J1593,'Hours Log'!$A:$A,"&lt;"&amp;$J1593+7))</f>
        <v/>
      </c>
      <c r="D1593" t="str">
        <f>IF($J1593="","",SUMIFS('Hours Log'!$D:$D,'Hours Log'!$A:$A,"&gt;="&amp;$J1593,'Hours Log'!$A:$A,"&lt;"&amp;$J1593+7))</f>
        <v/>
      </c>
      <c r="E1593" t="str">
        <f t="shared" si="48"/>
        <v/>
      </c>
      <c r="F1593" t="str">
        <f t="shared" si="49"/>
        <v/>
      </c>
      <c r="G1593" t="str">
        <f>IF($J1593="","",SUMIFS('Hours Log'!$E:$E,'Hours Log'!$A:$A,"&gt;="&amp;$J1593,'Hours Log'!$A:$A,"&lt;"&amp;$J1593+7))</f>
        <v/>
      </c>
      <c r="J1593" t="str">
        <f>IF(COUNT('Hours Log'!$A$4:$A$5000)=0,"",IF(MIN('Hours Log'!$A$4:$A$5000)+7*(ROW()-10)&gt;MAX('Hours Log'!$A$4:$A$5000),"",MIN('Hours Log'!$A$4:$A$5000)+7*(ROW()-10)))</f>
        <v/>
      </c>
    </row>
    <row r="1594" spans="1:10" x14ac:dyDescent="0.25">
      <c r="A1594" t="str">
        <f>IF($J1594="","",YEAR($J1594-WEEKDAY($J1594,2)+4)&amp;"-W"&amp;TEXT(_xludf.ISOWEEKNUM($J1594),"00"))</f>
        <v/>
      </c>
      <c r="B1594"/>
      <c r="C1594" t="str">
        <f>IF($J1594="","",SUMIFS('Hours Log'!$C:$C,'Hours Log'!$A:$A,"&gt;="&amp;$J1594,'Hours Log'!$A:$A,"&lt;"&amp;$J1594+7)+SUMIFS('Hours Log'!$D:$D,'Hours Log'!$A:$A,"&gt;="&amp;$J1594,'Hours Log'!$A:$A,"&lt;"&amp;$J1594+7))</f>
        <v/>
      </c>
      <c r="D1594" t="str">
        <f>IF($J1594="","",SUMIFS('Hours Log'!$D:$D,'Hours Log'!$A:$A,"&gt;="&amp;$J1594,'Hours Log'!$A:$A,"&lt;"&amp;$J1594+7))</f>
        <v/>
      </c>
      <c r="E1594" t="str">
        <f t="shared" si="48"/>
        <v/>
      </c>
      <c r="F1594" t="str">
        <f t="shared" si="49"/>
        <v/>
      </c>
      <c r="G1594" t="str">
        <f>IF($J1594="","",SUMIFS('Hours Log'!$E:$E,'Hours Log'!$A:$A,"&gt;="&amp;$J1594,'Hours Log'!$A:$A,"&lt;"&amp;$J1594+7))</f>
        <v/>
      </c>
      <c r="J1594" t="str">
        <f>IF(COUNT('Hours Log'!$A$4:$A$5000)=0,"",IF(MIN('Hours Log'!$A$4:$A$5000)+7*(ROW()-10)&gt;MAX('Hours Log'!$A$4:$A$5000),"",MIN('Hours Log'!$A$4:$A$5000)+7*(ROW()-10)))</f>
        <v/>
      </c>
    </row>
    <row r="1595" spans="1:10" x14ac:dyDescent="0.25">
      <c r="A1595" t="str">
        <f>IF($J1595="","",YEAR($J1595-WEEKDAY($J1595,2)+4)&amp;"-W"&amp;TEXT(_xludf.ISOWEEKNUM($J1595),"00"))</f>
        <v/>
      </c>
      <c r="B1595"/>
      <c r="C1595" t="str">
        <f>IF($J1595="","",SUMIFS('Hours Log'!$C:$C,'Hours Log'!$A:$A,"&gt;="&amp;$J1595,'Hours Log'!$A:$A,"&lt;"&amp;$J1595+7)+SUMIFS('Hours Log'!$D:$D,'Hours Log'!$A:$A,"&gt;="&amp;$J1595,'Hours Log'!$A:$A,"&lt;"&amp;$J1595+7))</f>
        <v/>
      </c>
      <c r="D1595" t="str">
        <f>IF($J1595="","",SUMIFS('Hours Log'!$D:$D,'Hours Log'!$A:$A,"&gt;="&amp;$J1595,'Hours Log'!$A:$A,"&lt;"&amp;$J1595+7))</f>
        <v/>
      </c>
      <c r="E1595" t="str">
        <f t="shared" si="48"/>
        <v/>
      </c>
      <c r="F1595" t="str">
        <f t="shared" si="49"/>
        <v/>
      </c>
      <c r="G1595" t="str">
        <f>IF($J1595="","",SUMIFS('Hours Log'!$E:$E,'Hours Log'!$A:$A,"&gt;="&amp;$J1595,'Hours Log'!$A:$A,"&lt;"&amp;$J1595+7))</f>
        <v/>
      </c>
      <c r="J1595" t="str">
        <f>IF(COUNT('Hours Log'!$A$4:$A$5000)=0,"",IF(MIN('Hours Log'!$A$4:$A$5000)+7*(ROW()-10)&gt;MAX('Hours Log'!$A$4:$A$5000),"",MIN('Hours Log'!$A$4:$A$5000)+7*(ROW()-10)))</f>
        <v/>
      </c>
    </row>
    <row r="1596" spans="1:10" x14ac:dyDescent="0.25">
      <c r="A1596" t="str">
        <f>IF($J1596="","",YEAR($J1596-WEEKDAY($J1596,2)+4)&amp;"-W"&amp;TEXT(_xludf.ISOWEEKNUM($J1596),"00"))</f>
        <v/>
      </c>
      <c r="B1596"/>
      <c r="C1596" t="str">
        <f>IF($J1596="","",SUMIFS('Hours Log'!$C:$C,'Hours Log'!$A:$A,"&gt;="&amp;$J1596,'Hours Log'!$A:$A,"&lt;"&amp;$J1596+7)+SUMIFS('Hours Log'!$D:$D,'Hours Log'!$A:$A,"&gt;="&amp;$J1596,'Hours Log'!$A:$A,"&lt;"&amp;$J1596+7))</f>
        <v/>
      </c>
      <c r="D1596" t="str">
        <f>IF($J1596="","",SUMIFS('Hours Log'!$D:$D,'Hours Log'!$A:$A,"&gt;="&amp;$J1596,'Hours Log'!$A:$A,"&lt;"&amp;$J1596+7))</f>
        <v/>
      </c>
      <c r="E1596" t="str">
        <f t="shared" si="48"/>
        <v/>
      </c>
      <c r="F1596" t="str">
        <f t="shared" si="49"/>
        <v/>
      </c>
      <c r="G1596" t="str">
        <f>IF($J1596="","",SUMIFS('Hours Log'!$E:$E,'Hours Log'!$A:$A,"&gt;="&amp;$J1596,'Hours Log'!$A:$A,"&lt;"&amp;$J1596+7))</f>
        <v/>
      </c>
      <c r="J1596" t="str">
        <f>IF(COUNT('Hours Log'!$A$4:$A$5000)=0,"",IF(MIN('Hours Log'!$A$4:$A$5000)+7*(ROW()-10)&gt;MAX('Hours Log'!$A$4:$A$5000),"",MIN('Hours Log'!$A$4:$A$5000)+7*(ROW()-10)))</f>
        <v/>
      </c>
    </row>
    <row r="1597" spans="1:10" x14ac:dyDescent="0.25">
      <c r="A1597" t="str">
        <f>IF($J1597="","",YEAR($J1597-WEEKDAY($J1597,2)+4)&amp;"-W"&amp;TEXT(_xludf.ISOWEEKNUM($J1597),"00"))</f>
        <v/>
      </c>
      <c r="B1597"/>
      <c r="C1597" t="str">
        <f>IF($J1597="","",SUMIFS('Hours Log'!$C:$C,'Hours Log'!$A:$A,"&gt;="&amp;$J1597,'Hours Log'!$A:$A,"&lt;"&amp;$J1597+7)+SUMIFS('Hours Log'!$D:$D,'Hours Log'!$A:$A,"&gt;="&amp;$J1597,'Hours Log'!$A:$A,"&lt;"&amp;$J1597+7))</f>
        <v/>
      </c>
      <c r="D1597" t="str">
        <f>IF($J1597="","",SUMIFS('Hours Log'!$D:$D,'Hours Log'!$A:$A,"&gt;="&amp;$J1597,'Hours Log'!$A:$A,"&lt;"&amp;$J1597+7))</f>
        <v/>
      </c>
      <c r="E1597" t="str">
        <f t="shared" si="48"/>
        <v/>
      </c>
      <c r="F1597" t="str">
        <f t="shared" si="49"/>
        <v/>
      </c>
      <c r="G1597" t="str">
        <f>IF($J1597="","",SUMIFS('Hours Log'!$E:$E,'Hours Log'!$A:$A,"&gt;="&amp;$J1597,'Hours Log'!$A:$A,"&lt;"&amp;$J1597+7))</f>
        <v/>
      </c>
      <c r="J1597" t="str">
        <f>IF(COUNT('Hours Log'!$A$4:$A$5000)=0,"",IF(MIN('Hours Log'!$A$4:$A$5000)+7*(ROW()-10)&gt;MAX('Hours Log'!$A$4:$A$5000),"",MIN('Hours Log'!$A$4:$A$5000)+7*(ROW()-10)))</f>
        <v/>
      </c>
    </row>
    <row r="1598" spans="1:10" x14ac:dyDescent="0.25">
      <c r="A1598" t="str">
        <f>IF($J1598="","",YEAR($J1598-WEEKDAY($J1598,2)+4)&amp;"-W"&amp;TEXT(_xludf.ISOWEEKNUM($J1598),"00"))</f>
        <v/>
      </c>
      <c r="B1598"/>
      <c r="C1598" t="str">
        <f>IF($J1598="","",SUMIFS('Hours Log'!$C:$C,'Hours Log'!$A:$A,"&gt;="&amp;$J1598,'Hours Log'!$A:$A,"&lt;"&amp;$J1598+7)+SUMIFS('Hours Log'!$D:$D,'Hours Log'!$A:$A,"&gt;="&amp;$J1598,'Hours Log'!$A:$A,"&lt;"&amp;$J1598+7))</f>
        <v/>
      </c>
      <c r="D1598" t="str">
        <f>IF($J1598="","",SUMIFS('Hours Log'!$D:$D,'Hours Log'!$A:$A,"&gt;="&amp;$J1598,'Hours Log'!$A:$A,"&lt;"&amp;$J1598+7))</f>
        <v/>
      </c>
      <c r="E1598" t="str">
        <f t="shared" si="48"/>
        <v/>
      </c>
      <c r="F1598" t="str">
        <f t="shared" si="49"/>
        <v/>
      </c>
      <c r="G1598" t="str">
        <f>IF($J1598="","",SUMIFS('Hours Log'!$E:$E,'Hours Log'!$A:$A,"&gt;="&amp;$J1598,'Hours Log'!$A:$A,"&lt;"&amp;$J1598+7))</f>
        <v/>
      </c>
      <c r="J1598" t="str">
        <f>IF(COUNT('Hours Log'!$A$4:$A$5000)=0,"",IF(MIN('Hours Log'!$A$4:$A$5000)+7*(ROW()-10)&gt;MAX('Hours Log'!$A$4:$A$5000),"",MIN('Hours Log'!$A$4:$A$5000)+7*(ROW()-10)))</f>
        <v/>
      </c>
    </row>
    <row r="1599" spans="1:10" x14ac:dyDescent="0.25">
      <c r="A1599" t="str">
        <f>IF($J1599="","",YEAR($J1599-WEEKDAY($J1599,2)+4)&amp;"-W"&amp;TEXT(_xludf.ISOWEEKNUM($J1599),"00"))</f>
        <v/>
      </c>
      <c r="B1599"/>
      <c r="C1599" t="str">
        <f>IF($J1599="","",SUMIFS('Hours Log'!$C:$C,'Hours Log'!$A:$A,"&gt;="&amp;$J1599,'Hours Log'!$A:$A,"&lt;"&amp;$J1599+7)+SUMIFS('Hours Log'!$D:$D,'Hours Log'!$A:$A,"&gt;="&amp;$J1599,'Hours Log'!$A:$A,"&lt;"&amp;$J1599+7))</f>
        <v/>
      </c>
      <c r="D1599" t="str">
        <f>IF($J1599="","",SUMIFS('Hours Log'!$D:$D,'Hours Log'!$A:$A,"&gt;="&amp;$J1599,'Hours Log'!$A:$A,"&lt;"&amp;$J1599+7))</f>
        <v/>
      </c>
      <c r="E1599" t="str">
        <f t="shared" si="48"/>
        <v/>
      </c>
      <c r="F1599" t="str">
        <f t="shared" si="49"/>
        <v/>
      </c>
      <c r="G1599" t="str">
        <f>IF($J1599="","",SUMIFS('Hours Log'!$E:$E,'Hours Log'!$A:$A,"&gt;="&amp;$J1599,'Hours Log'!$A:$A,"&lt;"&amp;$J1599+7))</f>
        <v/>
      </c>
      <c r="J1599" t="str">
        <f>IF(COUNT('Hours Log'!$A$4:$A$5000)=0,"",IF(MIN('Hours Log'!$A$4:$A$5000)+7*(ROW()-10)&gt;MAX('Hours Log'!$A$4:$A$5000),"",MIN('Hours Log'!$A$4:$A$5000)+7*(ROW()-10)))</f>
        <v/>
      </c>
    </row>
    <row r="1600" spans="1:10" x14ac:dyDescent="0.25">
      <c r="A1600" t="str">
        <f>IF($J1600="","",YEAR($J1600-WEEKDAY($J1600,2)+4)&amp;"-W"&amp;TEXT(_xludf.ISOWEEKNUM($J1600),"00"))</f>
        <v/>
      </c>
      <c r="B1600"/>
      <c r="C1600" t="str">
        <f>IF($J1600="","",SUMIFS('Hours Log'!$C:$C,'Hours Log'!$A:$A,"&gt;="&amp;$J1600,'Hours Log'!$A:$A,"&lt;"&amp;$J1600+7)+SUMIFS('Hours Log'!$D:$D,'Hours Log'!$A:$A,"&gt;="&amp;$J1600,'Hours Log'!$A:$A,"&lt;"&amp;$J1600+7))</f>
        <v/>
      </c>
      <c r="D1600" t="str">
        <f>IF($J1600="","",SUMIFS('Hours Log'!$D:$D,'Hours Log'!$A:$A,"&gt;="&amp;$J1600,'Hours Log'!$A:$A,"&lt;"&amp;$J1600+7))</f>
        <v/>
      </c>
      <c r="E1600" t="str">
        <f t="shared" si="48"/>
        <v/>
      </c>
      <c r="F1600" t="str">
        <f t="shared" si="49"/>
        <v/>
      </c>
      <c r="G1600" t="str">
        <f>IF($J1600="","",SUMIFS('Hours Log'!$E:$E,'Hours Log'!$A:$A,"&gt;="&amp;$J1600,'Hours Log'!$A:$A,"&lt;"&amp;$J1600+7))</f>
        <v/>
      </c>
      <c r="J1600" t="str">
        <f>IF(COUNT('Hours Log'!$A$4:$A$5000)=0,"",IF(MIN('Hours Log'!$A$4:$A$5000)+7*(ROW()-10)&gt;MAX('Hours Log'!$A$4:$A$5000),"",MIN('Hours Log'!$A$4:$A$5000)+7*(ROW()-10)))</f>
        <v/>
      </c>
    </row>
    <row r="1601" spans="1:10" x14ac:dyDescent="0.25">
      <c r="A1601" t="str">
        <f>IF($J1601="","",YEAR($J1601-WEEKDAY($J1601,2)+4)&amp;"-W"&amp;TEXT(_xludf.ISOWEEKNUM($J1601),"00"))</f>
        <v/>
      </c>
      <c r="B1601"/>
      <c r="C1601" t="str">
        <f>IF($J1601="","",SUMIFS('Hours Log'!$C:$C,'Hours Log'!$A:$A,"&gt;="&amp;$J1601,'Hours Log'!$A:$A,"&lt;"&amp;$J1601+7)+SUMIFS('Hours Log'!$D:$D,'Hours Log'!$A:$A,"&gt;="&amp;$J1601,'Hours Log'!$A:$A,"&lt;"&amp;$J1601+7))</f>
        <v/>
      </c>
      <c r="D1601" t="str">
        <f>IF($J1601="","",SUMIFS('Hours Log'!$D:$D,'Hours Log'!$A:$A,"&gt;="&amp;$J1601,'Hours Log'!$A:$A,"&lt;"&amp;$J1601+7))</f>
        <v/>
      </c>
      <c r="E1601" t="str">
        <f t="shared" si="48"/>
        <v/>
      </c>
      <c r="F1601" t="str">
        <f t="shared" si="49"/>
        <v/>
      </c>
      <c r="G1601" t="str">
        <f>IF($J1601="","",SUMIFS('Hours Log'!$E:$E,'Hours Log'!$A:$A,"&gt;="&amp;$J1601,'Hours Log'!$A:$A,"&lt;"&amp;$J1601+7))</f>
        <v/>
      </c>
      <c r="J1601" t="str">
        <f>IF(COUNT('Hours Log'!$A$4:$A$5000)=0,"",IF(MIN('Hours Log'!$A$4:$A$5000)+7*(ROW()-10)&gt;MAX('Hours Log'!$A$4:$A$5000),"",MIN('Hours Log'!$A$4:$A$5000)+7*(ROW()-10)))</f>
        <v/>
      </c>
    </row>
    <row r="1602" spans="1:10" x14ac:dyDescent="0.25">
      <c r="A1602" t="str">
        <f>IF($J1602="","",YEAR($J1602-WEEKDAY($J1602,2)+4)&amp;"-W"&amp;TEXT(_xludf.ISOWEEKNUM($J1602),"00"))</f>
        <v/>
      </c>
      <c r="B1602"/>
      <c r="C1602" t="str">
        <f>IF($J1602="","",SUMIFS('Hours Log'!$C:$C,'Hours Log'!$A:$A,"&gt;="&amp;$J1602,'Hours Log'!$A:$A,"&lt;"&amp;$J1602+7)+SUMIFS('Hours Log'!$D:$D,'Hours Log'!$A:$A,"&gt;="&amp;$J1602,'Hours Log'!$A:$A,"&lt;"&amp;$J1602+7))</f>
        <v/>
      </c>
      <c r="D1602" t="str">
        <f>IF($J1602="","",SUMIFS('Hours Log'!$D:$D,'Hours Log'!$A:$A,"&gt;="&amp;$J1602,'Hours Log'!$A:$A,"&lt;"&amp;$J1602+7))</f>
        <v/>
      </c>
      <c r="E1602" t="str">
        <f t="shared" si="48"/>
        <v/>
      </c>
      <c r="F1602" t="str">
        <f t="shared" si="49"/>
        <v/>
      </c>
      <c r="G1602" t="str">
        <f>IF($J1602="","",SUMIFS('Hours Log'!$E:$E,'Hours Log'!$A:$A,"&gt;="&amp;$J1602,'Hours Log'!$A:$A,"&lt;"&amp;$J1602+7))</f>
        <v/>
      </c>
      <c r="J1602" t="str">
        <f>IF(COUNT('Hours Log'!$A$4:$A$5000)=0,"",IF(MIN('Hours Log'!$A$4:$A$5000)+7*(ROW()-10)&gt;MAX('Hours Log'!$A$4:$A$5000),"",MIN('Hours Log'!$A$4:$A$5000)+7*(ROW()-10)))</f>
        <v/>
      </c>
    </row>
    <row r="1603" spans="1:10" x14ac:dyDescent="0.25">
      <c r="A1603" t="str">
        <f>IF($J1603="","",YEAR($J1603-WEEKDAY($J1603,2)+4)&amp;"-W"&amp;TEXT(_xludf.ISOWEEKNUM($J1603),"00"))</f>
        <v/>
      </c>
      <c r="B1603"/>
      <c r="C1603" t="str">
        <f>IF($J1603="","",SUMIFS('Hours Log'!$C:$C,'Hours Log'!$A:$A,"&gt;="&amp;$J1603,'Hours Log'!$A:$A,"&lt;"&amp;$J1603+7)+SUMIFS('Hours Log'!$D:$D,'Hours Log'!$A:$A,"&gt;="&amp;$J1603,'Hours Log'!$A:$A,"&lt;"&amp;$J1603+7))</f>
        <v/>
      </c>
      <c r="D1603" t="str">
        <f>IF($J1603="","",SUMIFS('Hours Log'!$D:$D,'Hours Log'!$A:$A,"&gt;="&amp;$J1603,'Hours Log'!$A:$A,"&lt;"&amp;$J1603+7))</f>
        <v/>
      </c>
      <c r="E1603" t="str">
        <f t="shared" si="48"/>
        <v/>
      </c>
      <c r="F1603" t="str">
        <f t="shared" si="49"/>
        <v/>
      </c>
      <c r="G1603" t="str">
        <f>IF($J1603="","",SUMIFS('Hours Log'!$E:$E,'Hours Log'!$A:$A,"&gt;="&amp;$J1603,'Hours Log'!$A:$A,"&lt;"&amp;$J1603+7))</f>
        <v/>
      </c>
      <c r="J1603" t="str">
        <f>IF(COUNT('Hours Log'!$A$4:$A$5000)=0,"",IF(MIN('Hours Log'!$A$4:$A$5000)+7*(ROW()-10)&gt;MAX('Hours Log'!$A$4:$A$5000),"",MIN('Hours Log'!$A$4:$A$5000)+7*(ROW()-10)))</f>
        <v/>
      </c>
    </row>
    <row r="1604" spans="1:10" x14ac:dyDescent="0.25">
      <c r="A1604" t="str">
        <f>IF($J1604="","",YEAR($J1604-WEEKDAY($J1604,2)+4)&amp;"-W"&amp;TEXT(_xludf.ISOWEEKNUM($J1604),"00"))</f>
        <v/>
      </c>
      <c r="B1604"/>
      <c r="C1604" t="str">
        <f>IF($J1604="","",SUMIFS('Hours Log'!$C:$C,'Hours Log'!$A:$A,"&gt;="&amp;$J1604,'Hours Log'!$A:$A,"&lt;"&amp;$J1604+7)+SUMIFS('Hours Log'!$D:$D,'Hours Log'!$A:$A,"&gt;="&amp;$J1604,'Hours Log'!$A:$A,"&lt;"&amp;$J1604+7))</f>
        <v/>
      </c>
      <c r="D1604" t="str">
        <f>IF($J1604="","",SUMIFS('Hours Log'!$D:$D,'Hours Log'!$A:$A,"&gt;="&amp;$J1604,'Hours Log'!$A:$A,"&lt;"&amp;$J1604+7))</f>
        <v/>
      </c>
      <c r="E1604" t="str">
        <f t="shared" si="48"/>
        <v/>
      </c>
      <c r="F1604" t="str">
        <f t="shared" si="49"/>
        <v/>
      </c>
      <c r="G1604" t="str">
        <f>IF($J1604="","",SUMIFS('Hours Log'!$E:$E,'Hours Log'!$A:$A,"&gt;="&amp;$J1604,'Hours Log'!$A:$A,"&lt;"&amp;$J1604+7))</f>
        <v/>
      </c>
      <c r="J1604" t="str">
        <f>IF(COUNT('Hours Log'!$A$4:$A$5000)=0,"",IF(MIN('Hours Log'!$A$4:$A$5000)+7*(ROW()-10)&gt;MAX('Hours Log'!$A$4:$A$5000),"",MIN('Hours Log'!$A$4:$A$5000)+7*(ROW()-10)))</f>
        <v/>
      </c>
    </row>
    <row r="1605" spans="1:10" x14ac:dyDescent="0.25">
      <c r="A1605" t="str">
        <f>IF($J1605="","",YEAR($J1605-WEEKDAY($J1605,2)+4)&amp;"-W"&amp;TEXT(_xludf.ISOWEEKNUM($J1605),"00"))</f>
        <v/>
      </c>
      <c r="B1605"/>
      <c r="C1605" t="str">
        <f>IF($J1605="","",SUMIFS('Hours Log'!$C:$C,'Hours Log'!$A:$A,"&gt;="&amp;$J1605,'Hours Log'!$A:$A,"&lt;"&amp;$J1605+7)+SUMIFS('Hours Log'!$D:$D,'Hours Log'!$A:$A,"&gt;="&amp;$J1605,'Hours Log'!$A:$A,"&lt;"&amp;$J1605+7))</f>
        <v/>
      </c>
      <c r="D1605" t="str">
        <f>IF($J1605="","",SUMIFS('Hours Log'!$D:$D,'Hours Log'!$A:$A,"&gt;="&amp;$J1605,'Hours Log'!$A:$A,"&lt;"&amp;$J1605+7))</f>
        <v/>
      </c>
      <c r="E1605" t="str">
        <f t="shared" si="48"/>
        <v/>
      </c>
      <c r="F1605" t="str">
        <f t="shared" si="49"/>
        <v/>
      </c>
      <c r="G1605" t="str">
        <f>IF($J1605="","",SUMIFS('Hours Log'!$E:$E,'Hours Log'!$A:$A,"&gt;="&amp;$J1605,'Hours Log'!$A:$A,"&lt;"&amp;$J1605+7))</f>
        <v/>
      </c>
      <c r="J1605" t="str">
        <f>IF(COUNT('Hours Log'!$A$4:$A$5000)=0,"",IF(MIN('Hours Log'!$A$4:$A$5000)+7*(ROW()-10)&gt;MAX('Hours Log'!$A$4:$A$5000),"",MIN('Hours Log'!$A$4:$A$5000)+7*(ROW()-10)))</f>
        <v/>
      </c>
    </row>
    <row r="1606" spans="1:10" x14ac:dyDescent="0.25">
      <c r="A1606" t="str">
        <f>IF($J1606="","",YEAR($J1606-WEEKDAY($J1606,2)+4)&amp;"-W"&amp;TEXT(_xludf.ISOWEEKNUM($J1606),"00"))</f>
        <v/>
      </c>
      <c r="B1606"/>
      <c r="C1606" t="str">
        <f>IF($J1606="","",SUMIFS('Hours Log'!$C:$C,'Hours Log'!$A:$A,"&gt;="&amp;$J1606,'Hours Log'!$A:$A,"&lt;"&amp;$J1606+7)+SUMIFS('Hours Log'!$D:$D,'Hours Log'!$A:$A,"&gt;="&amp;$J1606,'Hours Log'!$A:$A,"&lt;"&amp;$J1606+7))</f>
        <v/>
      </c>
      <c r="D1606" t="str">
        <f>IF($J1606="","",SUMIFS('Hours Log'!$D:$D,'Hours Log'!$A:$A,"&gt;="&amp;$J1606,'Hours Log'!$A:$A,"&lt;"&amp;$J1606+7))</f>
        <v/>
      </c>
      <c r="E1606" t="str">
        <f t="shared" si="48"/>
        <v/>
      </c>
      <c r="F1606" t="str">
        <f t="shared" si="49"/>
        <v/>
      </c>
      <c r="G1606" t="str">
        <f>IF($J1606="","",SUMIFS('Hours Log'!$E:$E,'Hours Log'!$A:$A,"&gt;="&amp;$J1606,'Hours Log'!$A:$A,"&lt;"&amp;$J1606+7))</f>
        <v/>
      </c>
      <c r="J1606" t="str">
        <f>IF(COUNT('Hours Log'!$A$4:$A$5000)=0,"",IF(MIN('Hours Log'!$A$4:$A$5000)+7*(ROW()-10)&gt;MAX('Hours Log'!$A$4:$A$5000),"",MIN('Hours Log'!$A$4:$A$5000)+7*(ROW()-10)))</f>
        <v/>
      </c>
    </row>
    <row r="1607" spans="1:10" x14ac:dyDescent="0.25">
      <c r="A1607" t="str">
        <f>IF($J1607="","",YEAR($J1607-WEEKDAY($J1607,2)+4)&amp;"-W"&amp;TEXT(_xludf.ISOWEEKNUM($J1607),"00"))</f>
        <v/>
      </c>
      <c r="B1607"/>
      <c r="C1607" t="str">
        <f>IF($J1607="","",SUMIFS('Hours Log'!$C:$C,'Hours Log'!$A:$A,"&gt;="&amp;$J1607,'Hours Log'!$A:$A,"&lt;"&amp;$J1607+7)+SUMIFS('Hours Log'!$D:$D,'Hours Log'!$A:$A,"&gt;="&amp;$J1607,'Hours Log'!$A:$A,"&lt;"&amp;$J1607+7))</f>
        <v/>
      </c>
      <c r="D1607" t="str">
        <f>IF($J1607="","",SUMIFS('Hours Log'!$D:$D,'Hours Log'!$A:$A,"&gt;="&amp;$J1607,'Hours Log'!$A:$A,"&lt;"&amp;$J1607+7))</f>
        <v/>
      </c>
      <c r="E1607" t="str">
        <f t="shared" si="48"/>
        <v/>
      </c>
      <c r="F1607" t="str">
        <f t="shared" si="49"/>
        <v/>
      </c>
      <c r="G1607" t="str">
        <f>IF($J1607="","",SUMIFS('Hours Log'!$E:$E,'Hours Log'!$A:$A,"&gt;="&amp;$J1607,'Hours Log'!$A:$A,"&lt;"&amp;$J1607+7))</f>
        <v/>
      </c>
      <c r="J1607" t="str">
        <f>IF(COUNT('Hours Log'!$A$4:$A$5000)=0,"",IF(MIN('Hours Log'!$A$4:$A$5000)+7*(ROW()-10)&gt;MAX('Hours Log'!$A$4:$A$5000),"",MIN('Hours Log'!$A$4:$A$5000)+7*(ROW()-10)))</f>
        <v/>
      </c>
    </row>
    <row r="1608" spans="1:10" x14ac:dyDescent="0.25">
      <c r="A1608" t="str">
        <f>IF($J1608="","",YEAR($J1608-WEEKDAY($J1608,2)+4)&amp;"-W"&amp;TEXT(_xludf.ISOWEEKNUM($J1608),"00"))</f>
        <v/>
      </c>
      <c r="B1608"/>
      <c r="C1608" t="str">
        <f>IF($J1608="","",SUMIFS('Hours Log'!$C:$C,'Hours Log'!$A:$A,"&gt;="&amp;$J1608,'Hours Log'!$A:$A,"&lt;"&amp;$J1608+7)+SUMIFS('Hours Log'!$D:$D,'Hours Log'!$A:$A,"&gt;="&amp;$J1608,'Hours Log'!$A:$A,"&lt;"&amp;$J1608+7))</f>
        <v/>
      </c>
      <c r="D1608" t="str">
        <f>IF($J1608="","",SUMIFS('Hours Log'!$D:$D,'Hours Log'!$A:$A,"&gt;="&amp;$J1608,'Hours Log'!$A:$A,"&lt;"&amp;$J1608+7))</f>
        <v/>
      </c>
      <c r="E1608" t="str">
        <f t="shared" si="48"/>
        <v/>
      </c>
      <c r="F1608" t="str">
        <f t="shared" si="49"/>
        <v/>
      </c>
      <c r="G1608" t="str">
        <f>IF($J1608="","",SUMIFS('Hours Log'!$E:$E,'Hours Log'!$A:$A,"&gt;="&amp;$J1608,'Hours Log'!$A:$A,"&lt;"&amp;$J1608+7))</f>
        <v/>
      </c>
      <c r="J1608" t="str">
        <f>IF(COUNT('Hours Log'!$A$4:$A$5000)=0,"",IF(MIN('Hours Log'!$A$4:$A$5000)+7*(ROW()-10)&gt;MAX('Hours Log'!$A$4:$A$5000),"",MIN('Hours Log'!$A$4:$A$5000)+7*(ROW()-10)))</f>
        <v/>
      </c>
    </row>
    <row r="1609" spans="1:10" x14ac:dyDescent="0.25">
      <c r="A1609" t="str">
        <f>IF($J1609="","",YEAR($J1609-WEEKDAY($J1609,2)+4)&amp;"-W"&amp;TEXT(_xludf.ISOWEEKNUM($J1609),"00"))</f>
        <v/>
      </c>
      <c r="B1609"/>
      <c r="C1609" t="str">
        <f>IF($J1609="","",SUMIFS('Hours Log'!$C:$C,'Hours Log'!$A:$A,"&gt;="&amp;$J1609,'Hours Log'!$A:$A,"&lt;"&amp;$J1609+7)+SUMIFS('Hours Log'!$D:$D,'Hours Log'!$A:$A,"&gt;="&amp;$J1609,'Hours Log'!$A:$A,"&lt;"&amp;$J1609+7))</f>
        <v/>
      </c>
      <c r="D1609" t="str">
        <f>IF($J1609="","",SUMIFS('Hours Log'!$D:$D,'Hours Log'!$A:$A,"&gt;="&amp;$J1609,'Hours Log'!$A:$A,"&lt;"&amp;$J1609+7))</f>
        <v/>
      </c>
      <c r="E1609" t="str">
        <f t="shared" si="48"/>
        <v/>
      </c>
      <c r="F1609" t="str">
        <f t="shared" si="49"/>
        <v/>
      </c>
      <c r="G1609" t="str">
        <f>IF($J1609="","",SUMIFS('Hours Log'!$E:$E,'Hours Log'!$A:$A,"&gt;="&amp;$J1609,'Hours Log'!$A:$A,"&lt;"&amp;$J1609+7))</f>
        <v/>
      </c>
      <c r="J1609" t="str">
        <f>IF(COUNT('Hours Log'!$A$4:$A$5000)=0,"",IF(MIN('Hours Log'!$A$4:$A$5000)+7*(ROW()-10)&gt;MAX('Hours Log'!$A$4:$A$5000),"",MIN('Hours Log'!$A$4:$A$5000)+7*(ROW()-10)))</f>
        <v/>
      </c>
    </row>
    <row r="1610" spans="1:10" x14ac:dyDescent="0.25">
      <c r="A1610" t="str">
        <f>IF($J1610="","",YEAR($J1610-WEEKDAY($J1610,2)+4)&amp;"-W"&amp;TEXT(_xludf.ISOWEEKNUM($J1610),"00"))</f>
        <v/>
      </c>
      <c r="B1610"/>
      <c r="C1610" t="str">
        <f>IF($J1610="","",SUMIFS('Hours Log'!$C:$C,'Hours Log'!$A:$A,"&gt;="&amp;$J1610,'Hours Log'!$A:$A,"&lt;"&amp;$J1610+7)+SUMIFS('Hours Log'!$D:$D,'Hours Log'!$A:$A,"&gt;="&amp;$J1610,'Hours Log'!$A:$A,"&lt;"&amp;$J1610+7))</f>
        <v/>
      </c>
      <c r="D1610" t="str">
        <f>IF($J1610="","",SUMIFS('Hours Log'!$D:$D,'Hours Log'!$A:$A,"&gt;="&amp;$J1610,'Hours Log'!$A:$A,"&lt;"&amp;$J1610+7))</f>
        <v/>
      </c>
      <c r="E1610" t="str">
        <f t="shared" ref="E1610:E1673" si="50">IF($J1610="","",IFERROR(C1610/(B1610*40),0))</f>
        <v/>
      </c>
      <c r="F1610" t="str">
        <f t="shared" ref="F1610:F1673" si="51">IF($J1610="","",0)</f>
        <v/>
      </c>
      <c r="G1610" t="str">
        <f>IF($J1610="","",SUMIFS('Hours Log'!$E:$E,'Hours Log'!$A:$A,"&gt;="&amp;$J1610,'Hours Log'!$A:$A,"&lt;"&amp;$J1610+7))</f>
        <v/>
      </c>
      <c r="J1610" t="str">
        <f>IF(COUNT('Hours Log'!$A$4:$A$5000)=0,"",IF(MIN('Hours Log'!$A$4:$A$5000)+7*(ROW()-10)&gt;MAX('Hours Log'!$A$4:$A$5000),"",MIN('Hours Log'!$A$4:$A$5000)+7*(ROW()-10)))</f>
        <v/>
      </c>
    </row>
    <row r="1611" spans="1:10" x14ac:dyDescent="0.25">
      <c r="A1611" t="str">
        <f>IF($J1611="","",YEAR($J1611-WEEKDAY($J1611,2)+4)&amp;"-W"&amp;TEXT(_xludf.ISOWEEKNUM($J1611),"00"))</f>
        <v/>
      </c>
      <c r="B1611"/>
      <c r="C1611" t="str">
        <f>IF($J1611="","",SUMIFS('Hours Log'!$C:$C,'Hours Log'!$A:$A,"&gt;="&amp;$J1611,'Hours Log'!$A:$A,"&lt;"&amp;$J1611+7)+SUMIFS('Hours Log'!$D:$D,'Hours Log'!$A:$A,"&gt;="&amp;$J1611,'Hours Log'!$A:$A,"&lt;"&amp;$J1611+7))</f>
        <v/>
      </c>
      <c r="D1611" t="str">
        <f>IF($J1611="","",SUMIFS('Hours Log'!$D:$D,'Hours Log'!$A:$A,"&gt;="&amp;$J1611,'Hours Log'!$A:$A,"&lt;"&amp;$J1611+7))</f>
        <v/>
      </c>
      <c r="E1611" t="str">
        <f t="shared" si="50"/>
        <v/>
      </c>
      <c r="F1611" t="str">
        <f t="shared" si="51"/>
        <v/>
      </c>
      <c r="G1611" t="str">
        <f>IF($J1611="","",SUMIFS('Hours Log'!$E:$E,'Hours Log'!$A:$A,"&gt;="&amp;$J1611,'Hours Log'!$A:$A,"&lt;"&amp;$J1611+7))</f>
        <v/>
      </c>
      <c r="J1611" t="str">
        <f>IF(COUNT('Hours Log'!$A$4:$A$5000)=0,"",IF(MIN('Hours Log'!$A$4:$A$5000)+7*(ROW()-10)&gt;MAX('Hours Log'!$A$4:$A$5000),"",MIN('Hours Log'!$A$4:$A$5000)+7*(ROW()-10)))</f>
        <v/>
      </c>
    </row>
    <row r="1612" spans="1:10" x14ac:dyDescent="0.25">
      <c r="A1612" t="str">
        <f>IF($J1612="","",YEAR($J1612-WEEKDAY($J1612,2)+4)&amp;"-W"&amp;TEXT(_xludf.ISOWEEKNUM($J1612),"00"))</f>
        <v/>
      </c>
      <c r="B1612"/>
      <c r="C1612" t="str">
        <f>IF($J1612="","",SUMIFS('Hours Log'!$C:$C,'Hours Log'!$A:$A,"&gt;="&amp;$J1612,'Hours Log'!$A:$A,"&lt;"&amp;$J1612+7)+SUMIFS('Hours Log'!$D:$D,'Hours Log'!$A:$A,"&gt;="&amp;$J1612,'Hours Log'!$A:$A,"&lt;"&amp;$J1612+7))</f>
        <v/>
      </c>
      <c r="D1612" t="str">
        <f>IF($J1612="","",SUMIFS('Hours Log'!$D:$D,'Hours Log'!$A:$A,"&gt;="&amp;$J1612,'Hours Log'!$A:$A,"&lt;"&amp;$J1612+7))</f>
        <v/>
      </c>
      <c r="E1612" t="str">
        <f t="shared" si="50"/>
        <v/>
      </c>
      <c r="F1612" t="str">
        <f t="shared" si="51"/>
        <v/>
      </c>
      <c r="G1612" t="str">
        <f>IF($J1612="","",SUMIFS('Hours Log'!$E:$E,'Hours Log'!$A:$A,"&gt;="&amp;$J1612,'Hours Log'!$A:$A,"&lt;"&amp;$J1612+7))</f>
        <v/>
      </c>
      <c r="J1612" t="str">
        <f>IF(COUNT('Hours Log'!$A$4:$A$5000)=0,"",IF(MIN('Hours Log'!$A$4:$A$5000)+7*(ROW()-10)&gt;MAX('Hours Log'!$A$4:$A$5000),"",MIN('Hours Log'!$A$4:$A$5000)+7*(ROW()-10)))</f>
        <v/>
      </c>
    </row>
    <row r="1613" spans="1:10" x14ac:dyDescent="0.25">
      <c r="A1613" t="str">
        <f>IF($J1613="","",YEAR($J1613-WEEKDAY($J1613,2)+4)&amp;"-W"&amp;TEXT(_xludf.ISOWEEKNUM($J1613),"00"))</f>
        <v/>
      </c>
      <c r="B1613"/>
      <c r="C1613" t="str">
        <f>IF($J1613="","",SUMIFS('Hours Log'!$C:$C,'Hours Log'!$A:$A,"&gt;="&amp;$J1613,'Hours Log'!$A:$A,"&lt;"&amp;$J1613+7)+SUMIFS('Hours Log'!$D:$D,'Hours Log'!$A:$A,"&gt;="&amp;$J1613,'Hours Log'!$A:$A,"&lt;"&amp;$J1613+7))</f>
        <v/>
      </c>
      <c r="D1613" t="str">
        <f>IF($J1613="","",SUMIFS('Hours Log'!$D:$D,'Hours Log'!$A:$A,"&gt;="&amp;$J1613,'Hours Log'!$A:$A,"&lt;"&amp;$J1613+7))</f>
        <v/>
      </c>
      <c r="E1613" t="str">
        <f t="shared" si="50"/>
        <v/>
      </c>
      <c r="F1613" t="str">
        <f t="shared" si="51"/>
        <v/>
      </c>
      <c r="G1613" t="str">
        <f>IF($J1613="","",SUMIFS('Hours Log'!$E:$E,'Hours Log'!$A:$A,"&gt;="&amp;$J1613,'Hours Log'!$A:$A,"&lt;"&amp;$J1613+7))</f>
        <v/>
      </c>
      <c r="J1613" t="str">
        <f>IF(COUNT('Hours Log'!$A$4:$A$5000)=0,"",IF(MIN('Hours Log'!$A$4:$A$5000)+7*(ROW()-10)&gt;MAX('Hours Log'!$A$4:$A$5000),"",MIN('Hours Log'!$A$4:$A$5000)+7*(ROW()-10)))</f>
        <v/>
      </c>
    </row>
    <row r="1614" spans="1:10" x14ac:dyDescent="0.25">
      <c r="A1614" t="str">
        <f>IF($J1614="","",YEAR($J1614-WEEKDAY($J1614,2)+4)&amp;"-W"&amp;TEXT(_xludf.ISOWEEKNUM($J1614),"00"))</f>
        <v/>
      </c>
      <c r="B1614"/>
      <c r="C1614" t="str">
        <f>IF($J1614="","",SUMIFS('Hours Log'!$C:$C,'Hours Log'!$A:$A,"&gt;="&amp;$J1614,'Hours Log'!$A:$A,"&lt;"&amp;$J1614+7)+SUMIFS('Hours Log'!$D:$D,'Hours Log'!$A:$A,"&gt;="&amp;$J1614,'Hours Log'!$A:$A,"&lt;"&amp;$J1614+7))</f>
        <v/>
      </c>
      <c r="D1614" t="str">
        <f>IF($J1614="","",SUMIFS('Hours Log'!$D:$D,'Hours Log'!$A:$A,"&gt;="&amp;$J1614,'Hours Log'!$A:$A,"&lt;"&amp;$J1614+7))</f>
        <v/>
      </c>
      <c r="E1614" t="str">
        <f t="shared" si="50"/>
        <v/>
      </c>
      <c r="F1614" t="str">
        <f t="shared" si="51"/>
        <v/>
      </c>
      <c r="G1614" t="str">
        <f>IF($J1614="","",SUMIFS('Hours Log'!$E:$E,'Hours Log'!$A:$A,"&gt;="&amp;$J1614,'Hours Log'!$A:$A,"&lt;"&amp;$J1614+7))</f>
        <v/>
      </c>
      <c r="J1614" t="str">
        <f>IF(COUNT('Hours Log'!$A$4:$A$5000)=0,"",IF(MIN('Hours Log'!$A$4:$A$5000)+7*(ROW()-10)&gt;MAX('Hours Log'!$A$4:$A$5000),"",MIN('Hours Log'!$A$4:$A$5000)+7*(ROW()-10)))</f>
        <v/>
      </c>
    </row>
    <row r="1615" spans="1:10" x14ac:dyDescent="0.25">
      <c r="A1615" t="str">
        <f>IF($J1615="","",YEAR($J1615-WEEKDAY($J1615,2)+4)&amp;"-W"&amp;TEXT(_xludf.ISOWEEKNUM($J1615),"00"))</f>
        <v/>
      </c>
      <c r="B1615"/>
      <c r="C1615" t="str">
        <f>IF($J1615="","",SUMIFS('Hours Log'!$C:$C,'Hours Log'!$A:$A,"&gt;="&amp;$J1615,'Hours Log'!$A:$A,"&lt;"&amp;$J1615+7)+SUMIFS('Hours Log'!$D:$D,'Hours Log'!$A:$A,"&gt;="&amp;$J1615,'Hours Log'!$A:$A,"&lt;"&amp;$J1615+7))</f>
        <v/>
      </c>
      <c r="D1615" t="str">
        <f>IF($J1615="","",SUMIFS('Hours Log'!$D:$D,'Hours Log'!$A:$A,"&gt;="&amp;$J1615,'Hours Log'!$A:$A,"&lt;"&amp;$J1615+7))</f>
        <v/>
      </c>
      <c r="E1615" t="str">
        <f t="shared" si="50"/>
        <v/>
      </c>
      <c r="F1615" t="str">
        <f t="shared" si="51"/>
        <v/>
      </c>
      <c r="G1615" t="str">
        <f>IF($J1615="","",SUMIFS('Hours Log'!$E:$E,'Hours Log'!$A:$A,"&gt;="&amp;$J1615,'Hours Log'!$A:$A,"&lt;"&amp;$J1615+7))</f>
        <v/>
      </c>
      <c r="J1615" t="str">
        <f>IF(COUNT('Hours Log'!$A$4:$A$5000)=0,"",IF(MIN('Hours Log'!$A$4:$A$5000)+7*(ROW()-10)&gt;MAX('Hours Log'!$A$4:$A$5000),"",MIN('Hours Log'!$A$4:$A$5000)+7*(ROW()-10)))</f>
        <v/>
      </c>
    </row>
    <row r="1616" spans="1:10" x14ac:dyDescent="0.25">
      <c r="A1616" t="str">
        <f>IF($J1616="","",YEAR($J1616-WEEKDAY($J1616,2)+4)&amp;"-W"&amp;TEXT(_xludf.ISOWEEKNUM($J1616),"00"))</f>
        <v/>
      </c>
      <c r="B1616"/>
      <c r="C1616" t="str">
        <f>IF($J1616="","",SUMIFS('Hours Log'!$C:$C,'Hours Log'!$A:$A,"&gt;="&amp;$J1616,'Hours Log'!$A:$A,"&lt;"&amp;$J1616+7)+SUMIFS('Hours Log'!$D:$D,'Hours Log'!$A:$A,"&gt;="&amp;$J1616,'Hours Log'!$A:$A,"&lt;"&amp;$J1616+7))</f>
        <v/>
      </c>
      <c r="D1616" t="str">
        <f>IF($J1616="","",SUMIFS('Hours Log'!$D:$D,'Hours Log'!$A:$A,"&gt;="&amp;$J1616,'Hours Log'!$A:$A,"&lt;"&amp;$J1616+7))</f>
        <v/>
      </c>
      <c r="E1616" t="str">
        <f t="shared" si="50"/>
        <v/>
      </c>
      <c r="F1616" t="str">
        <f t="shared" si="51"/>
        <v/>
      </c>
      <c r="G1616" t="str">
        <f>IF($J1616="","",SUMIFS('Hours Log'!$E:$E,'Hours Log'!$A:$A,"&gt;="&amp;$J1616,'Hours Log'!$A:$A,"&lt;"&amp;$J1616+7))</f>
        <v/>
      </c>
      <c r="J1616" t="str">
        <f>IF(COUNT('Hours Log'!$A$4:$A$5000)=0,"",IF(MIN('Hours Log'!$A$4:$A$5000)+7*(ROW()-10)&gt;MAX('Hours Log'!$A$4:$A$5000),"",MIN('Hours Log'!$A$4:$A$5000)+7*(ROW()-10)))</f>
        <v/>
      </c>
    </row>
    <row r="1617" spans="1:10" x14ac:dyDescent="0.25">
      <c r="A1617" t="str">
        <f>IF($J1617="","",YEAR($J1617-WEEKDAY($J1617,2)+4)&amp;"-W"&amp;TEXT(_xludf.ISOWEEKNUM($J1617),"00"))</f>
        <v/>
      </c>
      <c r="B1617"/>
      <c r="C1617" t="str">
        <f>IF($J1617="","",SUMIFS('Hours Log'!$C:$C,'Hours Log'!$A:$A,"&gt;="&amp;$J1617,'Hours Log'!$A:$A,"&lt;"&amp;$J1617+7)+SUMIFS('Hours Log'!$D:$D,'Hours Log'!$A:$A,"&gt;="&amp;$J1617,'Hours Log'!$A:$A,"&lt;"&amp;$J1617+7))</f>
        <v/>
      </c>
      <c r="D1617" t="str">
        <f>IF($J1617="","",SUMIFS('Hours Log'!$D:$D,'Hours Log'!$A:$A,"&gt;="&amp;$J1617,'Hours Log'!$A:$A,"&lt;"&amp;$J1617+7))</f>
        <v/>
      </c>
      <c r="E1617" t="str">
        <f t="shared" si="50"/>
        <v/>
      </c>
      <c r="F1617" t="str">
        <f t="shared" si="51"/>
        <v/>
      </c>
      <c r="G1617" t="str">
        <f>IF($J1617="","",SUMIFS('Hours Log'!$E:$E,'Hours Log'!$A:$A,"&gt;="&amp;$J1617,'Hours Log'!$A:$A,"&lt;"&amp;$J1617+7))</f>
        <v/>
      </c>
      <c r="J1617" t="str">
        <f>IF(COUNT('Hours Log'!$A$4:$A$5000)=0,"",IF(MIN('Hours Log'!$A$4:$A$5000)+7*(ROW()-10)&gt;MAX('Hours Log'!$A$4:$A$5000),"",MIN('Hours Log'!$A$4:$A$5000)+7*(ROW()-10)))</f>
        <v/>
      </c>
    </row>
    <row r="1618" spans="1:10" x14ac:dyDescent="0.25">
      <c r="A1618" t="str">
        <f>IF($J1618="","",YEAR($J1618-WEEKDAY($J1618,2)+4)&amp;"-W"&amp;TEXT(_xludf.ISOWEEKNUM($J1618),"00"))</f>
        <v/>
      </c>
      <c r="B1618"/>
      <c r="C1618" t="str">
        <f>IF($J1618="","",SUMIFS('Hours Log'!$C:$C,'Hours Log'!$A:$A,"&gt;="&amp;$J1618,'Hours Log'!$A:$A,"&lt;"&amp;$J1618+7)+SUMIFS('Hours Log'!$D:$D,'Hours Log'!$A:$A,"&gt;="&amp;$J1618,'Hours Log'!$A:$A,"&lt;"&amp;$J1618+7))</f>
        <v/>
      </c>
      <c r="D1618" t="str">
        <f>IF($J1618="","",SUMIFS('Hours Log'!$D:$D,'Hours Log'!$A:$A,"&gt;="&amp;$J1618,'Hours Log'!$A:$A,"&lt;"&amp;$J1618+7))</f>
        <v/>
      </c>
      <c r="E1618" t="str">
        <f t="shared" si="50"/>
        <v/>
      </c>
      <c r="F1618" t="str">
        <f t="shared" si="51"/>
        <v/>
      </c>
      <c r="G1618" t="str">
        <f>IF($J1618="","",SUMIFS('Hours Log'!$E:$E,'Hours Log'!$A:$A,"&gt;="&amp;$J1618,'Hours Log'!$A:$A,"&lt;"&amp;$J1618+7))</f>
        <v/>
      </c>
      <c r="J1618" t="str">
        <f>IF(COUNT('Hours Log'!$A$4:$A$5000)=0,"",IF(MIN('Hours Log'!$A$4:$A$5000)+7*(ROW()-10)&gt;MAX('Hours Log'!$A$4:$A$5000),"",MIN('Hours Log'!$A$4:$A$5000)+7*(ROW()-10)))</f>
        <v/>
      </c>
    </row>
    <row r="1619" spans="1:10" x14ac:dyDescent="0.25">
      <c r="A1619" t="str">
        <f>IF($J1619="","",YEAR($J1619-WEEKDAY($J1619,2)+4)&amp;"-W"&amp;TEXT(_xludf.ISOWEEKNUM($J1619),"00"))</f>
        <v/>
      </c>
      <c r="B1619"/>
      <c r="C1619" t="str">
        <f>IF($J1619="","",SUMIFS('Hours Log'!$C:$C,'Hours Log'!$A:$A,"&gt;="&amp;$J1619,'Hours Log'!$A:$A,"&lt;"&amp;$J1619+7)+SUMIFS('Hours Log'!$D:$D,'Hours Log'!$A:$A,"&gt;="&amp;$J1619,'Hours Log'!$A:$A,"&lt;"&amp;$J1619+7))</f>
        <v/>
      </c>
      <c r="D1619" t="str">
        <f>IF($J1619="","",SUMIFS('Hours Log'!$D:$D,'Hours Log'!$A:$A,"&gt;="&amp;$J1619,'Hours Log'!$A:$A,"&lt;"&amp;$J1619+7))</f>
        <v/>
      </c>
      <c r="E1619" t="str">
        <f t="shared" si="50"/>
        <v/>
      </c>
      <c r="F1619" t="str">
        <f t="shared" si="51"/>
        <v/>
      </c>
      <c r="G1619" t="str">
        <f>IF($J1619="","",SUMIFS('Hours Log'!$E:$E,'Hours Log'!$A:$A,"&gt;="&amp;$J1619,'Hours Log'!$A:$A,"&lt;"&amp;$J1619+7))</f>
        <v/>
      </c>
      <c r="J1619" t="str">
        <f>IF(COUNT('Hours Log'!$A$4:$A$5000)=0,"",IF(MIN('Hours Log'!$A$4:$A$5000)+7*(ROW()-10)&gt;MAX('Hours Log'!$A$4:$A$5000),"",MIN('Hours Log'!$A$4:$A$5000)+7*(ROW()-10)))</f>
        <v/>
      </c>
    </row>
    <row r="1620" spans="1:10" x14ac:dyDescent="0.25">
      <c r="A1620" t="str">
        <f>IF($J1620="","",YEAR($J1620-WEEKDAY($J1620,2)+4)&amp;"-W"&amp;TEXT(_xludf.ISOWEEKNUM($J1620),"00"))</f>
        <v/>
      </c>
      <c r="B1620"/>
      <c r="C1620" t="str">
        <f>IF($J1620="","",SUMIFS('Hours Log'!$C:$C,'Hours Log'!$A:$A,"&gt;="&amp;$J1620,'Hours Log'!$A:$A,"&lt;"&amp;$J1620+7)+SUMIFS('Hours Log'!$D:$D,'Hours Log'!$A:$A,"&gt;="&amp;$J1620,'Hours Log'!$A:$A,"&lt;"&amp;$J1620+7))</f>
        <v/>
      </c>
      <c r="D1620" t="str">
        <f>IF($J1620="","",SUMIFS('Hours Log'!$D:$D,'Hours Log'!$A:$A,"&gt;="&amp;$J1620,'Hours Log'!$A:$A,"&lt;"&amp;$J1620+7))</f>
        <v/>
      </c>
      <c r="E1620" t="str">
        <f t="shared" si="50"/>
        <v/>
      </c>
      <c r="F1620" t="str">
        <f t="shared" si="51"/>
        <v/>
      </c>
      <c r="G1620" t="str">
        <f>IF($J1620="","",SUMIFS('Hours Log'!$E:$E,'Hours Log'!$A:$A,"&gt;="&amp;$J1620,'Hours Log'!$A:$A,"&lt;"&amp;$J1620+7))</f>
        <v/>
      </c>
      <c r="J1620" t="str">
        <f>IF(COUNT('Hours Log'!$A$4:$A$5000)=0,"",IF(MIN('Hours Log'!$A$4:$A$5000)+7*(ROW()-10)&gt;MAX('Hours Log'!$A$4:$A$5000),"",MIN('Hours Log'!$A$4:$A$5000)+7*(ROW()-10)))</f>
        <v/>
      </c>
    </row>
    <row r="1621" spans="1:10" x14ac:dyDescent="0.25">
      <c r="A1621" t="str">
        <f>IF($J1621="","",YEAR($J1621-WEEKDAY($J1621,2)+4)&amp;"-W"&amp;TEXT(_xludf.ISOWEEKNUM($J1621),"00"))</f>
        <v/>
      </c>
      <c r="B1621"/>
      <c r="C1621" t="str">
        <f>IF($J1621="","",SUMIFS('Hours Log'!$C:$C,'Hours Log'!$A:$A,"&gt;="&amp;$J1621,'Hours Log'!$A:$A,"&lt;"&amp;$J1621+7)+SUMIFS('Hours Log'!$D:$D,'Hours Log'!$A:$A,"&gt;="&amp;$J1621,'Hours Log'!$A:$A,"&lt;"&amp;$J1621+7))</f>
        <v/>
      </c>
      <c r="D1621" t="str">
        <f>IF($J1621="","",SUMIFS('Hours Log'!$D:$D,'Hours Log'!$A:$A,"&gt;="&amp;$J1621,'Hours Log'!$A:$A,"&lt;"&amp;$J1621+7))</f>
        <v/>
      </c>
      <c r="E1621" t="str">
        <f t="shared" si="50"/>
        <v/>
      </c>
      <c r="F1621" t="str">
        <f t="shared" si="51"/>
        <v/>
      </c>
      <c r="G1621" t="str">
        <f>IF($J1621="","",SUMIFS('Hours Log'!$E:$E,'Hours Log'!$A:$A,"&gt;="&amp;$J1621,'Hours Log'!$A:$A,"&lt;"&amp;$J1621+7))</f>
        <v/>
      </c>
      <c r="J1621" t="str">
        <f>IF(COUNT('Hours Log'!$A$4:$A$5000)=0,"",IF(MIN('Hours Log'!$A$4:$A$5000)+7*(ROW()-10)&gt;MAX('Hours Log'!$A$4:$A$5000),"",MIN('Hours Log'!$A$4:$A$5000)+7*(ROW()-10)))</f>
        <v/>
      </c>
    </row>
    <row r="1622" spans="1:10" x14ac:dyDescent="0.25">
      <c r="A1622" t="str">
        <f>IF($J1622="","",YEAR($J1622-WEEKDAY($J1622,2)+4)&amp;"-W"&amp;TEXT(_xludf.ISOWEEKNUM($J1622),"00"))</f>
        <v/>
      </c>
      <c r="B1622"/>
      <c r="C1622" t="str">
        <f>IF($J1622="","",SUMIFS('Hours Log'!$C:$C,'Hours Log'!$A:$A,"&gt;="&amp;$J1622,'Hours Log'!$A:$A,"&lt;"&amp;$J1622+7)+SUMIFS('Hours Log'!$D:$D,'Hours Log'!$A:$A,"&gt;="&amp;$J1622,'Hours Log'!$A:$A,"&lt;"&amp;$J1622+7))</f>
        <v/>
      </c>
      <c r="D1622" t="str">
        <f>IF($J1622="","",SUMIFS('Hours Log'!$D:$D,'Hours Log'!$A:$A,"&gt;="&amp;$J1622,'Hours Log'!$A:$A,"&lt;"&amp;$J1622+7))</f>
        <v/>
      </c>
      <c r="E1622" t="str">
        <f t="shared" si="50"/>
        <v/>
      </c>
      <c r="F1622" t="str">
        <f t="shared" si="51"/>
        <v/>
      </c>
      <c r="G1622" t="str">
        <f>IF($J1622="","",SUMIFS('Hours Log'!$E:$E,'Hours Log'!$A:$A,"&gt;="&amp;$J1622,'Hours Log'!$A:$A,"&lt;"&amp;$J1622+7))</f>
        <v/>
      </c>
      <c r="J1622" t="str">
        <f>IF(COUNT('Hours Log'!$A$4:$A$5000)=0,"",IF(MIN('Hours Log'!$A$4:$A$5000)+7*(ROW()-10)&gt;MAX('Hours Log'!$A$4:$A$5000),"",MIN('Hours Log'!$A$4:$A$5000)+7*(ROW()-10)))</f>
        <v/>
      </c>
    </row>
    <row r="1623" spans="1:10" x14ac:dyDescent="0.25">
      <c r="A1623" t="str">
        <f>IF($J1623="","",YEAR($J1623-WEEKDAY($J1623,2)+4)&amp;"-W"&amp;TEXT(_xludf.ISOWEEKNUM($J1623),"00"))</f>
        <v/>
      </c>
      <c r="B1623"/>
      <c r="C1623" t="str">
        <f>IF($J1623="","",SUMIFS('Hours Log'!$C:$C,'Hours Log'!$A:$A,"&gt;="&amp;$J1623,'Hours Log'!$A:$A,"&lt;"&amp;$J1623+7)+SUMIFS('Hours Log'!$D:$D,'Hours Log'!$A:$A,"&gt;="&amp;$J1623,'Hours Log'!$A:$A,"&lt;"&amp;$J1623+7))</f>
        <v/>
      </c>
      <c r="D1623" t="str">
        <f>IF($J1623="","",SUMIFS('Hours Log'!$D:$D,'Hours Log'!$A:$A,"&gt;="&amp;$J1623,'Hours Log'!$A:$A,"&lt;"&amp;$J1623+7))</f>
        <v/>
      </c>
      <c r="E1623" t="str">
        <f t="shared" si="50"/>
        <v/>
      </c>
      <c r="F1623" t="str">
        <f t="shared" si="51"/>
        <v/>
      </c>
      <c r="G1623" t="str">
        <f>IF($J1623="","",SUMIFS('Hours Log'!$E:$E,'Hours Log'!$A:$A,"&gt;="&amp;$J1623,'Hours Log'!$A:$A,"&lt;"&amp;$J1623+7))</f>
        <v/>
      </c>
      <c r="J1623" t="str">
        <f>IF(COUNT('Hours Log'!$A$4:$A$5000)=0,"",IF(MIN('Hours Log'!$A$4:$A$5000)+7*(ROW()-10)&gt;MAX('Hours Log'!$A$4:$A$5000),"",MIN('Hours Log'!$A$4:$A$5000)+7*(ROW()-10)))</f>
        <v/>
      </c>
    </row>
    <row r="1624" spans="1:10" x14ac:dyDescent="0.25">
      <c r="A1624" t="str">
        <f>IF($J1624="","",YEAR($J1624-WEEKDAY($J1624,2)+4)&amp;"-W"&amp;TEXT(_xludf.ISOWEEKNUM($J1624),"00"))</f>
        <v/>
      </c>
      <c r="B1624"/>
      <c r="C1624" t="str">
        <f>IF($J1624="","",SUMIFS('Hours Log'!$C:$C,'Hours Log'!$A:$A,"&gt;="&amp;$J1624,'Hours Log'!$A:$A,"&lt;"&amp;$J1624+7)+SUMIFS('Hours Log'!$D:$D,'Hours Log'!$A:$A,"&gt;="&amp;$J1624,'Hours Log'!$A:$A,"&lt;"&amp;$J1624+7))</f>
        <v/>
      </c>
      <c r="D1624" t="str">
        <f>IF($J1624="","",SUMIFS('Hours Log'!$D:$D,'Hours Log'!$A:$A,"&gt;="&amp;$J1624,'Hours Log'!$A:$A,"&lt;"&amp;$J1624+7))</f>
        <v/>
      </c>
      <c r="E1624" t="str">
        <f t="shared" si="50"/>
        <v/>
      </c>
      <c r="F1624" t="str">
        <f t="shared" si="51"/>
        <v/>
      </c>
      <c r="G1624" t="str">
        <f>IF($J1624="","",SUMIFS('Hours Log'!$E:$E,'Hours Log'!$A:$A,"&gt;="&amp;$J1624,'Hours Log'!$A:$A,"&lt;"&amp;$J1624+7))</f>
        <v/>
      </c>
      <c r="J1624" t="str">
        <f>IF(COUNT('Hours Log'!$A$4:$A$5000)=0,"",IF(MIN('Hours Log'!$A$4:$A$5000)+7*(ROW()-10)&gt;MAX('Hours Log'!$A$4:$A$5000),"",MIN('Hours Log'!$A$4:$A$5000)+7*(ROW()-10)))</f>
        <v/>
      </c>
    </row>
    <row r="1625" spans="1:10" x14ac:dyDescent="0.25">
      <c r="A1625" t="str">
        <f>IF($J1625="","",YEAR($J1625-WEEKDAY($J1625,2)+4)&amp;"-W"&amp;TEXT(_xludf.ISOWEEKNUM($J1625),"00"))</f>
        <v/>
      </c>
      <c r="B1625"/>
      <c r="C1625" t="str">
        <f>IF($J1625="","",SUMIFS('Hours Log'!$C:$C,'Hours Log'!$A:$A,"&gt;="&amp;$J1625,'Hours Log'!$A:$A,"&lt;"&amp;$J1625+7)+SUMIFS('Hours Log'!$D:$D,'Hours Log'!$A:$A,"&gt;="&amp;$J1625,'Hours Log'!$A:$A,"&lt;"&amp;$J1625+7))</f>
        <v/>
      </c>
      <c r="D1625" t="str">
        <f>IF($J1625="","",SUMIFS('Hours Log'!$D:$D,'Hours Log'!$A:$A,"&gt;="&amp;$J1625,'Hours Log'!$A:$A,"&lt;"&amp;$J1625+7))</f>
        <v/>
      </c>
      <c r="E1625" t="str">
        <f t="shared" si="50"/>
        <v/>
      </c>
      <c r="F1625" t="str">
        <f t="shared" si="51"/>
        <v/>
      </c>
      <c r="G1625" t="str">
        <f>IF($J1625="","",SUMIFS('Hours Log'!$E:$E,'Hours Log'!$A:$A,"&gt;="&amp;$J1625,'Hours Log'!$A:$A,"&lt;"&amp;$J1625+7))</f>
        <v/>
      </c>
      <c r="J1625" t="str">
        <f>IF(COUNT('Hours Log'!$A$4:$A$5000)=0,"",IF(MIN('Hours Log'!$A$4:$A$5000)+7*(ROW()-10)&gt;MAX('Hours Log'!$A$4:$A$5000),"",MIN('Hours Log'!$A$4:$A$5000)+7*(ROW()-10)))</f>
        <v/>
      </c>
    </row>
    <row r="1626" spans="1:10" x14ac:dyDescent="0.25">
      <c r="A1626" t="str">
        <f>IF($J1626="","",YEAR($J1626-WEEKDAY($J1626,2)+4)&amp;"-W"&amp;TEXT(_xludf.ISOWEEKNUM($J1626),"00"))</f>
        <v/>
      </c>
      <c r="B1626"/>
      <c r="C1626" t="str">
        <f>IF($J1626="","",SUMIFS('Hours Log'!$C:$C,'Hours Log'!$A:$A,"&gt;="&amp;$J1626,'Hours Log'!$A:$A,"&lt;"&amp;$J1626+7)+SUMIFS('Hours Log'!$D:$D,'Hours Log'!$A:$A,"&gt;="&amp;$J1626,'Hours Log'!$A:$A,"&lt;"&amp;$J1626+7))</f>
        <v/>
      </c>
      <c r="D1626" t="str">
        <f>IF($J1626="","",SUMIFS('Hours Log'!$D:$D,'Hours Log'!$A:$A,"&gt;="&amp;$J1626,'Hours Log'!$A:$A,"&lt;"&amp;$J1626+7))</f>
        <v/>
      </c>
      <c r="E1626" t="str">
        <f t="shared" si="50"/>
        <v/>
      </c>
      <c r="F1626" t="str">
        <f t="shared" si="51"/>
        <v/>
      </c>
      <c r="G1626" t="str">
        <f>IF($J1626="","",SUMIFS('Hours Log'!$E:$E,'Hours Log'!$A:$A,"&gt;="&amp;$J1626,'Hours Log'!$A:$A,"&lt;"&amp;$J1626+7))</f>
        <v/>
      </c>
      <c r="J1626" t="str">
        <f>IF(COUNT('Hours Log'!$A$4:$A$5000)=0,"",IF(MIN('Hours Log'!$A$4:$A$5000)+7*(ROW()-10)&gt;MAX('Hours Log'!$A$4:$A$5000),"",MIN('Hours Log'!$A$4:$A$5000)+7*(ROW()-10)))</f>
        <v/>
      </c>
    </row>
    <row r="1627" spans="1:10" x14ac:dyDescent="0.25">
      <c r="A1627" t="str">
        <f>IF($J1627="","",YEAR($J1627-WEEKDAY($J1627,2)+4)&amp;"-W"&amp;TEXT(_xludf.ISOWEEKNUM($J1627),"00"))</f>
        <v/>
      </c>
      <c r="B1627"/>
      <c r="C1627" t="str">
        <f>IF($J1627="","",SUMIFS('Hours Log'!$C:$C,'Hours Log'!$A:$A,"&gt;="&amp;$J1627,'Hours Log'!$A:$A,"&lt;"&amp;$J1627+7)+SUMIFS('Hours Log'!$D:$D,'Hours Log'!$A:$A,"&gt;="&amp;$J1627,'Hours Log'!$A:$A,"&lt;"&amp;$J1627+7))</f>
        <v/>
      </c>
      <c r="D1627" t="str">
        <f>IF($J1627="","",SUMIFS('Hours Log'!$D:$D,'Hours Log'!$A:$A,"&gt;="&amp;$J1627,'Hours Log'!$A:$A,"&lt;"&amp;$J1627+7))</f>
        <v/>
      </c>
      <c r="E1627" t="str">
        <f t="shared" si="50"/>
        <v/>
      </c>
      <c r="F1627" t="str">
        <f t="shared" si="51"/>
        <v/>
      </c>
      <c r="G1627" t="str">
        <f>IF($J1627="","",SUMIFS('Hours Log'!$E:$E,'Hours Log'!$A:$A,"&gt;="&amp;$J1627,'Hours Log'!$A:$A,"&lt;"&amp;$J1627+7))</f>
        <v/>
      </c>
      <c r="J1627" t="str">
        <f>IF(COUNT('Hours Log'!$A$4:$A$5000)=0,"",IF(MIN('Hours Log'!$A$4:$A$5000)+7*(ROW()-10)&gt;MAX('Hours Log'!$A$4:$A$5000),"",MIN('Hours Log'!$A$4:$A$5000)+7*(ROW()-10)))</f>
        <v/>
      </c>
    </row>
    <row r="1628" spans="1:10" x14ac:dyDescent="0.25">
      <c r="A1628" t="str">
        <f>IF($J1628="","",YEAR($J1628-WEEKDAY($J1628,2)+4)&amp;"-W"&amp;TEXT(_xludf.ISOWEEKNUM($J1628),"00"))</f>
        <v/>
      </c>
      <c r="B1628"/>
      <c r="C1628" t="str">
        <f>IF($J1628="","",SUMIFS('Hours Log'!$C:$C,'Hours Log'!$A:$A,"&gt;="&amp;$J1628,'Hours Log'!$A:$A,"&lt;"&amp;$J1628+7)+SUMIFS('Hours Log'!$D:$D,'Hours Log'!$A:$A,"&gt;="&amp;$J1628,'Hours Log'!$A:$A,"&lt;"&amp;$J1628+7))</f>
        <v/>
      </c>
      <c r="D1628" t="str">
        <f>IF($J1628="","",SUMIFS('Hours Log'!$D:$D,'Hours Log'!$A:$A,"&gt;="&amp;$J1628,'Hours Log'!$A:$A,"&lt;"&amp;$J1628+7))</f>
        <v/>
      </c>
      <c r="E1628" t="str">
        <f t="shared" si="50"/>
        <v/>
      </c>
      <c r="F1628" t="str">
        <f t="shared" si="51"/>
        <v/>
      </c>
      <c r="G1628" t="str">
        <f>IF($J1628="","",SUMIFS('Hours Log'!$E:$E,'Hours Log'!$A:$A,"&gt;="&amp;$J1628,'Hours Log'!$A:$A,"&lt;"&amp;$J1628+7))</f>
        <v/>
      </c>
      <c r="J1628" t="str">
        <f>IF(COUNT('Hours Log'!$A$4:$A$5000)=0,"",IF(MIN('Hours Log'!$A$4:$A$5000)+7*(ROW()-10)&gt;MAX('Hours Log'!$A$4:$A$5000),"",MIN('Hours Log'!$A$4:$A$5000)+7*(ROW()-10)))</f>
        <v/>
      </c>
    </row>
    <row r="1629" spans="1:10" x14ac:dyDescent="0.25">
      <c r="A1629" t="str">
        <f>IF($J1629="","",YEAR($J1629-WEEKDAY($J1629,2)+4)&amp;"-W"&amp;TEXT(_xludf.ISOWEEKNUM($J1629),"00"))</f>
        <v/>
      </c>
      <c r="B1629"/>
      <c r="C1629" t="str">
        <f>IF($J1629="","",SUMIFS('Hours Log'!$C:$C,'Hours Log'!$A:$A,"&gt;="&amp;$J1629,'Hours Log'!$A:$A,"&lt;"&amp;$J1629+7)+SUMIFS('Hours Log'!$D:$D,'Hours Log'!$A:$A,"&gt;="&amp;$J1629,'Hours Log'!$A:$A,"&lt;"&amp;$J1629+7))</f>
        <v/>
      </c>
      <c r="D1629" t="str">
        <f>IF($J1629="","",SUMIFS('Hours Log'!$D:$D,'Hours Log'!$A:$A,"&gt;="&amp;$J1629,'Hours Log'!$A:$A,"&lt;"&amp;$J1629+7))</f>
        <v/>
      </c>
      <c r="E1629" t="str">
        <f t="shared" si="50"/>
        <v/>
      </c>
      <c r="F1629" t="str">
        <f t="shared" si="51"/>
        <v/>
      </c>
      <c r="G1629" t="str">
        <f>IF($J1629="","",SUMIFS('Hours Log'!$E:$E,'Hours Log'!$A:$A,"&gt;="&amp;$J1629,'Hours Log'!$A:$A,"&lt;"&amp;$J1629+7))</f>
        <v/>
      </c>
      <c r="J1629" t="str">
        <f>IF(COUNT('Hours Log'!$A$4:$A$5000)=0,"",IF(MIN('Hours Log'!$A$4:$A$5000)+7*(ROW()-10)&gt;MAX('Hours Log'!$A$4:$A$5000),"",MIN('Hours Log'!$A$4:$A$5000)+7*(ROW()-10)))</f>
        <v/>
      </c>
    </row>
    <row r="1630" spans="1:10" x14ac:dyDescent="0.25">
      <c r="A1630" t="str">
        <f>IF($J1630="","",YEAR($J1630-WEEKDAY($J1630,2)+4)&amp;"-W"&amp;TEXT(_xludf.ISOWEEKNUM($J1630),"00"))</f>
        <v/>
      </c>
      <c r="B1630"/>
      <c r="C1630" t="str">
        <f>IF($J1630="","",SUMIFS('Hours Log'!$C:$C,'Hours Log'!$A:$A,"&gt;="&amp;$J1630,'Hours Log'!$A:$A,"&lt;"&amp;$J1630+7)+SUMIFS('Hours Log'!$D:$D,'Hours Log'!$A:$A,"&gt;="&amp;$J1630,'Hours Log'!$A:$A,"&lt;"&amp;$J1630+7))</f>
        <v/>
      </c>
      <c r="D1630" t="str">
        <f>IF($J1630="","",SUMIFS('Hours Log'!$D:$D,'Hours Log'!$A:$A,"&gt;="&amp;$J1630,'Hours Log'!$A:$A,"&lt;"&amp;$J1630+7))</f>
        <v/>
      </c>
      <c r="E1630" t="str">
        <f t="shared" si="50"/>
        <v/>
      </c>
      <c r="F1630" t="str">
        <f t="shared" si="51"/>
        <v/>
      </c>
      <c r="G1630" t="str">
        <f>IF($J1630="","",SUMIFS('Hours Log'!$E:$E,'Hours Log'!$A:$A,"&gt;="&amp;$J1630,'Hours Log'!$A:$A,"&lt;"&amp;$J1630+7))</f>
        <v/>
      </c>
      <c r="J1630" t="str">
        <f>IF(COUNT('Hours Log'!$A$4:$A$5000)=0,"",IF(MIN('Hours Log'!$A$4:$A$5000)+7*(ROW()-10)&gt;MAX('Hours Log'!$A$4:$A$5000),"",MIN('Hours Log'!$A$4:$A$5000)+7*(ROW()-10)))</f>
        <v/>
      </c>
    </row>
    <row r="1631" spans="1:10" x14ac:dyDescent="0.25">
      <c r="A1631" t="str">
        <f>IF($J1631="","",YEAR($J1631-WEEKDAY($J1631,2)+4)&amp;"-W"&amp;TEXT(_xludf.ISOWEEKNUM($J1631),"00"))</f>
        <v/>
      </c>
      <c r="B1631"/>
      <c r="C1631" t="str">
        <f>IF($J1631="","",SUMIFS('Hours Log'!$C:$C,'Hours Log'!$A:$A,"&gt;="&amp;$J1631,'Hours Log'!$A:$A,"&lt;"&amp;$J1631+7)+SUMIFS('Hours Log'!$D:$D,'Hours Log'!$A:$A,"&gt;="&amp;$J1631,'Hours Log'!$A:$A,"&lt;"&amp;$J1631+7))</f>
        <v/>
      </c>
      <c r="D1631" t="str">
        <f>IF($J1631="","",SUMIFS('Hours Log'!$D:$D,'Hours Log'!$A:$A,"&gt;="&amp;$J1631,'Hours Log'!$A:$A,"&lt;"&amp;$J1631+7))</f>
        <v/>
      </c>
      <c r="E1631" t="str">
        <f t="shared" si="50"/>
        <v/>
      </c>
      <c r="F1631" t="str">
        <f t="shared" si="51"/>
        <v/>
      </c>
      <c r="G1631" t="str">
        <f>IF($J1631="","",SUMIFS('Hours Log'!$E:$E,'Hours Log'!$A:$A,"&gt;="&amp;$J1631,'Hours Log'!$A:$A,"&lt;"&amp;$J1631+7))</f>
        <v/>
      </c>
      <c r="J1631" t="str">
        <f>IF(COUNT('Hours Log'!$A$4:$A$5000)=0,"",IF(MIN('Hours Log'!$A$4:$A$5000)+7*(ROW()-10)&gt;MAX('Hours Log'!$A$4:$A$5000),"",MIN('Hours Log'!$A$4:$A$5000)+7*(ROW()-10)))</f>
        <v/>
      </c>
    </row>
    <row r="1632" spans="1:10" x14ac:dyDescent="0.25">
      <c r="A1632" t="str">
        <f>IF($J1632="","",YEAR($J1632-WEEKDAY($J1632,2)+4)&amp;"-W"&amp;TEXT(_xludf.ISOWEEKNUM($J1632),"00"))</f>
        <v/>
      </c>
      <c r="B1632"/>
      <c r="C1632" t="str">
        <f>IF($J1632="","",SUMIFS('Hours Log'!$C:$C,'Hours Log'!$A:$A,"&gt;="&amp;$J1632,'Hours Log'!$A:$A,"&lt;"&amp;$J1632+7)+SUMIFS('Hours Log'!$D:$D,'Hours Log'!$A:$A,"&gt;="&amp;$J1632,'Hours Log'!$A:$A,"&lt;"&amp;$J1632+7))</f>
        <v/>
      </c>
      <c r="D1632" t="str">
        <f>IF($J1632="","",SUMIFS('Hours Log'!$D:$D,'Hours Log'!$A:$A,"&gt;="&amp;$J1632,'Hours Log'!$A:$A,"&lt;"&amp;$J1632+7))</f>
        <v/>
      </c>
      <c r="E1632" t="str">
        <f t="shared" si="50"/>
        <v/>
      </c>
      <c r="F1632" t="str">
        <f t="shared" si="51"/>
        <v/>
      </c>
      <c r="G1632" t="str">
        <f>IF($J1632="","",SUMIFS('Hours Log'!$E:$E,'Hours Log'!$A:$A,"&gt;="&amp;$J1632,'Hours Log'!$A:$A,"&lt;"&amp;$J1632+7))</f>
        <v/>
      </c>
      <c r="J1632" t="str">
        <f>IF(COUNT('Hours Log'!$A$4:$A$5000)=0,"",IF(MIN('Hours Log'!$A$4:$A$5000)+7*(ROW()-10)&gt;MAX('Hours Log'!$A$4:$A$5000),"",MIN('Hours Log'!$A$4:$A$5000)+7*(ROW()-10)))</f>
        <v/>
      </c>
    </row>
    <row r="1633" spans="1:10" x14ac:dyDescent="0.25">
      <c r="A1633" t="str">
        <f>IF($J1633="","",YEAR($J1633-WEEKDAY($J1633,2)+4)&amp;"-W"&amp;TEXT(_xludf.ISOWEEKNUM($J1633),"00"))</f>
        <v/>
      </c>
      <c r="B1633"/>
      <c r="C1633" t="str">
        <f>IF($J1633="","",SUMIFS('Hours Log'!$C:$C,'Hours Log'!$A:$A,"&gt;="&amp;$J1633,'Hours Log'!$A:$A,"&lt;"&amp;$J1633+7)+SUMIFS('Hours Log'!$D:$D,'Hours Log'!$A:$A,"&gt;="&amp;$J1633,'Hours Log'!$A:$A,"&lt;"&amp;$J1633+7))</f>
        <v/>
      </c>
      <c r="D1633" t="str">
        <f>IF($J1633="","",SUMIFS('Hours Log'!$D:$D,'Hours Log'!$A:$A,"&gt;="&amp;$J1633,'Hours Log'!$A:$A,"&lt;"&amp;$J1633+7))</f>
        <v/>
      </c>
      <c r="E1633" t="str">
        <f t="shared" si="50"/>
        <v/>
      </c>
      <c r="F1633" t="str">
        <f t="shared" si="51"/>
        <v/>
      </c>
      <c r="G1633" t="str">
        <f>IF($J1633="","",SUMIFS('Hours Log'!$E:$E,'Hours Log'!$A:$A,"&gt;="&amp;$J1633,'Hours Log'!$A:$A,"&lt;"&amp;$J1633+7))</f>
        <v/>
      </c>
      <c r="J1633" t="str">
        <f>IF(COUNT('Hours Log'!$A$4:$A$5000)=0,"",IF(MIN('Hours Log'!$A$4:$A$5000)+7*(ROW()-10)&gt;MAX('Hours Log'!$A$4:$A$5000),"",MIN('Hours Log'!$A$4:$A$5000)+7*(ROW()-10)))</f>
        <v/>
      </c>
    </row>
    <row r="1634" spans="1:10" x14ac:dyDescent="0.25">
      <c r="A1634" t="str">
        <f>IF($J1634="","",YEAR($J1634-WEEKDAY($J1634,2)+4)&amp;"-W"&amp;TEXT(_xludf.ISOWEEKNUM($J1634),"00"))</f>
        <v/>
      </c>
      <c r="B1634"/>
      <c r="C1634" t="str">
        <f>IF($J1634="","",SUMIFS('Hours Log'!$C:$C,'Hours Log'!$A:$A,"&gt;="&amp;$J1634,'Hours Log'!$A:$A,"&lt;"&amp;$J1634+7)+SUMIFS('Hours Log'!$D:$D,'Hours Log'!$A:$A,"&gt;="&amp;$J1634,'Hours Log'!$A:$A,"&lt;"&amp;$J1634+7))</f>
        <v/>
      </c>
      <c r="D1634" t="str">
        <f>IF($J1634="","",SUMIFS('Hours Log'!$D:$D,'Hours Log'!$A:$A,"&gt;="&amp;$J1634,'Hours Log'!$A:$A,"&lt;"&amp;$J1634+7))</f>
        <v/>
      </c>
      <c r="E1634" t="str">
        <f t="shared" si="50"/>
        <v/>
      </c>
      <c r="F1634" t="str">
        <f t="shared" si="51"/>
        <v/>
      </c>
      <c r="G1634" t="str">
        <f>IF($J1634="","",SUMIFS('Hours Log'!$E:$E,'Hours Log'!$A:$A,"&gt;="&amp;$J1634,'Hours Log'!$A:$A,"&lt;"&amp;$J1634+7))</f>
        <v/>
      </c>
      <c r="J1634" t="str">
        <f>IF(COUNT('Hours Log'!$A$4:$A$5000)=0,"",IF(MIN('Hours Log'!$A$4:$A$5000)+7*(ROW()-10)&gt;MAX('Hours Log'!$A$4:$A$5000),"",MIN('Hours Log'!$A$4:$A$5000)+7*(ROW()-10)))</f>
        <v/>
      </c>
    </row>
    <row r="1635" spans="1:10" x14ac:dyDescent="0.25">
      <c r="A1635" t="str">
        <f>IF($J1635="","",YEAR($J1635-WEEKDAY($J1635,2)+4)&amp;"-W"&amp;TEXT(_xludf.ISOWEEKNUM($J1635),"00"))</f>
        <v/>
      </c>
      <c r="B1635"/>
      <c r="C1635" t="str">
        <f>IF($J1635="","",SUMIFS('Hours Log'!$C:$C,'Hours Log'!$A:$A,"&gt;="&amp;$J1635,'Hours Log'!$A:$A,"&lt;"&amp;$J1635+7)+SUMIFS('Hours Log'!$D:$D,'Hours Log'!$A:$A,"&gt;="&amp;$J1635,'Hours Log'!$A:$A,"&lt;"&amp;$J1635+7))</f>
        <v/>
      </c>
      <c r="D1635" t="str">
        <f>IF($J1635="","",SUMIFS('Hours Log'!$D:$D,'Hours Log'!$A:$A,"&gt;="&amp;$J1635,'Hours Log'!$A:$A,"&lt;"&amp;$J1635+7))</f>
        <v/>
      </c>
      <c r="E1635" t="str">
        <f t="shared" si="50"/>
        <v/>
      </c>
      <c r="F1635" t="str">
        <f t="shared" si="51"/>
        <v/>
      </c>
      <c r="G1635" t="str">
        <f>IF($J1635="","",SUMIFS('Hours Log'!$E:$E,'Hours Log'!$A:$A,"&gt;="&amp;$J1635,'Hours Log'!$A:$A,"&lt;"&amp;$J1635+7))</f>
        <v/>
      </c>
      <c r="J1635" t="str">
        <f>IF(COUNT('Hours Log'!$A$4:$A$5000)=0,"",IF(MIN('Hours Log'!$A$4:$A$5000)+7*(ROW()-10)&gt;MAX('Hours Log'!$A$4:$A$5000),"",MIN('Hours Log'!$A$4:$A$5000)+7*(ROW()-10)))</f>
        <v/>
      </c>
    </row>
    <row r="1636" spans="1:10" x14ac:dyDescent="0.25">
      <c r="A1636" t="str">
        <f>IF($J1636="","",YEAR($J1636-WEEKDAY($J1636,2)+4)&amp;"-W"&amp;TEXT(_xludf.ISOWEEKNUM($J1636),"00"))</f>
        <v/>
      </c>
      <c r="B1636"/>
      <c r="C1636" t="str">
        <f>IF($J1636="","",SUMIFS('Hours Log'!$C:$C,'Hours Log'!$A:$A,"&gt;="&amp;$J1636,'Hours Log'!$A:$A,"&lt;"&amp;$J1636+7)+SUMIFS('Hours Log'!$D:$D,'Hours Log'!$A:$A,"&gt;="&amp;$J1636,'Hours Log'!$A:$A,"&lt;"&amp;$J1636+7))</f>
        <v/>
      </c>
      <c r="D1636" t="str">
        <f>IF($J1636="","",SUMIFS('Hours Log'!$D:$D,'Hours Log'!$A:$A,"&gt;="&amp;$J1636,'Hours Log'!$A:$A,"&lt;"&amp;$J1636+7))</f>
        <v/>
      </c>
      <c r="E1636" t="str">
        <f t="shared" si="50"/>
        <v/>
      </c>
      <c r="F1636" t="str">
        <f t="shared" si="51"/>
        <v/>
      </c>
      <c r="G1636" t="str">
        <f>IF($J1636="","",SUMIFS('Hours Log'!$E:$E,'Hours Log'!$A:$A,"&gt;="&amp;$J1636,'Hours Log'!$A:$A,"&lt;"&amp;$J1636+7))</f>
        <v/>
      </c>
      <c r="J1636" t="str">
        <f>IF(COUNT('Hours Log'!$A$4:$A$5000)=0,"",IF(MIN('Hours Log'!$A$4:$A$5000)+7*(ROW()-10)&gt;MAX('Hours Log'!$A$4:$A$5000),"",MIN('Hours Log'!$A$4:$A$5000)+7*(ROW()-10)))</f>
        <v/>
      </c>
    </row>
    <row r="1637" spans="1:10" x14ac:dyDescent="0.25">
      <c r="A1637" t="str">
        <f>IF($J1637="","",YEAR($J1637-WEEKDAY($J1637,2)+4)&amp;"-W"&amp;TEXT(_xludf.ISOWEEKNUM($J1637),"00"))</f>
        <v/>
      </c>
      <c r="B1637"/>
      <c r="C1637" t="str">
        <f>IF($J1637="","",SUMIFS('Hours Log'!$C:$C,'Hours Log'!$A:$A,"&gt;="&amp;$J1637,'Hours Log'!$A:$A,"&lt;"&amp;$J1637+7)+SUMIFS('Hours Log'!$D:$D,'Hours Log'!$A:$A,"&gt;="&amp;$J1637,'Hours Log'!$A:$A,"&lt;"&amp;$J1637+7))</f>
        <v/>
      </c>
      <c r="D1637" t="str">
        <f>IF($J1637="","",SUMIFS('Hours Log'!$D:$D,'Hours Log'!$A:$A,"&gt;="&amp;$J1637,'Hours Log'!$A:$A,"&lt;"&amp;$J1637+7))</f>
        <v/>
      </c>
      <c r="E1637" t="str">
        <f t="shared" si="50"/>
        <v/>
      </c>
      <c r="F1637" t="str">
        <f t="shared" si="51"/>
        <v/>
      </c>
      <c r="G1637" t="str">
        <f>IF($J1637="","",SUMIFS('Hours Log'!$E:$E,'Hours Log'!$A:$A,"&gt;="&amp;$J1637,'Hours Log'!$A:$A,"&lt;"&amp;$J1637+7))</f>
        <v/>
      </c>
      <c r="J1637" t="str">
        <f>IF(COUNT('Hours Log'!$A$4:$A$5000)=0,"",IF(MIN('Hours Log'!$A$4:$A$5000)+7*(ROW()-10)&gt;MAX('Hours Log'!$A$4:$A$5000),"",MIN('Hours Log'!$A$4:$A$5000)+7*(ROW()-10)))</f>
        <v/>
      </c>
    </row>
    <row r="1638" spans="1:10" x14ac:dyDescent="0.25">
      <c r="A1638" t="str">
        <f>IF($J1638="","",YEAR($J1638-WEEKDAY($J1638,2)+4)&amp;"-W"&amp;TEXT(_xludf.ISOWEEKNUM($J1638),"00"))</f>
        <v/>
      </c>
      <c r="B1638"/>
      <c r="C1638" t="str">
        <f>IF($J1638="","",SUMIFS('Hours Log'!$C:$C,'Hours Log'!$A:$A,"&gt;="&amp;$J1638,'Hours Log'!$A:$A,"&lt;"&amp;$J1638+7)+SUMIFS('Hours Log'!$D:$D,'Hours Log'!$A:$A,"&gt;="&amp;$J1638,'Hours Log'!$A:$A,"&lt;"&amp;$J1638+7))</f>
        <v/>
      </c>
      <c r="D1638" t="str">
        <f>IF($J1638="","",SUMIFS('Hours Log'!$D:$D,'Hours Log'!$A:$A,"&gt;="&amp;$J1638,'Hours Log'!$A:$A,"&lt;"&amp;$J1638+7))</f>
        <v/>
      </c>
      <c r="E1638" t="str">
        <f t="shared" si="50"/>
        <v/>
      </c>
      <c r="F1638" t="str">
        <f t="shared" si="51"/>
        <v/>
      </c>
      <c r="G1638" t="str">
        <f>IF($J1638="","",SUMIFS('Hours Log'!$E:$E,'Hours Log'!$A:$A,"&gt;="&amp;$J1638,'Hours Log'!$A:$A,"&lt;"&amp;$J1638+7))</f>
        <v/>
      </c>
      <c r="J1638" t="str">
        <f>IF(COUNT('Hours Log'!$A$4:$A$5000)=0,"",IF(MIN('Hours Log'!$A$4:$A$5000)+7*(ROW()-10)&gt;MAX('Hours Log'!$A$4:$A$5000),"",MIN('Hours Log'!$A$4:$A$5000)+7*(ROW()-10)))</f>
        <v/>
      </c>
    </row>
    <row r="1639" spans="1:10" x14ac:dyDescent="0.25">
      <c r="A1639" t="str">
        <f>IF($J1639="","",YEAR($J1639-WEEKDAY($J1639,2)+4)&amp;"-W"&amp;TEXT(_xludf.ISOWEEKNUM($J1639),"00"))</f>
        <v/>
      </c>
      <c r="B1639"/>
      <c r="C1639" t="str">
        <f>IF($J1639="","",SUMIFS('Hours Log'!$C:$C,'Hours Log'!$A:$A,"&gt;="&amp;$J1639,'Hours Log'!$A:$A,"&lt;"&amp;$J1639+7)+SUMIFS('Hours Log'!$D:$D,'Hours Log'!$A:$A,"&gt;="&amp;$J1639,'Hours Log'!$A:$A,"&lt;"&amp;$J1639+7))</f>
        <v/>
      </c>
      <c r="D1639" t="str">
        <f>IF($J1639="","",SUMIFS('Hours Log'!$D:$D,'Hours Log'!$A:$A,"&gt;="&amp;$J1639,'Hours Log'!$A:$A,"&lt;"&amp;$J1639+7))</f>
        <v/>
      </c>
      <c r="E1639" t="str">
        <f t="shared" si="50"/>
        <v/>
      </c>
      <c r="F1639" t="str">
        <f t="shared" si="51"/>
        <v/>
      </c>
      <c r="G1639" t="str">
        <f>IF($J1639="","",SUMIFS('Hours Log'!$E:$E,'Hours Log'!$A:$A,"&gt;="&amp;$J1639,'Hours Log'!$A:$A,"&lt;"&amp;$J1639+7))</f>
        <v/>
      </c>
      <c r="J1639" t="str">
        <f>IF(COUNT('Hours Log'!$A$4:$A$5000)=0,"",IF(MIN('Hours Log'!$A$4:$A$5000)+7*(ROW()-10)&gt;MAX('Hours Log'!$A$4:$A$5000),"",MIN('Hours Log'!$A$4:$A$5000)+7*(ROW()-10)))</f>
        <v/>
      </c>
    </row>
    <row r="1640" spans="1:10" x14ac:dyDescent="0.25">
      <c r="A1640" t="str">
        <f>IF($J1640="","",YEAR($J1640-WEEKDAY($J1640,2)+4)&amp;"-W"&amp;TEXT(_xludf.ISOWEEKNUM($J1640),"00"))</f>
        <v/>
      </c>
      <c r="B1640"/>
      <c r="C1640" t="str">
        <f>IF($J1640="","",SUMIFS('Hours Log'!$C:$C,'Hours Log'!$A:$A,"&gt;="&amp;$J1640,'Hours Log'!$A:$A,"&lt;"&amp;$J1640+7)+SUMIFS('Hours Log'!$D:$D,'Hours Log'!$A:$A,"&gt;="&amp;$J1640,'Hours Log'!$A:$A,"&lt;"&amp;$J1640+7))</f>
        <v/>
      </c>
      <c r="D1640" t="str">
        <f>IF($J1640="","",SUMIFS('Hours Log'!$D:$D,'Hours Log'!$A:$A,"&gt;="&amp;$J1640,'Hours Log'!$A:$A,"&lt;"&amp;$J1640+7))</f>
        <v/>
      </c>
      <c r="E1640" t="str">
        <f t="shared" si="50"/>
        <v/>
      </c>
      <c r="F1640" t="str">
        <f t="shared" si="51"/>
        <v/>
      </c>
      <c r="G1640" t="str">
        <f>IF($J1640="","",SUMIFS('Hours Log'!$E:$E,'Hours Log'!$A:$A,"&gt;="&amp;$J1640,'Hours Log'!$A:$A,"&lt;"&amp;$J1640+7))</f>
        <v/>
      </c>
      <c r="J1640" t="str">
        <f>IF(COUNT('Hours Log'!$A$4:$A$5000)=0,"",IF(MIN('Hours Log'!$A$4:$A$5000)+7*(ROW()-10)&gt;MAX('Hours Log'!$A$4:$A$5000),"",MIN('Hours Log'!$A$4:$A$5000)+7*(ROW()-10)))</f>
        <v/>
      </c>
    </row>
    <row r="1641" spans="1:10" x14ac:dyDescent="0.25">
      <c r="A1641" t="str">
        <f>IF($J1641="","",YEAR($J1641-WEEKDAY($J1641,2)+4)&amp;"-W"&amp;TEXT(_xludf.ISOWEEKNUM($J1641),"00"))</f>
        <v/>
      </c>
      <c r="B1641"/>
      <c r="C1641" t="str">
        <f>IF($J1641="","",SUMIFS('Hours Log'!$C:$C,'Hours Log'!$A:$A,"&gt;="&amp;$J1641,'Hours Log'!$A:$A,"&lt;"&amp;$J1641+7)+SUMIFS('Hours Log'!$D:$D,'Hours Log'!$A:$A,"&gt;="&amp;$J1641,'Hours Log'!$A:$A,"&lt;"&amp;$J1641+7))</f>
        <v/>
      </c>
      <c r="D1641" t="str">
        <f>IF($J1641="","",SUMIFS('Hours Log'!$D:$D,'Hours Log'!$A:$A,"&gt;="&amp;$J1641,'Hours Log'!$A:$A,"&lt;"&amp;$J1641+7))</f>
        <v/>
      </c>
      <c r="E1641" t="str">
        <f t="shared" si="50"/>
        <v/>
      </c>
      <c r="F1641" t="str">
        <f t="shared" si="51"/>
        <v/>
      </c>
      <c r="G1641" t="str">
        <f>IF($J1641="","",SUMIFS('Hours Log'!$E:$E,'Hours Log'!$A:$A,"&gt;="&amp;$J1641,'Hours Log'!$A:$A,"&lt;"&amp;$J1641+7))</f>
        <v/>
      </c>
      <c r="J1641" t="str">
        <f>IF(COUNT('Hours Log'!$A$4:$A$5000)=0,"",IF(MIN('Hours Log'!$A$4:$A$5000)+7*(ROW()-10)&gt;MAX('Hours Log'!$A$4:$A$5000),"",MIN('Hours Log'!$A$4:$A$5000)+7*(ROW()-10)))</f>
        <v/>
      </c>
    </row>
    <row r="1642" spans="1:10" x14ac:dyDescent="0.25">
      <c r="A1642" t="str">
        <f>IF($J1642="","",YEAR($J1642-WEEKDAY($J1642,2)+4)&amp;"-W"&amp;TEXT(_xludf.ISOWEEKNUM($J1642),"00"))</f>
        <v/>
      </c>
      <c r="B1642"/>
      <c r="C1642" t="str">
        <f>IF($J1642="","",SUMIFS('Hours Log'!$C:$C,'Hours Log'!$A:$A,"&gt;="&amp;$J1642,'Hours Log'!$A:$A,"&lt;"&amp;$J1642+7)+SUMIFS('Hours Log'!$D:$D,'Hours Log'!$A:$A,"&gt;="&amp;$J1642,'Hours Log'!$A:$A,"&lt;"&amp;$J1642+7))</f>
        <v/>
      </c>
      <c r="D1642" t="str">
        <f>IF($J1642="","",SUMIFS('Hours Log'!$D:$D,'Hours Log'!$A:$A,"&gt;="&amp;$J1642,'Hours Log'!$A:$A,"&lt;"&amp;$J1642+7))</f>
        <v/>
      </c>
      <c r="E1642" t="str">
        <f t="shared" si="50"/>
        <v/>
      </c>
      <c r="F1642" t="str">
        <f t="shared" si="51"/>
        <v/>
      </c>
      <c r="G1642" t="str">
        <f>IF($J1642="","",SUMIFS('Hours Log'!$E:$E,'Hours Log'!$A:$A,"&gt;="&amp;$J1642,'Hours Log'!$A:$A,"&lt;"&amp;$J1642+7))</f>
        <v/>
      </c>
      <c r="J1642" t="str">
        <f>IF(COUNT('Hours Log'!$A$4:$A$5000)=0,"",IF(MIN('Hours Log'!$A$4:$A$5000)+7*(ROW()-10)&gt;MAX('Hours Log'!$A$4:$A$5000),"",MIN('Hours Log'!$A$4:$A$5000)+7*(ROW()-10)))</f>
        <v/>
      </c>
    </row>
    <row r="1643" spans="1:10" x14ac:dyDescent="0.25">
      <c r="A1643" t="str">
        <f>IF($J1643="","",YEAR($J1643-WEEKDAY($J1643,2)+4)&amp;"-W"&amp;TEXT(_xludf.ISOWEEKNUM($J1643),"00"))</f>
        <v/>
      </c>
      <c r="B1643"/>
      <c r="C1643" t="str">
        <f>IF($J1643="","",SUMIFS('Hours Log'!$C:$C,'Hours Log'!$A:$A,"&gt;="&amp;$J1643,'Hours Log'!$A:$A,"&lt;"&amp;$J1643+7)+SUMIFS('Hours Log'!$D:$D,'Hours Log'!$A:$A,"&gt;="&amp;$J1643,'Hours Log'!$A:$A,"&lt;"&amp;$J1643+7))</f>
        <v/>
      </c>
      <c r="D1643" t="str">
        <f>IF($J1643="","",SUMIFS('Hours Log'!$D:$D,'Hours Log'!$A:$A,"&gt;="&amp;$J1643,'Hours Log'!$A:$A,"&lt;"&amp;$J1643+7))</f>
        <v/>
      </c>
      <c r="E1643" t="str">
        <f t="shared" si="50"/>
        <v/>
      </c>
      <c r="F1643" t="str">
        <f t="shared" si="51"/>
        <v/>
      </c>
      <c r="G1643" t="str">
        <f>IF($J1643="","",SUMIFS('Hours Log'!$E:$E,'Hours Log'!$A:$A,"&gt;="&amp;$J1643,'Hours Log'!$A:$A,"&lt;"&amp;$J1643+7))</f>
        <v/>
      </c>
      <c r="J1643" t="str">
        <f>IF(COUNT('Hours Log'!$A$4:$A$5000)=0,"",IF(MIN('Hours Log'!$A$4:$A$5000)+7*(ROW()-10)&gt;MAX('Hours Log'!$A$4:$A$5000),"",MIN('Hours Log'!$A$4:$A$5000)+7*(ROW()-10)))</f>
        <v/>
      </c>
    </row>
    <row r="1644" spans="1:10" x14ac:dyDescent="0.25">
      <c r="A1644" t="str">
        <f>IF($J1644="","",YEAR($J1644-WEEKDAY($J1644,2)+4)&amp;"-W"&amp;TEXT(_xludf.ISOWEEKNUM($J1644),"00"))</f>
        <v/>
      </c>
      <c r="B1644"/>
      <c r="C1644" t="str">
        <f>IF($J1644="","",SUMIFS('Hours Log'!$C:$C,'Hours Log'!$A:$A,"&gt;="&amp;$J1644,'Hours Log'!$A:$A,"&lt;"&amp;$J1644+7)+SUMIFS('Hours Log'!$D:$D,'Hours Log'!$A:$A,"&gt;="&amp;$J1644,'Hours Log'!$A:$A,"&lt;"&amp;$J1644+7))</f>
        <v/>
      </c>
      <c r="D1644" t="str">
        <f>IF($J1644="","",SUMIFS('Hours Log'!$D:$D,'Hours Log'!$A:$A,"&gt;="&amp;$J1644,'Hours Log'!$A:$A,"&lt;"&amp;$J1644+7))</f>
        <v/>
      </c>
      <c r="E1644" t="str">
        <f t="shared" si="50"/>
        <v/>
      </c>
      <c r="F1644" t="str">
        <f t="shared" si="51"/>
        <v/>
      </c>
      <c r="G1644" t="str">
        <f>IF($J1644="","",SUMIFS('Hours Log'!$E:$E,'Hours Log'!$A:$A,"&gt;="&amp;$J1644,'Hours Log'!$A:$A,"&lt;"&amp;$J1644+7))</f>
        <v/>
      </c>
      <c r="J1644" t="str">
        <f>IF(COUNT('Hours Log'!$A$4:$A$5000)=0,"",IF(MIN('Hours Log'!$A$4:$A$5000)+7*(ROW()-10)&gt;MAX('Hours Log'!$A$4:$A$5000),"",MIN('Hours Log'!$A$4:$A$5000)+7*(ROW()-10)))</f>
        <v/>
      </c>
    </row>
    <row r="1645" spans="1:10" x14ac:dyDescent="0.25">
      <c r="A1645" t="str">
        <f>IF($J1645="","",YEAR($J1645-WEEKDAY($J1645,2)+4)&amp;"-W"&amp;TEXT(_xludf.ISOWEEKNUM($J1645),"00"))</f>
        <v/>
      </c>
      <c r="B1645"/>
      <c r="C1645" t="str">
        <f>IF($J1645="","",SUMIFS('Hours Log'!$C:$C,'Hours Log'!$A:$A,"&gt;="&amp;$J1645,'Hours Log'!$A:$A,"&lt;"&amp;$J1645+7)+SUMIFS('Hours Log'!$D:$D,'Hours Log'!$A:$A,"&gt;="&amp;$J1645,'Hours Log'!$A:$A,"&lt;"&amp;$J1645+7))</f>
        <v/>
      </c>
      <c r="D1645" t="str">
        <f>IF($J1645="","",SUMIFS('Hours Log'!$D:$D,'Hours Log'!$A:$A,"&gt;="&amp;$J1645,'Hours Log'!$A:$A,"&lt;"&amp;$J1645+7))</f>
        <v/>
      </c>
      <c r="E1645" t="str">
        <f t="shared" si="50"/>
        <v/>
      </c>
      <c r="F1645" t="str">
        <f t="shared" si="51"/>
        <v/>
      </c>
      <c r="G1645" t="str">
        <f>IF($J1645="","",SUMIFS('Hours Log'!$E:$E,'Hours Log'!$A:$A,"&gt;="&amp;$J1645,'Hours Log'!$A:$A,"&lt;"&amp;$J1645+7))</f>
        <v/>
      </c>
      <c r="J1645" t="str">
        <f>IF(COUNT('Hours Log'!$A$4:$A$5000)=0,"",IF(MIN('Hours Log'!$A$4:$A$5000)+7*(ROW()-10)&gt;MAX('Hours Log'!$A$4:$A$5000),"",MIN('Hours Log'!$A$4:$A$5000)+7*(ROW()-10)))</f>
        <v/>
      </c>
    </row>
    <row r="1646" spans="1:10" x14ac:dyDescent="0.25">
      <c r="A1646" t="str">
        <f>IF($J1646="","",YEAR($J1646-WEEKDAY($J1646,2)+4)&amp;"-W"&amp;TEXT(_xludf.ISOWEEKNUM($J1646),"00"))</f>
        <v/>
      </c>
      <c r="B1646"/>
      <c r="C1646" t="str">
        <f>IF($J1646="","",SUMIFS('Hours Log'!$C:$C,'Hours Log'!$A:$A,"&gt;="&amp;$J1646,'Hours Log'!$A:$A,"&lt;"&amp;$J1646+7)+SUMIFS('Hours Log'!$D:$D,'Hours Log'!$A:$A,"&gt;="&amp;$J1646,'Hours Log'!$A:$A,"&lt;"&amp;$J1646+7))</f>
        <v/>
      </c>
      <c r="D1646" t="str">
        <f>IF($J1646="","",SUMIFS('Hours Log'!$D:$D,'Hours Log'!$A:$A,"&gt;="&amp;$J1646,'Hours Log'!$A:$A,"&lt;"&amp;$J1646+7))</f>
        <v/>
      </c>
      <c r="E1646" t="str">
        <f t="shared" si="50"/>
        <v/>
      </c>
      <c r="F1646" t="str">
        <f t="shared" si="51"/>
        <v/>
      </c>
      <c r="G1646" t="str">
        <f>IF($J1646="","",SUMIFS('Hours Log'!$E:$E,'Hours Log'!$A:$A,"&gt;="&amp;$J1646,'Hours Log'!$A:$A,"&lt;"&amp;$J1646+7))</f>
        <v/>
      </c>
      <c r="J1646" t="str">
        <f>IF(COUNT('Hours Log'!$A$4:$A$5000)=0,"",IF(MIN('Hours Log'!$A$4:$A$5000)+7*(ROW()-10)&gt;MAX('Hours Log'!$A$4:$A$5000),"",MIN('Hours Log'!$A$4:$A$5000)+7*(ROW()-10)))</f>
        <v/>
      </c>
    </row>
    <row r="1647" spans="1:10" x14ac:dyDescent="0.25">
      <c r="A1647" t="str">
        <f>IF($J1647="","",YEAR($J1647-WEEKDAY($J1647,2)+4)&amp;"-W"&amp;TEXT(_xludf.ISOWEEKNUM($J1647),"00"))</f>
        <v/>
      </c>
      <c r="B1647"/>
      <c r="C1647" t="str">
        <f>IF($J1647="","",SUMIFS('Hours Log'!$C:$C,'Hours Log'!$A:$A,"&gt;="&amp;$J1647,'Hours Log'!$A:$A,"&lt;"&amp;$J1647+7)+SUMIFS('Hours Log'!$D:$D,'Hours Log'!$A:$A,"&gt;="&amp;$J1647,'Hours Log'!$A:$A,"&lt;"&amp;$J1647+7))</f>
        <v/>
      </c>
      <c r="D1647" t="str">
        <f>IF($J1647="","",SUMIFS('Hours Log'!$D:$D,'Hours Log'!$A:$A,"&gt;="&amp;$J1647,'Hours Log'!$A:$A,"&lt;"&amp;$J1647+7))</f>
        <v/>
      </c>
      <c r="E1647" t="str">
        <f t="shared" si="50"/>
        <v/>
      </c>
      <c r="F1647" t="str">
        <f t="shared" si="51"/>
        <v/>
      </c>
      <c r="G1647" t="str">
        <f>IF($J1647="","",SUMIFS('Hours Log'!$E:$E,'Hours Log'!$A:$A,"&gt;="&amp;$J1647,'Hours Log'!$A:$A,"&lt;"&amp;$J1647+7))</f>
        <v/>
      </c>
      <c r="J1647" t="str">
        <f>IF(COUNT('Hours Log'!$A$4:$A$5000)=0,"",IF(MIN('Hours Log'!$A$4:$A$5000)+7*(ROW()-10)&gt;MAX('Hours Log'!$A$4:$A$5000),"",MIN('Hours Log'!$A$4:$A$5000)+7*(ROW()-10)))</f>
        <v/>
      </c>
    </row>
    <row r="1648" spans="1:10" x14ac:dyDescent="0.25">
      <c r="A1648" t="str">
        <f>IF($J1648="","",YEAR($J1648-WEEKDAY($J1648,2)+4)&amp;"-W"&amp;TEXT(_xludf.ISOWEEKNUM($J1648),"00"))</f>
        <v/>
      </c>
      <c r="B1648"/>
      <c r="C1648" t="str">
        <f>IF($J1648="","",SUMIFS('Hours Log'!$C:$C,'Hours Log'!$A:$A,"&gt;="&amp;$J1648,'Hours Log'!$A:$A,"&lt;"&amp;$J1648+7)+SUMIFS('Hours Log'!$D:$D,'Hours Log'!$A:$A,"&gt;="&amp;$J1648,'Hours Log'!$A:$A,"&lt;"&amp;$J1648+7))</f>
        <v/>
      </c>
      <c r="D1648" t="str">
        <f>IF($J1648="","",SUMIFS('Hours Log'!$D:$D,'Hours Log'!$A:$A,"&gt;="&amp;$J1648,'Hours Log'!$A:$A,"&lt;"&amp;$J1648+7))</f>
        <v/>
      </c>
      <c r="E1648" t="str">
        <f t="shared" si="50"/>
        <v/>
      </c>
      <c r="F1648" t="str">
        <f t="shared" si="51"/>
        <v/>
      </c>
      <c r="G1648" t="str">
        <f>IF($J1648="","",SUMIFS('Hours Log'!$E:$E,'Hours Log'!$A:$A,"&gt;="&amp;$J1648,'Hours Log'!$A:$A,"&lt;"&amp;$J1648+7))</f>
        <v/>
      </c>
      <c r="J1648" t="str">
        <f>IF(COUNT('Hours Log'!$A$4:$A$5000)=0,"",IF(MIN('Hours Log'!$A$4:$A$5000)+7*(ROW()-10)&gt;MAX('Hours Log'!$A$4:$A$5000),"",MIN('Hours Log'!$A$4:$A$5000)+7*(ROW()-10)))</f>
        <v/>
      </c>
    </row>
    <row r="1649" spans="1:10" x14ac:dyDescent="0.25">
      <c r="A1649" t="str">
        <f>IF($J1649="","",YEAR($J1649-WEEKDAY($J1649,2)+4)&amp;"-W"&amp;TEXT(_xludf.ISOWEEKNUM($J1649),"00"))</f>
        <v/>
      </c>
      <c r="B1649"/>
      <c r="C1649" t="str">
        <f>IF($J1649="","",SUMIFS('Hours Log'!$C:$C,'Hours Log'!$A:$A,"&gt;="&amp;$J1649,'Hours Log'!$A:$A,"&lt;"&amp;$J1649+7)+SUMIFS('Hours Log'!$D:$D,'Hours Log'!$A:$A,"&gt;="&amp;$J1649,'Hours Log'!$A:$A,"&lt;"&amp;$J1649+7))</f>
        <v/>
      </c>
      <c r="D1649" t="str">
        <f>IF($J1649="","",SUMIFS('Hours Log'!$D:$D,'Hours Log'!$A:$A,"&gt;="&amp;$J1649,'Hours Log'!$A:$A,"&lt;"&amp;$J1649+7))</f>
        <v/>
      </c>
      <c r="E1649" t="str">
        <f t="shared" si="50"/>
        <v/>
      </c>
      <c r="F1649" t="str">
        <f t="shared" si="51"/>
        <v/>
      </c>
      <c r="G1649" t="str">
        <f>IF($J1649="","",SUMIFS('Hours Log'!$E:$E,'Hours Log'!$A:$A,"&gt;="&amp;$J1649,'Hours Log'!$A:$A,"&lt;"&amp;$J1649+7))</f>
        <v/>
      </c>
      <c r="J1649" t="str">
        <f>IF(COUNT('Hours Log'!$A$4:$A$5000)=0,"",IF(MIN('Hours Log'!$A$4:$A$5000)+7*(ROW()-10)&gt;MAX('Hours Log'!$A$4:$A$5000),"",MIN('Hours Log'!$A$4:$A$5000)+7*(ROW()-10)))</f>
        <v/>
      </c>
    </row>
    <row r="1650" spans="1:10" x14ac:dyDescent="0.25">
      <c r="A1650" t="str">
        <f>IF($J1650="","",YEAR($J1650-WEEKDAY($J1650,2)+4)&amp;"-W"&amp;TEXT(_xludf.ISOWEEKNUM($J1650),"00"))</f>
        <v/>
      </c>
      <c r="B1650"/>
      <c r="C1650" t="str">
        <f>IF($J1650="","",SUMIFS('Hours Log'!$C:$C,'Hours Log'!$A:$A,"&gt;="&amp;$J1650,'Hours Log'!$A:$A,"&lt;"&amp;$J1650+7)+SUMIFS('Hours Log'!$D:$D,'Hours Log'!$A:$A,"&gt;="&amp;$J1650,'Hours Log'!$A:$A,"&lt;"&amp;$J1650+7))</f>
        <v/>
      </c>
      <c r="D1650" t="str">
        <f>IF($J1650="","",SUMIFS('Hours Log'!$D:$D,'Hours Log'!$A:$A,"&gt;="&amp;$J1650,'Hours Log'!$A:$A,"&lt;"&amp;$J1650+7))</f>
        <v/>
      </c>
      <c r="E1650" t="str">
        <f t="shared" si="50"/>
        <v/>
      </c>
      <c r="F1650" t="str">
        <f t="shared" si="51"/>
        <v/>
      </c>
      <c r="G1650" t="str">
        <f>IF($J1650="","",SUMIFS('Hours Log'!$E:$E,'Hours Log'!$A:$A,"&gt;="&amp;$J1650,'Hours Log'!$A:$A,"&lt;"&amp;$J1650+7))</f>
        <v/>
      </c>
      <c r="J1650" t="str">
        <f>IF(COUNT('Hours Log'!$A$4:$A$5000)=0,"",IF(MIN('Hours Log'!$A$4:$A$5000)+7*(ROW()-10)&gt;MAX('Hours Log'!$A$4:$A$5000),"",MIN('Hours Log'!$A$4:$A$5000)+7*(ROW()-10)))</f>
        <v/>
      </c>
    </row>
    <row r="1651" spans="1:10" x14ac:dyDescent="0.25">
      <c r="A1651" t="str">
        <f>IF($J1651="","",YEAR($J1651-WEEKDAY($J1651,2)+4)&amp;"-W"&amp;TEXT(_xludf.ISOWEEKNUM($J1651),"00"))</f>
        <v/>
      </c>
      <c r="B1651"/>
      <c r="C1651" t="str">
        <f>IF($J1651="","",SUMIFS('Hours Log'!$C:$C,'Hours Log'!$A:$A,"&gt;="&amp;$J1651,'Hours Log'!$A:$A,"&lt;"&amp;$J1651+7)+SUMIFS('Hours Log'!$D:$D,'Hours Log'!$A:$A,"&gt;="&amp;$J1651,'Hours Log'!$A:$A,"&lt;"&amp;$J1651+7))</f>
        <v/>
      </c>
      <c r="D1651" t="str">
        <f>IF($J1651="","",SUMIFS('Hours Log'!$D:$D,'Hours Log'!$A:$A,"&gt;="&amp;$J1651,'Hours Log'!$A:$A,"&lt;"&amp;$J1651+7))</f>
        <v/>
      </c>
      <c r="E1651" t="str">
        <f t="shared" si="50"/>
        <v/>
      </c>
      <c r="F1651" t="str">
        <f t="shared" si="51"/>
        <v/>
      </c>
      <c r="G1651" t="str">
        <f>IF($J1651="","",SUMIFS('Hours Log'!$E:$E,'Hours Log'!$A:$A,"&gt;="&amp;$J1651,'Hours Log'!$A:$A,"&lt;"&amp;$J1651+7))</f>
        <v/>
      </c>
      <c r="J1651" t="str">
        <f>IF(COUNT('Hours Log'!$A$4:$A$5000)=0,"",IF(MIN('Hours Log'!$A$4:$A$5000)+7*(ROW()-10)&gt;MAX('Hours Log'!$A$4:$A$5000),"",MIN('Hours Log'!$A$4:$A$5000)+7*(ROW()-10)))</f>
        <v/>
      </c>
    </row>
    <row r="1652" spans="1:10" x14ac:dyDescent="0.25">
      <c r="A1652" t="str">
        <f>IF($J1652="","",YEAR($J1652-WEEKDAY($J1652,2)+4)&amp;"-W"&amp;TEXT(_xludf.ISOWEEKNUM($J1652),"00"))</f>
        <v/>
      </c>
      <c r="B1652"/>
      <c r="C1652" t="str">
        <f>IF($J1652="","",SUMIFS('Hours Log'!$C:$C,'Hours Log'!$A:$A,"&gt;="&amp;$J1652,'Hours Log'!$A:$A,"&lt;"&amp;$J1652+7)+SUMIFS('Hours Log'!$D:$D,'Hours Log'!$A:$A,"&gt;="&amp;$J1652,'Hours Log'!$A:$A,"&lt;"&amp;$J1652+7))</f>
        <v/>
      </c>
      <c r="D1652" t="str">
        <f>IF($J1652="","",SUMIFS('Hours Log'!$D:$D,'Hours Log'!$A:$A,"&gt;="&amp;$J1652,'Hours Log'!$A:$A,"&lt;"&amp;$J1652+7))</f>
        <v/>
      </c>
      <c r="E1652" t="str">
        <f t="shared" si="50"/>
        <v/>
      </c>
      <c r="F1652" t="str">
        <f t="shared" si="51"/>
        <v/>
      </c>
      <c r="G1652" t="str">
        <f>IF($J1652="","",SUMIFS('Hours Log'!$E:$E,'Hours Log'!$A:$A,"&gt;="&amp;$J1652,'Hours Log'!$A:$A,"&lt;"&amp;$J1652+7))</f>
        <v/>
      </c>
      <c r="J1652" t="str">
        <f>IF(COUNT('Hours Log'!$A$4:$A$5000)=0,"",IF(MIN('Hours Log'!$A$4:$A$5000)+7*(ROW()-10)&gt;MAX('Hours Log'!$A$4:$A$5000),"",MIN('Hours Log'!$A$4:$A$5000)+7*(ROW()-10)))</f>
        <v/>
      </c>
    </row>
    <row r="1653" spans="1:10" x14ac:dyDescent="0.25">
      <c r="A1653" t="str">
        <f>IF($J1653="","",YEAR($J1653-WEEKDAY($J1653,2)+4)&amp;"-W"&amp;TEXT(_xludf.ISOWEEKNUM($J1653),"00"))</f>
        <v/>
      </c>
      <c r="B1653"/>
      <c r="C1653" t="str">
        <f>IF($J1653="","",SUMIFS('Hours Log'!$C:$C,'Hours Log'!$A:$A,"&gt;="&amp;$J1653,'Hours Log'!$A:$A,"&lt;"&amp;$J1653+7)+SUMIFS('Hours Log'!$D:$D,'Hours Log'!$A:$A,"&gt;="&amp;$J1653,'Hours Log'!$A:$A,"&lt;"&amp;$J1653+7))</f>
        <v/>
      </c>
      <c r="D1653" t="str">
        <f>IF($J1653="","",SUMIFS('Hours Log'!$D:$D,'Hours Log'!$A:$A,"&gt;="&amp;$J1653,'Hours Log'!$A:$A,"&lt;"&amp;$J1653+7))</f>
        <v/>
      </c>
      <c r="E1653" t="str">
        <f t="shared" si="50"/>
        <v/>
      </c>
      <c r="F1653" t="str">
        <f t="shared" si="51"/>
        <v/>
      </c>
      <c r="G1653" t="str">
        <f>IF($J1653="","",SUMIFS('Hours Log'!$E:$E,'Hours Log'!$A:$A,"&gt;="&amp;$J1653,'Hours Log'!$A:$A,"&lt;"&amp;$J1653+7))</f>
        <v/>
      </c>
      <c r="J1653" t="str">
        <f>IF(COUNT('Hours Log'!$A$4:$A$5000)=0,"",IF(MIN('Hours Log'!$A$4:$A$5000)+7*(ROW()-10)&gt;MAX('Hours Log'!$A$4:$A$5000),"",MIN('Hours Log'!$A$4:$A$5000)+7*(ROW()-10)))</f>
        <v/>
      </c>
    </row>
    <row r="1654" spans="1:10" x14ac:dyDescent="0.25">
      <c r="A1654" t="str">
        <f>IF($J1654="","",YEAR($J1654-WEEKDAY($J1654,2)+4)&amp;"-W"&amp;TEXT(_xludf.ISOWEEKNUM($J1654),"00"))</f>
        <v/>
      </c>
      <c r="B1654"/>
      <c r="C1654" t="str">
        <f>IF($J1654="","",SUMIFS('Hours Log'!$C:$C,'Hours Log'!$A:$A,"&gt;="&amp;$J1654,'Hours Log'!$A:$A,"&lt;"&amp;$J1654+7)+SUMIFS('Hours Log'!$D:$D,'Hours Log'!$A:$A,"&gt;="&amp;$J1654,'Hours Log'!$A:$A,"&lt;"&amp;$J1654+7))</f>
        <v/>
      </c>
      <c r="D1654" t="str">
        <f>IF($J1654="","",SUMIFS('Hours Log'!$D:$D,'Hours Log'!$A:$A,"&gt;="&amp;$J1654,'Hours Log'!$A:$A,"&lt;"&amp;$J1654+7))</f>
        <v/>
      </c>
      <c r="E1654" t="str">
        <f t="shared" si="50"/>
        <v/>
      </c>
      <c r="F1654" t="str">
        <f t="shared" si="51"/>
        <v/>
      </c>
      <c r="G1654" t="str">
        <f>IF($J1654="","",SUMIFS('Hours Log'!$E:$E,'Hours Log'!$A:$A,"&gt;="&amp;$J1654,'Hours Log'!$A:$A,"&lt;"&amp;$J1654+7))</f>
        <v/>
      </c>
      <c r="J1654" t="str">
        <f>IF(COUNT('Hours Log'!$A$4:$A$5000)=0,"",IF(MIN('Hours Log'!$A$4:$A$5000)+7*(ROW()-10)&gt;MAX('Hours Log'!$A$4:$A$5000),"",MIN('Hours Log'!$A$4:$A$5000)+7*(ROW()-10)))</f>
        <v/>
      </c>
    </row>
    <row r="1655" spans="1:10" x14ac:dyDescent="0.25">
      <c r="A1655" t="str">
        <f>IF($J1655="","",YEAR($J1655-WEEKDAY($J1655,2)+4)&amp;"-W"&amp;TEXT(_xludf.ISOWEEKNUM($J1655),"00"))</f>
        <v/>
      </c>
      <c r="B1655"/>
      <c r="C1655" t="str">
        <f>IF($J1655="","",SUMIFS('Hours Log'!$C:$C,'Hours Log'!$A:$A,"&gt;="&amp;$J1655,'Hours Log'!$A:$A,"&lt;"&amp;$J1655+7)+SUMIFS('Hours Log'!$D:$D,'Hours Log'!$A:$A,"&gt;="&amp;$J1655,'Hours Log'!$A:$A,"&lt;"&amp;$J1655+7))</f>
        <v/>
      </c>
      <c r="D1655" t="str">
        <f>IF($J1655="","",SUMIFS('Hours Log'!$D:$D,'Hours Log'!$A:$A,"&gt;="&amp;$J1655,'Hours Log'!$A:$A,"&lt;"&amp;$J1655+7))</f>
        <v/>
      </c>
      <c r="E1655" t="str">
        <f t="shared" si="50"/>
        <v/>
      </c>
      <c r="F1655" t="str">
        <f t="shared" si="51"/>
        <v/>
      </c>
      <c r="G1655" t="str">
        <f>IF($J1655="","",SUMIFS('Hours Log'!$E:$E,'Hours Log'!$A:$A,"&gt;="&amp;$J1655,'Hours Log'!$A:$A,"&lt;"&amp;$J1655+7))</f>
        <v/>
      </c>
      <c r="J1655" t="str">
        <f>IF(COUNT('Hours Log'!$A$4:$A$5000)=0,"",IF(MIN('Hours Log'!$A$4:$A$5000)+7*(ROW()-10)&gt;MAX('Hours Log'!$A$4:$A$5000),"",MIN('Hours Log'!$A$4:$A$5000)+7*(ROW()-10)))</f>
        <v/>
      </c>
    </row>
    <row r="1656" spans="1:10" x14ac:dyDescent="0.25">
      <c r="A1656" t="str">
        <f>IF($J1656="","",YEAR($J1656-WEEKDAY($J1656,2)+4)&amp;"-W"&amp;TEXT(_xludf.ISOWEEKNUM($J1656),"00"))</f>
        <v/>
      </c>
      <c r="B1656"/>
      <c r="C1656" t="str">
        <f>IF($J1656="","",SUMIFS('Hours Log'!$C:$C,'Hours Log'!$A:$A,"&gt;="&amp;$J1656,'Hours Log'!$A:$A,"&lt;"&amp;$J1656+7)+SUMIFS('Hours Log'!$D:$D,'Hours Log'!$A:$A,"&gt;="&amp;$J1656,'Hours Log'!$A:$A,"&lt;"&amp;$J1656+7))</f>
        <v/>
      </c>
      <c r="D1656" t="str">
        <f>IF($J1656="","",SUMIFS('Hours Log'!$D:$D,'Hours Log'!$A:$A,"&gt;="&amp;$J1656,'Hours Log'!$A:$A,"&lt;"&amp;$J1656+7))</f>
        <v/>
      </c>
      <c r="E1656" t="str">
        <f t="shared" si="50"/>
        <v/>
      </c>
      <c r="F1656" t="str">
        <f t="shared" si="51"/>
        <v/>
      </c>
      <c r="G1656" t="str">
        <f>IF($J1656="","",SUMIFS('Hours Log'!$E:$E,'Hours Log'!$A:$A,"&gt;="&amp;$J1656,'Hours Log'!$A:$A,"&lt;"&amp;$J1656+7))</f>
        <v/>
      </c>
      <c r="J1656" t="str">
        <f>IF(COUNT('Hours Log'!$A$4:$A$5000)=0,"",IF(MIN('Hours Log'!$A$4:$A$5000)+7*(ROW()-10)&gt;MAX('Hours Log'!$A$4:$A$5000),"",MIN('Hours Log'!$A$4:$A$5000)+7*(ROW()-10)))</f>
        <v/>
      </c>
    </row>
    <row r="1657" spans="1:10" x14ac:dyDescent="0.25">
      <c r="A1657" t="str">
        <f>IF($J1657="","",YEAR($J1657-WEEKDAY($J1657,2)+4)&amp;"-W"&amp;TEXT(_xludf.ISOWEEKNUM($J1657),"00"))</f>
        <v/>
      </c>
      <c r="B1657"/>
      <c r="C1657" t="str">
        <f>IF($J1657="","",SUMIFS('Hours Log'!$C:$C,'Hours Log'!$A:$A,"&gt;="&amp;$J1657,'Hours Log'!$A:$A,"&lt;"&amp;$J1657+7)+SUMIFS('Hours Log'!$D:$D,'Hours Log'!$A:$A,"&gt;="&amp;$J1657,'Hours Log'!$A:$A,"&lt;"&amp;$J1657+7))</f>
        <v/>
      </c>
      <c r="D1657" t="str">
        <f>IF($J1657="","",SUMIFS('Hours Log'!$D:$D,'Hours Log'!$A:$A,"&gt;="&amp;$J1657,'Hours Log'!$A:$A,"&lt;"&amp;$J1657+7))</f>
        <v/>
      </c>
      <c r="E1657" t="str">
        <f t="shared" si="50"/>
        <v/>
      </c>
      <c r="F1657" t="str">
        <f t="shared" si="51"/>
        <v/>
      </c>
      <c r="G1657" t="str">
        <f>IF($J1657="","",SUMIFS('Hours Log'!$E:$E,'Hours Log'!$A:$A,"&gt;="&amp;$J1657,'Hours Log'!$A:$A,"&lt;"&amp;$J1657+7))</f>
        <v/>
      </c>
      <c r="J1657" t="str">
        <f>IF(COUNT('Hours Log'!$A$4:$A$5000)=0,"",IF(MIN('Hours Log'!$A$4:$A$5000)+7*(ROW()-10)&gt;MAX('Hours Log'!$A$4:$A$5000),"",MIN('Hours Log'!$A$4:$A$5000)+7*(ROW()-10)))</f>
        <v/>
      </c>
    </row>
    <row r="1658" spans="1:10" x14ac:dyDescent="0.25">
      <c r="A1658" t="str">
        <f>IF($J1658="","",YEAR($J1658-WEEKDAY($J1658,2)+4)&amp;"-W"&amp;TEXT(_xludf.ISOWEEKNUM($J1658),"00"))</f>
        <v/>
      </c>
      <c r="B1658"/>
      <c r="C1658" t="str">
        <f>IF($J1658="","",SUMIFS('Hours Log'!$C:$C,'Hours Log'!$A:$A,"&gt;="&amp;$J1658,'Hours Log'!$A:$A,"&lt;"&amp;$J1658+7)+SUMIFS('Hours Log'!$D:$D,'Hours Log'!$A:$A,"&gt;="&amp;$J1658,'Hours Log'!$A:$A,"&lt;"&amp;$J1658+7))</f>
        <v/>
      </c>
      <c r="D1658" t="str">
        <f>IF($J1658="","",SUMIFS('Hours Log'!$D:$D,'Hours Log'!$A:$A,"&gt;="&amp;$J1658,'Hours Log'!$A:$A,"&lt;"&amp;$J1658+7))</f>
        <v/>
      </c>
      <c r="E1658" t="str">
        <f t="shared" si="50"/>
        <v/>
      </c>
      <c r="F1658" t="str">
        <f t="shared" si="51"/>
        <v/>
      </c>
      <c r="G1658" t="str">
        <f>IF($J1658="","",SUMIFS('Hours Log'!$E:$E,'Hours Log'!$A:$A,"&gt;="&amp;$J1658,'Hours Log'!$A:$A,"&lt;"&amp;$J1658+7))</f>
        <v/>
      </c>
      <c r="J1658" t="str">
        <f>IF(COUNT('Hours Log'!$A$4:$A$5000)=0,"",IF(MIN('Hours Log'!$A$4:$A$5000)+7*(ROW()-10)&gt;MAX('Hours Log'!$A$4:$A$5000),"",MIN('Hours Log'!$A$4:$A$5000)+7*(ROW()-10)))</f>
        <v/>
      </c>
    </row>
    <row r="1659" spans="1:10" x14ac:dyDescent="0.25">
      <c r="A1659" t="str">
        <f>IF($J1659="","",YEAR($J1659-WEEKDAY($J1659,2)+4)&amp;"-W"&amp;TEXT(_xludf.ISOWEEKNUM($J1659),"00"))</f>
        <v/>
      </c>
      <c r="B1659"/>
      <c r="C1659" t="str">
        <f>IF($J1659="","",SUMIFS('Hours Log'!$C:$C,'Hours Log'!$A:$A,"&gt;="&amp;$J1659,'Hours Log'!$A:$A,"&lt;"&amp;$J1659+7)+SUMIFS('Hours Log'!$D:$D,'Hours Log'!$A:$A,"&gt;="&amp;$J1659,'Hours Log'!$A:$A,"&lt;"&amp;$J1659+7))</f>
        <v/>
      </c>
      <c r="D1659" t="str">
        <f>IF($J1659="","",SUMIFS('Hours Log'!$D:$D,'Hours Log'!$A:$A,"&gt;="&amp;$J1659,'Hours Log'!$A:$A,"&lt;"&amp;$J1659+7))</f>
        <v/>
      </c>
      <c r="E1659" t="str">
        <f t="shared" si="50"/>
        <v/>
      </c>
      <c r="F1659" t="str">
        <f t="shared" si="51"/>
        <v/>
      </c>
      <c r="G1659" t="str">
        <f>IF($J1659="","",SUMIFS('Hours Log'!$E:$E,'Hours Log'!$A:$A,"&gt;="&amp;$J1659,'Hours Log'!$A:$A,"&lt;"&amp;$J1659+7))</f>
        <v/>
      </c>
      <c r="J1659" t="str">
        <f>IF(COUNT('Hours Log'!$A$4:$A$5000)=0,"",IF(MIN('Hours Log'!$A$4:$A$5000)+7*(ROW()-10)&gt;MAX('Hours Log'!$A$4:$A$5000),"",MIN('Hours Log'!$A$4:$A$5000)+7*(ROW()-10)))</f>
        <v/>
      </c>
    </row>
    <row r="1660" spans="1:10" x14ac:dyDescent="0.25">
      <c r="A1660" t="str">
        <f>IF($J1660="","",YEAR($J1660-WEEKDAY($J1660,2)+4)&amp;"-W"&amp;TEXT(_xludf.ISOWEEKNUM($J1660),"00"))</f>
        <v/>
      </c>
      <c r="B1660"/>
      <c r="C1660" t="str">
        <f>IF($J1660="","",SUMIFS('Hours Log'!$C:$C,'Hours Log'!$A:$A,"&gt;="&amp;$J1660,'Hours Log'!$A:$A,"&lt;"&amp;$J1660+7)+SUMIFS('Hours Log'!$D:$D,'Hours Log'!$A:$A,"&gt;="&amp;$J1660,'Hours Log'!$A:$A,"&lt;"&amp;$J1660+7))</f>
        <v/>
      </c>
      <c r="D1660" t="str">
        <f>IF($J1660="","",SUMIFS('Hours Log'!$D:$D,'Hours Log'!$A:$A,"&gt;="&amp;$J1660,'Hours Log'!$A:$A,"&lt;"&amp;$J1660+7))</f>
        <v/>
      </c>
      <c r="E1660" t="str">
        <f t="shared" si="50"/>
        <v/>
      </c>
      <c r="F1660" t="str">
        <f t="shared" si="51"/>
        <v/>
      </c>
      <c r="G1660" t="str">
        <f>IF($J1660="","",SUMIFS('Hours Log'!$E:$E,'Hours Log'!$A:$A,"&gt;="&amp;$J1660,'Hours Log'!$A:$A,"&lt;"&amp;$J1660+7))</f>
        <v/>
      </c>
      <c r="J1660" t="str">
        <f>IF(COUNT('Hours Log'!$A$4:$A$5000)=0,"",IF(MIN('Hours Log'!$A$4:$A$5000)+7*(ROW()-10)&gt;MAX('Hours Log'!$A$4:$A$5000),"",MIN('Hours Log'!$A$4:$A$5000)+7*(ROW()-10)))</f>
        <v/>
      </c>
    </row>
    <row r="1661" spans="1:10" x14ac:dyDescent="0.25">
      <c r="A1661" t="str">
        <f>IF($J1661="","",YEAR($J1661-WEEKDAY($J1661,2)+4)&amp;"-W"&amp;TEXT(_xludf.ISOWEEKNUM($J1661),"00"))</f>
        <v/>
      </c>
      <c r="B1661"/>
      <c r="C1661" t="str">
        <f>IF($J1661="","",SUMIFS('Hours Log'!$C:$C,'Hours Log'!$A:$A,"&gt;="&amp;$J1661,'Hours Log'!$A:$A,"&lt;"&amp;$J1661+7)+SUMIFS('Hours Log'!$D:$D,'Hours Log'!$A:$A,"&gt;="&amp;$J1661,'Hours Log'!$A:$A,"&lt;"&amp;$J1661+7))</f>
        <v/>
      </c>
      <c r="D1661" t="str">
        <f>IF($J1661="","",SUMIFS('Hours Log'!$D:$D,'Hours Log'!$A:$A,"&gt;="&amp;$J1661,'Hours Log'!$A:$A,"&lt;"&amp;$J1661+7))</f>
        <v/>
      </c>
      <c r="E1661" t="str">
        <f t="shared" si="50"/>
        <v/>
      </c>
      <c r="F1661" t="str">
        <f t="shared" si="51"/>
        <v/>
      </c>
      <c r="G1661" t="str">
        <f>IF($J1661="","",SUMIFS('Hours Log'!$E:$E,'Hours Log'!$A:$A,"&gt;="&amp;$J1661,'Hours Log'!$A:$A,"&lt;"&amp;$J1661+7))</f>
        <v/>
      </c>
      <c r="J1661" t="str">
        <f>IF(COUNT('Hours Log'!$A$4:$A$5000)=0,"",IF(MIN('Hours Log'!$A$4:$A$5000)+7*(ROW()-10)&gt;MAX('Hours Log'!$A$4:$A$5000),"",MIN('Hours Log'!$A$4:$A$5000)+7*(ROW()-10)))</f>
        <v/>
      </c>
    </row>
    <row r="1662" spans="1:10" x14ac:dyDescent="0.25">
      <c r="A1662" t="str">
        <f>IF($J1662="","",YEAR($J1662-WEEKDAY($J1662,2)+4)&amp;"-W"&amp;TEXT(_xludf.ISOWEEKNUM($J1662),"00"))</f>
        <v/>
      </c>
      <c r="B1662"/>
      <c r="C1662" t="str">
        <f>IF($J1662="","",SUMIFS('Hours Log'!$C:$C,'Hours Log'!$A:$A,"&gt;="&amp;$J1662,'Hours Log'!$A:$A,"&lt;"&amp;$J1662+7)+SUMIFS('Hours Log'!$D:$D,'Hours Log'!$A:$A,"&gt;="&amp;$J1662,'Hours Log'!$A:$A,"&lt;"&amp;$J1662+7))</f>
        <v/>
      </c>
      <c r="D1662" t="str">
        <f>IF($J1662="","",SUMIFS('Hours Log'!$D:$D,'Hours Log'!$A:$A,"&gt;="&amp;$J1662,'Hours Log'!$A:$A,"&lt;"&amp;$J1662+7))</f>
        <v/>
      </c>
      <c r="E1662" t="str">
        <f t="shared" si="50"/>
        <v/>
      </c>
      <c r="F1662" t="str">
        <f t="shared" si="51"/>
        <v/>
      </c>
      <c r="G1662" t="str">
        <f>IF($J1662="","",SUMIFS('Hours Log'!$E:$E,'Hours Log'!$A:$A,"&gt;="&amp;$J1662,'Hours Log'!$A:$A,"&lt;"&amp;$J1662+7))</f>
        <v/>
      </c>
      <c r="J1662" t="str">
        <f>IF(COUNT('Hours Log'!$A$4:$A$5000)=0,"",IF(MIN('Hours Log'!$A$4:$A$5000)+7*(ROW()-10)&gt;MAX('Hours Log'!$A$4:$A$5000),"",MIN('Hours Log'!$A$4:$A$5000)+7*(ROW()-10)))</f>
        <v/>
      </c>
    </row>
    <row r="1663" spans="1:10" x14ac:dyDescent="0.25">
      <c r="A1663" t="str">
        <f>IF($J1663="","",YEAR($J1663-WEEKDAY($J1663,2)+4)&amp;"-W"&amp;TEXT(_xludf.ISOWEEKNUM($J1663),"00"))</f>
        <v/>
      </c>
      <c r="B1663"/>
      <c r="C1663" t="str">
        <f>IF($J1663="","",SUMIFS('Hours Log'!$C:$C,'Hours Log'!$A:$A,"&gt;="&amp;$J1663,'Hours Log'!$A:$A,"&lt;"&amp;$J1663+7)+SUMIFS('Hours Log'!$D:$D,'Hours Log'!$A:$A,"&gt;="&amp;$J1663,'Hours Log'!$A:$A,"&lt;"&amp;$J1663+7))</f>
        <v/>
      </c>
      <c r="D1663" t="str">
        <f>IF($J1663="","",SUMIFS('Hours Log'!$D:$D,'Hours Log'!$A:$A,"&gt;="&amp;$J1663,'Hours Log'!$A:$A,"&lt;"&amp;$J1663+7))</f>
        <v/>
      </c>
      <c r="E1663" t="str">
        <f t="shared" si="50"/>
        <v/>
      </c>
      <c r="F1663" t="str">
        <f t="shared" si="51"/>
        <v/>
      </c>
      <c r="G1663" t="str">
        <f>IF($J1663="","",SUMIFS('Hours Log'!$E:$E,'Hours Log'!$A:$A,"&gt;="&amp;$J1663,'Hours Log'!$A:$A,"&lt;"&amp;$J1663+7))</f>
        <v/>
      </c>
      <c r="J1663" t="str">
        <f>IF(COUNT('Hours Log'!$A$4:$A$5000)=0,"",IF(MIN('Hours Log'!$A$4:$A$5000)+7*(ROW()-10)&gt;MAX('Hours Log'!$A$4:$A$5000),"",MIN('Hours Log'!$A$4:$A$5000)+7*(ROW()-10)))</f>
        <v/>
      </c>
    </row>
    <row r="1664" spans="1:10" x14ac:dyDescent="0.25">
      <c r="A1664" t="str">
        <f>IF($J1664="","",YEAR($J1664-WEEKDAY($J1664,2)+4)&amp;"-W"&amp;TEXT(_xludf.ISOWEEKNUM($J1664),"00"))</f>
        <v/>
      </c>
      <c r="B1664"/>
      <c r="C1664" t="str">
        <f>IF($J1664="","",SUMIFS('Hours Log'!$C:$C,'Hours Log'!$A:$A,"&gt;="&amp;$J1664,'Hours Log'!$A:$A,"&lt;"&amp;$J1664+7)+SUMIFS('Hours Log'!$D:$D,'Hours Log'!$A:$A,"&gt;="&amp;$J1664,'Hours Log'!$A:$A,"&lt;"&amp;$J1664+7))</f>
        <v/>
      </c>
      <c r="D1664" t="str">
        <f>IF($J1664="","",SUMIFS('Hours Log'!$D:$D,'Hours Log'!$A:$A,"&gt;="&amp;$J1664,'Hours Log'!$A:$A,"&lt;"&amp;$J1664+7))</f>
        <v/>
      </c>
      <c r="E1664" t="str">
        <f t="shared" si="50"/>
        <v/>
      </c>
      <c r="F1664" t="str">
        <f t="shared" si="51"/>
        <v/>
      </c>
      <c r="G1664" t="str">
        <f>IF($J1664="","",SUMIFS('Hours Log'!$E:$E,'Hours Log'!$A:$A,"&gt;="&amp;$J1664,'Hours Log'!$A:$A,"&lt;"&amp;$J1664+7))</f>
        <v/>
      </c>
      <c r="J1664" t="str">
        <f>IF(COUNT('Hours Log'!$A$4:$A$5000)=0,"",IF(MIN('Hours Log'!$A$4:$A$5000)+7*(ROW()-10)&gt;MAX('Hours Log'!$A$4:$A$5000),"",MIN('Hours Log'!$A$4:$A$5000)+7*(ROW()-10)))</f>
        <v/>
      </c>
    </row>
    <row r="1665" spans="1:10" x14ac:dyDescent="0.25">
      <c r="A1665" t="str">
        <f>IF($J1665="","",YEAR($J1665-WEEKDAY($J1665,2)+4)&amp;"-W"&amp;TEXT(_xludf.ISOWEEKNUM($J1665),"00"))</f>
        <v/>
      </c>
      <c r="B1665"/>
      <c r="C1665" t="str">
        <f>IF($J1665="","",SUMIFS('Hours Log'!$C:$C,'Hours Log'!$A:$A,"&gt;="&amp;$J1665,'Hours Log'!$A:$A,"&lt;"&amp;$J1665+7)+SUMIFS('Hours Log'!$D:$D,'Hours Log'!$A:$A,"&gt;="&amp;$J1665,'Hours Log'!$A:$A,"&lt;"&amp;$J1665+7))</f>
        <v/>
      </c>
      <c r="D1665" t="str">
        <f>IF($J1665="","",SUMIFS('Hours Log'!$D:$D,'Hours Log'!$A:$A,"&gt;="&amp;$J1665,'Hours Log'!$A:$A,"&lt;"&amp;$J1665+7))</f>
        <v/>
      </c>
      <c r="E1665" t="str">
        <f t="shared" si="50"/>
        <v/>
      </c>
      <c r="F1665" t="str">
        <f t="shared" si="51"/>
        <v/>
      </c>
      <c r="G1665" t="str">
        <f>IF($J1665="","",SUMIFS('Hours Log'!$E:$E,'Hours Log'!$A:$A,"&gt;="&amp;$J1665,'Hours Log'!$A:$A,"&lt;"&amp;$J1665+7))</f>
        <v/>
      </c>
      <c r="J1665" t="str">
        <f>IF(COUNT('Hours Log'!$A$4:$A$5000)=0,"",IF(MIN('Hours Log'!$A$4:$A$5000)+7*(ROW()-10)&gt;MAX('Hours Log'!$A$4:$A$5000),"",MIN('Hours Log'!$A$4:$A$5000)+7*(ROW()-10)))</f>
        <v/>
      </c>
    </row>
    <row r="1666" spans="1:10" x14ac:dyDescent="0.25">
      <c r="A1666" t="str">
        <f>IF($J1666="","",YEAR($J1666-WEEKDAY($J1666,2)+4)&amp;"-W"&amp;TEXT(_xludf.ISOWEEKNUM($J1666),"00"))</f>
        <v/>
      </c>
      <c r="B1666"/>
      <c r="C1666" t="str">
        <f>IF($J1666="","",SUMIFS('Hours Log'!$C:$C,'Hours Log'!$A:$A,"&gt;="&amp;$J1666,'Hours Log'!$A:$A,"&lt;"&amp;$J1666+7)+SUMIFS('Hours Log'!$D:$D,'Hours Log'!$A:$A,"&gt;="&amp;$J1666,'Hours Log'!$A:$A,"&lt;"&amp;$J1666+7))</f>
        <v/>
      </c>
      <c r="D1666" t="str">
        <f>IF($J1666="","",SUMIFS('Hours Log'!$D:$D,'Hours Log'!$A:$A,"&gt;="&amp;$J1666,'Hours Log'!$A:$A,"&lt;"&amp;$J1666+7))</f>
        <v/>
      </c>
      <c r="E1666" t="str">
        <f t="shared" si="50"/>
        <v/>
      </c>
      <c r="F1666" t="str">
        <f t="shared" si="51"/>
        <v/>
      </c>
      <c r="G1666" t="str">
        <f>IF($J1666="","",SUMIFS('Hours Log'!$E:$E,'Hours Log'!$A:$A,"&gt;="&amp;$J1666,'Hours Log'!$A:$A,"&lt;"&amp;$J1666+7))</f>
        <v/>
      </c>
      <c r="J1666" t="str">
        <f>IF(COUNT('Hours Log'!$A$4:$A$5000)=0,"",IF(MIN('Hours Log'!$A$4:$A$5000)+7*(ROW()-10)&gt;MAX('Hours Log'!$A$4:$A$5000),"",MIN('Hours Log'!$A$4:$A$5000)+7*(ROW()-10)))</f>
        <v/>
      </c>
    </row>
    <row r="1667" spans="1:10" x14ac:dyDescent="0.25">
      <c r="A1667" t="str">
        <f>IF($J1667="","",YEAR($J1667-WEEKDAY($J1667,2)+4)&amp;"-W"&amp;TEXT(_xludf.ISOWEEKNUM($J1667),"00"))</f>
        <v/>
      </c>
      <c r="B1667"/>
      <c r="C1667" t="str">
        <f>IF($J1667="","",SUMIFS('Hours Log'!$C:$C,'Hours Log'!$A:$A,"&gt;="&amp;$J1667,'Hours Log'!$A:$A,"&lt;"&amp;$J1667+7)+SUMIFS('Hours Log'!$D:$D,'Hours Log'!$A:$A,"&gt;="&amp;$J1667,'Hours Log'!$A:$A,"&lt;"&amp;$J1667+7))</f>
        <v/>
      </c>
      <c r="D1667" t="str">
        <f>IF($J1667="","",SUMIFS('Hours Log'!$D:$D,'Hours Log'!$A:$A,"&gt;="&amp;$J1667,'Hours Log'!$A:$A,"&lt;"&amp;$J1667+7))</f>
        <v/>
      </c>
      <c r="E1667" t="str">
        <f t="shared" si="50"/>
        <v/>
      </c>
      <c r="F1667" t="str">
        <f t="shared" si="51"/>
        <v/>
      </c>
      <c r="G1667" t="str">
        <f>IF($J1667="","",SUMIFS('Hours Log'!$E:$E,'Hours Log'!$A:$A,"&gt;="&amp;$J1667,'Hours Log'!$A:$A,"&lt;"&amp;$J1667+7))</f>
        <v/>
      </c>
      <c r="J1667" t="str">
        <f>IF(COUNT('Hours Log'!$A$4:$A$5000)=0,"",IF(MIN('Hours Log'!$A$4:$A$5000)+7*(ROW()-10)&gt;MAX('Hours Log'!$A$4:$A$5000),"",MIN('Hours Log'!$A$4:$A$5000)+7*(ROW()-10)))</f>
        <v/>
      </c>
    </row>
    <row r="1668" spans="1:10" x14ac:dyDescent="0.25">
      <c r="A1668" t="str">
        <f>IF($J1668="","",YEAR($J1668-WEEKDAY($J1668,2)+4)&amp;"-W"&amp;TEXT(_xludf.ISOWEEKNUM($J1668),"00"))</f>
        <v/>
      </c>
      <c r="B1668"/>
      <c r="C1668" t="str">
        <f>IF($J1668="","",SUMIFS('Hours Log'!$C:$C,'Hours Log'!$A:$A,"&gt;="&amp;$J1668,'Hours Log'!$A:$A,"&lt;"&amp;$J1668+7)+SUMIFS('Hours Log'!$D:$D,'Hours Log'!$A:$A,"&gt;="&amp;$J1668,'Hours Log'!$A:$A,"&lt;"&amp;$J1668+7))</f>
        <v/>
      </c>
      <c r="D1668" t="str">
        <f>IF($J1668="","",SUMIFS('Hours Log'!$D:$D,'Hours Log'!$A:$A,"&gt;="&amp;$J1668,'Hours Log'!$A:$A,"&lt;"&amp;$J1668+7))</f>
        <v/>
      </c>
      <c r="E1668" t="str">
        <f t="shared" si="50"/>
        <v/>
      </c>
      <c r="F1668" t="str">
        <f t="shared" si="51"/>
        <v/>
      </c>
      <c r="G1668" t="str">
        <f>IF($J1668="","",SUMIFS('Hours Log'!$E:$E,'Hours Log'!$A:$A,"&gt;="&amp;$J1668,'Hours Log'!$A:$A,"&lt;"&amp;$J1668+7))</f>
        <v/>
      </c>
      <c r="J1668" t="str">
        <f>IF(COUNT('Hours Log'!$A$4:$A$5000)=0,"",IF(MIN('Hours Log'!$A$4:$A$5000)+7*(ROW()-10)&gt;MAX('Hours Log'!$A$4:$A$5000),"",MIN('Hours Log'!$A$4:$A$5000)+7*(ROW()-10)))</f>
        <v/>
      </c>
    </row>
    <row r="1669" spans="1:10" x14ac:dyDescent="0.25">
      <c r="A1669" t="str">
        <f>IF($J1669="","",YEAR($J1669-WEEKDAY($J1669,2)+4)&amp;"-W"&amp;TEXT(_xludf.ISOWEEKNUM($J1669),"00"))</f>
        <v/>
      </c>
      <c r="B1669"/>
      <c r="C1669" t="str">
        <f>IF($J1669="","",SUMIFS('Hours Log'!$C:$C,'Hours Log'!$A:$A,"&gt;="&amp;$J1669,'Hours Log'!$A:$A,"&lt;"&amp;$J1669+7)+SUMIFS('Hours Log'!$D:$D,'Hours Log'!$A:$A,"&gt;="&amp;$J1669,'Hours Log'!$A:$A,"&lt;"&amp;$J1669+7))</f>
        <v/>
      </c>
      <c r="D1669" t="str">
        <f>IF($J1669="","",SUMIFS('Hours Log'!$D:$D,'Hours Log'!$A:$A,"&gt;="&amp;$J1669,'Hours Log'!$A:$A,"&lt;"&amp;$J1669+7))</f>
        <v/>
      </c>
      <c r="E1669" t="str">
        <f t="shared" si="50"/>
        <v/>
      </c>
      <c r="F1669" t="str">
        <f t="shared" si="51"/>
        <v/>
      </c>
      <c r="G1669" t="str">
        <f>IF($J1669="","",SUMIFS('Hours Log'!$E:$E,'Hours Log'!$A:$A,"&gt;="&amp;$J1669,'Hours Log'!$A:$A,"&lt;"&amp;$J1669+7))</f>
        <v/>
      </c>
      <c r="J1669" t="str">
        <f>IF(COUNT('Hours Log'!$A$4:$A$5000)=0,"",IF(MIN('Hours Log'!$A$4:$A$5000)+7*(ROW()-10)&gt;MAX('Hours Log'!$A$4:$A$5000),"",MIN('Hours Log'!$A$4:$A$5000)+7*(ROW()-10)))</f>
        <v/>
      </c>
    </row>
    <row r="1670" spans="1:10" x14ac:dyDescent="0.25">
      <c r="A1670" t="str">
        <f>IF($J1670="","",YEAR($J1670-WEEKDAY($J1670,2)+4)&amp;"-W"&amp;TEXT(_xludf.ISOWEEKNUM($J1670),"00"))</f>
        <v/>
      </c>
      <c r="B1670"/>
      <c r="C1670" t="str">
        <f>IF($J1670="","",SUMIFS('Hours Log'!$C:$C,'Hours Log'!$A:$A,"&gt;="&amp;$J1670,'Hours Log'!$A:$A,"&lt;"&amp;$J1670+7)+SUMIFS('Hours Log'!$D:$D,'Hours Log'!$A:$A,"&gt;="&amp;$J1670,'Hours Log'!$A:$A,"&lt;"&amp;$J1670+7))</f>
        <v/>
      </c>
      <c r="D1670" t="str">
        <f>IF($J1670="","",SUMIFS('Hours Log'!$D:$D,'Hours Log'!$A:$A,"&gt;="&amp;$J1670,'Hours Log'!$A:$A,"&lt;"&amp;$J1670+7))</f>
        <v/>
      </c>
      <c r="E1670" t="str">
        <f t="shared" si="50"/>
        <v/>
      </c>
      <c r="F1670" t="str">
        <f t="shared" si="51"/>
        <v/>
      </c>
      <c r="G1670" t="str">
        <f>IF($J1670="","",SUMIFS('Hours Log'!$E:$E,'Hours Log'!$A:$A,"&gt;="&amp;$J1670,'Hours Log'!$A:$A,"&lt;"&amp;$J1670+7))</f>
        <v/>
      </c>
      <c r="J1670" t="str">
        <f>IF(COUNT('Hours Log'!$A$4:$A$5000)=0,"",IF(MIN('Hours Log'!$A$4:$A$5000)+7*(ROW()-10)&gt;MAX('Hours Log'!$A$4:$A$5000),"",MIN('Hours Log'!$A$4:$A$5000)+7*(ROW()-10)))</f>
        <v/>
      </c>
    </row>
    <row r="1671" spans="1:10" x14ac:dyDescent="0.25">
      <c r="A1671" t="str">
        <f>IF($J1671="","",YEAR($J1671-WEEKDAY($J1671,2)+4)&amp;"-W"&amp;TEXT(_xludf.ISOWEEKNUM($J1671),"00"))</f>
        <v/>
      </c>
      <c r="B1671"/>
      <c r="C1671" t="str">
        <f>IF($J1671="","",SUMIFS('Hours Log'!$C:$C,'Hours Log'!$A:$A,"&gt;="&amp;$J1671,'Hours Log'!$A:$A,"&lt;"&amp;$J1671+7)+SUMIFS('Hours Log'!$D:$D,'Hours Log'!$A:$A,"&gt;="&amp;$J1671,'Hours Log'!$A:$A,"&lt;"&amp;$J1671+7))</f>
        <v/>
      </c>
      <c r="D1671" t="str">
        <f>IF($J1671="","",SUMIFS('Hours Log'!$D:$D,'Hours Log'!$A:$A,"&gt;="&amp;$J1671,'Hours Log'!$A:$A,"&lt;"&amp;$J1671+7))</f>
        <v/>
      </c>
      <c r="E1671" t="str">
        <f t="shared" si="50"/>
        <v/>
      </c>
      <c r="F1671" t="str">
        <f t="shared" si="51"/>
        <v/>
      </c>
      <c r="G1671" t="str">
        <f>IF($J1671="","",SUMIFS('Hours Log'!$E:$E,'Hours Log'!$A:$A,"&gt;="&amp;$J1671,'Hours Log'!$A:$A,"&lt;"&amp;$J1671+7))</f>
        <v/>
      </c>
      <c r="J1671" t="str">
        <f>IF(COUNT('Hours Log'!$A$4:$A$5000)=0,"",IF(MIN('Hours Log'!$A$4:$A$5000)+7*(ROW()-10)&gt;MAX('Hours Log'!$A$4:$A$5000),"",MIN('Hours Log'!$A$4:$A$5000)+7*(ROW()-10)))</f>
        <v/>
      </c>
    </row>
    <row r="1672" spans="1:10" x14ac:dyDescent="0.25">
      <c r="A1672" t="str">
        <f>IF($J1672="","",YEAR($J1672-WEEKDAY($J1672,2)+4)&amp;"-W"&amp;TEXT(_xludf.ISOWEEKNUM($J1672),"00"))</f>
        <v/>
      </c>
      <c r="B1672"/>
      <c r="C1672" t="str">
        <f>IF($J1672="","",SUMIFS('Hours Log'!$C:$C,'Hours Log'!$A:$A,"&gt;="&amp;$J1672,'Hours Log'!$A:$A,"&lt;"&amp;$J1672+7)+SUMIFS('Hours Log'!$D:$D,'Hours Log'!$A:$A,"&gt;="&amp;$J1672,'Hours Log'!$A:$A,"&lt;"&amp;$J1672+7))</f>
        <v/>
      </c>
      <c r="D1672" t="str">
        <f>IF($J1672="","",SUMIFS('Hours Log'!$D:$D,'Hours Log'!$A:$A,"&gt;="&amp;$J1672,'Hours Log'!$A:$A,"&lt;"&amp;$J1672+7))</f>
        <v/>
      </c>
      <c r="E1672" t="str">
        <f t="shared" si="50"/>
        <v/>
      </c>
      <c r="F1672" t="str">
        <f t="shared" si="51"/>
        <v/>
      </c>
      <c r="G1672" t="str">
        <f>IF($J1672="","",SUMIFS('Hours Log'!$E:$E,'Hours Log'!$A:$A,"&gt;="&amp;$J1672,'Hours Log'!$A:$A,"&lt;"&amp;$J1672+7))</f>
        <v/>
      </c>
      <c r="J1672" t="str">
        <f>IF(COUNT('Hours Log'!$A$4:$A$5000)=0,"",IF(MIN('Hours Log'!$A$4:$A$5000)+7*(ROW()-10)&gt;MAX('Hours Log'!$A$4:$A$5000),"",MIN('Hours Log'!$A$4:$A$5000)+7*(ROW()-10)))</f>
        <v/>
      </c>
    </row>
    <row r="1673" spans="1:10" x14ac:dyDescent="0.25">
      <c r="A1673" t="str">
        <f>IF($J1673="","",YEAR($J1673-WEEKDAY($J1673,2)+4)&amp;"-W"&amp;TEXT(_xludf.ISOWEEKNUM($J1673),"00"))</f>
        <v/>
      </c>
      <c r="B1673"/>
      <c r="C1673" t="str">
        <f>IF($J1673="","",SUMIFS('Hours Log'!$C:$C,'Hours Log'!$A:$A,"&gt;="&amp;$J1673,'Hours Log'!$A:$A,"&lt;"&amp;$J1673+7)+SUMIFS('Hours Log'!$D:$D,'Hours Log'!$A:$A,"&gt;="&amp;$J1673,'Hours Log'!$A:$A,"&lt;"&amp;$J1673+7))</f>
        <v/>
      </c>
      <c r="D1673" t="str">
        <f>IF($J1673="","",SUMIFS('Hours Log'!$D:$D,'Hours Log'!$A:$A,"&gt;="&amp;$J1673,'Hours Log'!$A:$A,"&lt;"&amp;$J1673+7))</f>
        <v/>
      </c>
      <c r="E1673" t="str">
        <f t="shared" si="50"/>
        <v/>
      </c>
      <c r="F1673" t="str">
        <f t="shared" si="51"/>
        <v/>
      </c>
      <c r="G1673" t="str">
        <f>IF($J1673="","",SUMIFS('Hours Log'!$E:$E,'Hours Log'!$A:$A,"&gt;="&amp;$J1673,'Hours Log'!$A:$A,"&lt;"&amp;$J1673+7))</f>
        <v/>
      </c>
      <c r="J1673" t="str">
        <f>IF(COUNT('Hours Log'!$A$4:$A$5000)=0,"",IF(MIN('Hours Log'!$A$4:$A$5000)+7*(ROW()-10)&gt;MAX('Hours Log'!$A$4:$A$5000),"",MIN('Hours Log'!$A$4:$A$5000)+7*(ROW()-10)))</f>
        <v/>
      </c>
    </row>
    <row r="1674" spans="1:10" x14ac:dyDescent="0.25">
      <c r="A1674" t="str">
        <f>IF($J1674="","",YEAR($J1674-WEEKDAY($J1674,2)+4)&amp;"-W"&amp;TEXT(_xludf.ISOWEEKNUM($J1674),"00"))</f>
        <v/>
      </c>
      <c r="B1674"/>
      <c r="C1674" t="str">
        <f>IF($J1674="","",SUMIFS('Hours Log'!$C:$C,'Hours Log'!$A:$A,"&gt;="&amp;$J1674,'Hours Log'!$A:$A,"&lt;"&amp;$J1674+7)+SUMIFS('Hours Log'!$D:$D,'Hours Log'!$A:$A,"&gt;="&amp;$J1674,'Hours Log'!$A:$A,"&lt;"&amp;$J1674+7))</f>
        <v/>
      </c>
      <c r="D1674" t="str">
        <f>IF($J1674="","",SUMIFS('Hours Log'!$D:$D,'Hours Log'!$A:$A,"&gt;="&amp;$J1674,'Hours Log'!$A:$A,"&lt;"&amp;$J1674+7))</f>
        <v/>
      </c>
      <c r="E1674" t="str">
        <f t="shared" ref="E1674:E1737" si="52">IF($J1674="","",IFERROR(C1674/(B1674*40),0))</f>
        <v/>
      </c>
      <c r="F1674" t="str">
        <f t="shared" ref="F1674:F1737" si="53">IF($J1674="","",0)</f>
        <v/>
      </c>
      <c r="G1674" t="str">
        <f>IF($J1674="","",SUMIFS('Hours Log'!$E:$E,'Hours Log'!$A:$A,"&gt;="&amp;$J1674,'Hours Log'!$A:$A,"&lt;"&amp;$J1674+7))</f>
        <v/>
      </c>
      <c r="J1674" t="str">
        <f>IF(COUNT('Hours Log'!$A$4:$A$5000)=0,"",IF(MIN('Hours Log'!$A$4:$A$5000)+7*(ROW()-10)&gt;MAX('Hours Log'!$A$4:$A$5000),"",MIN('Hours Log'!$A$4:$A$5000)+7*(ROW()-10)))</f>
        <v/>
      </c>
    </row>
    <row r="1675" spans="1:10" x14ac:dyDescent="0.25">
      <c r="A1675" t="str">
        <f>IF($J1675="","",YEAR($J1675-WEEKDAY($J1675,2)+4)&amp;"-W"&amp;TEXT(_xludf.ISOWEEKNUM($J1675),"00"))</f>
        <v/>
      </c>
      <c r="B1675"/>
      <c r="C1675" t="str">
        <f>IF($J1675="","",SUMIFS('Hours Log'!$C:$C,'Hours Log'!$A:$A,"&gt;="&amp;$J1675,'Hours Log'!$A:$A,"&lt;"&amp;$J1675+7)+SUMIFS('Hours Log'!$D:$D,'Hours Log'!$A:$A,"&gt;="&amp;$J1675,'Hours Log'!$A:$A,"&lt;"&amp;$J1675+7))</f>
        <v/>
      </c>
      <c r="D1675" t="str">
        <f>IF($J1675="","",SUMIFS('Hours Log'!$D:$D,'Hours Log'!$A:$A,"&gt;="&amp;$J1675,'Hours Log'!$A:$A,"&lt;"&amp;$J1675+7))</f>
        <v/>
      </c>
      <c r="E1675" t="str">
        <f t="shared" si="52"/>
        <v/>
      </c>
      <c r="F1675" t="str">
        <f t="shared" si="53"/>
        <v/>
      </c>
      <c r="G1675" t="str">
        <f>IF($J1675="","",SUMIFS('Hours Log'!$E:$E,'Hours Log'!$A:$A,"&gt;="&amp;$J1675,'Hours Log'!$A:$A,"&lt;"&amp;$J1675+7))</f>
        <v/>
      </c>
      <c r="J1675" t="str">
        <f>IF(COUNT('Hours Log'!$A$4:$A$5000)=0,"",IF(MIN('Hours Log'!$A$4:$A$5000)+7*(ROW()-10)&gt;MAX('Hours Log'!$A$4:$A$5000),"",MIN('Hours Log'!$A$4:$A$5000)+7*(ROW()-10)))</f>
        <v/>
      </c>
    </row>
    <row r="1676" spans="1:10" x14ac:dyDescent="0.25">
      <c r="A1676" t="str">
        <f>IF($J1676="","",YEAR($J1676-WEEKDAY($J1676,2)+4)&amp;"-W"&amp;TEXT(_xludf.ISOWEEKNUM($J1676),"00"))</f>
        <v/>
      </c>
      <c r="B1676"/>
      <c r="C1676" t="str">
        <f>IF($J1676="","",SUMIFS('Hours Log'!$C:$C,'Hours Log'!$A:$A,"&gt;="&amp;$J1676,'Hours Log'!$A:$A,"&lt;"&amp;$J1676+7)+SUMIFS('Hours Log'!$D:$D,'Hours Log'!$A:$A,"&gt;="&amp;$J1676,'Hours Log'!$A:$A,"&lt;"&amp;$J1676+7))</f>
        <v/>
      </c>
      <c r="D1676" t="str">
        <f>IF($J1676="","",SUMIFS('Hours Log'!$D:$D,'Hours Log'!$A:$A,"&gt;="&amp;$J1676,'Hours Log'!$A:$A,"&lt;"&amp;$J1676+7))</f>
        <v/>
      </c>
      <c r="E1676" t="str">
        <f t="shared" si="52"/>
        <v/>
      </c>
      <c r="F1676" t="str">
        <f t="shared" si="53"/>
        <v/>
      </c>
      <c r="G1676" t="str">
        <f>IF($J1676="","",SUMIFS('Hours Log'!$E:$E,'Hours Log'!$A:$A,"&gt;="&amp;$J1676,'Hours Log'!$A:$A,"&lt;"&amp;$J1676+7))</f>
        <v/>
      </c>
      <c r="J1676" t="str">
        <f>IF(COUNT('Hours Log'!$A$4:$A$5000)=0,"",IF(MIN('Hours Log'!$A$4:$A$5000)+7*(ROW()-10)&gt;MAX('Hours Log'!$A$4:$A$5000),"",MIN('Hours Log'!$A$4:$A$5000)+7*(ROW()-10)))</f>
        <v/>
      </c>
    </row>
    <row r="1677" spans="1:10" x14ac:dyDescent="0.25">
      <c r="A1677" t="str">
        <f>IF($J1677="","",YEAR($J1677-WEEKDAY($J1677,2)+4)&amp;"-W"&amp;TEXT(_xludf.ISOWEEKNUM($J1677),"00"))</f>
        <v/>
      </c>
      <c r="B1677"/>
      <c r="C1677" t="str">
        <f>IF($J1677="","",SUMIFS('Hours Log'!$C:$C,'Hours Log'!$A:$A,"&gt;="&amp;$J1677,'Hours Log'!$A:$A,"&lt;"&amp;$J1677+7)+SUMIFS('Hours Log'!$D:$D,'Hours Log'!$A:$A,"&gt;="&amp;$J1677,'Hours Log'!$A:$A,"&lt;"&amp;$J1677+7))</f>
        <v/>
      </c>
      <c r="D1677" t="str">
        <f>IF($J1677="","",SUMIFS('Hours Log'!$D:$D,'Hours Log'!$A:$A,"&gt;="&amp;$J1677,'Hours Log'!$A:$A,"&lt;"&amp;$J1677+7))</f>
        <v/>
      </c>
      <c r="E1677" t="str">
        <f t="shared" si="52"/>
        <v/>
      </c>
      <c r="F1677" t="str">
        <f t="shared" si="53"/>
        <v/>
      </c>
      <c r="G1677" t="str">
        <f>IF($J1677="","",SUMIFS('Hours Log'!$E:$E,'Hours Log'!$A:$A,"&gt;="&amp;$J1677,'Hours Log'!$A:$A,"&lt;"&amp;$J1677+7))</f>
        <v/>
      </c>
      <c r="J1677" t="str">
        <f>IF(COUNT('Hours Log'!$A$4:$A$5000)=0,"",IF(MIN('Hours Log'!$A$4:$A$5000)+7*(ROW()-10)&gt;MAX('Hours Log'!$A$4:$A$5000),"",MIN('Hours Log'!$A$4:$A$5000)+7*(ROW()-10)))</f>
        <v/>
      </c>
    </row>
    <row r="1678" spans="1:10" x14ac:dyDescent="0.25">
      <c r="A1678" t="str">
        <f>IF($J1678="","",YEAR($J1678-WEEKDAY($J1678,2)+4)&amp;"-W"&amp;TEXT(_xludf.ISOWEEKNUM($J1678),"00"))</f>
        <v/>
      </c>
      <c r="B1678"/>
      <c r="C1678" t="str">
        <f>IF($J1678="","",SUMIFS('Hours Log'!$C:$C,'Hours Log'!$A:$A,"&gt;="&amp;$J1678,'Hours Log'!$A:$A,"&lt;"&amp;$J1678+7)+SUMIFS('Hours Log'!$D:$D,'Hours Log'!$A:$A,"&gt;="&amp;$J1678,'Hours Log'!$A:$A,"&lt;"&amp;$J1678+7))</f>
        <v/>
      </c>
      <c r="D1678" t="str">
        <f>IF($J1678="","",SUMIFS('Hours Log'!$D:$D,'Hours Log'!$A:$A,"&gt;="&amp;$J1678,'Hours Log'!$A:$A,"&lt;"&amp;$J1678+7))</f>
        <v/>
      </c>
      <c r="E1678" t="str">
        <f t="shared" si="52"/>
        <v/>
      </c>
      <c r="F1678" t="str">
        <f t="shared" si="53"/>
        <v/>
      </c>
      <c r="G1678" t="str">
        <f>IF($J1678="","",SUMIFS('Hours Log'!$E:$E,'Hours Log'!$A:$A,"&gt;="&amp;$J1678,'Hours Log'!$A:$A,"&lt;"&amp;$J1678+7))</f>
        <v/>
      </c>
      <c r="J1678" t="str">
        <f>IF(COUNT('Hours Log'!$A$4:$A$5000)=0,"",IF(MIN('Hours Log'!$A$4:$A$5000)+7*(ROW()-10)&gt;MAX('Hours Log'!$A$4:$A$5000),"",MIN('Hours Log'!$A$4:$A$5000)+7*(ROW()-10)))</f>
        <v/>
      </c>
    </row>
    <row r="1679" spans="1:10" x14ac:dyDescent="0.25">
      <c r="A1679" t="str">
        <f>IF($J1679="","",YEAR($J1679-WEEKDAY($J1679,2)+4)&amp;"-W"&amp;TEXT(_xludf.ISOWEEKNUM($J1679),"00"))</f>
        <v/>
      </c>
      <c r="B1679"/>
      <c r="C1679" t="str">
        <f>IF($J1679="","",SUMIFS('Hours Log'!$C:$C,'Hours Log'!$A:$A,"&gt;="&amp;$J1679,'Hours Log'!$A:$A,"&lt;"&amp;$J1679+7)+SUMIFS('Hours Log'!$D:$D,'Hours Log'!$A:$A,"&gt;="&amp;$J1679,'Hours Log'!$A:$A,"&lt;"&amp;$J1679+7))</f>
        <v/>
      </c>
      <c r="D1679" t="str">
        <f>IF($J1679="","",SUMIFS('Hours Log'!$D:$D,'Hours Log'!$A:$A,"&gt;="&amp;$J1679,'Hours Log'!$A:$A,"&lt;"&amp;$J1679+7))</f>
        <v/>
      </c>
      <c r="E1679" t="str">
        <f t="shared" si="52"/>
        <v/>
      </c>
      <c r="F1679" t="str">
        <f t="shared" si="53"/>
        <v/>
      </c>
      <c r="G1679" t="str">
        <f>IF($J1679="","",SUMIFS('Hours Log'!$E:$E,'Hours Log'!$A:$A,"&gt;="&amp;$J1679,'Hours Log'!$A:$A,"&lt;"&amp;$J1679+7))</f>
        <v/>
      </c>
      <c r="J1679" t="str">
        <f>IF(COUNT('Hours Log'!$A$4:$A$5000)=0,"",IF(MIN('Hours Log'!$A$4:$A$5000)+7*(ROW()-10)&gt;MAX('Hours Log'!$A$4:$A$5000),"",MIN('Hours Log'!$A$4:$A$5000)+7*(ROW()-10)))</f>
        <v/>
      </c>
    </row>
    <row r="1680" spans="1:10" x14ac:dyDescent="0.25">
      <c r="A1680" t="str">
        <f>IF($J1680="","",YEAR($J1680-WEEKDAY($J1680,2)+4)&amp;"-W"&amp;TEXT(_xludf.ISOWEEKNUM($J1680),"00"))</f>
        <v/>
      </c>
      <c r="B1680"/>
      <c r="C1680" t="str">
        <f>IF($J1680="","",SUMIFS('Hours Log'!$C:$C,'Hours Log'!$A:$A,"&gt;="&amp;$J1680,'Hours Log'!$A:$A,"&lt;"&amp;$J1680+7)+SUMIFS('Hours Log'!$D:$D,'Hours Log'!$A:$A,"&gt;="&amp;$J1680,'Hours Log'!$A:$A,"&lt;"&amp;$J1680+7))</f>
        <v/>
      </c>
      <c r="D1680" t="str">
        <f>IF($J1680="","",SUMIFS('Hours Log'!$D:$D,'Hours Log'!$A:$A,"&gt;="&amp;$J1680,'Hours Log'!$A:$A,"&lt;"&amp;$J1680+7))</f>
        <v/>
      </c>
      <c r="E1680" t="str">
        <f t="shared" si="52"/>
        <v/>
      </c>
      <c r="F1680" t="str">
        <f t="shared" si="53"/>
        <v/>
      </c>
      <c r="G1680" t="str">
        <f>IF($J1680="","",SUMIFS('Hours Log'!$E:$E,'Hours Log'!$A:$A,"&gt;="&amp;$J1680,'Hours Log'!$A:$A,"&lt;"&amp;$J1680+7))</f>
        <v/>
      </c>
      <c r="J1680" t="str">
        <f>IF(COUNT('Hours Log'!$A$4:$A$5000)=0,"",IF(MIN('Hours Log'!$A$4:$A$5000)+7*(ROW()-10)&gt;MAX('Hours Log'!$A$4:$A$5000),"",MIN('Hours Log'!$A$4:$A$5000)+7*(ROW()-10)))</f>
        <v/>
      </c>
    </row>
    <row r="1681" spans="1:10" x14ac:dyDescent="0.25">
      <c r="A1681" t="str">
        <f>IF($J1681="","",YEAR($J1681-WEEKDAY($J1681,2)+4)&amp;"-W"&amp;TEXT(_xludf.ISOWEEKNUM($J1681),"00"))</f>
        <v/>
      </c>
      <c r="B1681"/>
      <c r="C1681" t="str">
        <f>IF($J1681="","",SUMIFS('Hours Log'!$C:$C,'Hours Log'!$A:$A,"&gt;="&amp;$J1681,'Hours Log'!$A:$A,"&lt;"&amp;$J1681+7)+SUMIFS('Hours Log'!$D:$D,'Hours Log'!$A:$A,"&gt;="&amp;$J1681,'Hours Log'!$A:$A,"&lt;"&amp;$J1681+7))</f>
        <v/>
      </c>
      <c r="D1681" t="str">
        <f>IF($J1681="","",SUMIFS('Hours Log'!$D:$D,'Hours Log'!$A:$A,"&gt;="&amp;$J1681,'Hours Log'!$A:$A,"&lt;"&amp;$J1681+7))</f>
        <v/>
      </c>
      <c r="E1681" t="str">
        <f t="shared" si="52"/>
        <v/>
      </c>
      <c r="F1681" t="str">
        <f t="shared" si="53"/>
        <v/>
      </c>
      <c r="G1681" t="str">
        <f>IF($J1681="","",SUMIFS('Hours Log'!$E:$E,'Hours Log'!$A:$A,"&gt;="&amp;$J1681,'Hours Log'!$A:$A,"&lt;"&amp;$J1681+7))</f>
        <v/>
      </c>
      <c r="J1681" t="str">
        <f>IF(COUNT('Hours Log'!$A$4:$A$5000)=0,"",IF(MIN('Hours Log'!$A$4:$A$5000)+7*(ROW()-10)&gt;MAX('Hours Log'!$A$4:$A$5000),"",MIN('Hours Log'!$A$4:$A$5000)+7*(ROW()-10)))</f>
        <v/>
      </c>
    </row>
    <row r="1682" spans="1:10" x14ac:dyDescent="0.25">
      <c r="A1682" t="str">
        <f>IF($J1682="","",YEAR($J1682-WEEKDAY($J1682,2)+4)&amp;"-W"&amp;TEXT(_xludf.ISOWEEKNUM($J1682),"00"))</f>
        <v/>
      </c>
      <c r="B1682"/>
      <c r="C1682" t="str">
        <f>IF($J1682="","",SUMIFS('Hours Log'!$C:$C,'Hours Log'!$A:$A,"&gt;="&amp;$J1682,'Hours Log'!$A:$A,"&lt;"&amp;$J1682+7)+SUMIFS('Hours Log'!$D:$D,'Hours Log'!$A:$A,"&gt;="&amp;$J1682,'Hours Log'!$A:$A,"&lt;"&amp;$J1682+7))</f>
        <v/>
      </c>
      <c r="D1682" t="str">
        <f>IF($J1682="","",SUMIFS('Hours Log'!$D:$D,'Hours Log'!$A:$A,"&gt;="&amp;$J1682,'Hours Log'!$A:$A,"&lt;"&amp;$J1682+7))</f>
        <v/>
      </c>
      <c r="E1682" t="str">
        <f t="shared" si="52"/>
        <v/>
      </c>
      <c r="F1682" t="str">
        <f t="shared" si="53"/>
        <v/>
      </c>
      <c r="G1682" t="str">
        <f>IF($J1682="","",SUMIFS('Hours Log'!$E:$E,'Hours Log'!$A:$A,"&gt;="&amp;$J1682,'Hours Log'!$A:$A,"&lt;"&amp;$J1682+7))</f>
        <v/>
      </c>
      <c r="J1682" t="str">
        <f>IF(COUNT('Hours Log'!$A$4:$A$5000)=0,"",IF(MIN('Hours Log'!$A$4:$A$5000)+7*(ROW()-10)&gt;MAX('Hours Log'!$A$4:$A$5000),"",MIN('Hours Log'!$A$4:$A$5000)+7*(ROW()-10)))</f>
        <v/>
      </c>
    </row>
    <row r="1683" spans="1:10" x14ac:dyDescent="0.25">
      <c r="A1683" t="str">
        <f>IF($J1683="","",YEAR($J1683-WEEKDAY($J1683,2)+4)&amp;"-W"&amp;TEXT(_xludf.ISOWEEKNUM($J1683),"00"))</f>
        <v/>
      </c>
      <c r="B1683"/>
      <c r="C1683" t="str">
        <f>IF($J1683="","",SUMIFS('Hours Log'!$C:$C,'Hours Log'!$A:$A,"&gt;="&amp;$J1683,'Hours Log'!$A:$A,"&lt;"&amp;$J1683+7)+SUMIFS('Hours Log'!$D:$D,'Hours Log'!$A:$A,"&gt;="&amp;$J1683,'Hours Log'!$A:$A,"&lt;"&amp;$J1683+7))</f>
        <v/>
      </c>
      <c r="D1683" t="str">
        <f>IF($J1683="","",SUMIFS('Hours Log'!$D:$D,'Hours Log'!$A:$A,"&gt;="&amp;$J1683,'Hours Log'!$A:$A,"&lt;"&amp;$J1683+7))</f>
        <v/>
      </c>
      <c r="E1683" t="str">
        <f t="shared" si="52"/>
        <v/>
      </c>
      <c r="F1683" t="str">
        <f t="shared" si="53"/>
        <v/>
      </c>
      <c r="G1683" t="str">
        <f>IF($J1683="","",SUMIFS('Hours Log'!$E:$E,'Hours Log'!$A:$A,"&gt;="&amp;$J1683,'Hours Log'!$A:$A,"&lt;"&amp;$J1683+7))</f>
        <v/>
      </c>
      <c r="J1683" t="str">
        <f>IF(COUNT('Hours Log'!$A$4:$A$5000)=0,"",IF(MIN('Hours Log'!$A$4:$A$5000)+7*(ROW()-10)&gt;MAX('Hours Log'!$A$4:$A$5000),"",MIN('Hours Log'!$A$4:$A$5000)+7*(ROW()-10)))</f>
        <v/>
      </c>
    </row>
    <row r="1684" spans="1:10" x14ac:dyDescent="0.25">
      <c r="A1684" t="str">
        <f>IF($J1684="","",YEAR($J1684-WEEKDAY($J1684,2)+4)&amp;"-W"&amp;TEXT(_xludf.ISOWEEKNUM($J1684),"00"))</f>
        <v/>
      </c>
      <c r="B1684"/>
      <c r="C1684" t="str">
        <f>IF($J1684="","",SUMIFS('Hours Log'!$C:$C,'Hours Log'!$A:$A,"&gt;="&amp;$J1684,'Hours Log'!$A:$A,"&lt;"&amp;$J1684+7)+SUMIFS('Hours Log'!$D:$D,'Hours Log'!$A:$A,"&gt;="&amp;$J1684,'Hours Log'!$A:$A,"&lt;"&amp;$J1684+7))</f>
        <v/>
      </c>
      <c r="D1684" t="str">
        <f>IF($J1684="","",SUMIFS('Hours Log'!$D:$D,'Hours Log'!$A:$A,"&gt;="&amp;$J1684,'Hours Log'!$A:$A,"&lt;"&amp;$J1684+7))</f>
        <v/>
      </c>
      <c r="E1684" t="str">
        <f t="shared" si="52"/>
        <v/>
      </c>
      <c r="F1684" t="str">
        <f t="shared" si="53"/>
        <v/>
      </c>
      <c r="G1684" t="str">
        <f>IF($J1684="","",SUMIFS('Hours Log'!$E:$E,'Hours Log'!$A:$A,"&gt;="&amp;$J1684,'Hours Log'!$A:$A,"&lt;"&amp;$J1684+7))</f>
        <v/>
      </c>
      <c r="J1684" t="str">
        <f>IF(COUNT('Hours Log'!$A$4:$A$5000)=0,"",IF(MIN('Hours Log'!$A$4:$A$5000)+7*(ROW()-10)&gt;MAX('Hours Log'!$A$4:$A$5000),"",MIN('Hours Log'!$A$4:$A$5000)+7*(ROW()-10)))</f>
        <v/>
      </c>
    </row>
    <row r="1685" spans="1:10" x14ac:dyDescent="0.25">
      <c r="A1685" t="str">
        <f>IF($J1685="","",YEAR($J1685-WEEKDAY($J1685,2)+4)&amp;"-W"&amp;TEXT(_xludf.ISOWEEKNUM($J1685),"00"))</f>
        <v/>
      </c>
      <c r="B1685"/>
      <c r="C1685" t="str">
        <f>IF($J1685="","",SUMIFS('Hours Log'!$C:$C,'Hours Log'!$A:$A,"&gt;="&amp;$J1685,'Hours Log'!$A:$A,"&lt;"&amp;$J1685+7)+SUMIFS('Hours Log'!$D:$D,'Hours Log'!$A:$A,"&gt;="&amp;$J1685,'Hours Log'!$A:$A,"&lt;"&amp;$J1685+7))</f>
        <v/>
      </c>
      <c r="D1685" t="str">
        <f>IF($J1685="","",SUMIFS('Hours Log'!$D:$D,'Hours Log'!$A:$A,"&gt;="&amp;$J1685,'Hours Log'!$A:$A,"&lt;"&amp;$J1685+7))</f>
        <v/>
      </c>
      <c r="E1685" t="str">
        <f t="shared" si="52"/>
        <v/>
      </c>
      <c r="F1685" t="str">
        <f t="shared" si="53"/>
        <v/>
      </c>
      <c r="G1685" t="str">
        <f>IF($J1685="","",SUMIFS('Hours Log'!$E:$E,'Hours Log'!$A:$A,"&gt;="&amp;$J1685,'Hours Log'!$A:$A,"&lt;"&amp;$J1685+7))</f>
        <v/>
      </c>
      <c r="J1685" t="str">
        <f>IF(COUNT('Hours Log'!$A$4:$A$5000)=0,"",IF(MIN('Hours Log'!$A$4:$A$5000)+7*(ROW()-10)&gt;MAX('Hours Log'!$A$4:$A$5000),"",MIN('Hours Log'!$A$4:$A$5000)+7*(ROW()-10)))</f>
        <v/>
      </c>
    </row>
    <row r="1686" spans="1:10" x14ac:dyDescent="0.25">
      <c r="A1686" t="str">
        <f>IF($J1686="","",YEAR($J1686-WEEKDAY($J1686,2)+4)&amp;"-W"&amp;TEXT(_xludf.ISOWEEKNUM($J1686),"00"))</f>
        <v/>
      </c>
      <c r="B1686"/>
      <c r="C1686" t="str">
        <f>IF($J1686="","",SUMIFS('Hours Log'!$C:$C,'Hours Log'!$A:$A,"&gt;="&amp;$J1686,'Hours Log'!$A:$A,"&lt;"&amp;$J1686+7)+SUMIFS('Hours Log'!$D:$D,'Hours Log'!$A:$A,"&gt;="&amp;$J1686,'Hours Log'!$A:$A,"&lt;"&amp;$J1686+7))</f>
        <v/>
      </c>
      <c r="D1686" t="str">
        <f>IF($J1686="","",SUMIFS('Hours Log'!$D:$D,'Hours Log'!$A:$A,"&gt;="&amp;$J1686,'Hours Log'!$A:$A,"&lt;"&amp;$J1686+7))</f>
        <v/>
      </c>
      <c r="E1686" t="str">
        <f t="shared" si="52"/>
        <v/>
      </c>
      <c r="F1686" t="str">
        <f t="shared" si="53"/>
        <v/>
      </c>
      <c r="G1686" t="str">
        <f>IF($J1686="","",SUMIFS('Hours Log'!$E:$E,'Hours Log'!$A:$A,"&gt;="&amp;$J1686,'Hours Log'!$A:$A,"&lt;"&amp;$J1686+7))</f>
        <v/>
      </c>
      <c r="J1686" t="str">
        <f>IF(COUNT('Hours Log'!$A$4:$A$5000)=0,"",IF(MIN('Hours Log'!$A$4:$A$5000)+7*(ROW()-10)&gt;MAX('Hours Log'!$A$4:$A$5000),"",MIN('Hours Log'!$A$4:$A$5000)+7*(ROW()-10)))</f>
        <v/>
      </c>
    </row>
    <row r="1687" spans="1:10" x14ac:dyDescent="0.25">
      <c r="A1687" t="str">
        <f>IF($J1687="","",YEAR($J1687-WEEKDAY($J1687,2)+4)&amp;"-W"&amp;TEXT(_xludf.ISOWEEKNUM($J1687),"00"))</f>
        <v/>
      </c>
      <c r="B1687"/>
      <c r="C1687" t="str">
        <f>IF($J1687="","",SUMIFS('Hours Log'!$C:$C,'Hours Log'!$A:$A,"&gt;="&amp;$J1687,'Hours Log'!$A:$A,"&lt;"&amp;$J1687+7)+SUMIFS('Hours Log'!$D:$D,'Hours Log'!$A:$A,"&gt;="&amp;$J1687,'Hours Log'!$A:$A,"&lt;"&amp;$J1687+7))</f>
        <v/>
      </c>
      <c r="D1687" t="str">
        <f>IF($J1687="","",SUMIFS('Hours Log'!$D:$D,'Hours Log'!$A:$A,"&gt;="&amp;$J1687,'Hours Log'!$A:$A,"&lt;"&amp;$J1687+7))</f>
        <v/>
      </c>
      <c r="E1687" t="str">
        <f t="shared" si="52"/>
        <v/>
      </c>
      <c r="F1687" t="str">
        <f t="shared" si="53"/>
        <v/>
      </c>
      <c r="G1687" t="str">
        <f>IF($J1687="","",SUMIFS('Hours Log'!$E:$E,'Hours Log'!$A:$A,"&gt;="&amp;$J1687,'Hours Log'!$A:$A,"&lt;"&amp;$J1687+7))</f>
        <v/>
      </c>
      <c r="J1687" t="str">
        <f>IF(COUNT('Hours Log'!$A$4:$A$5000)=0,"",IF(MIN('Hours Log'!$A$4:$A$5000)+7*(ROW()-10)&gt;MAX('Hours Log'!$A$4:$A$5000),"",MIN('Hours Log'!$A$4:$A$5000)+7*(ROW()-10)))</f>
        <v/>
      </c>
    </row>
    <row r="1688" spans="1:10" x14ac:dyDescent="0.25">
      <c r="A1688" t="str">
        <f>IF($J1688="","",YEAR($J1688-WEEKDAY($J1688,2)+4)&amp;"-W"&amp;TEXT(_xludf.ISOWEEKNUM($J1688),"00"))</f>
        <v/>
      </c>
      <c r="B1688"/>
      <c r="C1688" t="str">
        <f>IF($J1688="","",SUMIFS('Hours Log'!$C:$C,'Hours Log'!$A:$A,"&gt;="&amp;$J1688,'Hours Log'!$A:$A,"&lt;"&amp;$J1688+7)+SUMIFS('Hours Log'!$D:$D,'Hours Log'!$A:$A,"&gt;="&amp;$J1688,'Hours Log'!$A:$A,"&lt;"&amp;$J1688+7))</f>
        <v/>
      </c>
      <c r="D1688" t="str">
        <f>IF($J1688="","",SUMIFS('Hours Log'!$D:$D,'Hours Log'!$A:$A,"&gt;="&amp;$J1688,'Hours Log'!$A:$A,"&lt;"&amp;$J1688+7))</f>
        <v/>
      </c>
      <c r="E1688" t="str">
        <f t="shared" si="52"/>
        <v/>
      </c>
      <c r="F1688" t="str">
        <f t="shared" si="53"/>
        <v/>
      </c>
      <c r="G1688" t="str">
        <f>IF($J1688="","",SUMIFS('Hours Log'!$E:$E,'Hours Log'!$A:$A,"&gt;="&amp;$J1688,'Hours Log'!$A:$A,"&lt;"&amp;$J1688+7))</f>
        <v/>
      </c>
      <c r="J1688" t="str">
        <f>IF(COUNT('Hours Log'!$A$4:$A$5000)=0,"",IF(MIN('Hours Log'!$A$4:$A$5000)+7*(ROW()-10)&gt;MAX('Hours Log'!$A$4:$A$5000),"",MIN('Hours Log'!$A$4:$A$5000)+7*(ROW()-10)))</f>
        <v/>
      </c>
    </row>
    <row r="1689" spans="1:10" x14ac:dyDescent="0.25">
      <c r="A1689" t="str">
        <f>IF($J1689="","",YEAR($J1689-WEEKDAY($J1689,2)+4)&amp;"-W"&amp;TEXT(_xludf.ISOWEEKNUM($J1689),"00"))</f>
        <v/>
      </c>
      <c r="B1689"/>
      <c r="C1689" t="str">
        <f>IF($J1689="","",SUMIFS('Hours Log'!$C:$C,'Hours Log'!$A:$A,"&gt;="&amp;$J1689,'Hours Log'!$A:$A,"&lt;"&amp;$J1689+7)+SUMIFS('Hours Log'!$D:$D,'Hours Log'!$A:$A,"&gt;="&amp;$J1689,'Hours Log'!$A:$A,"&lt;"&amp;$J1689+7))</f>
        <v/>
      </c>
      <c r="D1689" t="str">
        <f>IF($J1689="","",SUMIFS('Hours Log'!$D:$D,'Hours Log'!$A:$A,"&gt;="&amp;$J1689,'Hours Log'!$A:$A,"&lt;"&amp;$J1689+7))</f>
        <v/>
      </c>
      <c r="E1689" t="str">
        <f t="shared" si="52"/>
        <v/>
      </c>
      <c r="F1689" t="str">
        <f t="shared" si="53"/>
        <v/>
      </c>
      <c r="G1689" t="str">
        <f>IF($J1689="","",SUMIFS('Hours Log'!$E:$E,'Hours Log'!$A:$A,"&gt;="&amp;$J1689,'Hours Log'!$A:$A,"&lt;"&amp;$J1689+7))</f>
        <v/>
      </c>
      <c r="J1689" t="str">
        <f>IF(COUNT('Hours Log'!$A$4:$A$5000)=0,"",IF(MIN('Hours Log'!$A$4:$A$5000)+7*(ROW()-10)&gt;MAX('Hours Log'!$A$4:$A$5000),"",MIN('Hours Log'!$A$4:$A$5000)+7*(ROW()-10)))</f>
        <v/>
      </c>
    </row>
    <row r="1690" spans="1:10" x14ac:dyDescent="0.25">
      <c r="A1690" t="str">
        <f>IF($J1690="","",YEAR($J1690-WEEKDAY($J1690,2)+4)&amp;"-W"&amp;TEXT(_xludf.ISOWEEKNUM($J1690),"00"))</f>
        <v/>
      </c>
      <c r="B1690"/>
      <c r="C1690" t="str">
        <f>IF($J1690="","",SUMIFS('Hours Log'!$C:$C,'Hours Log'!$A:$A,"&gt;="&amp;$J1690,'Hours Log'!$A:$A,"&lt;"&amp;$J1690+7)+SUMIFS('Hours Log'!$D:$D,'Hours Log'!$A:$A,"&gt;="&amp;$J1690,'Hours Log'!$A:$A,"&lt;"&amp;$J1690+7))</f>
        <v/>
      </c>
      <c r="D1690" t="str">
        <f>IF($J1690="","",SUMIFS('Hours Log'!$D:$D,'Hours Log'!$A:$A,"&gt;="&amp;$J1690,'Hours Log'!$A:$A,"&lt;"&amp;$J1690+7))</f>
        <v/>
      </c>
      <c r="E1690" t="str">
        <f t="shared" si="52"/>
        <v/>
      </c>
      <c r="F1690" t="str">
        <f t="shared" si="53"/>
        <v/>
      </c>
      <c r="G1690" t="str">
        <f>IF($J1690="","",SUMIFS('Hours Log'!$E:$E,'Hours Log'!$A:$A,"&gt;="&amp;$J1690,'Hours Log'!$A:$A,"&lt;"&amp;$J1690+7))</f>
        <v/>
      </c>
      <c r="J1690" t="str">
        <f>IF(COUNT('Hours Log'!$A$4:$A$5000)=0,"",IF(MIN('Hours Log'!$A$4:$A$5000)+7*(ROW()-10)&gt;MAX('Hours Log'!$A$4:$A$5000),"",MIN('Hours Log'!$A$4:$A$5000)+7*(ROW()-10)))</f>
        <v/>
      </c>
    </row>
    <row r="1691" spans="1:10" x14ac:dyDescent="0.25">
      <c r="A1691" t="str">
        <f>IF($J1691="","",YEAR($J1691-WEEKDAY($J1691,2)+4)&amp;"-W"&amp;TEXT(_xludf.ISOWEEKNUM($J1691),"00"))</f>
        <v/>
      </c>
      <c r="B1691"/>
      <c r="C1691" t="str">
        <f>IF($J1691="","",SUMIFS('Hours Log'!$C:$C,'Hours Log'!$A:$A,"&gt;="&amp;$J1691,'Hours Log'!$A:$A,"&lt;"&amp;$J1691+7)+SUMIFS('Hours Log'!$D:$D,'Hours Log'!$A:$A,"&gt;="&amp;$J1691,'Hours Log'!$A:$A,"&lt;"&amp;$J1691+7))</f>
        <v/>
      </c>
      <c r="D1691" t="str">
        <f>IF($J1691="","",SUMIFS('Hours Log'!$D:$D,'Hours Log'!$A:$A,"&gt;="&amp;$J1691,'Hours Log'!$A:$A,"&lt;"&amp;$J1691+7))</f>
        <v/>
      </c>
      <c r="E1691" t="str">
        <f t="shared" si="52"/>
        <v/>
      </c>
      <c r="F1691" t="str">
        <f t="shared" si="53"/>
        <v/>
      </c>
      <c r="G1691" t="str">
        <f>IF($J1691="","",SUMIFS('Hours Log'!$E:$E,'Hours Log'!$A:$A,"&gt;="&amp;$J1691,'Hours Log'!$A:$A,"&lt;"&amp;$J1691+7))</f>
        <v/>
      </c>
      <c r="J1691" t="str">
        <f>IF(COUNT('Hours Log'!$A$4:$A$5000)=0,"",IF(MIN('Hours Log'!$A$4:$A$5000)+7*(ROW()-10)&gt;MAX('Hours Log'!$A$4:$A$5000),"",MIN('Hours Log'!$A$4:$A$5000)+7*(ROW()-10)))</f>
        <v/>
      </c>
    </row>
    <row r="1692" spans="1:10" x14ac:dyDescent="0.25">
      <c r="A1692" t="str">
        <f>IF($J1692="","",YEAR($J1692-WEEKDAY($J1692,2)+4)&amp;"-W"&amp;TEXT(_xludf.ISOWEEKNUM($J1692),"00"))</f>
        <v/>
      </c>
      <c r="B1692"/>
      <c r="C1692" t="str">
        <f>IF($J1692="","",SUMIFS('Hours Log'!$C:$C,'Hours Log'!$A:$A,"&gt;="&amp;$J1692,'Hours Log'!$A:$A,"&lt;"&amp;$J1692+7)+SUMIFS('Hours Log'!$D:$D,'Hours Log'!$A:$A,"&gt;="&amp;$J1692,'Hours Log'!$A:$A,"&lt;"&amp;$J1692+7))</f>
        <v/>
      </c>
      <c r="D1692" t="str">
        <f>IF($J1692="","",SUMIFS('Hours Log'!$D:$D,'Hours Log'!$A:$A,"&gt;="&amp;$J1692,'Hours Log'!$A:$A,"&lt;"&amp;$J1692+7))</f>
        <v/>
      </c>
      <c r="E1692" t="str">
        <f t="shared" si="52"/>
        <v/>
      </c>
      <c r="F1692" t="str">
        <f t="shared" si="53"/>
        <v/>
      </c>
      <c r="G1692" t="str">
        <f>IF($J1692="","",SUMIFS('Hours Log'!$E:$E,'Hours Log'!$A:$A,"&gt;="&amp;$J1692,'Hours Log'!$A:$A,"&lt;"&amp;$J1692+7))</f>
        <v/>
      </c>
      <c r="J1692" t="str">
        <f>IF(COUNT('Hours Log'!$A$4:$A$5000)=0,"",IF(MIN('Hours Log'!$A$4:$A$5000)+7*(ROW()-10)&gt;MAX('Hours Log'!$A$4:$A$5000),"",MIN('Hours Log'!$A$4:$A$5000)+7*(ROW()-10)))</f>
        <v/>
      </c>
    </row>
    <row r="1693" spans="1:10" x14ac:dyDescent="0.25">
      <c r="A1693" t="str">
        <f>IF($J1693="","",YEAR($J1693-WEEKDAY($J1693,2)+4)&amp;"-W"&amp;TEXT(_xludf.ISOWEEKNUM($J1693),"00"))</f>
        <v/>
      </c>
      <c r="B1693"/>
      <c r="C1693" t="str">
        <f>IF($J1693="","",SUMIFS('Hours Log'!$C:$C,'Hours Log'!$A:$A,"&gt;="&amp;$J1693,'Hours Log'!$A:$A,"&lt;"&amp;$J1693+7)+SUMIFS('Hours Log'!$D:$D,'Hours Log'!$A:$A,"&gt;="&amp;$J1693,'Hours Log'!$A:$A,"&lt;"&amp;$J1693+7))</f>
        <v/>
      </c>
      <c r="D1693" t="str">
        <f>IF($J1693="","",SUMIFS('Hours Log'!$D:$D,'Hours Log'!$A:$A,"&gt;="&amp;$J1693,'Hours Log'!$A:$A,"&lt;"&amp;$J1693+7))</f>
        <v/>
      </c>
      <c r="E1693" t="str">
        <f t="shared" si="52"/>
        <v/>
      </c>
      <c r="F1693" t="str">
        <f t="shared" si="53"/>
        <v/>
      </c>
      <c r="G1693" t="str">
        <f>IF($J1693="","",SUMIFS('Hours Log'!$E:$E,'Hours Log'!$A:$A,"&gt;="&amp;$J1693,'Hours Log'!$A:$A,"&lt;"&amp;$J1693+7))</f>
        <v/>
      </c>
      <c r="J1693" t="str">
        <f>IF(COUNT('Hours Log'!$A$4:$A$5000)=0,"",IF(MIN('Hours Log'!$A$4:$A$5000)+7*(ROW()-10)&gt;MAX('Hours Log'!$A$4:$A$5000),"",MIN('Hours Log'!$A$4:$A$5000)+7*(ROW()-10)))</f>
        <v/>
      </c>
    </row>
    <row r="1694" spans="1:10" x14ac:dyDescent="0.25">
      <c r="A1694" t="str">
        <f>IF($J1694="","",YEAR($J1694-WEEKDAY($J1694,2)+4)&amp;"-W"&amp;TEXT(_xludf.ISOWEEKNUM($J1694),"00"))</f>
        <v/>
      </c>
      <c r="B1694"/>
      <c r="C1694" t="str">
        <f>IF($J1694="","",SUMIFS('Hours Log'!$C:$C,'Hours Log'!$A:$A,"&gt;="&amp;$J1694,'Hours Log'!$A:$A,"&lt;"&amp;$J1694+7)+SUMIFS('Hours Log'!$D:$D,'Hours Log'!$A:$A,"&gt;="&amp;$J1694,'Hours Log'!$A:$A,"&lt;"&amp;$J1694+7))</f>
        <v/>
      </c>
      <c r="D1694" t="str">
        <f>IF($J1694="","",SUMIFS('Hours Log'!$D:$D,'Hours Log'!$A:$A,"&gt;="&amp;$J1694,'Hours Log'!$A:$A,"&lt;"&amp;$J1694+7))</f>
        <v/>
      </c>
      <c r="E1694" t="str">
        <f t="shared" si="52"/>
        <v/>
      </c>
      <c r="F1694" t="str">
        <f t="shared" si="53"/>
        <v/>
      </c>
      <c r="G1694" t="str">
        <f>IF($J1694="","",SUMIFS('Hours Log'!$E:$E,'Hours Log'!$A:$A,"&gt;="&amp;$J1694,'Hours Log'!$A:$A,"&lt;"&amp;$J1694+7))</f>
        <v/>
      </c>
      <c r="J1694" t="str">
        <f>IF(COUNT('Hours Log'!$A$4:$A$5000)=0,"",IF(MIN('Hours Log'!$A$4:$A$5000)+7*(ROW()-10)&gt;MAX('Hours Log'!$A$4:$A$5000),"",MIN('Hours Log'!$A$4:$A$5000)+7*(ROW()-10)))</f>
        <v/>
      </c>
    </row>
    <row r="1695" spans="1:10" x14ac:dyDescent="0.25">
      <c r="A1695" t="str">
        <f>IF($J1695="","",YEAR($J1695-WEEKDAY($J1695,2)+4)&amp;"-W"&amp;TEXT(_xludf.ISOWEEKNUM($J1695),"00"))</f>
        <v/>
      </c>
      <c r="B1695"/>
      <c r="C1695" t="str">
        <f>IF($J1695="","",SUMIFS('Hours Log'!$C:$C,'Hours Log'!$A:$A,"&gt;="&amp;$J1695,'Hours Log'!$A:$A,"&lt;"&amp;$J1695+7)+SUMIFS('Hours Log'!$D:$D,'Hours Log'!$A:$A,"&gt;="&amp;$J1695,'Hours Log'!$A:$A,"&lt;"&amp;$J1695+7))</f>
        <v/>
      </c>
      <c r="D1695" t="str">
        <f>IF($J1695="","",SUMIFS('Hours Log'!$D:$D,'Hours Log'!$A:$A,"&gt;="&amp;$J1695,'Hours Log'!$A:$A,"&lt;"&amp;$J1695+7))</f>
        <v/>
      </c>
      <c r="E1695" t="str">
        <f t="shared" si="52"/>
        <v/>
      </c>
      <c r="F1695" t="str">
        <f t="shared" si="53"/>
        <v/>
      </c>
      <c r="G1695" t="str">
        <f>IF($J1695="","",SUMIFS('Hours Log'!$E:$E,'Hours Log'!$A:$A,"&gt;="&amp;$J1695,'Hours Log'!$A:$A,"&lt;"&amp;$J1695+7))</f>
        <v/>
      </c>
      <c r="J1695" t="str">
        <f>IF(COUNT('Hours Log'!$A$4:$A$5000)=0,"",IF(MIN('Hours Log'!$A$4:$A$5000)+7*(ROW()-10)&gt;MAX('Hours Log'!$A$4:$A$5000),"",MIN('Hours Log'!$A$4:$A$5000)+7*(ROW()-10)))</f>
        <v/>
      </c>
    </row>
    <row r="1696" spans="1:10" x14ac:dyDescent="0.25">
      <c r="A1696" t="str">
        <f>IF($J1696="","",YEAR($J1696-WEEKDAY($J1696,2)+4)&amp;"-W"&amp;TEXT(_xludf.ISOWEEKNUM($J1696),"00"))</f>
        <v/>
      </c>
      <c r="B1696"/>
      <c r="C1696" t="str">
        <f>IF($J1696="","",SUMIFS('Hours Log'!$C:$C,'Hours Log'!$A:$A,"&gt;="&amp;$J1696,'Hours Log'!$A:$A,"&lt;"&amp;$J1696+7)+SUMIFS('Hours Log'!$D:$D,'Hours Log'!$A:$A,"&gt;="&amp;$J1696,'Hours Log'!$A:$A,"&lt;"&amp;$J1696+7))</f>
        <v/>
      </c>
      <c r="D1696" t="str">
        <f>IF($J1696="","",SUMIFS('Hours Log'!$D:$D,'Hours Log'!$A:$A,"&gt;="&amp;$J1696,'Hours Log'!$A:$A,"&lt;"&amp;$J1696+7))</f>
        <v/>
      </c>
      <c r="E1696" t="str">
        <f t="shared" si="52"/>
        <v/>
      </c>
      <c r="F1696" t="str">
        <f t="shared" si="53"/>
        <v/>
      </c>
      <c r="G1696" t="str">
        <f>IF($J1696="","",SUMIFS('Hours Log'!$E:$E,'Hours Log'!$A:$A,"&gt;="&amp;$J1696,'Hours Log'!$A:$A,"&lt;"&amp;$J1696+7))</f>
        <v/>
      </c>
      <c r="J1696" t="str">
        <f>IF(COUNT('Hours Log'!$A$4:$A$5000)=0,"",IF(MIN('Hours Log'!$A$4:$A$5000)+7*(ROW()-10)&gt;MAX('Hours Log'!$A$4:$A$5000),"",MIN('Hours Log'!$A$4:$A$5000)+7*(ROW()-10)))</f>
        <v/>
      </c>
    </row>
    <row r="1697" spans="1:10" x14ac:dyDescent="0.25">
      <c r="A1697" t="str">
        <f>IF($J1697="","",YEAR($J1697-WEEKDAY($J1697,2)+4)&amp;"-W"&amp;TEXT(_xludf.ISOWEEKNUM($J1697),"00"))</f>
        <v/>
      </c>
      <c r="B1697"/>
      <c r="C1697" t="str">
        <f>IF($J1697="","",SUMIFS('Hours Log'!$C:$C,'Hours Log'!$A:$A,"&gt;="&amp;$J1697,'Hours Log'!$A:$A,"&lt;"&amp;$J1697+7)+SUMIFS('Hours Log'!$D:$D,'Hours Log'!$A:$A,"&gt;="&amp;$J1697,'Hours Log'!$A:$A,"&lt;"&amp;$J1697+7))</f>
        <v/>
      </c>
      <c r="D1697" t="str">
        <f>IF($J1697="","",SUMIFS('Hours Log'!$D:$D,'Hours Log'!$A:$A,"&gt;="&amp;$J1697,'Hours Log'!$A:$A,"&lt;"&amp;$J1697+7))</f>
        <v/>
      </c>
      <c r="E1697" t="str">
        <f t="shared" si="52"/>
        <v/>
      </c>
      <c r="F1697" t="str">
        <f t="shared" si="53"/>
        <v/>
      </c>
      <c r="G1697" t="str">
        <f>IF($J1697="","",SUMIFS('Hours Log'!$E:$E,'Hours Log'!$A:$A,"&gt;="&amp;$J1697,'Hours Log'!$A:$A,"&lt;"&amp;$J1697+7))</f>
        <v/>
      </c>
      <c r="J1697" t="str">
        <f>IF(COUNT('Hours Log'!$A$4:$A$5000)=0,"",IF(MIN('Hours Log'!$A$4:$A$5000)+7*(ROW()-10)&gt;MAX('Hours Log'!$A$4:$A$5000),"",MIN('Hours Log'!$A$4:$A$5000)+7*(ROW()-10)))</f>
        <v/>
      </c>
    </row>
    <row r="1698" spans="1:10" x14ac:dyDescent="0.25">
      <c r="A1698" t="str">
        <f>IF($J1698="","",YEAR($J1698-WEEKDAY($J1698,2)+4)&amp;"-W"&amp;TEXT(_xludf.ISOWEEKNUM($J1698),"00"))</f>
        <v/>
      </c>
      <c r="B1698"/>
      <c r="C1698" t="str">
        <f>IF($J1698="","",SUMIFS('Hours Log'!$C:$C,'Hours Log'!$A:$A,"&gt;="&amp;$J1698,'Hours Log'!$A:$A,"&lt;"&amp;$J1698+7)+SUMIFS('Hours Log'!$D:$D,'Hours Log'!$A:$A,"&gt;="&amp;$J1698,'Hours Log'!$A:$A,"&lt;"&amp;$J1698+7))</f>
        <v/>
      </c>
      <c r="D1698" t="str">
        <f>IF($J1698="","",SUMIFS('Hours Log'!$D:$D,'Hours Log'!$A:$A,"&gt;="&amp;$J1698,'Hours Log'!$A:$A,"&lt;"&amp;$J1698+7))</f>
        <v/>
      </c>
      <c r="E1698" t="str">
        <f t="shared" si="52"/>
        <v/>
      </c>
      <c r="F1698" t="str">
        <f t="shared" si="53"/>
        <v/>
      </c>
      <c r="G1698" t="str">
        <f>IF($J1698="","",SUMIFS('Hours Log'!$E:$E,'Hours Log'!$A:$A,"&gt;="&amp;$J1698,'Hours Log'!$A:$A,"&lt;"&amp;$J1698+7))</f>
        <v/>
      </c>
      <c r="J1698" t="str">
        <f>IF(COUNT('Hours Log'!$A$4:$A$5000)=0,"",IF(MIN('Hours Log'!$A$4:$A$5000)+7*(ROW()-10)&gt;MAX('Hours Log'!$A$4:$A$5000),"",MIN('Hours Log'!$A$4:$A$5000)+7*(ROW()-10)))</f>
        <v/>
      </c>
    </row>
    <row r="1699" spans="1:10" x14ac:dyDescent="0.25">
      <c r="A1699" t="str">
        <f>IF($J1699="","",YEAR($J1699-WEEKDAY($J1699,2)+4)&amp;"-W"&amp;TEXT(_xludf.ISOWEEKNUM($J1699),"00"))</f>
        <v/>
      </c>
      <c r="B1699"/>
      <c r="C1699" t="str">
        <f>IF($J1699="","",SUMIFS('Hours Log'!$C:$C,'Hours Log'!$A:$A,"&gt;="&amp;$J1699,'Hours Log'!$A:$A,"&lt;"&amp;$J1699+7)+SUMIFS('Hours Log'!$D:$D,'Hours Log'!$A:$A,"&gt;="&amp;$J1699,'Hours Log'!$A:$A,"&lt;"&amp;$J1699+7))</f>
        <v/>
      </c>
      <c r="D1699" t="str">
        <f>IF($J1699="","",SUMIFS('Hours Log'!$D:$D,'Hours Log'!$A:$A,"&gt;="&amp;$J1699,'Hours Log'!$A:$A,"&lt;"&amp;$J1699+7))</f>
        <v/>
      </c>
      <c r="E1699" t="str">
        <f t="shared" si="52"/>
        <v/>
      </c>
      <c r="F1699" t="str">
        <f t="shared" si="53"/>
        <v/>
      </c>
      <c r="G1699" t="str">
        <f>IF($J1699="","",SUMIFS('Hours Log'!$E:$E,'Hours Log'!$A:$A,"&gt;="&amp;$J1699,'Hours Log'!$A:$A,"&lt;"&amp;$J1699+7))</f>
        <v/>
      </c>
      <c r="J1699" t="str">
        <f>IF(COUNT('Hours Log'!$A$4:$A$5000)=0,"",IF(MIN('Hours Log'!$A$4:$A$5000)+7*(ROW()-10)&gt;MAX('Hours Log'!$A$4:$A$5000),"",MIN('Hours Log'!$A$4:$A$5000)+7*(ROW()-10)))</f>
        <v/>
      </c>
    </row>
    <row r="1700" spans="1:10" x14ac:dyDescent="0.25">
      <c r="A1700" t="str">
        <f>IF($J1700="","",YEAR($J1700-WEEKDAY($J1700,2)+4)&amp;"-W"&amp;TEXT(_xludf.ISOWEEKNUM($J1700),"00"))</f>
        <v/>
      </c>
      <c r="B1700"/>
      <c r="C1700" t="str">
        <f>IF($J1700="","",SUMIFS('Hours Log'!$C:$C,'Hours Log'!$A:$A,"&gt;="&amp;$J1700,'Hours Log'!$A:$A,"&lt;"&amp;$J1700+7)+SUMIFS('Hours Log'!$D:$D,'Hours Log'!$A:$A,"&gt;="&amp;$J1700,'Hours Log'!$A:$A,"&lt;"&amp;$J1700+7))</f>
        <v/>
      </c>
      <c r="D1700" t="str">
        <f>IF($J1700="","",SUMIFS('Hours Log'!$D:$D,'Hours Log'!$A:$A,"&gt;="&amp;$J1700,'Hours Log'!$A:$A,"&lt;"&amp;$J1700+7))</f>
        <v/>
      </c>
      <c r="E1700" t="str">
        <f t="shared" si="52"/>
        <v/>
      </c>
      <c r="F1700" t="str">
        <f t="shared" si="53"/>
        <v/>
      </c>
      <c r="G1700" t="str">
        <f>IF($J1700="","",SUMIFS('Hours Log'!$E:$E,'Hours Log'!$A:$A,"&gt;="&amp;$J1700,'Hours Log'!$A:$A,"&lt;"&amp;$J1700+7))</f>
        <v/>
      </c>
      <c r="J1700" t="str">
        <f>IF(COUNT('Hours Log'!$A$4:$A$5000)=0,"",IF(MIN('Hours Log'!$A$4:$A$5000)+7*(ROW()-10)&gt;MAX('Hours Log'!$A$4:$A$5000),"",MIN('Hours Log'!$A$4:$A$5000)+7*(ROW()-10)))</f>
        <v/>
      </c>
    </row>
    <row r="1701" spans="1:10" x14ac:dyDescent="0.25">
      <c r="A1701" t="str">
        <f>IF($J1701="","",YEAR($J1701-WEEKDAY($J1701,2)+4)&amp;"-W"&amp;TEXT(_xludf.ISOWEEKNUM($J1701),"00"))</f>
        <v/>
      </c>
      <c r="B1701"/>
      <c r="C1701" t="str">
        <f>IF($J1701="","",SUMIFS('Hours Log'!$C:$C,'Hours Log'!$A:$A,"&gt;="&amp;$J1701,'Hours Log'!$A:$A,"&lt;"&amp;$J1701+7)+SUMIFS('Hours Log'!$D:$D,'Hours Log'!$A:$A,"&gt;="&amp;$J1701,'Hours Log'!$A:$A,"&lt;"&amp;$J1701+7))</f>
        <v/>
      </c>
      <c r="D1701" t="str">
        <f>IF($J1701="","",SUMIFS('Hours Log'!$D:$D,'Hours Log'!$A:$A,"&gt;="&amp;$J1701,'Hours Log'!$A:$A,"&lt;"&amp;$J1701+7))</f>
        <v/>
      </c>
      <c r="E1701" t="str">
        <f t="shared" si="52"/>
        <v/>
      </c>
      <c r="F1701" t="str">
        <f t="shared" si="53"/>
        <v/>
      </c>
      <c r="G1701" t="str">
        <f>IF($J1701="","",SUMIFS('Hours Log'!$E:$E,'Hours Log'!$A:$A,"&gt;="&amp;$J1701,'Hours Log'!$A:$A,"&lt;"&amp;$J1701+7))</f>
        <v/>
      </c>
      <c r="J1701" t="str">
        <f>IF(COUNT('Hours Log'!$A$4:$A$5000)=0,"",IF(MIN('Hours Log'!$A$4:$A$5000)+7*(ROW()-10)&gt;MAX('Hours Log'!$A$4:$A$5000),"",MIN('Hours Log'!$A$4:$A$5000)+7*(ROW()-10)))</f>
        <v/>
      </c>
    </row>
    <row r="1702" spans="1:10" x14ac:dyDescent="0.25">
      <c r="A1702" t="str">
        <f>IF($J1702="","",YEAR($J1702-WEEKDAY($J1702,2)+4)&amp;"-W"&amp;TEXT(_xludf.ISOWEEKNUM($J1702),"00"))</f>
        <v/>
      </c>
      <c r="B1702"/>
      <c r="C1702" t="str">
        <f>IF($J1702="","",SUMIFS('Hours Log'!$C:$C,'Hours Log'!$A:$A,"&gt;="&amp;$J1702,'Hours Log'!$A:$A,"&lt;"&amp;$J1702+7)+SUMIFS('Hours Log'!$D:$D,'Hours Log'!$A:$A,"&gt;="&amp;$J1702,'Hours Log'!$A:$A,"&lt;"&amp;$J1702+7))</f>
        <v/>
      </c>
      <c r="D1702" t="str">
        <f>IF($J1702="","",SUMIFS('Hours Log'!$D:$D,'Hours Log'!$A:$A,"&gt;="&amp;$J1702,'Hours Log'!$A:$A,"&lt;"&amp;$J1702+7))</f>
        <v/>
      </c>
      <c r="E1702" t="str">
        <f t="shared" si="52"/>
        <v/>
      </c>
      <c r="F1702" t="str">
        <f t="shared" si="53"/>
        <v/>
      </c>
      <c r="G1702" t="str">
        <f>IF($J1702="","",SUMIFS('Hours Log'!$E:$E,'Hours Log'!$A:$A,"&gt;="&amp;$J1702,'Hours Log'!$A:$A,"&lt;"&amp;$J1702+7))</f>
        <v/>
      </c>
      <c r="J1702" t="str">
        <f>IF(COUNT('Hours Log'!$A$4:$A$5000)=0,"",IF(MIN('Hours Log'!$A$4:$A$5000)+7*(ROW()-10)&gt;MAX('Hours Log'!$A$4:$A$5000),"",MIN('Hours Log'!$A$4:$A$5000)+7*(ROW()-10)))</f>
        <v/>
      </c>
    </row>
    <row r="1703" spans="1:10" x14ac:dyDescent="0.25">
      <c r="A1703" t="str">
        <f>IF($J1703="","",YEAR($J1703-WEEKDAY($J1703,2)+4)&amp;"-W"&amp;TEXT(_xludf.ISOWEEKNUM($J1703),"00"))</f>
        <v/>
      </c>
      <c r="B1703"/>
      <c r="C1703" t="str">
        <f>IF($J1703="","",SUMIFS('Hours Log'!$C:$C,'Hours Log'!$A:$A,"&gt;="&amp;$J1703,'Hours Log'!$A:$A,"&lt;"&amp;$J1703+7)+SUMIFS('Hours Log'!$D:$D,'Hours Log'!$A:$A,"&gt;="&amp;$J1703,'Hours Log'!$A:$A,"&lt;"&amp;$J1703+7))</f>
        <v/>
      </c>
      <c r="D1703" t="str">
        <f>IF($J1703="","",SUMIFS('Hours Log'!$D:$D,'Hours Log'!$A:$A,"&gt;="&amp;$J1703,'Hours Log'!$A:$A,"&lt;"&amp;$J1703+7))</f>
        <v/>
      </c>
      <c r="E1703" t="str">
        <f t="shared" si="52"/>
        <v/>
      </c>
      <c r="F1703" t="str">
        <f t="shared" si="53"/>
        <v/>
      </c>
      <c r="G1703" t="str">
        <f>IF($J1703="","",SUMIFS('Hours Log'!$E:$E,'Hours Log'!$A:$A,"&gt;="&amp;$J1703,'Hours Log'!$A:$A,"&lt;"&amp;$J1703+7))</f>
        <v/>
      </c>
      <c r="J1703" t="str">
        <f>IF(COUNT('Hours Log'!$A$4:$A$5000)=0,"",IF(MIN('Hours Log'!$A$4:$A$5000)+7*(ROW()-10)&gt;MAX('Hours Log'!$A$4:$A$5000),"",MIN('Hours Log'!$A$4:$A$5000)+7*(ROW()-10)))</f>
        <v/>
      </c>
    </row>
    <row r="1704" spans="1:10" x14ac:dyDescent="0.25">
      <c r="A1704" t="str">
        <f>IF($J1704="","",YEAR($J1704-WEEKDAY($J1704,2)+4)&amp;"-W"&amp;TEXT(_xludf.ISOWEEKNUM($J1704),"00"))</f>
        <v/>
      </c>
      <c r="B1704"/>
      <c r="C1704" t="str">
        <f>IF($J1704="","",SUMIFS('Hours Log'!$C:$C,'Hours Log'!$A:$A,"&gt;="&amp;$J1704,'Hours Log'!$A:$A,"&lt;"&amp;$J1704+7)+SUMIFS('Hours Log'!$D:$D,'Hours Log'!$A:$A,"&gt;="&amp;$J1704,'Hours Log'!$A:$A,"&lt;"&amp;$J1704+7))</f>
        <v/>
      </c>
      <c r="D1704" t="str">
        <f>IF($J1704="","",SUMIFS('Hours Log'!$D:$D,'Hours Log'!$A:$A,"&gt;="&amp;$J1704,'Hours Log'!$A:$A,"&lt;"&amp;$J1704+7))</f>
        <v/>
      </c>
      <c r="E1704" t="str">
        <f t="shared" si="52"/>
        <v/>
      </c>
      <c r="F1704" t="str">
        <f t="shared" si="53"/>
        <v/>
      </c>
      <c r="G1704" t="str">
        <f>IF($J1704="","",SUMIFS('Hours Log'!$E:$E,'Hours Log'!$A:$A,"&gt;="&amp;$J1704,'Hours Log'!$A:$A,"&lt;"&amp;$J1704+7))</f>
        <v/>
      </c>
      <c r="J1704" t="str">
        <f>IF(COUNT('Hours Log'!$A$4:$A$5000)=0,"",IF(MIN('Hours Log'!$A$4:$A$5000)+7*(ROW()-10)&gt;MAX('Hours Log'!$A$4:$A$5000),"",MIN('Hours Log'!$A$4:$A$5000)+7*(ROW()-10)))</f>
        <v/>
      </c>
    </row>
    <row r="1705" spans="1:10" x14ac:dyDescent="0.25">
      <c r="A1705" t="str">
        <f>IF($J1705="","",YEAR($J1705-WEEKDAY($J1705,2)+4)&amp;"-W"&amp;TEXT(_xludf.ISOWEEKNUM($J1705),"00"))</f>
        <v/>
      </c>
      <c r="B1705"/>
      <c r="C1705" t="str">
        <f>IF($J1705="","",SUMIFS('Hours Log'!$C:$C,'Hours Log'!$A:$A,"&gt;="&amp;$J1705,'Hours Log'!$A:$A,"&lt;"&amp;$J1705+7)+SUMIFS('Hours Log'!$D:$D,'Hours Log'!$A:$A,"&gt;="&amp;$J1705,'Hours Log'!$A:$A,"&lt;"&amp;$J1705+7))</f>
        <v/>
      </c>
      <c r="D1705" t="str">
        <f>IF($J1705="","",SUMIFS('Hours Log'!$D:$D,'Hours Log'!$A:$A,"&gt;="&amp;$J1705,'Hours Log'!$A:$A,"&lt;"&amp;$J1705+7))</f>
        <v/>
      </c>
      <c r="E1705" t="str">
        <f t="shared" si="52"/>
        <v/>
      </c>
      <c r="F1705" t="str">
        <f t="shared" si="53"/>
        <v/>
      </c>
      <c r="G1705" t="str">
        <f>IF($J1705="","",SUMIFS('Hours Log'!$E:$E,'Hours Log'!$A:$A,"&gt;="&amp;$J1705,'Hours Log'!$A:$A,"&lt;"&amp;$J1705+7))</f>
        <v/>
      </c>
      <c r="J1705" t="str">
        <f>IF(COUNT('Hours Log'!$A$4:$A$5000)=0,"",IF(MIN('Hours Log'!$A$4:$A$5000)+7*(ROW()-10)&gt;MAX('Hours Log'!$A$4:$A$5000),"",MIN('Hours Log'!$A$4:$A$5000)+7*(ROW()-10)))</f>
        <v/>
      </c>
    </row>
    <row r="1706" spans="1:10" x14ac:dyDescent="0.25">
      <c r="A1706" t="str">
        <f>IF($J1706="","",YEAR($J1706-WEEKDAY($J1706,2)+4)&amp;"-W"&amp;TEXT(_xludf.ISOWEEKNUM($J1706),"00"))</f>
        <v/>
      </c>
      <c r="B1706"/>
      <c r="C1706" t="str">
        <f>IF($J1706="","",SUMIFS('Hours Log'!$C:$C,'Hours Log'!$A:$A,"&gt;="&amp;$J1706,'Hours Log'!$A:$A,"&lt;"&amp;$J1706+7)+SUMIFS('Hours Log'!$D:$D,'Hours Log'!$A:$A,"&gt;="&amp;$J1706,'Hours Log'!$A:$A,"&lt;"&amp;$J1706+7))</f>
        <v/>
      </c>
      <c r="D1706" t="str">
        <f>IF($J1706="","",SUMIFS('Hours Log'!$D:$D,'Hours Log'!$A:$A,"&gt;="&amp;$J1706,'Hours Log'!$A:$A,"&lt;"&amp;$J1706+7))</f>
        <v/>
      </c>
      <c r="E1706" t="str">
        <f t="shared" si="52"/>
        <v/>
      </c>
      <c r="F1706" t="str">
        <f t="shared" si="53"/>
        <v/>
      </c>
      <c r="G1706" t="str">
        <f>IF($J1706="","",SUMIFS('Hours Log'!$E:$E,'Hours Log'!$A:$A,"&gt;="&amp;$J1706,'Hours Log'!$A:$A,"&lt;"&amp;$J1706+7))</f>
        <v/>
      </c>
      <c r="J1706" t="str">
        <f>IF(COUNT('Hours Log'!$A$4:$A$5000)=0,"",IF(MIN('Hours Log'!$A$4:$A$5000)+7*(ROW()-10)&gt;MAX('Hours Log'!$A$4:$A$5000),"",MIN('Hours Log'!$A$4:$A$5000)+7*(ROW()-10)))</f>
        <v/>
      </c>
    </row>
    <row r="1707" spans="1:10" x14ac:dyDescent="0.25">
      <c r="A1707" t="str">
        <f>IF($J1707="","",YEAR($J1707-WEEKDAY($J1707,2)+4)&amp;"-W"&amp;TEXT(_xludf.ISOWEEKNUM($J1707),"00"))</f>
        <v/>
      </c>
      <c r="B1707"/>
      <c r="C1707" t="str">
        <f>IF($J1707="","",SUMIFS('Hours Log'!$C:$C,'Hours Log'!$A:$A,"&gt;="&amp;$J1707,'Hours Log'!$A:$A,"&lt;"&amp;$J1707+7)+SUMIFS('Hours Log'!$D:$D,'Hours Log'!$A:$A,"&gt;="&amp;$J1707,'Hours Log'!$A:$A,"&lt;"&amp;$J1707+7))</f>
        <v/>
      </c>
      <c r="D1707" t="str">
        <f>IF($J1707="","",SUMIFS('Hours Log'!$D:$D,'Hours Log'!$A:$A,"&gt;="&amp;$J1707,'Hours Log'!$A:$A,"&lt;"&amp;$J1707+7))</f>
        <v/>
      </c>
      <c r="E1707" t="str">
        <f t="shared" si="52"/>
        <v/>
      </c>
      <c r="F1707" t="str">
        <f t="shared" si="53"/>
        <v/>
      </c>
      <c r="G1707" t="str">
        <f>IF($J1707="","",SUMIFS('Hours Log'!$E:$E,'Hours Log'!$A:$A,"&gt;="&amp;$J1707,'Hours Log'!$A:$A,"&lt;"&amp;$J1707+7))</f>
        <v/>
      </c>
      <c r="J1707" t="str">
        <f>IF(COUNT('Hours Log'!$A$4:$A$5000)=0,"",IF(MIN('Hours Log'!$A$4:$A$5000)+7*(ROW()-10)&gt;MAX('Hours Log'!$A$4:$A$5000),"",MIN('Hours Log'!$A$4:$A$5000)+7*(ROW()-10)))</f>
        <v/>
      </c>
    </row>
    <row r="1708" spans="1:10" x14ac:dyDescent="0.25">
      <c r="A1708" t="str">
        <f>IF($J1708="","",YEAR($J1708-WEEKDAY($J1708,2)+4)&amp;"-W"&amp;TEXT(_xludf.ISOWEEKNUM($J1708),"00"))</f>
        <v/>
      </c>
      <c r="B1708"/>
      <c r="C1708" t="str">
        <f>IF($J1708="","",SUMIFS('Hours Log'!$C:$C,'Hours Log'!$A:$A,"&gt;="&amp;$J1708,'Hours Log'!$A:$A,"&lt;"&amp;$J1708+7)+SUMIFS('Hours Log'!$D:$D,'Hours Log'!$A:$A,"&gt;="&amp;$J1708,'Hours Log'!$A:$A,"&lt;"&amp;$J1708+7))</f>
        <v/>
      </c>
      <c r="D1708" t="str">
        <f>IF($J1708="","",SUMIFS('Hours Log'!$D:$D,'Hours Log'!$A:$A,"&gt;="&amp;$J1708,'Hours Log'!$A:$A,"&lt;"&amp;$J1708+7))</f>
        <v/>
      </c>
      <c r="E1708" t="str">
        <f t="shared" si="52"/>
        <v/>
      </c>
      <c r="F1708" t="str">
        <f t="shared" si="53"/>
        <v/>
      </c>
      <c r="G1708" t="str">
        <f>IF($J1708="","",SUMIFS('Hours Log'!$E:$E,'Hours Log'!$A:$A,"&gt;="&amp;$J1708,'Hours Log'!$A:$A,"&lt;"&amp;$J1708+7))</f>
        <v/>
      </c>
      <c r="J1708" t="str">
        <f>IF(COUNT('Hours Log'!$A$4:$A$5000)=0,"",IF(MIN('Hours Log'!$A$4:$A$5000)+7*(ROW()-10)&gt;MAX('Hours Log'!$A$4:$A$5000),"",MIN('Hours Log'!$A$4:$A$5000)+7*(ROW()-10)))</f>
        <v/>
      </c>
    </row>
    <row r="1709" spans="1:10" x14ac:dyDescent="0.25">
      <c r="A1709" t="str">
        <f>IF($J1709="","",YEAR($J1709-WEEKDAY($J1709,2)+4)&amp;"-W"&amp;TEXT(_xludf.ISOWEEKNUM($J1709),"00"))</f>
        <v/>
      </c>
      <c r="B1709"/>
      <c r="C1709" t="str">
        <f>IF($J1709="","",SUMIFS('Hours Log'!$C:$C,'Hours Log'!$A:$A,"&gt;="&amp;$J1709,'Hours Log'!$A:$A,"&lt;"&amp;$J1709+7)+SUMIFS('Hours Log'!$D:$D,'Hours Log'!$A:$A,"&gt;="&amp;$J1709,'Hours Log'!$A:$A,"&lt;"&amp;$J1709+7))</f>
        <v/>
      </c>
      <c r="D1709" t="str">
        <f>IF($J1709="","",SUMIFS('Hours Log'!$D:$D,'Hours Log'!$A:$A,"&gt;="&amp;$J1709,'Hours Log'!$A:$A,"&lt;"&amp;$J1709+7))</f>
        <v/>
      </c>
      <c r="E1709" t="str">
        <f t="shared" si="52"/>
        <v/>
      </c>
      <c r="F1709" t="str">
        <f t="shared" si="53"/>
        <v/>
      </c>
      <c r="G1709" t="str">
        <f>IF($J1709="","",SUMIFS('Hours Log'!$E:$E,'Hours Log'!$A:$A,"&gt;="&amp;$J1709,'Hours Log'!$A:$A,"&lt;"&amp;$J1709+7))</f>
        <v/>
      </c>
      <c r="J1709" t="str">
        <f>IF(COUNT('Hours Log'!$A$4:$A$5000)=0,"",IF(MIN('Hours Log'!$A$4:$A$5000)+7*(ROW()-10)&gt;MAX('Hours Log'!$A$4:$A$5000),"",MIN('Hours Log'!$A$4:$A$5000)+7*(ROW()-10)))</f>
        <v/>
      </c>
    </row>
    <row r="1710" spans="1:10" x14ac:dyDescent="0.25">
      <c r="A1710" t="str">
        <f>IF($J1710="","",YEAR($J1710-WEEKDAY($J1710,2)+4)&amp;"-W"&amp;TEXT(_xludf.ISOWEEKNUM($J1710),"00"))</f>
        <v/>
      </c>
      <c r="B1710"/>
      <c r="C1710" t="str">
        <f>IF($J1710="","",SUMIFS('Hours Log'!$C:$C,'Hours Log'!$A:$A,"&gt;="&amp;$J1710,'Hours Log'!$A:$A,"&lt;"&amp;$J1710+7)+SUMIFS('Hours Log'!$D:$D,'Hours Log'!$A:$A,"&gt;="&amp;$J1710,'Hours Log'!$A:$A,"&lt;"&amp;$J1710+7))</f>
        <v/>
      </c>
      <c r="D1710" t="str">
        <f>IF($J1710="","",SUMIFS('Hours Log'!$D:$D,'Hours Log'!$A:$A,"&gt;="&amp;$J1710,'Hours Log'!$A:$A,"&lt;"&amp;$J1710+7))</f>
        <v/>
      </c>
      <c r="E1710" t="str">
        <f t="shared" si="52"/>
        <v/>
      </c>
      <c r="F1710" t="str">
        <f t="shared" si="53"/>
        <v/>
      </c>
      <c r="G1710" t="str">
        <f>IF($J1710="","",SUMIFS('Hours Log'!$E:$E,'Hours Log'!$A:$A,"&gt;="&amp;$J1710,'Hours Log'!$A:$A,"&lt;"&amp;$J1710+7))</f>
        <v/>
      </c>
      <c r="J1710" t="str">
        <f>IF(COUNT('Hours Log'!$A$4:$A$5000)=0,"",IF(MIN('Hours Log'!$A$4:$A$5000)+7*(ROW()-10)&gt;MAX('Hours Log'!$A$4:$A$5000),"",MIN('Hours Log'!$A$4:$A$5000)+7*(ROW()-10)))</f>
        <v/>
      </c>
    </row>
    <row r="1711" spans="1:10" x14ac:dyDescent="0.25">
      <c r="A1711" t="str">
        <f>IF($J1711="","",YEAR($J1711-WEEKDAY($J1711,2)+4)&amp;"-W"&amp;TEXT(_xludf.ISOWEEKNUM($J1711),"00"))</f>
        <v/>
      </c>
      <c r="B1711"/>
      <c r="C1711" t="str">
        <f>IF($J1711="","",SUMIFS('Hours Log'!$C:$C,'Hours Log'!$A:$A,"&gt;="&amp;$J1711,'Hours Log'!$A:$A,"&lt;"&amp;$J1711+7)+SUMIFS('Hours Log'!$D:$D,'Hours Log'!$A:$A,"&gt;="&amp;$J1711,'Hours Log'!$A:$A,"&lt;"&amp;$J1711+7))</f>
        <v/>
      </c>
      <c r="D1711" t="str">
        <f>IF($J1711="","",SUMIFS('Hours Log'!$D:$D,'Hours Log'!$A:$A,"&gt;="&amp;$J1711,'Hours Log'!$A:$A,"&lt;"&amp;$J1711+7))</f>
        <v/>
      </c>
      <c r="E1711" t="str">
        <f t="shared" si="52"/>
        <v/>
      </c>
      <c r="F1711" t="str">
        <f t="shared" si="53"/>
        <v/>
      </c>
      <c r="G1711" t="str">
        <f>IF($J1711="","",SUMIFS('Hours Log'!$E:$E,'Hours Log'!$A:$A,"&gt;="&amp;$J1711,'Hours Log'!$A:$A,"&lt;"&amp;$J1711+7))</f>
        <v/>
      </c>
      <c r="J1711" t="str">
        <f>IF(COUNT('Hours Log'!$A$4:$A$5000)=0,"",IF(MIN('Hours Log'!$A$4:$A$5000)+7*(ROW()-10)&gt;MAX('Hours Log'!$A$4:$A$5000),"",MIN('Hours Log'!$A$4:$A$5000)+7*(ROW()-10)))</f>
        <v/>
      </c>
    </row>
    <row r="1712" spans="1:10" x14ac:dyDescent="0.25">
      <c r="A1712" t="str">
        <f>IF($J1712="","",YEAR($J1712-WEEKDAY($J1712,2)+4)&amp;"-W"&amp;TEXT(_xludf.ISOWEEKNUM($J1712),"00"))</f>
        <v/>
      </c>
      <c r="B1712"/>
      <c r="C1712" t="str">
        <f>IF($J1712="","",SUMIFS('Hours Log'!$C:$C,'Hours Log'!$A:$A,"&gt;="&amp;$J1712,'Hours Log'!$A:$A,"&lt;"&amp;$J1712+7)+SUMIFS('Hours Log'!$D:$D,'Hours Log'!$A:$A,"&gt;="&amp;$J1712,'Hours Log'!$A:$A,"&lt;"&amp;$J1712+7))</f>
        <v/>
      </c>
      <c r="D1712" t="str">
        <f>IF($J1712="","",SUMIFS('Hours Log'!$D:$D,'Hours Log'!$A:$A,"&gt;="&amp;$J1712,'Hours Log'!$A:$A,"&lt;"&amp;$J1712+7))</f>
        <v/>
      </c>
      <c r="E1712" t="str">
        <f t="shared" si="52"/>
        <v/>
      </c>
      <c r="F1712" t="str">
        <f t="shared" si="53"/>
        <v/>
      </c>
      <c r="G1712" t="str">
        <f>IF($J1712="","",SUMIFS('Hours Log'!$E:$E,'Hours Log'!$A:$A,"&gt;="&amp;$J1712,'Hours Log'!$A:$A,"&lt;"&amp;$J1712+7))</f>
        <v/>
      </c>
      <c r="J1712" t="str">
        <f>IF(COUNT('Hours Log'!$A$4:$A$5000)=0,"",IF(MIN('Hours Log'!$A$4:$A$5000)+7*(ROW()-10)&gt;MAX('Hours Log'!$A$4:$A$5000),"",MIN('Hours Log'!$A$4:$A$5000)+7*(ROW()-10)))</f>
        <v/>
      </c>
    </row>
    <row r="1713" spans="1:10" x14ac:dyDescent="0.25">
      <c r="A1713" t="str">
        <f>IF($J1713="","",YEAR($J1713-WEEKDAY($J1713,2)+4)&amp;"-W"&amp;TEXT(_xludf.ISOWEEKNUM($J1713),"00"))</f>
        <v/>
      </c>
      <c r="B1713"/>
      <c r="C1713" t="str">
        <f>IF($J1713="","",SUMIFS('Hours Log'!$C:$C,'Hours Log'!$A:$A,"&gt;="&amp;$J1713,'Hours Log'!$A:$A,"&lt;"&amp;$J1713+7)+SUMIFS('Hours Log'!$D:$D,'Hours Log'!$A:$A,"&gt;="&amp;$J1713,'Hours Log'!$A:$A,"&lt;"&amp;$J1713+7))</f>
        <v/>
      </c>
      <c r="D1713" t="str">
        <f>IF($J1713="","",SUMIFS('Hours Log'!$D:$D,'Hours Log'!$A:$A,"&gt;="&amp;$J1713,'Hours Log'!$A:$A,"&lt;"&amp;$J1713+7))</f>
        <v/>
      </c>
      <c r="E1713" t="str">
        <f t="shared" si="52"/>
        <v/>
      </c>
      <c r="F1713" t="str">
        <f t="shared" si="53"/>
        <v/>
      </c>
      <c r="G1713" t="str">
        <f>IF($J1713="","",SUMIFS('Hours Log'!$E:$E,'Hours Log'!$A:$A,"&gt;="&amp;$J1713,'Hours Log'!$A:$A,"&lt;"&amp;$J1713+7))</f>
        <v/>
      </c>
      <c r="J1713" t="str">
        <f>IF(COUNT('Hours Log'!$A$4:$A$5000)=0,"",IF(MIN('Hours Log'!$A$4:$A$5000)+7*(ROW()-10)&gt;MAX('Hours Log'!$A$4:$A$5000),"",MIN('Hours Log'!$A$4:$A$5000)+7*(ROW()-10)))</f>
        <v/>
      </c>
    </row>
    <row r="1714" spans="1:10" x14ac:dyDescent="0.25">
      <c r="A1714" t="str">
        <f>IF($J1714="","",YEAR($J1714-WEEKDAY($J1714,2)+4)&amp;"-W"&amp;TEXT(_xludf.ISOWEEKNUM($J1714),"00"))</f>
        <v/>
      </c>
      <c r="B1714"/>
      <c r="C1714" t="str">
        <f>IF($J1714="","",SUMIFS('Hours Log'!$C:$C,'Hours Log'!$A:$A,"&gt;="&amp;$J1714,'Hours Log'!$A:$A,"&lt;"&amp;$J1714+7)+SUMIFS('Hours Log'!$D:$D,'Hours Log'!$A:$A,"&gt;="&amp;$J1714,'Hours Log'!$A:$A,"&lt;"&amp;$J1714+7))</f>
        <v/>
      </c>
      <c r="D1714" t="str">
        <f>IF($J1714="","",SUMIFS('Hours Log'!$D:$D,'Hours Log'!$A:$A,"&gt;="&amp;$J1714,'Hours Log'!$A:$A,"&lt;"&amp;$J1714+7))</f>
        <v/>
      </c>
      <c r="E1714" t="str">
        <f t="shared" si="52"/>
        <v/>
      </c>
      <c r="F1714" t="str">
        <f t="shared" si="53"/>
        <v/>
      </c>
      <c r="G1714" t="str">
        <f>IF($J1714="","",SUMIFS('Hours Log'!$E:$E,'Hours Log'!$A:$A,"&gt;="&amp;$J1714,'Hours Log'!$A:$A,"&lt;"&amp;$J1714+7))</f>
        <v/>
      </c>
      <c r="J1714" t="str">
        <f>IF(COUNT('Hours Log'!$A$4:$A$5000)=0,"",IF(MIN('Hours Log'!$A$4:$A$5000)+7*(ROW()-10)&gt;MAX('Hours Log'!$A$4:$A$5000),"",MIN('Hours Log'!$A$4:$A$5000)+7*(ROW()-10)))</f>
        <v/>
      </c>
    </row>
    <row r="1715" spans="1:10" x14ac:dyDescent="0.25">
      <c r="A1715" t="str">
        <f>IF($J1715="","",YEAR($J1715-WEEKDAY($J1715,2)+4)&amp;"-W"&amp;TEXT(_xludf.ISOWEEKNUM($J1715),"00"))</f>
        <v/>
      </c>
      <c r="B1715"/>
      <c r="C1715" t="str">
        <f>IF($J1715="","",SUMIFS('Hours Log'!$C:$C,'Hours Log'!$A:$A,"&gt;="&amp;$J1715,'Hours Log'!$A:$A,"&lt;"&amp;$J1715+7)+SUMIFS('Hours Log'!$D:$D,'Hours Log'!$A:$A,"&gt;="&amp;$J1715,'Hours Log'!$A:$A,"&lt;"&amp;$J1715+7))</f>
        <v/>
      </c>
      <c r="D1715" t="str">
        <f>IF($J1715="","",SUMIFS('Hours Log'!$D:$D,'Hours Log'!$A:$A,"&gt;="&amp;$J1715,'Hours Log'!$A:$A,"&lt;"&amp;$J1715+7))</f>
        <v/>
      </c>
      <c r="E1715" t="str">
        <f t="shared" si="52"/>
        <v/>
      </c>
      <c r="F1715" t="str">
        <f t="shared" si="53"/>
        <v/>
      </c>
      <c r="G1715" t="str">
        <f>IF($J1715="","",SUMIFS('Hours Log'!$E:$E,'Hours Log'!$A:$A,"&gt;="&amp;$J1715,'Hours Log'!$A:$A,"&lt;"&amp;$J1715+7))</f>
        <v/>
      </c>
      <c r="J1715" t="str">
        <f>IF(COUNT('Hours Log'!$A$4:$A$5000)=0,"",IF(MIN('Hours Log'!$A$4:$A$5000)+7*(ROW()-10)&gt;MAX('Hours Log'!$A$4:$A$5000),"",MIN('Hours Log'!$A$4:$A$5000)+7*(ROW()-10)))</f>
        <v/>
      </c>
    </row>
    <row r="1716" spans="1:10" x14ac:dyDescent="0.25">
      <c r="A1716" t="str">
        <f>IF($J1716="","",YEAR($J1716-WEEKDAY($J1716,2)+4)&amp;"-W"&amp;TEXT(_xludf.ISOWEEKNUM($J1716),"00"))</f>
        <v/>
      </c>
      <c r="B1716"/>
      <c r="C1716" t="str">
        <f>IF($J1716="","",SUMIFS('Hours Log'!$C:$C,'Hours Log'!$A:$A,"&gt;="&amp;$J1716,'Hours Log'!$A:$A,"&lt;"&amp;$J1716+7)+SUMIFS('Hours Log'!$D:$D,'Hours Log'!$A:$A,"&gt;="&amp;$J1716,'Hours Log'!$A:$A,"&lt;"&amp;$J1716+7))</f>
        <v/>
      </c>
      <c r="D1716" t="str">
        <f>IF($J1716="","",SUMIFS('Hours Log'!$D:$D,'Hours Log'!$A:$A,"&gt;="&amp;$J1716,'Hours Log'!$A:$A,"&lt;"&amp;$J1716+7))</f>
        <v/>
      </c>
      <c r="E1716" t="str">
        <f t="shared" si="52"/>
        <v/>
      </c>
      <c r="F1716" t="str">
        <f t="shared" si="53"/>
        <v/>
      </c>
      <c r="G1716" t="str">
        <f>IF($J1716="","",SUMIFS('Hours Log'!$E:$E,'Hours Log'!$A:$A,"&gt;="&amp;$J1716,'Hours Log'!$A:$A,"&lt;"&amp;$J1716+7))</f>
        <v/>
      </c>
      <c r="J1716" t="str">
        <f>IF(COUNT('Hours Log'!$A$4:$A$5000)=0,"",IF(MIN('Hours Log'!$A$4:$A$5000)+7*(ROW()-10)&gt;MAX('Hours Log'!$A$4:$A$5000),"",MIN('Hours Log'!$A$4:$A$5000)+7*(ROW()-10)))</f>
        <v/>
      </c>
    </row>
    <row r="1717" spans="1:10" x14ac:dyDescent="0.25">
      <c r="A1717" t="str">
        <f>IF($J1717="","",YEAR($J1717-WEEKDAY($J1717,2)+4)&amp;"-W"&amp;TEXT(_xludf.ISOWEEKNUM($J1717),"00"))</f>
        <v/>
      </c>
      <c r="B1717"/>
      <c r="C1717" t="str">
        <f>IF($J1717="","",SUMIFS('Hours Log'!$C:$C,'Hours Log'!$A:$A,"&gt;="&amp;$J1717,'Hours Log'!$A:$A,"&lt;"&amp;$J1717+7)+SUMIFS('Hours Log'!$D:$D,'Hours Log'!$A:$A,"&gt;="&amp;$J1717,'Hours Log'!$A:$A,"&lt;"&amp;$J1717+7))</f>
        <v/>
      </c>
      <c r="D1717" t="str">
        <f>IF($J1717="","",SUMIFS('Hours Log'!$D:$D,'Hours Log'!$A:$A,"&gt;="&amp;$J1717,'Hours Log'!$A:$A,"&lt;"&amp;$J1717+7))</f>
        <v/>
      </c>
      <c r="E1717" t="str">
        <f t="shared" si="52"/>
        <v/>
      </c>
      <c r="F1717" t="str">
        <f t="shared" si="53"/>
        <v/>
      </c>
      <c r="G1717" t="str">
        <f>IF($J1717="","",SUMIFS('Hours Log'!$E:$E,'Hours Log'!$A:$A,"&gt;="&amp;$J1717,'Hours Log'!$A:$A,"&lt;"&amp;$J1717+7))</f>
        <v/>
      </c>
      <c r="J1717" t="str">
        <f>IF(COUNT('Hours Log'!$A$4:$A$5000)=0,"",IF(MIN('Hours Log'!$A$4:$A$5000)+7*(ROW()-10)&gt;MAX('Hours Log'!$A$4:$A$5000),"",MIN('Hours Log'!$A$4:$A$5000)+7*(ROW()-10)))</f>
        <v/>
      </c>
    </row>
    <row r="1718" spans="1:10" x14ac:dyDescent="0.25">
      <c r="A1718" t="str">
        <f>IF($J1718="","",YEAR($J1718-WEEKDAY($J1718,2)+4)&amp;"-W"&amp;TEXT(_xludf.ISOWEEKNUM($J1718),"00"))</f>
        <v/>
      </c>
      <c r="B1718"/>
      <c r="C1718" t="str">
        <f>IF($J1718="","",SUMIFS('Hours Log'!$C:$C,'Hours Log'!$A:$A,"&gt;="&amp;$J1718,'Hours Log'!$A:$A,"&lt;"&amp;$J1718+7)+SUMIFS('Hours Log'!$D:$D,'Hours Log'!$A:$A,"&gt;="&amp;$J1718,'Hours Log'!$A:$A,"&lt;"&amp;$J1718+7))</f>
        <v/>
      </c>
      <c r="D1718" t="str">
        <f>IF($J1718="","",SUMIFS('Hours Log'!$D:$D,'Hours Log'!$A:$A,"&gt;="&amp;$J1718,'Hours Log'!$A:$A,"&lt;"&amp;$J1718+7))</f>
        <v/>
      </c>
      <c r="E1718" t="str">
        <f t="shared" si="52"/>
        <v/>
      </c>
      <c r="F1718" t="str">
        <f t="shared" si="53"/>
        <v/>
      </c>
      <c r="G1718" t="str">
        <f>IF($J1718="","",SUMIFS('Hours Log'!$E:$E,'Hours Log'!$A:$A,"&gt;="&amp;$J1718,'Hours Log'!$A:$A,"&lt;"&amp;$J1718+7))</f>
        <v/>
      </c>
      <c r="J1718" t="str">
        <f>IF(COUNT('Hours Log'!$A$4:$A$5000)=0,"",IF(MIN('Hours Log'!$A$4:$A$5000)+7*(ROW()-10)&gt;MAX('Hours Log'!$A$4:$A$5000),"",MIN('Hours Log'!$A$4:$A$5000)+7*(ROW()-10)))</f>
        <v/>
      </c>
    </row>
    <row r="1719" spans="1:10" x14ac:dyDescent="0.25">
      <c r="A1719" t="str">
        <f>IF($J1719="","",YEAR($J1719-WEEKDAY($J1719,2)+4)&amp;"-W"&amp;TEXT(_xludf.ISOWEEKNUM($J1719),"00"))</f>
        <v/>
      </c>
      <c r="B1719"/>
      <c r="C1719" t="str">
        <f>IF($J1719="","",SUMIFS('Hours Log'!$C:$C,'Hours Log'!$A:$A,"&gt;="&amp;$J1719,'Hours Log'!$A:$A,"&lt;"&amp;$J1719+7)+SUMIFS('Hours Log'!$D:$D,'Hours Log'!$A:$A,"&gt;="&amp;$J1719,'Hours Log'!$A:$A,"&lt;"&amp;$J1719+7))</f>
        <v/>
      </c>
      <c r="D1719" t="str">
        <f>IF($J1719="","",SUMIFS('Hours Log'!$D:$D,'Hours Log'!$A:$A,"&gt;="&amp;$J1719,'Hours Log'!$A:$A,"&lt;"&amp;$J1719+7))</f>
        <v/>
      </c>
      <c r="E1719" t="str">
        <f t="shared" si="52"/>
        <v/>
      </c>
      <c r="F1719" t="str">
        <f t="shared" si="53"/>
        <v/>
      </c>
      <c r="G1719" t="str">
        <f>IF($J1719="","",SUMIFS('Hours Log'!$E:$E,'Hours Log'!$A:$A,"&gt;="&amp;$J1719,'Hours Log'!$A:$A,"&lt;"&amp;$J1719+7))</f>
        <v/>
      </c>
      <c r="J1719" t="str">
        <f>IF(COUNT('Hours Log'!$A$4:$A$5000)=0,"",IF(MIN('Hours Log'!$A$4:$A$5000)+7*(ROW()-10)&gt;MAX('Hours Log'!$A$4:$A$5000),"",MIN('Hours Log'!$A$4:$A$5000)+7*(ROW()-10)))</f>
        <v/>
      </c>
    </row>
    <row r="1720" spans="1:10" x14ac:dyDescent="0.25">
      <c r="A1720" t="str">
        <f>IF($J1720="","",YEAR($J1720-WEEKDAY($J1720,2)+4)&amp;"-W"&amp;TEXT(_xludf.ISOWEEKNUM($J1720),"00"))</f>
        <v/>
      </c>
      <c r="B1720"/>
      <c r="C1720" t="str">
        <f>IF($J1720="","",SUMIFS('Hours Log'!$C:$C,'Hours Log'!$A:$A,"&gt;="&amp;$J1720,'Hours Log'!$A:$A,"&lt;"&amp;$J1720+7)+SUMIFS('Hours Log'!$D:$D,'Hours Log'!$A:$A,"&gt;="&amp;$J1720,'Hours Log'!$A:$A,"&lt;"&amp;$J1720+7))</f>
        <v/>
      </c>
      <c r="D1720" t="str">
        <f>IF($J1720="","",SUMIFS('Hours Log'!$D:$D,'Hours Log'!$A:$A,"&gt;="&amp;$J1720,'Hours Log'!$A:$A,"&lt;"&amp;$J1720+7))</f>
        <v/>
      </c>
      <c r="E1720" t="str">
        <f t="shared" si="52"/>
        <v/>
      </c>
      <c r="F1720" t="str">
        <f t="shared" si="53"/>
        <v/>
      </c>
      <c r="G1720" t="str">
        <f>IF($J1720="","",SUMIFS('Hours Log'!$E:$E,'Hours Log'!$A:$A,"&gt;="&amp;$J1720,'Hours Log'!$A:$A,"&lt;"&amp;$J1720+7))</f>
        <v/>
      </c>
      <c r="J1720" t="str">
        <f>IF(COUNT('Hours Log'!$A$4:$A$5000)=0,"",IF(MIN('Hours Log'!$A$4:$A$5000)+7*(ROW()-10)&gt;MAX('Hours Log'!$A$4:$A$5000),"",MIN('Hours Log'!$A$4:$A$5000)+7*(ROW()-10)))</f>
        <v/>
      </c>
    </row>
    <row r="1721" spans="1:10" x14ac:dyDescent="0.25">
      <c r="A1721" t="str">
        <f>IF($J1721="","",YEAR($J1721-WEEKDAY($J1721,2)+4)&amp;"-W"&amp;TEXT(_xludf.ISOWEEKNUM($J1721),"00"))</f>
        <v/>
      </c>
      <c r="B1721"/>
      <c r="C1721" t="str">
        <f>IF($J1721="","",SUMIFS('Hours Log'!$C:$C,'Hours Log'!$A:$A,"&gt;="&amp;$J1721,'Hours Log'!$A:$A,"&lt;"&amp;$J1721+7)+SUMIFS('Hours Log'!$D:$D,'Hours Log'!$A:$A,"&gt;="&amp;$J1721,'Hours Log'!$A:$A,"&lt;"&amp;$J1721+7))</f>
        <v/>
      </c>
      <c r="D1721" t="str">
        <f>IF($J1721="","",SUMIFS('Hours Log'!$D:$D,'Hours Log'!$A:$A,"&gt;="&amp;$J1721,'Hours Log'!$A:$A,"&lt;"&amp;$J1721+7))</f>
        <v/>
      </c>
      <c r="E1721" t="str">
        <f t="shared" si="52"/>
        <v/>
      </c>
      <c r="F1721" t="str">
        <f t="shared" si="53"/>
        <v/>
      </c>
      <c r="G1721" t="str">
        <f>IF($J1721="","",SUMIFS('Hours Log'!$E:$E,'Hours Log'!$A:$A,"&gt;="&amp;$J1721,'Hours Log'!$A:$A,"&lt;"&amp;$J1721+7))</f>
        <v/>
      </c>
      <c r="J1721" t="str">
        <f>IF(COUNT('Hours Log'!$A$4:$A$5000)=0,"",IF(MIN('Hours Log'!$A$4:$A$5000)+7*(ROW()-10)&gt;MAX('Hours Log'!$A$4:$A$5000),"",MIN('Hours Log'!$A$4:$A$5000)+7*(ROW()-10)))</f>
        <v/>
      </c>
    </row>
    <row r="1722" spans="1:10" x14ac:dyDescent="0.25">
      <c r="A1722" t="str">
        <f>IF($J1722="","",YEAR($J1722-WEEKDAY($J1722,2)+4)&amp;"-W"&amp;TEXT(_xludf.ISOWEEKNUM($J1722),"00"))</f>
        <v/>
      </c>
      <c r="B1722"/>
      <c r="C1722" t="str">
        <f>IF($J1722="","",SUMIFS('Hours Log'!$C:$C,'Hours Log'!$A:$A,"&gt;="&amp;$J1722,'Hours Log'!$A:$A,"&lt;"&amp;$J1722+7)+SUMIFS('Hours Log'!$D:$D,'Hours Log'!$A:$A,"&gt;="&amp;$J1722,'Hours Log'!$A:$A,"&lt;"&amp;$J1722+7))</f>
        <v/>
      </c>
      <c r="D1722" t="str">
        <f>IF($J1722="","",SUMIFS('Hours Log'!$D:$D,'Hours Log'!$A:$A,"&gt;="&amp;$J1722,'Hours Log'!$A:$A,"&lt;"&amp;$J1722+7))</f>
        <v/>
      </c>
      <c r="E1722" t="str">
        <f t="shared" si="52"/>
        <v/>
      </c>
      <c r="F1722" t="str">
        <f t="shared" si="53"/>
        <v/>
      </c>
      <c r="G1722" t="str">
        <f>IF($J1722="","",SUMIFS('Hours Log'!$E:$E,'Hours Log'!$A:$A,"&gt;="&amp;$J1722,'Hours Log'!$A:$A,"&lt;"&amp;$J1722+7))</f>
        <v/>
      </c>
      <c r="J1722" t="str">
        <f>IF(COUNT('Hours Log'!$A$4:$A$5000)=0,"",IF(MIN('Hours Log'!$A$4:$A$5000)+7*(ROW()-10)&gt;MAX('Hours Log'!$A$4:$A$5000),"",MIN('Hours Log'!$A$4:$A$5000)+7*(ROW()-10)))</f>
        <v/>
      </c>
    </row>
    <row r="1723" spans="1:10" x14ac:dyDescent="0.25">
      <c r="A1723" t="str">
        <f>IF($J1723="","",YEAR($J1723-WEEKDAY($J1723,2)+4)&amp;"-W"&amp;TEXT(_xludf.ISOWEEKNUM($J1723),"00"))</f>
        <v/>
      </c>
      <c r="B1723"/>
      <c r="C1723" t="str">
        <f>IF($J1723="","",SUMIFS('Hours Log'!$C:$C,'Hours Log'!$A:$A,"&gt;="&amp;$J1723,'Hours Log'!$A:$A,"&lt;"&amp;$J1723+7)+SUMIFS('Hours Log'!$D:$D,'Hours Log'!$A:$A,"&gt;="&amp;$J1723,'Hours Log'!$A:$A,"&lt;"&amp;$J1723+7))</f>
        <v/>
      </c>
      <c r="D1723" t="str">
        <f>IF($J1723="","",SUMIFS('Hours Log'!$D:$D,'Hours Log'!$A:$A,"&gt;="&amp;$J1723,'Hours Log'!$A:$A,"&lt;"&amp;$J1723+7))</f>
        <v/>
      </c>
      <c r="E1723" t="str">
        <f t="shared" si="52"/>
        <v/>
      </c>
      <c r="F1723" t="str">
        <f t="shared" si="53"/>
        <v/>
      </c>
      <c r="G1723" t="str">
        <f>IF($J1723="","",SUMIFS('Hours Log'!$E:$E,'Hours Log'!$A:$A,"&gt;="&amp;$J1723,'Hours Log'!$A:$A,"&lt;"&amp;$J1723+7))</f>
        <v/>
      </c>
      <c r="J1723" t="str">
        <f>IF(COUNT('Hours Log'!$A$4:$A$5000)=0,"",IF(MIN('Hours Log'!$A$4:$A$5000)+7*(ROW()-10)&gt;MAX('Hours Log'!$A$4:$A$5000),"",MIN('Hours Log'!$A$4:$A$5000)+7*(ROW()-10)))</f>
        <v/>
      </c>
    </row>
    <row r="1724" spans="1:10" x14ac:dyDescent="0.25">
      <c r="A1724" t="str">
        <f>IF($J1724="","",YEAR($J1724-WEEKDAY($J1724,2)+4)&amp;"-W"&amp;TEXT(_xludf.ISOWEEKNUM($J1724),"00"))</f>
        <v/>
      </c>
      <c r="B1724"/>
      <c r="C1724" t="str">
        <f>IF($J1724="","",SUMIFS('Hours Log'!$C:$C,'Hours Log'!$A:$A,"&gt;="&amp;$J1724,'Hours Log'!$A:$A,"&lt;"&amp;$J1724+7)+SUMIFS('Hours Log'!$D:$D,'Hours Log'!$A:$A,"&gt;="&amp;$J1724,'Hours Log'!$A:$A,"&lt;"&amp;$J1724+7))</f>
        <v/>
      </c>
      <c r="D1724" t="str">
        <f>IF($J1724="","",SUMIFS('Hours Log'!$D:$D,'Hours Log'!$A:$A,"&gt;="&amp;$J1724,'Hours Log'!$A:$A,"&lt;"&amp;$J1724+7))</f>
        <v/>
      </c>
      <c r="E1724" t="str">
        <f t="shared" si="52"/>
        <v/>
      </c>
      <c r="F1724" t="str">
        <f t="shared" si="53"/>
        <v/>
      </c>
      <c r="G1724" t="str">
        <f>IF($J1724="","",SUMIFS('Hours Log'!$E:$E,'Hours Log'!$A:$A,"&gt;="&amp;$J1724,'Hours Log'!$A:$A,"&lt;"&amp;$J1724+7))</f>
        <v/>
      </c>
      <c r="J1724" t="str">
        <f>IF(COUNT('Hours Log'!$A$4:$A$5000)=0,"",IF(MIN('Hours Log'!$A$4:$A$5000)+7*(ROW()-10)&gt;MAX('Hours Log'!$A$4:$A$5000),"",MIN('Hours Log'!$A$4:$A$5000)+7*(ROW()-10)))</f>
        <v/>
      </c>
    </row>
    <row r="1725" spans="1:10" x14ac:dyDescent="0.25">
      <c r="A1725" t="str">
        <f>IF($J1725="","",YEAR($J1725-WEEKDAY($J1725,2)+4)&amp;"-W"&amp;TEXT(_xludf.ISOWEEKNUM($J1725),"00"))</f>
        <v/>
      </c>
      <c r="B1725"/>
      <c r="C1725" t="str">
        <f>IF($J1725="","",SUMIFS('Hours Log'!$C:$C,'Hours Log'!$A:$A,"&gt;="&amp;$J1725,'Hours Log'!$A:$A,"&lt;"&amp;$J1725+7)+SUMIFS('Hours Log'!$D:$D,'Hours Log'!$A:$A,"&gt;="&amp;$J1725,'Hours Log'!$A:$A,"&lt;"&amp;$J1725+7))</f>
        <v/>
      </c>
      <c r="D1725" t="str">
        <f>IF($J1725="","",SUMIFS('Hours Log'!$D:$D,'Hours Log'!$A:$A,"&gt;="&amp;$J1725,'Hours Log'!$A:$A,"&lt;"&amp;$J1725+7))</f>
        <v/>
      </c>
      <c r="E1725" t="str">
        <f t="shared" si="52"/>
        <v/>
      </c>
      <c r="F1725" t="str">
        <f t="shared" si="53"/>
        <v/>
      </c>
      <c r="G1725" t="str">
        <f>IF($J1725="","",SUMIFS('Hours Log'!$E:$E,'Hours Log'!$A:$A,"&gt;="&amp;$J1725,'Hours Log'!$A:$A,"&lt;"&amp;$J1725+7))</f>
        <v/>
      </c>
      <c r="J1725" t="str">
        <f>IF(COUNT('Hours Log'!$A$4:$A$5000)=0,"",IF(MIN('Hours Log'!$A$4:$A$5000)+7*(ROW()-10)&gt;MAX('Hours Log'!$A$4:$A$5000),"",MIN('Hours Log'!$A$4:$A$5000)+7*(ROW()-10)))</f>
        <v/>
      </c>
    </row>
    <row r="1726" spans="1:10" x14ac:dyDescent="0.25">
      <c r="A1726" t="str">
        <f>IF($J1726="","",YEAR($J1726-WEEKDAY($J1726,2)+4)&amp;"-W"&amp;TEXT(_xludf.ISOWEEKNUM($J1726),"00"))</f>
        <v/>
      </c>
      <c r="B1726"/>
      <c r="C1726" t="str">
        <f>IF($J1726="","",SUMIFS('Hours Log'!$C:$C,'Hours Log'!$A:$A,"&gt;="&amp;$J1726,'Hours Log'!$A:$A,"&lt;"&amp;$J1726+7)+SUMIFS('Hours Log'!$D:$D,'Hours Log'!$A:$A,"&gt;="&amp;$J1726,'Hours Log'!$A:$A,"&lt;"&amp;$J1726+7))</f>
        <v/>
      </c>
      <c r="D1726" t="str">
        <f>IF($J1726="","",SUMIFS('Hours Log'!$D:$D,'Hours Log'!$A:$A,"&gt;="&amp;$J1726,'Hours Log'!$A:$A,"&lt;"&amp;$J1726+7))</f>
        <v/>
      </c>
      <c r="E1726" t="str">
        <f t="shared" si="52"/>
        <v/>
      </c>
      <c r="F1726" t="str">
        <f t="shared" si="53"/>
        <v/>
      </c>
      <c r="G1726" t="str">
        <f>IF($J1726="","",SUMIFS('Hours Log'!$E:$E,'Hours Log'!$A:$A,"&gt;="&amp;$J1726,'Hours Log'!$A:$A,"&lt;"&amp;$J1726+7))</f>
        <v/>
      </c>
      <c r="J1726" t="str">
        <f>IF(COUNT('Hours Log'!$A$4:$A$5000)=0,"",IF(MIN('Hours Log'!$A$4:$A$5000)+7*(ROW()-10)&gt;MAX('Hours Log'!$A$4:$A$5000),"",MIN('Hours Log'!$A$4:$A$5000)+7*(ROW()-10)))</f>
        <v/>
      </c>
    </row>
    <row r="1727" spans="1:10" x14ac:dyDescent="0.25">
      <c r="A1727" t="str">
        <f>IF($J1727="","",YEAR($J1727-WEEKDAY($J1727,2)+4)&amp;"-W"&amp;TEXT(_xludf.ISOWEEKNUM($J1727),"00"))</f>
        <v/>
      </c>
      <c r="B1727"/>
      <c r="C1727" t="str">
        <f>IF($J1727="","",SUMIFS('Hours Log'!$C:$C,'Hours Log'!$A:$A,"&gt;="&amp;$J1727,'Hours Log'!$A:$A,"&lt;"&amp;$J1727+7)+SUMIFS('Hours Log'!$D:$D,'Hours Log'!$A:$A,"&gt;="&amp;$J1727,'Hours Log'!$A:$A,"&lt;"&amp;$J1727+7))</f>
        <v/>
      </c>
      <c r="D1727" t="str">
        <f>IF($J1727="","",SUMIFS('Hours Log'!$D:$D,'Hours Log'!$A:$A,"&gt;="&amp;$J1727,'Hours Log'!$A:$A,"&lt;"&amp;$J1727+7))</f>
        <v/>
      </c>
      <c r="E1727" t="str">
        <f t="shared" si="52"/>
        <v/>
      </c>
      <c r="F1727" t="str">
        <f t="shared" si="53"/>
        <v/>
      </c>
      <c r="G1727" t="str">
        <f>IF($J1727="","",SUMIFS('Hours Log'!$E:$E,'Hours Log'!$A:$A,"&gt;="&amp;$J1727,'Hours Log'!$A:$A,"&lt;"&amp;$J1727+7))</f>
        <v/>
      </c>
      <c r="J1727" t="str">
        <f>IF(COUNT('Hours Log'!$A$4:$A$5000)=0,"",IF(MIN('Hours Log'!$A$4:$A$5000)+7*(ROW()-10)&gt;MAX('Hours Log'!$A$4:$A$5000),"",MIN('Hours Log'!$A$4:$A$5000)+7*(ROW()-10)))</f>
        <v/>
      </c>
    </row>
    <row r="1728" spans="1:10" x14ac:dyDescent="0.25">
      <c r="A1728" t="str">
        <f>IF($J1728="","",YEAR($J1728-WEEKDAY($J1728,2)+4)&amp;"-W"&amp;TEXT(_xludf.ISOWEEKNUM($J1728),"00"))</f>
        <v/>
      </c>
      <c r="B1728"/>
      <c r="C1728" t="str">
        <f>IF($J1728="","",SUMIFS('Hours Log'!$C:$C,'Hours Log'!$A:$A,"&gt;="&amp;$J1728,'Hours Log'!$A:$A,"&lt;"&amp;$J1728+7)+SUMIFS('Hours Log'!$D:$D,'Hours Log'!$A:$A,"&gt;="&amp;$J1728,'Hours Log'!$A:$A,"&lt;"&amp;$J1728+7))</f>
        <v/>
      </c>
      <c r="D1728" t="str">
        <f>IF($J1728="","",SUMIFS('Hours Log'!$D:$D,'Hours Log'!$A:$A,"&gt;="&amp;$J1728,'Hours Log'!$A:$A,"&lt;"&amp;$J1728+7))</f>
        <v/>
      </c>
      <c r="E1728" t="str">
        <f t="shared" si="52"/>
        <v/>
      </c>
      <c r="F1728" t="str">
        <f t="shared" si="53"/>
        <v/>
      </c>
      <c r="G1728" t="str">
        <f>IF($J1728="","",SUMIFS('Hours Log'!$E:$E,'Hours Log'!$A:$A,"&gt;="&amp;$J1728,'Hours Log'!$A:$A,"&lt;"&amp;$J1728+7))</f>
        <v/>
      </c>
      <c r="J1728" t="str">
        <f>IF(COUNT('Hours Log'!$A$4:$A$5000)=0,"",IF(MIN('Hours Log'!$A$4:$A$5000)+7*(ROW()-10)&gt;MAX('Hours Log'!$A$4:$A$5000),"",MIN('Hours Log'!$A$4:$A$5000)+7*(ROW()-10)))</f>
        <v/>
      </c>
    </row>
    <row r="1729" spans="1:10" x14ac:dyDescent="0.25">
      <c r="A1729" t="str">
        <f>IF($J1729="","",YEAR($J1729-WEEKDAY($J1729,2)+4)&amp;"-W"&amp;TEXT(_xludf.ISOWEEKNUM($J1729),"00"))</f>
        <v/>
      </c>
      <c r="B1729"/>
      <c r="C1729" t="str">
        <f>IF($J1729="","",SUMIFS('Hours Log'!$C:$C,'Hours Log'!$A:$A,"&gt;="&amp;$J1729,'Hours Log'!$A:$A,"&lt;"&amp;$J1729+7)+SUMIFS('Hours Log'!$D:$D,'Hours Log'!$A:$A,"&gt;="&amp;$J1729,'Hours Log'!$A:$A,"&lt;"&amp;$J1729+7))</f>
        <v/>
      </c>
      <c r="D1729" t="str">
        <f>IF($J1729="","",SUMIFS('Hours Log'!$D:$D,'Hours Log'!$A:$A,"&gt;="&amp;$J1729,'Hours Log'!$A:$A,"&lt;"&amp;$J1729+7))</f>
        <v/>
      </c>
      <c r="E1729" t="str">
        <f t="shared" si="52"/>
        <v/>
      </c>
      <c r="F1729" t="str">
        <f t="shared" si="53"/>
        <v/>
      </c>
      <c r="G1729" t="str">
        <f>IF($J1729="","",SUMIFS('Hours Log'!$E:$E,'Hours Log'!$A:$A,"&gt;="&amp;$J1729,'Hours Log'!$A:$A,"&lt;"&amp;$J1729+7))</f>
        <v/>
      </c>
      <c r="J1729" t="str">
        <f>IF(COUNT('Hours Log'!$A$4:$A$5000)=0,"",IF(MIN('Hours Log'!$A$4:$A$5000)+7*(ROW()-10)&gt;MAX('Hours Log'!$A$4:$A$5000),"",MIN('Hours Log'!$A$4:$A$5000)+7*(ROW()-10)))</f>
        <v/>
      </c>
    </row>
    <row r="1730" spans="1:10" x14ac:dyDescent="0.25">
      <c r="A1730" t="str">
        <f>IF($J1730="","",YEAR($J1730-WEEKDAY($J1730,2)+4)&amp;"-W"&amp;TEXT(_xludf.ISOWEEKNUM($J1730),"00"))</f>
        <v/>
      </c>
      <c r="B1730"/>
      <c r="C1730" t="str">
        <f>IF($J1730="","",SUMIFS('Hours Log'!$C:$C,'Hours Log'!$A:$A,"&gt;="&amp;$J1730,'Hours Log'!$A:$A,"&lt;"&amp;$J1730+7)+SUMIFS('Hours Log'!$D:$D,'Hours Log'!$A:$A,"&gt;="&amp;$J1730,'Hours Log'!$A:$A,"&lt;"&amp;$J1730+7))</f>
        <v/>
      </c>
      <c r="D1730" t="str">
        <f>IF($J1730="","",SUMIFS('Hours Log'!$D:$D,'Hours Log'!$A:$A,"&gt;="&amp;$J1730,'Hours Log'!$A:$A,"&lt;"&amp;$J1730+7))</f>
        <v/>
      </c>
      <c r="E1730" t="str">
        <f t="shared" si="52"/>
        <v/>
      </c>
      <c r="F1730" t="str">
        <f t="shared" si="53"/>
        <v/>
      </c>
      <c r="G1730" t="str">
        <f>IF($J1730="","",SUMIFS('Hours Log'!$E:$E,'Hours Log'!$A:$A,"&gt;="&amp;$J1730,'Hours Log'!$A:$A,"&lt;"&amp;$J1730+7))</f>
        <v/>
      </c>
      <c r="J1730" t="str">
        <f>IF(COUNT('Hours Log'!$A$4:$A$5000)=0,"",IF(MIN('Hours Log'!$A$4:$A$5000)+7*(ROW()-10)&gt;MAX('Hours Log'!$A$4:$A$5000),"",MIN('Hours Log'!$A$4:$A$5000)+7*(ROW()-10)))</f>
        <v/>
      </c>
    </row>
    <row r="1731" spans="1:10" x14ac:dyDescent="0.25">
      <c r="A1731" t="str">
        <f>IF($J1731="","",YEAR($J1731-WEEKDAY($J1731,2)+4)&amp;"-W"&amp;TEXT(_xludf.ISOWEEKNUM($J1731),"00"))</f>
        <v/>
      </c>
      <c r="B1731"/>
      <c r="C1731" t="str">
        <f>IF($J1731="","",SUMIFS('Hours Log'!$C:$C,'Hours Log'!$A:$A,"&gt;="&amp;$J1731,'Hours Log'!$A:$A,"&lt;"&amp;$J1731+7)+SUMIFS('Hours Log'!$D:$D,'Hours Log'!$A:$A,"&gt;="&amp;$J1731,'Hours Log'!$A:$A,"&lt;"&amp;$J1731+7))</f>
        <v/>
      </c>
      <c r="D1731" t="str">
        <f>IF($J1731="","",SUMIFS('Hours Log'!$D:$D,'Hours Log'!$A:$A,"&gt;="&amp;$J1731,'Hours Log'!$A:$A,"&lt;"&amp;$J1731+7))</f>
        <v/>
      </c>
      <c r="E1731" t="str">
        <f t="shared" si="52"/>
        <v/>
      </c>
      <c r="F1731" t="str">
        <f t="shared" si="53"/>
        <v/>
      </c>
      <c r="G1731" t="str">
        <f>IF($J1731="","",SUMIFS('Hours Log'!$E:$E,'Hours Log'!$A:$A,"&gt;="&amp;$J1731,'Hours Log'!$A:$A,"&lt;"&amp;$J1731+7))</f>
        <v/>
      </c>
      <c r="J1731" t="str">
        <f>IF(COUNT('Hours Log'!$A$4:$A$5000)=0,"",IF(MIN('Hours Log'!$A$4:$A$5000)+7*(ROW()-10)&gt;MAX('Hours Log'!$A$4:$A$5000),"",MIN('Hours Log'!$A$4:$A$5000)+7*(ROW()-10)))</f>
        <v/>
      </c>
    </row>
    <row r="1732" spans="1:10" x14ac:dyDescent="0.25">
      <c r="A1732" t="str">
        <f>IF($J1732="","",YEAR($J1732-WEEKDAY($J1732,2)+4)&amp;"-W"&amp;TEXT(_xludf.ISOWEEKNUM($J1732),"00"))</f>
        <v/>
      </c>
      <c r="B1732"/>
      <c r="C1732" t="str">
        <f>IF($J1732="","",SUMIFS('Hours Log'!$C:$C,'Hours Log'!$A:$A,"&gt;="&amp;$J1732,'Hours Log'!$A:$A,"&lt;"&amp;$J1732+7)+SUMIFS('Hours Log'!$D:$D,'Hours Log'!$A:$A,"&gt;="&amp;$J1732,'Hours Log'!$A:$A,"&lt;"&amp;$J1732+7))</f>
        <v/>
      </c>
      <c r="D1732" t="str">
        <f>IF($J1732="","",SUMIFS('Hours Log'!$D:$D,'Hours Log'!$A:$A,"&gt;="&amp;$J1732,'Hours Log'!$A:$A,"&lt;"&amp;$J1732+7))</f>
        <v/>
      </c>
      <c r="E1732" t="str">
        <f t="shared" si="52"/>
        <v/>
      </c>
      <c r="F1732" t="str">
        <f t="shared" si="53"/>
        <v/>
      </c>
      <c r="G1732" t="str">
        <f>IF($J1732="","",SUMIFS('Hours Log'!$E:$E,'Hours Log'!$A:$A,"&gt;="&amp;$J1732,'Hours Log'!$A:$A,"&lt;"&amp;$J1732+7))</f>
        <v/>
      </c>
      <c r="J1732" t="str">
        <f>IF(COUNT('Hours Log'!$A$4:$A$5000)=0,"",IF(MIN('Hours Log'!$A$4:$A$5000)+7*(ROW()-10)&gt;MAX('Hours Log'!$A$4:$A$5000),"",MIN('Hours Log'!$A$4:$A$5000)+7*(ROW()-10)))</f>
        <v/>
      </c>
    </row>
    <row r="1733" spans="1:10" x14ac:dyDescent="0.25">
      <c r="A1733" t="str">
        <f>IF($J1733="","",YEAR($J1733-WEEKDAY($J1733,2)+4)&amp;"-W"&amp;TEXT(_xludf.ISOWEEKNUM($J1733),"00"))</f>
        <v/>
      </c>
      <c r="B1733"/>
      <c r="C1733" t="str">
        <f>IF($J1733="","",SUMIFS('Hours Log'!$C:$C,'Hours Log'!$A:$A,"&gt;="&amp;$J1733,'Hours Log'!$A:$A,"&lt;"&amp;$J1733+7)+SUMIFS('Hours Log'!$D:$D,'Hours Log'!$A:$A,"&gt;="&amp;$J1733,'Hours Log'!$A:$A,"&lt;"&amp;$J1733+7))</f>
        <v/>
      </c>
      <c r="D1733" t="str">
        <f>IF($J1733="","",SUMIFS('Hours Log'!$D:$D,'Hours Log'!$A:$A,"&gt;="&amp;$J1733,'Hours Log'!$A:$A,"&lt;"&amp;$J1733+7))</f>
        <v/>
      </c>
      <c r="E1733" t="str">
        <f t="shared" si="52"/>
        <v/>
      </c>
      <c r="F1733" t="str">
        <f t="shared" si="53"/>
        <v/>
      </c>
      <c r="G1733" t="str">
        <f>IF($J1733="","",SUMIFS('Hours Log'!$E:$E,'Hours Log'!$A:$A,"&gt;="&amp;$J1733,'Hours Log'!$A:$A,"&lt;"&amp;$J1733+7))</f>
        <v/>
      </c>
      <c r="J1733" t="str">
        <f>IF(COUNT('Hours Log'!$A$4:$A$5000)=0,"",IF(MIN('Hours Log'!$A$4:$A$5000)+7*(ROW()-10)&gt;MAX('Hours Log'!$A$4:$A$5000),"",MIN('Hours Log'!$A$4:$A$5000)+7*(ROW()-10)))</f>
        <v/>
      </c>
    </row>
    <row r="1734" spans="1:10" x14ac:dyDescent="0.25">
      <c r="A1734" t="str">
        <f>IF($J1734="","",YEAR($J1734-WEEKDAY($J1734,2)+4)&amp;"-W"&amp;TEXT(_xludf.ISOWEEKNUM($J1734),"00"))</f>
        <v/>
      </c>
      <c r="B1734"/>
      <c r="C1734" t="str">
        <f>IF($J1734="","",SUMIFS('Hours Log'!$C:$C,'Hours Log'!$A:$A,"&gt;="&amp;$J1734,'Hours Log'!$A:$A,"&lt;"&amp;$J1734+7)+SUMIFS('Hours Log'!$D:$D,'Hours Log'!$A:$A,"&gt;="&amp;$J1734,'Hours Log'!$A:$A,"&lt;"&amp;$J1734+7))</f>
        <v/>
      </c>
      <c r="D1734" t="str">
        <f>IF($J1734="","",SUMIFS('Hours Log'!$D:$D,'Hours Log'!$A:$A,"&gt;="&amp;$J1734,'Hours Log'!$A:$A,"&lt;"&amp;$J1734+7))</f>
        <v/>
      </c>
      <c r="E1734" t="str">
        <f t="shared" si="52"/>
        <v/>
      </c>
      <c r="F1734" t="str">
        <f t="shared" si="53"/>
        <v/>
      </c>
      <c r="G1734" t="str">
        <f>IF($J1734="","",SUMIFS('Hours Log'!$E:$E,'Hours Log'!$A:$A,"&gt;="&amp;$J1734,'Hours Log'!$A:$A,"&lt;"&amp;$J1734+7))</f>
        <v/>
      </c>
      <c r="J1734" t="str">
        <f>IF(COUNT('Hours Log'!$A$4:$A$5000)=0,"",IF(MIN('Hours Log'!$A$4:$A$5000)+7*(ROW()-10)&gt;MAX('Hours Log'!$A$4:$A$5000),"",MIN('Hours Log'!$A$4:$A$5000)+7*(ROW()-10)))</f>
        <v/>
      </c>
    </row>
    <row r="1735" spans="1:10" x14ac:dyDescent="0.25">
      <c r="A1735" t="str">
        <f>IF($J1735="","",YEAR($J1735-WEEKDAY($J1735,2)+4)&amp;"-W"&amp;TEXT(_xludf.ISOWEEKNUM($J1735),"00"))</f>
        <v/>
      </c>
      <c r="B1735"/>
      <c r="C1735" t="str">
        <f>IF($J1735="","",SUMIFS('Hours Log'!$C:$C,'Hours Log'!$A:$A,"&gt;="&amp;$J1735,'Hours Log'!$A:$A,"&lt;"&amp;$J1735+7)+SUMIFS('Hours Log'!$D:$D,'Hours Log'!$A:$A,"&gt;="&amp;$J1735,'Hours Log'!$A:$A,"&lt;"&amp;$J1735+7))</f>
        <v/>
      </c>
      <c r="D1735" t="str">
        <f>IF($J1735="","",SUMIFS('Hours Log'!$D:$D,'Hours Log'!$A:$A,"&gt;="&amp;$J1735,'Hours Log'!$A:$A,"&lt;"&amp;$J1735+7))</f>
        <v/>
      </c>
      <c r="E1735" t="str">
        <f t="shared" si="52"/>
        <v/>
      </c>
      <c r="F1735" t="str">
        <f t="shared" si="53"/>
        <v/>
      </c>
      <c r="G1735" t="str">
        <f>IF($J1735="","",SUMIFS('Hours Log'!$E:$E,'Hours Log'!$A:$A,"&gt;="&amp;$J1735,'Hours Log'!$A:$A,"&lt;"&amp;$J1735+7))</f>
        <v/>
      </c>
      <c r="J1735" t="str">
        <f>IF(COUNT('Hours Log'!$A$4:$A$5000)=0,"",IF(MIN('Hours Log'!$A$4:$A$5000)+7*(ROW()-10)&gt;MAX('Hours Log'!$A$4:$A$5000),"",MIN('Hours Log'!$A$4:$A$5000)+7*(ROW()-10)))</f>
        <v/>
      </c>
    </row>
    <row r="1736" spans="1:10" x14ac:dyDescent="0.25">
      <c r="A1736" t="str">
        <f>IF($J1736="","",YEAR($J1736-WEEKDAY($J1736,2)+4)&amp;"-W"&amp;TEXT(_xludf.ISOWEEKNUM($J1736),"00"))</f>
        <v/>
      </c>
      <c r="B1736"/>
      <c r="C1736" t="str">
        <f>IF($J1736="","",SUMIFS('Hours Log'!$C:$C,'Hours Log'!$A:$A,"&gt;="&amp;$J1736,'Hours Log'!$A:$A,"&lt;"&amp;$J1736+7)+SUMIFS('Hours Log'!$D:$D,'Hours Log'!$A:$A,"&gt;="&amp;$J1736,'Hours Log'!$A:$A,"&lt;"&amp;$J1736+7))</f>
        <v/>
      </c>
      <c r="D1736" t="str">
        <f>IF($J1736="","",SUMIFS('Hours Log'!$D:$D,'Hours Log'!$A:$A,"&gt;="&amp;$J1736,'Hours Log'!$A:$A,"&lt;"&amp;$J1736+7))</f>
        <v/>
      </c>
      <c r="E1736" t="str">
        <f t="shared" si="52"/>
        <v/>
      </c>
      <c r="F1736" t="str">
        <f t="shared" si="53"/>
        <v/>
      </c>
      <c r="G1736" t="str">
        <f>IF($J1736="","",SUMIFS('Hours Log'!$E:$E,'Hours Log'!$A:$A,"&gt;="&amp;$J1736,'Hours Log'!$A:$A,"&lt;"&amp;$J1736+7))</f>
        <v/>
      </c>
      <c r="J1736" t="str">
        <f>IF(COUNT('Hours Log'!$A$4:$A$5000)=0,"",IF(MIN('Hours Log'!$A$4:$A$5000)+7*(ROW()-10)&gt;MAX('Hours Log'!$A$4:$A$5000),"",MIN('Hours Log'!$A$4:$A$5000)+7*(ROW()-10)))</f>
        <v/>
      </c>
    </row>
    <row r="1737" spans="1:10" x14ac:dyDescent="0.25">
      <c r="A1737" t="str">
        <f>IF($J1737="","",YEAR($J1737-WEEKDAY($J1737,2)+4)&amp;"-W"&amp;TEXT(_xludf.ISOWEEKNUM($J1737),"00"))</f>
        <v/>
      </c>
      <c r="B1737"/>
      <c r="C1737" t="str">
        <f>IF($J1737="","",SUMIFS('Hours Log'!$C:$C,'Hours Log'!$A:$A,"&gt;="&amp;$J1737,'Hours Log'!$A:$A,"&lt;"&amp;$J1737+7)+SUMIFS('Hours Log'!$D:$D,'Hours Log'!$A:$A,"&gt;="&amp;$J1737,'Hours Log'!$A:$A,"&lt;"&amp;$J1737+7))</f>
        <v/>
      </c>
      <c r="D1737" t="str">
        <f>IF($J1737="","",SUMIFS('Hours Log'!$D:$D,'Hours Log'!$A:$A,"&gt;="&amp;$J1737,'Hours Log'!$A:$A,"&lt;"&amp;$J1737+7))</f>
        <v/>
      </c>
      <c r="E1737" t="str">
        <f t="shared" si="52"/>
        <v/>
      </c>
      <c r="F1737" t="str">
        <f t="shared" si="53"/>
        <v/>
      </c>
      <c r="G1737" t="str">
        <f>IF($J1737="","",SUMIFS('Hours Log'!$E:$E,'Hours Log'!$A:$A,"&gt;="&amp;$J1737,'Hours Log'!$A:$A,"&lt;"&amp;$J1737+7))</f>
        <v/>
      </c>
      <c r="J1737" t="str">
        <f>IF(COUNT('Hours Log'!$A$4:$A$5000)=0,"",IF(MIN('Hours Log'!$A$4:$A$5000)+7*(ROW()-10)&gt;MAX('Hours Log'!$A$4:$A$5000),"",MIN('Hours Log'!$A$4:$A$5000)+7*(ROW()-10)))</f>
        <v/>
      </c>
    </row>
    <row r="1738" spans="1:10" x14ac:dyDescent="0.25">
      <c r="A1738" t="str">
        <f>IF($J1738="","",YEAR($J1738-WEEKDAY($J1738,2)+4)&amp;"-W"&amp;TEXT(_xludf.ISOWEEKNUM($J1738),"00"))</f>
        <v/>
      </c>
      <c r="B1738"/>
      <c r="C1738" t="str">
        <f>IF($J1738="","",SUMIFS('Hours Log'!$C:$C,'Hours Log'!$A:$A,"&gt;="&amp;$J1738,'Hours Log'!$A:$A,"&lt;"&amp;$J1738+7)+SUMIFS('Hours Log'!$D:$D,'Hours Log'!$A:$A,"&gt;="&amp;$J1738,'Hours Log'!$A:$A,"&lt;"&amp;$J1738+7))</f>
        <v/>
      </c>
      <c r="D1738" t="str">
        <f>IF($J1738="","",SUMIFS('Hours Log'!$D:$D,'Hours Log'!$A:$A,"&gt;="&amp;$J1738,'Hours Log'!$A:$A,"&lt;"&amp;$J1738+7))</f>
        <v/>
      </c>
      <c r="E1738" t="str">
        <f t="shared" ref="E1738:E1801" si="54">IF($J1738="","",IFERROR(C1738/(B1738*40),0))</f>
        <v/>
      </c>
      <c r="F1738" t="str">
        <f t="shared" ref="F1738:F1801" si="55">IF($J1738="","",0)</f>
        <v/>
      </c>
      <c r="G1738" t="str">
        <f>IF($J1738="","",SUMIFS('Hours Log'!$E:$E,'Hours Log'!$A:$A,"&gt;="&amp;$J1738,'Hours Log'!$A:$A,"&lt;"&amp;$J1738+7))</f>
        <v/>
      </c>
      <c r="J1738" t="str">
        <f>IF(COUNT('Hours Log'!$A$4:$A$5000)=0,"",IF(MIN('Hours Log'!$A$4:$A$5000)+7*(ROW()-10)&gt;MAX('Hours Log'!$A$4:$A$5000),"",MIN('Hours Log'!$A$4:$A$5000)+7*(ROW()-10)))</f>
        <v/>
      </c>
    </row>
    <row r="1739" spans="1:10" x14ac:dyDescent="0.25">
      <c r="A1739" t="str">
        <f>IF($J1739="","",YEAR($J1739-WEEKDAY($J1739,2)+4)&amp;"-W"&amp;TEXT(_xludf.ISOWEEKNUM($J1739),"00"))</f>
        <v/>
      </c>
      <c r="B1739"/>
      <c r="C1739" t="str">
        <f>IF($J1739="","",SUMIFS('Hours Log'!$C:$C,'Hours Log'!$A:$A,"&gt;="&amp;$J1739,'Hours Log'!$A:$A,"&lt;"&amp;$J1739+7)+SUMIFS('Hours Log'!$D:$D,'Hours Log'!$A:$A,"&gt;="&amp;$J1739,'Hours Log'!$A:$A,"&lt;"&amp;$J1739+7))</f>
        <v/>
      </c>
      <c r="D1739" t="str">
        <f>IF($J1739="","",SUMIFS('Hours Log'!$D:$D,'Hours Log'!$A:$A,"&gt;="&amp;$J1739,'Hours Log'!$A:$A,"&lt;"&amp;$J1739+7))</f>
        <v/>
      </c>
      <c r="E1739" t="str">
        <f t="shared" si="54"/>
        <v/>
      </c>
      <c r="F1739" t="str">
        <f t="shared" si="55"/>
        <v/>
      </c>
      <c r="G1739" t="str">
        <f>IF($J1739="","",SUMIFS('Hours Log'!$E:$E,'Hours Log'!$A:$A,"&gt;="&amp;$J1739,'Hours Log'!$A:$A,"&lt;"&amp;$J1739+7))</f>
        <v/>
      </c>
      <c r="J1739" t="str">
        <f>IF(COUNT('Hours Log'!$A$4:$A$5000)=0,"",IF(MIN('Hours Log'!$A$4:$A$5000)+7*(ROW()-10)&gt;MAX('Hours Log'!$A$4:$A$5000),"",MIN('Hours Log'!$A$4:$A$5000)+7*(ROW()-10)))</f>
        <v/>
      </c>
    </row>
    <row r="1740" spans="1:10" x14ac:dyDescent="0.25">
      <c r="A1740" t="str">
        <f>IF($J1740="","",YEAR($J1740-WEEKDAY($J1740,2)+4)&amp;"-W"&amp;TEXT(_xludf.ISOWEEKNUM($J1740),"00"))</f>
        <v/>
      </c>
      <c r="B1740"/>
      <c r="C1740" t="str">
        <f>IF($J1740="","",SUMIFS('Hours Log'!$C:$C,'Hours Log'!$A:$A,"&gt;="&amp;$J1740,'Hours Log'!$A:$A,"&lt;"&amp;$J1740+7)+SUMIFS('Hours Log'!$D:$D,'Hours Log'!$A:$A,"&gt;="&amp;$J1740,'Hours Log'!$A:$A,"&lt;"&amp;$J1740+7))</f>
        <v/>
      </c>
      <c r="D1740" t="str">
        <f>IF($J1740="","",SUMIFS('Hours Log'!$D:$D,'Hours Log'!$A:$A,"&gt;="&amp;$J1740,'Hours Log'!$A:$A,"&lt;"&amp;$J1740+7))</f>
        <v/>
      </c>
      <c r="E1740" t="str">
        <f t="shared" si="54"/>
        <v/>
      </c>
      <c r="F1740" t="str">
        <f t="shared" si="55"/>
        <v/>
      </c>
      <c r="G1740" t="str">
        <f>IF($J1740="","",SUMIFS('Hours Log'!$E:$E,'Hours Log'!$A:$A,"&gt;="&amp;$J1740,'Hours Log'!$A:$A,"&lt;"&amp;$J1740+7))</f>
        <v/>
      </c>
      <c r="J1740" t="str">
        <f>IF(COUNT('Hours Log'!$A$4:$A$5000)=0,"",IF(MIN('Hours Log'!$A$4:$A$5000)+7*(ROW()-10)&gt;MAX('Hours Log'!$A$4:$A$5000),"",MIN('Hours Log'!$A$4:$A$5000)+7*(ROW()-10)))</f>
        <v/>
      </c>
    </row>
    <row r="1741" spans="1:10" x14ac:dyDescent="0.25">
      <c r="A1741" t="str">
        <f>IF($J1741="","",YEAR($J1741-WEEKDAY($J1741,2)+4)&amp;"-W"&amp;TEXT(_xludf.ISOWEEKNUM($J1741),"00"))</f>
        <v/>
      </c>
      <c r="B1741"/>
      <c r="C1741" t="str">
        <f>IF($J1741="","",SUMIFS('Hours Log'!$C:$C,'Hours Log'!$A:$A,"&gt;="&amp;$J1741,'Hours Log'!$A:$A,"&lt;"&amp;$J1741+7)+SUMIFS('Hours Log'!$D:$D,'Hours Log'!$A:$A,"&gt;="&amp;$J1741,'Hours Log'!$A:$A,"&lt;"&amp;$J1741+7))</f>
        <v/>
      </c>
      <c r="D1741" t="str">
        <f>IF($J1741="","",SUMIFS('Hours Log'!$D:$D,'Hours Log'!$A:$A,"&gt;="&amp;$J1741,'Hours Log'!$A:$A,"&lt;"&amp;$J1741+7))</f>
        <v/>
      </c>
      <c r="E1741" t="str">
        <f t="shared" si="54"/>
        <v/>
      </c>
      <c r="F1741" t="str">
        <f t="shared" si="55"/>
        <v/>
      </c>
      <c r="G1741" t="str">
        <f>IF($J1741="","",SUMIFS('Hours Log'!$E:$E,'Hours Log'!$A:$A,"&gt;="&amp;$J1741,'Hours Log'!$A:$A,"&lt;"&amp;$J1741+7))</f>
        <v/>
      </c>
      <c r="J1741" t="str">
        <f>IF(COUNT('Hours Log'!$A$4:$A$5000)=0,"",IF(MIN('Hours Log'!$A$4:$A$5000)+7*(ROW()-10)&gt;MAX('Hours Log'!$A$4:$A$5000),"",MIN('Hours Log'!$A$4:$A$5000)+7*(ROW()-10)))</f>
        <v/>
      </c>
    </row>
    <row r="1742" spans="1:10" x14ac:dyDescent="0.25">
      <c r="A1742" t="str">
        <f>IF($J1742="","",YEAR($J1742-WEEKDAY($J1742,2)+4)&amp;"-W"&amp;TEXT(_xludf.ISOWEEKNUM($J1742),"00"))</f>
        <v/>
      </c>
      <c r="B1742"/>
      <c r="C1742" t="str">
        <f>IF($J1742="","",SUMIFS('Hours Log'!$C:$C,'Hours Log'!$A:$A,"&gt;="&amp;$J1742,'Hours Log'!$A:$A,"&lt;"&amp;$J1742+7)+SUMIFS('Hours Log'!$D:$D,'Hours Log'!$A:$A,"&gt;="&amp;$J1742,'Hours Log'!$A:$A,"&lt;"&amp;$J1742+7))</f>
        <v/>
      </c>
      <c r="D1742" t="str">
        <f>IF($J1742="","",SUMIFS('Hours Log'!$D:$D,'Hours Log'!$A:$A,"&gt;="&amp;$J1742,'Hours Log'!$A:$A,"&lt;"&amp;$J1742+7))</f>
        <v/>
      </c>
      <c r="E1742" t="str">
        <f t="shared" si="54"/>
        <v/>
      </c>
      <c r="F1742" t="str">
        <f t="shared" si="55"/>
        <v/>
      </c>
      <c r="G1742" t="str">
        <f>IF($J1742="","",SUMIFS('Hours Log'!$E:$E,'Hours Log'!$A:$A,"&gt;="&amp;$J1742,'Hours Log'!$A:$A,"&lt;"&amp;$J1742+7))</f>
        <v/>
      </c>
      <c r="J1742" t="str">
        <f>IF(COUNT('Hours Log'!$A$4:$A$5000)=0,"",IF(MIN('Hours Log'!$A$4:$A$5000)+7*(ROW()-10)&gt;MAX('Hours Log'!$A$4:$A$5000),"",MIN('Hours Log'!$A$4:$A$5000)+7*(ROW()-10)))</f>
        <v/>
      </c>
    </row>
    <row r="1743" spans="1:10" x14ac:dyDescent="0.25">
      <c r="A1743" t="str">
        <f>IF($J1743="","",YEAR($J1743-WEEKDAY($J1743,2)+4)&amp;"-W"&amp;TEXT(_xludf.ISOWEEKNUM($J1743),"00"))</f>
        <v/>
      </c>
      <c r="B1743"/>
      <c r="C1743" t="str">
        <f>IF($J1743="","",SUMIFS('Hours Log'!$C:$C,'Hours Log'!$A:$A,"&gt;="&amp;$J1743,'Hours Log'!$A:$A,"&lt;"&amp;$J1743+7)+SUMIFS('Hours Log'!$D:$D,'Hours Log'!$A:$A,"&gt;="&amp;$J1743,'Hours Log'!$A:$A,"&lt;"&amp;$J1743+7))</f>
        <v/>
      </c>
      <c r="D1743" t="str">
        <f>IF($J1743="","",SUMIFS('Hours Log'!$D:$D,'Hours Log'!$A:$A,"&gt;="&amp;$J1743,'Hours Log'!$A:$A,"&lt;"&amp;$J1743+7))</f>
        <v/>
      </c>
      <c r="E1743" t="str">
        <f t="shared" si="54"/>
        <v/>
      </c>
      <c r="F1743" t="str">
        <f t="shared" si="55"/>
        <v/>
      </c>
      <c r="G1743" t="str">
        <f>IF($J1743="","",SUMIFS('Hours Log'!$E:$E,'Hours Log'!$A:$A,"&gt;="&amp;$J1743,'Hours Log'!$A:$A,"&lt;"&amp;$J1743+7))</f>
        <v/>
      </c>
      <c r="J1743" t="str">
        <f>IF(COUNT('Hours Log'!$A$4:$A$5000)=0,"",IF(MIN('Hours Log'!$A$4:$A$5000)+7*(ROW()-10)&gt;MAX('Hours Log'!$A$4:$A$5000),"",MIN('Hours Log'!$A$4:$A$5000)+7*(ROW()-10)))</f>
        <v/>
      </c>
    </row>
    <row r="1744" spans="1:10" x14ac:dyDescent="0.25">
      <c r="A1744" t="str">
        <f>IF($J1744="","",YEAR($J1744-WEEKDAY($J1744,2)+4)&amp;"-W"&amp;TEXT(_xludf.ISOWEEKNUM($J1744),"00"))</f>
        <v/>
      </c>
      <c r="B1744"/>
      <c r="C1744" t="str">
        <f>IF($J1744="","",SUMIFS('Hours Log'!$C:$C,'Hours Log'!$A:$A,"&gt;="&amp;$J1744,'Hours Log'!$A:$A,"&lt;"&amp;$J1744+7)+SUMIFS('Hours Log'!$D:$D,'Hours Log'!$A:$A,"&gt;="&amp;$J1744,'Hours Log'!$A:$A,"&lt;"&amp;$J1744+7))</f>
        <v/>
      </c>
      <c r="D1744" t="str">
        <f>IF($J1744="","",SUMIFS('Hours Log'!$D:$D,'Hours Log'!$A:$A,"&gt;="&amp;$J1744,'Hours Log'!$A:$A,"&lt;"&amp;$J1744+7))</f>
        <v/>
      </c>
      <c r="E1744" t="str">
        <f t="shared" si="54"/>
        <v/>
      </c>
      <c r="F1744" t="str">
        <f t="shared" si="55"/>
        <v/>
      </c>
      <c r="G1744" t="str">
        <f>IF($J1744="","",SUMIFS('Hours Log'!$E:$E,'Hours Log'!$A:$A,"&gt;="&amp;$J1744,'Hours Log'!$A:$A,"&lt;"&amp;$J1744+7))</f>
        <v/>
      </c>
      <c r="J1744" t="str">
        <f>IF(COUNT('Hours Log'!$A$4:$A$5000)=0,"",IF(MIN('Hours Log'!$A$4:$A$5000)+7*(ROW()-10)&gt;MAX('Hours Log'!$A$4:$A$5000),"",MIN('Hours Log'!$A$4:$A$5000)+7*(ROW()-10)))</f>
        <v/>
      </c>
    </row>
    <row r="1745" spans="1:10" x14ac:dyDescent="0.25">
      <c r="A1745" t="str">
        <f>IF($J1745="","",YEAR($J1745-WEEKDAY($J1745,2)+4)&amp;"-W"&amp;TEXT(_xludf.ISOWEEKNUM($J1745),"00"))</f>
        <v/>
      </c>
      <c r="B1745"/>
      <c r="C1745" t="str">
        <f>IF($J1745="","",SUMIFS('Hours Log'!$C:$C,'Hours Log'!$A:$A,"&gt;="&amp;$J1745,'Hours Log'!$A:$A,"&lt;"&amp;$J1745+7)+SUMIFS('Hours Log'!$D:$D,'Hours Log'!$A:$A,"&gt;="&amp;$J1745,'Hours Log'!$A:$A,"&lt;"&amp;$J1745+7))</f>
        <v/>
      </c>
      <c r="D1745" t="str">
        <f>IF($J1745="","",SUMIFS('Hours Log'!$D:$D,'Hours Log'!$A:$A,"&gt;="&amp;$J1745,'Hours Log'!$A:$A,"&lt;"&amp;$J1745+7))</f>
        <v/>
      </c>
      <c r="E1745" t="str">
        <f t="shared" si="54"/>
        <v/>
      </c>
      <c r="F1745" t="str">
        <f t="shared" si="55"/>
        <v/>
      </c>
      <c r="G1745" t="str">
        <f>IF($J1745="","",SUMIFS('Hours Log'!$E:$E,'Hours Log'!$A:$A,"&gt;="&amp;$J1745,'Hours Log'!$A:$A,"&lt;"&amp;$J1745+7))</f>
        <v/>
      </c>
      <c r="J1745" t="str">
        <f>IF(COUNT('Hours Log'!$A$4:$A$5000)=0,"",IF(MIN('Hours Log'!$A$4:$A$5000)+7*(ROW()-10)&gt;MAX('Hours Log'!$A$4:$A$5000),"",MIN('Hours Log'!$A$4:$A$5000)+7*(ROW()-10)))</f>
        <v/>
      </c>
    </row>
    <row r="1746" spans="1:10" x14ac:dyDescent="0.25">
      <c r="A1746" t="str">
        <f>IF($J1746="","",YEAR($J1746-WEEKDAY($J1746,2)+4)&amp;"-W"&amp;TEXT(_xludf.ISOWEEKNUM($J1746),"00"))</f>
        <v/>
      </c>
      <c r="B1746"/>
      <c r="C1746" t="str">
        <f>IF($J1746="","",SUMIFS('Hours Log'!$C:$C,'Hours Log'!$A:$A,"&gt;="&amp;$J1746,'Hours Log'!$A:$A,"&lt;"&amp;$J1746+7)+SUMIFS('Hours Log'!$D:$D,'Hours Log'!$A:$A,"&gt;="&amp;$J1746,'Hours Log'!$A:$A,"&lt;"&amp;$J1746+7))</f>
        <v/>
      </c>
      <c r="D1746" t="str">
        <f>IF($J1746="","",SUMIFS('Hours Log'!$D:$D,'Hours Log'!$A:$A,"&gt;="&amp;$J1746,'Hours Log'!$A:$A,"&lt;"&amp;$J1746+7))</f>
        <v/>
      </c>
      <c r="E1746" t="str">
        <f t="shared" si="54"/>
        <v/>
      </c>
      <c r="F1746" t="str">
        <f t="shared" si="55"/>
        <v/>
      </c>
      <c r="G1746" t="str">
        <f>IF($J1746="","",SUMIFS('Hours Log'!$E:$E,'Hours Log'!$A:$A,"&gt;="&amp;$J1746,'Hours Log'!$A:$A,"&lt;"&amp;$J1746+7))</f>
        <v/>
      </c>
      <c r="J1746" t="str">
        <f>IF(COUNT('Hours Log'!$A$4:$A$5000)=0,"",IF(MIN('Hours Log'!$A$4:$A$5000)+7*(ROW()-10)&gt;MAX('Hours Log'!$A$4:$A$5000),"",MIN('Hours Log'!$A$4:$A$5000)+7*(ROW()-10)))</f>
        <v/>
      </c>
    </row>
    <row r="1747" spans="1:10" x14ac:dyDescent="0.25">
      <c r="A1747" t="str">
        <f>IF($J1747="","",YEAR($J1747-WEEKDAY($J1747,2)+4)&amp;"-W"&amp;TEXT(_xludf.ISOWEEKNUM($J1747),"00"))</f>
        <v/>
      </c>
      <c r="B1747"/>
      <c r="C1747" t="str">
        <f>IF($J1747="","",SUMIFS('Hours Log'!$C:$C,'Hours Log'!$A:$A,"&gt;="&amp;$J1747,'Hours Log'!$A:$A,"&lt;"&amp;$J1747+7)+SUMIFS('Hours Log'!$D:$D,'Hours Log'!$A:$A,"&gt;="&amp;$J1747,'Hours Log'!$A:$A,"&lt;"&amp;$J1747+7))</f>
        <v/>
      </c>
      <c r="D1747" t="str">
        <f>IF($J1747="","",SUMIFS('Hours Log'!$D:$D,'Hours Log'!$A:$A,"&gt;="&amp;$J1747,'Hours Log'!$A:$A,"&lt;"&amp;$J1747+7))</f>
        <v/>
      </c>
      <c r="E1747" t="str">
        <f t="shared" si="54"/>
        <v/>
      </c>
      <c r="F1747" t="str">
        <f t="shared" si="55"/>
        <v/>
      </c>
      <c r="G1747" t="str">
        <f>IF($J1747="","",SUMIFS('Hours Log'!$E:$E,'Hours Log'!$A:$A,"&gt;="&amp;$J1747,'Hours Log'!$A:$A,"&lt;"&amp;$J1747+7))</f>
        <v/>
      </c>
      <c r="J1747" t="str">
        <f>IF(COUNT('Hours Log'!$A$4:$A$5000)=0,"",IF(MIN('Hours Log'!$A$4:$A$5000)+7*(ROW()-10)&gt;MAX('Hours Log'!$A$4:$A$5000),"",MIN('Hours Log'!$A$4:$A$5000)+7*(ROW()-10)))</f>
        <v/>
      </c>
    </row>
    <row r="1748" spans="1:10" x14ac:dyDescent="0.25">
      <c r="A1748" t="str">
        <f>IF($J1748="","",YEAR($J1748-WEEKDAY($J1748,2)+4)&amp;"-W"&amp;TEXT(_xludf.ISOWEEKNUM($J1748),"00"))</f>
        <v/>
      </c>
      <c r="B1748"/>
      <c r="C1748" t="str">
        <f>IF($J1748="","",SUMIFS('Hours Log'!$C:$C,'Hours Log'!$A:$A,"&gt;="&amp;$J1748,'Hours Log'!$A:$A,"&lt;"&amp;$J1748+7)+SUMIFS('Hours Log'!$D:$D,'Hours Log'!$A:$A,"&gt;="&amp;$J1748,'Hours Log'!$A:$A,"&lt;"&amp;$J1748+7))</f>
        <v/>
      </c>
      <c r="D1748" t="str">
        <f>IF($J1748="","",SUMIFS('Hours Log'!$D:$D,'Hours Log'!$A:$A,"&gt;="&amp;$J1748,'Hours Log'!$A:$A,"&lt;"&amp;$J1748+7))</f>
        <v/>
      </c>
      <c r="E1748" t="str">
        <f t="shared" si="54"/>
        <v/>
      </c>
      <c r="F1748" t="str">
        <f t="shared" si="55"/>
        <v/>
      </c>
      <c r="G1748" t="str">
        <f>IF($J1748="","",SUMIFS('Hours Log'!$E:$E,'Hours Log'!$A:$A,"&gt;="&amp;$J1748,'Hours Log'!$A:$A,"&lt;"&amp;$J1748+7))</f>
        <v/>
      </c>
      <c r="J1748" t="str">
        <f>IF(COUNT('Hours Log'!$A$4:$A$5000)=0,"",IF(MIN('Hours Log'!$A$4:$A$5000)+7*(ROW()-10)&gt;MAX('Hours Log'!$A$4:$A$5000),"",MIN('Hours Log'!$A$4:$A$5000)+7*(ROW()-10)))</f>
        <v/>
      </c>
    </row>
    <row r="1749" spans="1:10" x14ac:dyDescent="0.25">
      <c r="A1749" t="str">
        <f>IF($J1749="","",YEAR($J1749-WEEKDAY($J1749,2)+4)&amp;"-W"&amp;TEXT(_xludf.ISOWEEKNUM($J1749),"00"))</f>
        <v/>
      </c>
      <c r="B1749"/>
      <c r="C1749" t="str">
        <f>IF($J1749="","",SUMIFS('Hours Log'!$C:$C,'Hours Log'!$A:$A,"&gt;="&amp;$J1749,'Hours Log'!$A:$A,"&lt;"&amp;$J1749+7)+SUMIFS('Hours Log'!$D:$D,'Hours Log'!$A:$A,"&gt;="&amp;$J1749,'Hours Log'!$A:$A,"&lt;"&amp;$J1749+7))</f>
        <v/>
      </c>
      <c r="D1749" t="str">
        <f>IF($J1749="","",SUMIFS('Hours Log'!$D:$D,'Hours Log'!$A:$A,"&gt;="&amp;$J1749,'Hours Log'!$A:$A,"&lt;"&amp;$J1749+7))</f>
        <v/>
      </c>
      <c r="E1749" t="str">
        <f t="shared" si="54"/>
        <v/>
      </c>
      <c r="F1749" t="str">
        <f t="shared" si="55"/>
        <v/>
      </c>
      <c r="G1749" t="str">
        <f>IF($J1749="","",SUMIFS('Hours Log'!$E:$E,'Hours Log'!$A:$A,"&gt;="&amp;$J1749,'Hours Log'!$A:$A,"&lt;"&amp;$J1749+7))</f>
        <v/>
      </c>
      <c r="J1749" t="str">
        <f>IF(COUNT('Hours Log'!$A$4:$A$5000)=0,"",IF(MIN('Hours Log'!$A$4:$A$5000)+7*(ROW()-10)&gt;MAX('Hours Log'!$A$4:$A$5000),"",MIN('Hours Log'!$A$4:$A$5000)+7*(ROW()-10)))</f>
        <v/>
      </c>
    </row>
    <row r="1750" spans="1:10" x14ac:dyDescent="0.25">
      <c r="A1750" t="str">
        <f>IF($J1750="","",YEAR($J1750-WEEKDAY($J1750,2)+4)&amp;"-W"&amp;TEXT(_xludf.ISOWEEKNUM($J1750),"00"))</f>
        <v/>
      </c>
      <c r="B1750"/>
      <c r="C1750" t="str">
        <f>IF($J1750="","",SUMIFS('Hours Log'!$C:$C,'Hours Log'!$A:$A,"&gt;="&amp;$J1750,'Hours Log'!$A:$A,"&lt;"&amp;$J1750+7)+SUMIFS('Hours Log'!$D:$D,'Hours Log'!$A:$A,"&gt;="&amp;$J1750,'Hours Log'!$A:$A,"&lt;"&amp;$J1750+7))</f>
        <v/>
      </c>
      <c r="D1750" t="str">
        <f>IF($J1750="","",SUMIFS('Hours Log'!$D:$D,'Hours Log'!$A:$A,"&gt;="&amp;$J1750,'Hours Log'!$A:$A,"&lt;"&amp;$J1750+7))</f>
        <v/>
      </c>
      <c r="E1750" t="str">
        <f t="shared" si="54"/>
        <v/>
      </c>
      <c r="F1750" t="str">
        <f t="shared" si="55"/>
        <v/>
      </c>
      <c r="G1750" t="str">
        <f>IF($J1750="","",SUMIFS('Hours Log'!$E:$E,'Hours Log'!$A:$A,"&gt;="&amp;$J1750,'Hours Log'!$A:$A,"&lt;"&amp;$J1750+7))</f>
        <v/>
      </c>
      <c r="J1750" t="str">
        <f>IF(COUNT('Hours Log'!$A$4:$A$5000)=0,"",IF(MIN('Hours Log'!$A$4:$A$5000)+7*(ROW()-10)&gt;MAX('Hours Log'!$A$4:$A$5000),"",MIN('Hours Log'!$A$4:$A$5000)+7*(ROW()-10)))</f>
        <v/>
      </c>
    </row>
    <row r="1751" spans="1:10" x14ac:dyDescent="0.25">
      <c r="A1751" t="str">
        <f>IF($J1751="","",YEAR($J1751-WEEKDAY($J1751,2)+4)&amp;"-W"&amp;TEXT(_xludf.ISOWEEKNUM($J1751),"00"))</f>
        <v/>
      </c>
      <c r="B1751"/>
      <c r="C1751" t="str">
        <f>IF($J1751="","",SUMIFS('Hours Log'!$C:$C,'Hours Log'!$A:$A,"&gt;="&amp;$J1751,'Hours Log'!$A:$A,"&lt;"&amp;$J1751+7)+SUMIFS('Hours Log'!$D:$D,'Hours Log'!$A:$A,"&gt;="&amp;$J1751,'Hours Log'!$A:$A,"&lt;"&amp;$J1751+7))</f>
        <v/>
      </c>
      <c r="D1751" t="str">
        <f>IF($J1751="","",SUMIFS('Hours Log'!$D:$D,'Hours Log'!$A:$A,"&gt;="&amp;$J1751,'Hours Log'!$A:$A,"&lt;"&amp;$J1751+7))</f>
        <v/>
      </c>
      <c r="E1751" t="str">
        <f t="shared" si="54"/>
        <v/>
      </c>
      <c r="F1751" t="str">
        <f t="shared" si="55"/>
        <v/>
      </c>
      <c r="G1751" t="str">
        <f>IF($J1751="","",SUMIFS('Hours Log'!$E:$E,'Hours Log'!$A:$A,"&gt;="&amp;$J1751,'Hours Log'!$A:$A,"&lt;"&amp;$J1751+7))</f>
        <v/>
      </c>
      <c r="J1751" t="str">
        <f>IF(COUNT('Hours Log'!$A$4:$A$5000)=0,"",IF(MIN('Hours Log'!$A$4:$A$5000)+7*(ROW()-10)&gt;MAX('Hours Log'!$A$4:$A$5000),"",MIN('Hours Log'!$A$4:$A$5000)+7*(ROW()-10)))</f>
        <v/>
      </c>
    </row>
    <row r="1752" spans="1:10" x14ac:dyDescent="0.25">
      <c r="A1752" t="str">
        <f>IF($J1752="","",YEAR($J1752-WEEKDAY($J1752,2)+4)&amp;"-W"&amp;TEXT(_xludf.ISOWEEKNUM($J1752),"00"))</f>
        <v/>
      </c>
      <c r="B1752"/>
      <c r="C1752" t="str">
        <f>IF($J1752="","",SUMIFS('Hours Log'!$C:$C,'Hours Log'!$A:$A,"&gt;="&amp;$J1752,'Hours Log'!$A:$A,"&lt;"&amp;$J1752+7)+SUMIFS('Hours Log'!$D:$D,'Hours Log'!$A:$A,"&gt;="&amp;$J1752,'Hours Log'!$A:$A,"&lt;"&amp;$J1752+7))</f>
        <v/>
      </c>
      <c r="D1752" t="str">
        <f>IF($J1752="","",SUMIFS('Hours Log'!$D:$D,'Hours Log'!$A:$A,"&gt;="&amp;$J1752,'Hours Log'!$A:$A,"&lt;"&amp;$J1752+7))</f>
        <v/>
      </c>
      <c r="E1752" t="str">
        <f t="shared" si="54"/>
        <v/>
      </c>
      <c r="F1752" t="str">
        <f t="shared" si="55"/>
        <v/>
      </c>
      <c r="G1752" t="str">
        <f>IF($J1752="","",SUMIFS('Hours Log'!$E:$E,'Hours Log'!$A:$A,"&gt;="&amp;$J1752,'Hours Log'!$A:$A,"&lt;"&amp;$J1752+7))</f>
        <v/>
      </c>
      <c r="J1752" t="str">
        <f>IF(COUNT('Hours Log'!$A$4:$A$5000)=0,"",IF(MIN('Hours Log'!$A$4:$A$5000)+7*(ROW()-10)&gt;MAX('Hours Log'!$A$4:$A$5000),"",MIN('Hours Log'!$A$4:$A$5000)+7*(ROW()-10)))</f>
        <v/>
      </c>
    </row>
    <row r="1753" spans="1:10" x14ac:dyDescent="0.25">
      <c r="A1753" t="str">
        <f>IF($J1753="","",YEAR($J1753-WEEKDAY($J1753,2)+4)&amp;"-W"&amp;TEXT(_xludf.ISOWEEKNUM($J1753),"00"))</f>
        <v/>
      </c>
      <c r="B1753"/>
      <c r="C1753" t="str">
        <f>IF($J1753="","",SUMIFS('Hours Log'!$C:$C,'Hours Log'!$A:$A,"&gt;="&amp;$J1753,'Hours Log'!$A:$A,"&lt;"&amp;$J1753+7)+SUMIFS('Hours Log'!$D:$D,'Hours Log'!$A:$A,"&gt;="&amp;$J1753,'Hours Log'!$A:$A,"&lt;"&amp;$J1753+7))</f>
        <v/>
      </c>
      <c r="D1753" t="str">
        <f>IF($J1753="","",SUMIFS('Hours Log'!$D:$D,'Hours Log'!$A:$A,"&gt;="&amp;$J1753,'Hours Log'!$A:$A,"&lt;"&amp;$J1753+7))</f>
        <v/>
      </c>
      <c r="E1753" t="str">
        <f t="shared" si="54"/>
        <v/>
      </c>
      <c r="F1753" t="str">
        <f t="shared" si="55"/>
        <v/>
      </c>
      <c r="G1753" t="str">
        <f>IF($J1753="","",SUMIFS('Hours Log'!$E:$E,'Hours Log'!$A:$A,"&gt;="&amp;$J1753,'Hours Log'!$A:$A,"&lt;"&amp;$J1753+7))</f>
        <v/>
      </c>
      <c r="J1753" t="str">
        <f>IF(COUNT('Hours Log'!$A$4:$A$5000)=0,"",IF(MIN('Hours Log'!$A$4:$A$5000)+7*(ROW()-10)&gt;MAX('Hours Log'!$A$4:$A$5000),"",MIN('Hours Log'!$A$4:$A$5000)+7*(ROW()-10)))</f>
        <v/>
      </c>
    </row>
    <row r="1754" spans="1:10" x14ac:dyDescent="0.25">
      <c r="A1754" t="str">
        <f>IF($J1754="","",YEAR($J1754-WEEKDAY($J1754,2)+4)&amp;"-W"&amp;TEXT(_xludf.ISOWEEKNUM($J1754),"00"))</f>
        <v/>
      </c>
      <c r="B1754"/>
      <c r="C1754" t="str">
        <f>IF($J1754="","",SUMIFS('Hours Log'!$C:$C,'Hours Log'!$A:$A,"&gt;="&amp;$J1754,'Hours Log'!$A:$A,"&lt;"&amp;$J1754+7)+SUMIFS('Hours Log'!$D:$D,'Hours Log'!$A:$A,"&gt;="&amp;$J1754,'Hours Log'!$A:$A,"&lt;"&amp;$J1754+7))</f>
        <v/>
      </c>
      <c r="D1754" t="str">
        <f>IF($J1754="","",SUMIFS('Hours Log'!$D:$D,'Hours Log'!$A:$A,"&gt;="&amp;$J1754,'Hours Log'!$A:$A,"&lt;"&amp;$J1754+7))</f>
        <v/>
      </c>
      <c r="E1754" t="str">
        <f t="shared" si="54"/>
        <v/>
      </c>
      <c r="F1754" t="str">
        <f t="shared" si="55"/>
        <v/>
      </c>
      <c r="G1754" t="str">
        <f>IF($J1754="","",SUMIFS('Hours Log'!$E:$E,'Hours Log'!$A:$A,"&gt;="&amp;$J1754,'Hours Log'!$A:$A,"&lt;"&amp;$J1754+7))</f>
        <v/>
      </c>
      <c r="J1754" t="str">
        <f>IF(COUNT('Hours Log'!$A$4:$A$5000)=0,"",IF(MIN('Hours Log'!$A$4:$A$5000)+7*(ROW()-10)&gt;MAX('Hours Log'!$A$4:$A$5000),"",MIN('Hours Log'!$A$4:$A$5000)+7*(ROW()-10)))</f>
        <v/>
      </c>
    </row>
    <row r="1755" spans="1:10" x14ac:dyDescent="0.25">
      <c r="A1755" t="str">
        <f>IF($J1755="","",YEAR($J1755-WEEKDAY($J1755,2)+4)&amp;"-W"&amp;TEXT(_xludf.ISOWEEKNUM($J1755),"00"))</f>
        <v/>
      </c>
      <c r="B1755"/>
      <c r="C1755" t="str">
        <f>IF($J1755="","",SUMIFS('Hours Log'!$C:$C,'Hours Log'!$A:$A,"&gt;="&amp;$J1755,'Hours Log'!$A:$A,"&lt;"&amp;$J1755+7)+SUMIFS('Hours Log'!$D:$D,'Hours Log'!$A:$A,"&gt;="&amp;$J1755,'Hours Log'!$A:$A,"&lt;"&amp;$J1755+7))</f>
        <v/>
      </c>
      <c r="D1755" t="str">
        <f>IF($J1755="","",SUMIFS('Hours Log'!$D:$D,'Hours Log'!$A:$A,"&gt;="&amp;$J1755,'Hours Log'!$A:$A,"&lt;"&amp;$J1755+7))</f>
        <v/>
      </c>
      <c r="E1755" t="str">
        <f t="shared" si="54"/>
        <v/>
      </c>
      <c r="F1755" t="str">
        <f t="shared" si="55"/>
        <v/>
      </c>
      <c r="G1755" t="str">
        <f>IF($J1755="","",SUMIFS('Hours Log'!$E:$E,'Hours Log'!$A:$A,"&gt;="&amp;$J1755,'Hours Log'!$A:$A,"&lt;"&amp;$J1755+7))</f>
        <v/>
      </c>
      <c r="J1755" t="str">
        <f>IF(COUNT('Hours Log'!$A$4:$A$5000)=0,"",IF(MIN('Hours Log'!$A$4:$A$5000)+7*(ROW()-10)&gt;MAX('Hours Log'!$A$4:$A$5000),"",MIN('Hours Log'!$A$4:$A$5000)+7*(ROW()-10)))</f>
        <v/>
      </c>
    </row>
    <row r="1756" spans="1:10" x14ac:dyDescent="0.25">
      <c r="A1756" t="str">
        <f>IF($J1756="","",YEAR($J1756-WEEKDAY($J1756,2)+4)&amp;"-W"&amp;TEXT(_xludf.ISOWEEKNUM($J1756),"00"))</f>
        <v/>
      </c>
      <c r="B1756"/>
      <c r="C1756" t="str">
        <f>IF($J1756="","",SUMIFS('Hours Log'!$C:$C,'Hours Log'!$A:$A,"&gt;="&amp;$J1756,'Hours Log'!$A:$A,"&lt;"&amp;$J1756+7)+SUMIFS('Hours Log'!$D:$D,'Hours Log'!$A:$A,"&gt;="&amp;$J1756,'Hours Log'!$A:$A,"&lt;"&amp;$J1756+7))</f>
        <v/>
      </c>
      <c r="D1756" t="str">
        <f>IF($J1756="","",SUMIFS('Hours Log'!$D:$D,'Hours Log'!$A:$A,"&gt;="&amp;$J1756,'Hours Log'!$A:$A,"&lt;"&amp;$J1756+7))</f>
        <v/>
      </c>
      <c r="E1756" t="str">
        <f t="shared" si="54"/>
        <v/>
      </c>
      <c r="F1756" t="str">
        <f t="shared" si="55"/>
        <v/>
      </c>
      <c r="G1756" t="str">
        <f>IF($J1756="","",SUMIFS('Hours Log'!$E:$E,'Hours Log'!$A:$A,"&gt;="&amp;$J1756,'Hours Log'!$A:$A,"&lt;"&amp;$J1756+7))</f>
        <v/>
      </c>
      <c r="J1756" t="str">
        <f>IF(COUNT('Hours Log'!$A$4:$A$5000)=0,"",IF(MIN('Hours Log'!$A$4:$A$5000)+7*(ROW()-10)&gt;MAX('Hours Log'!$A$4:$A$5000),"",MIN('Hours Log'!$A$4:$A$5000)+7*(ROW()-10)))</f>
        <v/>
      </c>
    </row>
    <row r="1757" spans="1:10" x14ac:dyDescent="0.25">
      <c r="A1757" t="str">
        <f>IF($J1757="","",YEAR($J1757-WEEKDAY($J1757,2)+4)&amp;"-W"&amp;TEXT(_xludf.ISOWEEKNUM($J1757),"00"))</f>
        <v/>
      </c>
      <c r="B1757"/>
      <c r="C1757" t="str">
        <f>IF($J1757="","",SUMIFS('Hours Log'!$C:$C,'Hours Log'!$A:$A,"&gt;="&amp;$J1757,'Hours Log'!$A:$A,"&lt;"&amp;$J1757+7)+SUMIFS('Hours Log'!$D:$D,'Hours Log'!$A:$A,"&gt;="&amp;$J1757,'Hours Log'!$A:$A,"&lt;"&amp;$J1757+7))</f>
        <v/>
      </c>
      <c r="D1757" t="str">
        <f>IF($J1757="","",SUMIFS('Hours Log'!$D:$D,'Hours Log'!$A:$A,"&gt;="&amp;$J1757,'Hours Log'!$A:$A,"&lt;"&amp;$J1757+7))</f>
        <v/>
      </c>
      <c r="E1757" t="str">
        <f t="shared" si="54"/>
        <v/>
      </c>
      <c r="F1757" t="str">
        <f t="shared" si="55"/>
        <v/>
      </c>
      <c r="G1757" t="str">
        <f>IF($J1757="","",SUMIFS('Hours Log'!$E:$E,'Hours Log'!$A:$A,"&gt;="&amp;$J1757,'Hours Log'!$A:$A,"&lt;"&amp;$J1757+7))</f>
        <v/>
      </c>
      <c r="J1757" t="str">
        <f>IF(COUNT('Hours Log'!$A$4:$A$5000)=0,"",IF(MIN('Hours Log'!$A$4:$A$5000)+7*(ROW()-10)&gt;MAX('Hours Log'!$A$4:$A$5000),"",MIN('Hours Log'!$A$4:$A$5000)+7*(ROW()-10)))</f>
        <v/>
      </c>
    </row>
    <row r="1758" spans="1:10" x14ac:dyDescent="0.25">
      <c r="A1758" t="str">
        <f>IF($J1758="","",YEAR($J1758-WEEKDAY($J1758,2)+4)&amp;"-W"&amp;TEXT(_xludf.ISOWEEKNUM($J1758),"00"))</f>
        <v/>
      </c>
      <c r="B1758"/>
      <c r="C1758" t="str">
        <f>IF($J1758="","",SUMIFS('Hours Log'!$C:$C,'Hours Log'!$A:$A,"&gt;="&amp;$J1758,'Hours Log'!$A:$A,"&lt;"&amp;$J1758+7)+SUMIFS('Hours Log'!$D:$D,'Hours Log'!$A:$A,"&gt;="&amp;$J1758,'Hours Log'!$A:$A,"&lt;"&amp;$J1758+7))</f>
        <v/>
      </c>
      <c r="D1758" t="str">
        <f>IF($J1758="","",SUMIFS('Hours Log'!$D:$D,'Hours Log'!$A:$A,"&gt;="&amp;$J1758,'Hours Log'!$A:$A,"&lt;"&amp;$J1758+7))</f>
        <v/>
      </c>
      <c r="E1758" t="str">
        <f t="shared" si="54"/>
        <v/>
      </c>
      <c r="F1758" t="str">
        <f t="shared" si="55"/>
        <v/>
      </c>
      <c r="G1758" t="str">
        <f>IF($J1758="","",SUMIFS('Hours Log'!$E:$E,'Hours Log'!$A:$A,"&gt;="&amp;$J1758,'Hours Log'!$A:$A,"&lt;"&amp;$J1758+7))</f>
        <v/>
      </c>
      <c r="J1758" t="str">
        <f>IF(COUNT('Hours Log'!$A$4:$A$5000)=0,"",IF(MIN('Hours Log'!$A$4:$A$5000)+7*(ROW()-10)&gt;MAX('Hours Log'!$A$4:$A$5000),"",MIN('Hours Log'!$A$4:$A$5000)+7*(ROW()-10)))</f>
        <v/>
      </c>
    </row>
    <row r="1759" spans="1:10" x14ac:dyDescent="0.25">
      <c r="A1759" t="str">
        <f>IF($J1759="","",YEAR($J1759-WEEKDAY($J1759,2)+4)&amp;"-W"&amp;TEXT(_xludf.ISOWEEKNUM($J1759),"00"))</f>
        <v/>
      </c>
      <c r="B1759"/>
      <c r="C1759" t="str">
        <f>IF($J1759="","",SUMIFS('Hours Log'!$C:$C,'Hours Log'!$A:$A,"&gt;="&amp;$J1759,'Hours Log'!$A:$A,"&lt;"&amp;$J1759+7)+SUMIFS('Hours Log'!$D:$D,'Hours Log'!$A:$A,"&gt;="&amp;$J1759,'Hours Log'!$A:$A,"&lt;"&amp;$J1759+7))</f>
        <v/>
      </c>
      <c r="D1759" t="str">
        <f>IF($J1759="","",SUMIFS('Hours Log'!$D:$D,'Hours Log'!$A:$A,"&gt;="&amp;$J1759,'Hours Log'!$A:$A,"&lt;"&amp;$J1759+7))</f>
        <v/>
      </c>
      <c r="E1759" t="str">
        <f t="shared" si="54"/>
        <v/>
      </c>
      <c r="F1759" t="str">
        <f t="shared" si="55"/>
        <v/>
      </c>
      <c r="G1759" t="str">
        <f>IF($J1759="","",SUMIFS('Hours Log'!$E:$E,'Hours Log'!$A:$A,"&gt;="&amp;$J1759,'Hours Log'!$A:$A,"&lt;"&amp;$J1759+7))</f>
        <v/>
      </c>
      <c r="J1759" t="str">
        <f>IF(COUNT('Hours Log'!$A$4:$A$5000)=0,"",IF(MIN('Hours Log'!$A$4:$A$5000)+7*(ROW()-10)&gt;MAX('Hours Log'!$A$4:$A$5000),"",MIN('Hours Log'!$A$4:$A$5000)+7*(ROW()-10)))</f>
        <v/>
      </c>
    </row>
    <row r="1760" spans="1:10" x14ac:dyDescent="0.25">
      <c r="A1760" t="str">
        <f>IF($J1760="","",YEAR($J1760-WEEKDAY($J1760,2)+4)&amp;"-W"&amp;TEXT(_xludf.ISOWEEKNUM($J1760),"00"))</f>
        <v/>
      </c>
      <c r="B1760"/>
      <c r="C1760" t="str">
        <f>IF($J1760="","",SUMIFS('Hours Log'!$C:$C,'Hours Log'!$A:$A,"&gt;="&amp;$J1760,'Hours Log'!$A:$A,"&lt;"&amp;$J1760+7)+SUMIFS('Hours Log'!$D:$D,'Hours Log'!$A:$A,"&gt;="&amp;$J1760,'Hours Log'!$A:$A,"&lt;"&amp;$J1760+7))</f>
        <v/>
      </c>
      <c r="D1760" t="str">
        <f>IF($J1760="","",SUMIFS('Hours Log'!$D:$D,'Hours Log'!$A:$A,"&gt;="&amp;$J1760,'Hours Log'!$A:$A,"&lt;"&amp;$J1760+7))</f>
        <v/>
      </c>
      <c r="E1760" t="str">
        <f t="shared" si="54"/>
        <v/>
      </c>
      <c r="F1760" t="str">
        <f t="shared" si="55"/>
        <v/>
      </c>
      <c r="G1760" t="str">
        <f>IF($J1760="","",SUMIFS('Hours Log'!$E:$E,'Hours Log'!$A:$A,"&gt;="&amp;$J1760,'Hours Log'!$A:$A,"&lt;"&amp;$J1760+7))</f>
        <v/>
      </c>
      <c r="J1760" t="str">
        <f>IF(COUNT('Hours Log'!$A$4:$A$5000)=0,"",IF(MIN('Hours Log'!$A$4:$A$5000)+7*(ROW()-10)&gt;MAX('Hours Log'!$A$4:$A$5000),"",MIN('Hours Log'!$A$4:$A$5000)+7*(ROW()-10)))</f>
        <v/>
      </c>
    </row>
    <row r="1761" spans="1:10" x14ac:dyDescent="0.25">
      <c r="A1761" t="str">
        <f>IF($J1761="","",YEAR($J1761-WEEKDAY($J1761,2)+4)&amp;"-W"&amp;TEXT(_xludf.ISOWEEKNUM($J1761),"00"))</f>
        <v/>
      </c>
      <c r="B1761"/>
      <c r="C1761" t="str">
        <f>IF($J1761="","",SUMIFS('Hours Log'!$C:$C,'Hours Log'!$A:$A,"&gt;="&amp;$J1761,'Hours Log'!$A:$A,"&lt;"&amp;$J1761+7)+SUMIFS('Hours Log'!$D:$D,'Hours Log'!$A:$A,"&gt;="&amp;$J1761,'Hours Log'!$A:$A,"&lt;"&amp;$J1761+7))</f>
        <v/>
      </c>
      <c r="D1761" t="str">
        <f>IF($J1761="","",SUMIFS('Hours Log'!$D:$D,'Hours Log'!$A:$A,"&gt;="&amp;$J1761,'Hours Log'!$A:$A,"&lt;"&amp;$J1761+7))</f>
        <v/>
      </c>
      <c r="E1761" t="str">
        <f t="shared" si="54"/>
        <v/>
      </c>
      <c r="F1761" t="str">
        <f t="shared" si="55"/>
        <v/>
      </c>
      <c r="G1761" t="str">
        <f>IF($J1761="","",SUMIFS('Hours Log'!$E:$E,'Hours Log'!$A:$A,"&gt;="&amp;$J1761,'Hours Log'!$A:$A,"&lt;"&amp;$J1761+7))</f>
        <v/>
      </c>
      <c r="J1761" t="str">
        <f>IF(COUNT('Hours Log'!$A$4:$A$5000)=0,"",IF(MIN('Hours Log'!$A$4:$A$5000)+7*(ROW()-10)&gt;MAX('Hours Log'!$A$4:$A$5000),"",MIN('Hours Log'!$A$4:$A$5000)+7*(ROW()-10)))</f>
        <v/>
      </c>
    </row>
    <row r="1762" spans="1:10" x14ac:dyDescent="0.25">
      <c r="A1762" t="str">
        <f>IF($J1762="","",YEAR($J1762-WEEKDAY($J1762,2)+4)&amp;"-W"&amp;TEXT(_xludf.ISOWEEKNUM($J1762),"00"))</f>
        <v/>
      </c>
      <c r="B1762"/>
      <c r="C1762" t="str">
        <f>IF($J1762="","",SUMIFS('Hours Log'!$C:$C,'Hours Log'!$A:$A,"&gt;="&amp;$J1762,'Hours Log'!$A:$A,"&lt;"&amp;$J1762+7)+SUMIFS('Hours Log'!$D:$D,'Hours Log'!$A:$A,"&gt;="&amp;$J1762,'Hours Log'!$A:$A,"&lt;"&amp;$J1762+7))</f>
        <v/>
      </c>
      <c r="D1762" t="str">
        <f>IF($J1762="","",SUMIFS('Hours Log'!$D:$D,'Hours Log'!$A:$A,"&gt;="&amp;$J1762,'Hours Log'!$A:$A,"&lt;"&amp;$J1762+7))</f>
        <v/>
      </c>
      <c r="E1762" t="str">
        <f t="shared" si="54"/>
        <v/>
      </c>
      <c r="F1762" t="str">
        <f t="shared" si="55"/>
        <v/>
      </c>
      <c r="G1762" t="str">
        <f>IF($J1762="","",SUMIFS('Hours Log'!$E:$E,'Hours Log'!$A:$A,"&gt;="&amp;$J1762,'Hours Log'!$A:$A,"&lt;"&amp;$J1762+7))</f>
        <v/>
      </c>
      <c r="J1762" t="str">
        <f>IF(COUNT('Hours Log'!$A$4:$A$5000)=0,"",IF(MIN('Hours Log'!$A$4:$A$5000)+7*(ROW()-10)&gt;MAX('Hours Log'!$A$4:$A$5000),"",MIN('Hours Log'!$A$4:$A$5000)+7*(ROW()-10)))</f>
        <v/>
      </c>
    </row>
    <row r="1763" spans="1:10" x14ac:dyDescent="0.25">
      <c r="A1763" t="str">
        <f>IF($J1763="","",YEAR($J1763-WEEKDAY($J1763,2)+4)&amp;"-W"&amp;TEXT(_xludf.ISOWEEKNUM($J1763),"00"))</f>
        <v/>
      </c>
      <c r="B1763"/>
      <c r="C1763" t="str">
        <f>IF($J1763="","",SUMIFS('Hours Log'!$C:$C,'Hours Log'!$A:$A,"&gt;="&amp;$J1763,'Hours Log'!$A:$A,"&lt;"&amp;$J1763+7)+SUMIFS('Hours Log'!$D:$D,'Hours Log'!$A:$A,"&gt;="&amp;$J1763,'Hours Log'!$A:$A,"&lt;"&amp;$J1763+7))</f>
        <v/>
      </c>
      <c r="D1763" t="str">
        <f>IF($J1763="","",SUMIFS('Hours Log'!$D:$D,'Hours Log'!$A:$A,"&gt;="&amp;$J1763,'Hours Log'!$A:$A,"&lt;"&amp;$J1763+7))</f>
        <v/>
      </c>
      <c r="E1763" t="str">
        <f t="shared" si="54"/>
        <v/>
      </c>
      <c r="F1763" t="str">
        <f t="shared" si="55"/>
        <v/>
      </c>
      <c r="G1763" t="str">
        <f>IF($J1763="","",SUMIFS('Hours Log'!$E:$E,'Hours Log'!$A:$A,"&gt;="&amp;$J1763,'Hours Log'!$A:$A,"&lt;"&amp;$J1763+7))</f>
        <v/>
      </c>
      <c r="J1763" t="str">
        <f>IF(COUNT('Hours Log'!$A$4:$A$5000)=0,"",IF(MIN('Hours Log'!$A$4:$A$5000)+7*(ROW()-10)&gt;MAX('Hours Log'!$A$4:$A$5000),"",MIN('Hours Log'!$A$4:$A$5000)+7*(ROW()-10)))</f>
        <v/>
      </c>
    </row>
    <row r="1764" spans="1:10" x14ac:dyDescent="0.25">
      <c r="A1764" t="str">
        <f>IF($J1764="","",YEAR($J1764-WEEKDAY($J1764,2)+4)&amp;"-W"&amp;TEXT(_xludf.ISOWEEKNUM($J1764),"00"))</f>
        <v/>
      </c>
      <c r="B1764"/>
      <c r="C1764" t="str">
        <f>IF($J1764="","",SUMIFS('Hours Log'!$C:$C,'Hours Log'!$A:$A,"&gt;="&amp;$J1764,'Hours Log'!$A:$A,"&lt;"&amp;$J1764+7)+SUMIFS('Hours Log'!$D:$D,'Hours Log'!$A:$A,"&gt;="&amp;$J1764,'Hours Log'!$A:$A,"&lt;"&amp;$J1764+7))</f>
        <v/>
      </c>
      <c r="D1764" t="str">
        <f>IF($J1764="","",SUMIFS('Hours Log'!$D:$D,'Hours Log'!$A:$A,"&gt;="&amp;$J1764,'Hours Log'!$A:$A,"&lt;"&amp;$J1764+7))</f>
        <v/>
      </c>
      <c r="E1764" t="str">
        <f t="shared" si="54"/>
        <v/>
      </c>
      <c r="F1764" t="str">
        <f t="shared" si="55"/>
        <v/>
      </c>
      <c r="G1764" t="str">
        <f>IF($J1764="","",SUMIFS('Hours Log'!$E:$E,'Hours Log'!$A:$A,"&gt;="&amp;$J1764,'Hours Log'!$A:$A,"&lt;"&amp;$J1764+7))</f>
        <v/>
      </c>
      <c r="J1764" t="str">
        <f>IF(COUNT('Hours Log'!$A$4:$A$5000)=0,"",IF(MIN('Hours Log'!$A$4:$A$5000)+7*(ROW()-10)&gt;MAX('Hours Log'!$A$4:$A$5000),"",MIN('Hours Log'!$A$4:$A$5000)+7*(ROW()-10)))</f>
        <v/>
      </c>
    </row>
    <row r="1765" spans="1:10" x14ac:dyDescent="0.25">
      <c r="A1765" t="str">
        <f>IF($J1765="","",YEAR($J1765-WEEKDAY($J1765,2)+4)&amp;"-W"&amp;TEXT(_xludf.ISOWEEKNUM($J1765),"00"))</f>
        <v/>
      </c>
      <c r="B1765"/>
      <c r="C1765" t="str">
        <f>IF($J1765="","",SUMIFS('Hours Log'!$C:$C,'Hours Log'!$A:$A,"&gt;="&amp;$J1765,'Hours Log'!$A:$A,"&lt;"&amp;$J1765+7)+SUMIFS('Hours Log'!$D:$D,'Hours Log'!$A:$A,"&gt;="&amp;$J1765,'Hours Log'!$A:$A,"&lt;"&amp;$J1765+7))</f>
        <v/>
      </c>
      <c r="D1765" t="str">
        <f>IF($J1765="","",SUMIFS('Hours Log'!$D:$D,'Hours Log'!$A:$A,"&gt;="&amp;$J1765,'Hours Log'!$A:$A,"&lt;"&amp;$J1765+7))</f>
        <v/>
      </c>
      <c r="E1765" t="str">
        <f t="shared" si="54"/>
        <v/>
      </c>
      <c r="F1765" t="str">
        <f t="shared" si="55"/>
        <v/>
      </c>
      <c r="G1765" t="str">
        <f>IF($J1765="","",SUMIFS('Hours Log'!$E:$E,'Hours Log'!$A:$A,"&gt;="&amp;$J1765,'Hours Log'!$A:$A,"&lt;"&amp;$J1765+7))</f>
        <v/>
      </c>
      <c r="J1765" t="str">
        <f>IF(COUNT('Hours Log'!$A$4:$A$5000)=0,"",IF(MIN('Hours Log'!$A$4:$A$5000)+7*(ROW()-10)&gt;MAX('Hours Log'!$A$4:$A$5000),"",MIN('Hours Log'!$A$4:$A$5000)+7*(ROW()-10)))</f>
        <v/>
      </c>
    </row>
    <row r="1766" spans="1:10" x14ac:dyDescent="0.25">
      <c r="A1766" t="str">
        <f>IF($J1766="","",YEAR($J1766-WEEKDAY($J1766,2)+4)&amp;"-W"&amp;TEXT(_xludf.ISOWEEKNUM($J1766),"00"))</f>
        <v/>
      </c>
      <c r="B1766"/>
      <c r="C1766" t="str">
        <f>IF($J1766="","",SUMIFS('Hours Log'!$C:$C,'Hours Log'!$A:$A,"&gt;="&amp;$J1766,'Hours Log'!$A:$A,"&lt;"&amp;$J1766+7)+SUMIFS('Hours Log'!$D:$D,'Hours Log'!$A:$A,"&gt;="&amp;$J1766,'Hours Log'!$A:$A,"&lt;"&amp;$J1766+7))</f>
        <v/>
      </c>
      <c r="D1766" t="str">
        <f>IF($J1766="","",SUMIFS('Hours Log'!$D:$D,'Hours Log'!$A:$A,"&gt;="&amp;$J1766,'Hours Log'!$A:$A,"&lt;"&amp;$J1766+7))</f>
        <v/>
      </c>
      <c r="E1766" t="str">
        <f t="shared" si="54"/>
        <v/>
      </c>
      <c r="F1766" t="str">
        <f t="shared" si="55"/>
        <v/>
      </c>
      <c r="G1766" t="str">
        <f>IF($J1766="","",SUMIFS('Hours Log'!$E:$E,'Hours Log'!$A:$A,"&gt;="&amp;$J1766,'Hours Log'!$A:$A,"&lt;"&amp;$J1766+7))</f>
        <v/>
      </c>
      <c r="J1766" t="str">
        <f>IF(COUNT('Hours Log'!$A$4:$A$5000)=0,"",IF(MIN('Hours Log'!$A$4:$A$5000)+7*(ROW()-10)&gt;MAX('Hours Log'!$A$4:$A$5000),"",MIN('Hours Log'!$A$4:$A$5000)+7*(ROW()-10)))</f>
        <v/>
      </c>
    </row>
    <row r="1767" spans="1:10" x14ac:dyDescent="0.25">
      <c r="A1767" t="str">
        <f>IF($J1767="","",YEAR($J1767-WEEKDAY($J1767,2)+4)&amp;"-W"&amp;TEXT(_xludf.ISOWEEKNUM($J1767),"00"))</f>
        <v/>
      </c>
      <c r="B1767"/>
      <c r="C1767" t="str">
        <f>IF($J1767="","",SUMIFS('Hours Log'!$C:$C,'Hours Log'!$A:$A,"&gt;="&amp;$J1767,'Hours Log'!$A:$A,"&lt;"&amp;$J1767+7)+SUMIFS('Hours Log'!$D:$D,'Hours Log'!$A:$A,"&gt;="&amp;$J1767,'Hours Log'!$A:$A,"&lt;"&amp;$J1767+7))</f>
        <v/>
      </c>
      <c r="D1767" t="str">
        <f>IF($J1767="","",SUMIFS('Hours Log'!$D:$D,'Hours Log'!$A:$A,"&gt;="&amp;$J1767,'Hours Log'!$A:$A,"&lt;"&amp;$J1767+7))</f>
        <v/>
      </c>
      <c r="E1767" t="str">
        <f t="shared" si="54"/>
        <v/>
      </c>
      <c r="F1767" t="str">
        <f t="shared" si="55"/>
        <v/>
      </c>
      <c r="G1767" t="str">
        <f>IF($J1767="","",SUMIFS('Hours Log'!$E:$E,'Hours Log'!$A:$A,"&gt;="&amp;$J1767,'Hours Log'!$A:$A,"&lt;"&amp;$J1767+7))</f>
        <v/>
      </c>
      <c r="J1767" t="str">
        <f>IF(COUNT('Hours Log'!$A$4:$A$5000)=0,"",IF(MIN('Hours Log'!$A$4:$A$5000)+7*(ROW()-10)&gt;MAX('Hours Log'!$A$4:$A$5000),"",MIN('Hours Log'!$A$4:$A$5000)+7*(ROW()-10)))</f>
        <v/>
      </c>
    </row>
    <row r="1768" spans="1:10" x14ac:dyDescent="0.25">
      <c r="A1768" t="str">
        <f>IF($J1768="","",YEAR($J1768-WEEKDAY($J1768,2)+4)&amp;"-W"&amp;TEXT(_xludf.ISOWEEKNUM($J1768),"00"))</f>
        <v/>
      </c>
      <c r="B1768"/>
      <c r="C1768" t="str">
        <f>IF($J1768="","",SUMIFS('Hours Log'!$C:$C,'Hours Log'!$A:$A,"&gt;="&amp;$J1768,'Hours Log'!$A:$A,"&lt;"&amp;$J1768+7)+SUMIFS('Hours Log'!$D:$D,'Hours Log'!$A:$A,"&gt;="&amp;$J1768,'Hours Log'!$A:$A,"&lt;"&amp;$J1768+7))</f>
        <v/>
      </c>
      <c r="D1768" t="str">
        <f>IF($J1768="","",SUMIFS('Hours Log'!$D:$D,'Hours Log'!$A:$A,"&gt;="&amp;$J1768,'Hours Log'!$A:$A,"&lt;"&amp;$J1768+7))</f>
        <v/>
      </c>
      <c r="E1768" t="str">
        <f t="shared" si="54"/>
        <v/>
      </c>
      <c r="F1768" t="str">
        <f t="shared" si="55"/>
        <v/>
      </c>
      <c r="G1768" t="str">
        <f>IF($J1768="","",SUMIFS('Hours Log'!$E:$E,'Hours Log'!$A:$A,"&gt;="&amp;$J1768,'Hours Log'!$A:$A,"&lt;"&amp;$J1768+7))</f>
        <v/>
      </c>
      <c r="J1768" t="str">
        <f>IF(COUNT('Hours Log'!$A$4:$A$5000)=0,"",IF(MIN('Hours Log'!$A$4:$A$5000)+7*(ROW()-10)&gt;MAX('Hours Log'!$A$4:$A$5000),"",MIN('Hours Log'!$A$4:$A$5000)+7*(ROW()-10)))</f>
        <v/>
      </c>
    </row>
    <row r="1769" spans="1:10" x14ac:dyDescent="0.25">
      <c r="A1769" t="str">
        <f>IF($J1769="","",YEAR($J1769-WEEKDAY($J1769,2)+4)&amp;"-W"&amp;TEXT(_xludf.ISOWEEKNUM($J1769),"00"))</f>
        <v/>
      </c>
      <c r="B1769"/>
      <c r="C1769" t="str">
        <f>IF($J1769="","",SUMIFS('Hours Log'!$C:$C,'Hours Log'!$A:$A,"&gt;="&amp;$J1769,'Hours Log'!$A:$A,"&lt;"&amp;$J1769+7)+SUMIFS('Hours Log'!$D:$D,'Hours Log'!$A:$A,"&gt;="&amp;$J1769,'Hours Log'!$A:$A,"&lt;"&amp;$J1769+7))</f>
        <v/>
      </c>
      <c r="D1769" t="str">
        <f>IF($J1769="","",SUMIFS('Hours Log'!$D:$D,'Hours Log'!$A:$A,"&gt;="&amp;$J1769,'Hours Log'!$A:$A,"&lt;"&amp;$J1769+7))</f>
        <v/>
      </c>
      <c r="E1769" t="str">
        <f t="shared" si="54"/>
        <v/>
      </c>
      <c r="F1769" t="str">
        <f t="shared" si="55"/>
        <v/>
      </c>
      <c r="G1769" t="str">
        <f>IF($J1769="","",SUMIFS('Hours Log'!$E:$E,'Hours Log'!$A:$A,"&gt;="&amp;$J1769,'Hours Log'!$A:$A,"&lt;"&amp;$J1769+7))</f>
        <v/>
      </c>
      <c r="J1769" t="str">
        <f>IF(COUNT('Hours Log'!$A$4:$A$5000)=0,"",IF(MIN('Hours Log'!$A$4:$A$5000)+7*(ROW()-10)&gt;MAX('Hours Log'!$A$4:$A$5000),"",MIN('Hours Log'!$A$4:$A$5000)+7*(ROW()-10)))</f>
        <v/>
      </c>
    </row>
    <row r="1770" spans="1:10" x14ac:dyDescent="0.25">
      <c r="A1770" t="str">
        <f>IF($J1770="","",YEAR($J1770-WEEKDAY($J1770,2)+4)&amp;"-W"&amp;TEXT(_xludf.ISOWEEKNUM($J1770),"00"))</f>
        <v/>
      </c>
      <c r="B1770"/>
      <c r="C1770" t="str">
        <f>IF($J1770="","",SUMIFS('Hours Log'!$C:$C,'Hours Log'!$A:$A,"&gt;="&amp;$J1770,'Hours Log'!$A:$A,"&lt;"&amp;$J1770+7)+SUMIFS('Hours Log'!$D:$D,'Hours Log'!$A:$A,"&gt;="&amp;$J1770,'Hours Log'!$A:$A,"&lt;"&amp;$J1770+7))</f>
        <v/>
      </c>
      <c r="D1770" t="str">
        <f>IF($J1770="","",SUMIFS('Hours Log'!$D:$D,'Hours Log'!$A:$A,"&gt;="&amp;$J1770,'Hours Log'!$A:$A,"&lt;"&amp;$J1770+7))</f>
        <v/>
      </c>
      <c r="E1770" t="str">
        <f t="shared" si="54"/>
        <v/>
      </c>
      <c r="F1770" t="str">
        <f t="shared" si="55"/>
        <v/>
      </c>
      <c r="G1770" t="str">
        <f>IF($J1770="","",SUMIFS('Hours Log'!$E:$E,'Hours Log'!$A:$A,"&gt;="&amp;$J1770,'Hours Log'!$A:$A,"&lt;"&amp;$J1770+7))</f>
        <v/>
      </c>
      <c r="J1770" t="str">
        <f>IF(COUNT('Hours Log'!$A$4:$A$5000)=0,"",IF(MIN('Hours Log'!$A$4:$A$5000)+7*(ROW()-10)&gt;MAX('Hours Log'!$A$4:$A$5000),"",MIN('Hours Log'!$A$4:$A$5000)+7*(ROW()-10)))</f>
        <v/>
      </c>
    </row>
    <row r="1771" spans="1:10" x14ac:dyDescent="0.25">
      <c r="A1771" t="str">
        <f>IF($J1771="","",YEAR($J1771-WEEKDAY($J1771,2)+4)&amp;"-W"&amp;TEXT(_xludf.ISOWEEKNUM($J1771),"00"))</f>
        <v/>
      </c>
      <c r="B1771"/>
      <c r="C1771" t="str">
        <f>IF($J1771="","",SUMIFS('Hours Log'!$C:$C,'Hours Log'!$A:$A,"&gt;="&amp;$J1771,'Hours Log'!$A:$A,"&lt;"&amp;$J1771+7)+SUMIFS('Hours Log'!$D:$D,'Hours Log'!$A:$A,"&gt;="&amp;$J1771,'Hours Log'!$A:$A,"&lt;"&amp;$J1771+7))</f>
        <v/>
      </c>
      <c r="D1771" t="str">
        <f>IF($J1771="","",SUMIFS('Hours Log'!$D:$D,'Hours Log'!$A:$A,"&gt;="&amp;$J1771,'Hours Log'!$A:$A,"&lt;"&amp;$J1771+7))</f>
        <v/>
      </c>
      <c r="E1771" t="str">
        <f t="shared" si="54"/>
        <v/>
      </c>
      <c r="F1771" t="str">
        <f t="shared" si="55"/>
        <v/>
      </c>
      <c r="G1771" t="str">
        <f>IF($J1771="","",SUMIFS('Hours Log'!$E:$E,'Hours Log'!$A:$A,"&gt;="&amp;$J1771,'Hours Log'!$A:$A,"&lt;"&amp;$J1771+7))</f>
        <v/>
      </c>
      <c r="J1771" t="str">
        <f>IF(COUNT('Hours Log'!$A$4:$A$5000)=0,"",IF(MIN('Hours Log'!$A$4:$A$5000)+7*(ROW()-10)&gt;MAX('Hours Log'!$A$4:$A$5000),"",MIN('Hours Log'!$A$4:$A$5000)+7*(ROW()-10)))</f>
        <v/>
      </c>
    </row>
    <row r="1772" spans="1:10" x14ac:dyDescent="0.25">
      <c r="A1772" t="str">
        <f>IF($J1772="","",YEAR($J1772-WEEKDAY($J1772,2)+4)&amp;"-W"&amp;TEXT(_xludf.ISOWEEKNUM($J1772),"00"))</f>
        <v/>
      </c>
      <c r="B1772"/>
      <c r="C1772" t="str">
        <f>IF($J1772="","",SUMIFS('Hours Log'!$C:$C,'Hours Log'!$A:$A,"&gt;="&amp;$J1772,'Hours Log'!$A:$A,"&lt;"&amp;$J1772+7)+SUMIFS('Hours Log'!$D:$D,'Hours Log'!$A:$A,"&gt;="&amp;$J1772,'Hours Log'!$A:$A,"&lt;"&amp;$J1772+7))</f>
        <v/>
      </c>
      <c r="D1772" t="str">
        <f>IF($J1772="","",SUMIFS('Hours Log'!$D:$D,'Hours Log'!$A:$A,"&gt;="&amp;$J1772,'Hours Log'!$A:$A,"&lt;"&amp;$J1772+7))</f>
        <v/>
      </c>
      <c r="E1772" t="str">
        <f t="shared" si="54"/>
        <v/>
      </c>
      <c r="F1772" t="str">
        <f t="shared" si="55"/>
        <v/>
      </c>
      <c r="G1772" t="str">
        <f>IF($J1772="","",SUMIFS('Hours Log'!$E:$E,'Hours Log'!$A:$A,"&gt;="&amp;$J1772,'Hours Log'!$A:$A,"&lt;"&amp;$J1772+7))</f>
        <v/>
      </c>
      <c r="J1772" t="str">
        <f>IF(COUNT('Hours Log'!$A$4:$A$5000)=0,"",IF(MIN('Hours Log'!$A$4:$A$5000)+7*(ROW()-10)&gt;MAX('Hours Log'!$A$4:$A$5000),"",MIN('Hours Log'!$A$4:$A$5000)+7*(ROW()-10)))</f>
        <v/>
      </c>
    </row>
    <row r="1773" spans="1:10" x14ac:dyDescent="0.25">
      <c r="A1773" t="str">
        <f>IF($J1773="","",YEAR($J1773-WEEKDAY($J1773,2)+4)&amp;"-W"&amp;TEXT(_xludf.ISOWEEKNUM($J1773),"00"))</f>
        <v/>
      </c>
      <c r="B1773"/>
      <c r="C1773" t="str">
        <f>IF($J1773="","",SUMIFS('Hours Log'!$C:$C,'Hours Log'!$A:$A,"&gt;="&amp;$J1773,'Hours Log'!$A:$A,"&lt;"&amp;$J1773+7)+SUMIFS('Hours Log'!$D:$D,'Hours Log'!$A:$A,"&gt;="&amp;$J1773,'Hours Log'!$A:$A,"&lt;"&amp;$J1773+7))</f>
        <v/>
      </c>
      <c r="D1773" t="str">
        <f>IF($J1773="","",SUMIFS('Hours Log'!$D:$D,'Hours Log'!$A:$A,"&gt;="&amp;$J1773,'Hours Log'!$A:$A,"&lt;"&amp;$J1773+7))</f>
        <v/>
      </c>
      <c r="E1773" t="str">
        <f t="shared" si="54"/>
        <v/>
      </c>
      <c r="F1773" t="str">
        <f t="shared" si="55"/>
        <v/>
      </c>
      <c r="G1773" t="str">
        <f>IF($J1773="","",SUMIFS('Hours Log'!$E:$E,'Hours Log'!$A:$A,"&gt;="&amp;$J1773,'Hours Log'!$A:$A,"&lt;"&amp;$J1773+7))</f>
        <v/>
      </c>
      <c r="J1773" t="str">
        <f>IF(COUNT('Hours Log'!$A$4:$A$5000)=0,"",IF(MIN('Hours Log'!$A$4:$A$5000)+7*(ROW()-10)&gt;MAX('Hours Log'!$A$4:$A$5000),"",MIN('Hours Log'!$A$4:$A$5000)+7*(ROW()-10)))</f>
        <v/>
      </c>
    </row>
    <row r="1774" spans="1:10" x14ac:dyDescent="0.25">
      <c r="A1774" t="str">
        <f>IF($J1774="","",YEAR($J1774-WEEKDAY($J1774,2)+4)&amp;"-W"&amp;TEXT(_xludf.ISOWEEKNUM($J1774),"00"))</f>
        <v/>
      </c>
      <c r="B1774"/>
      <c r="C1774" t="str">
        <f>IF($J1774="","",SUMIFS('Hours Log'!$C:$C,'Hours Log'!$A:$A,"&gt;="&amp;$J1774,'Hours Log'!$A:$A,"&lt;"&amp;$J1774+7)+SUMIFS('Hours Log'!$D:$D,'Hours Log'!$A:$A,"&gt;="&amp;$J1774,'Hours Log'!$A:$A,"&lt;"&amp;$J1774+7))</f>
        <v/>
      </c>
      <c r="D1774" t="str">
        <f>IF($J1774="","",SUMIFS('Hours Log'!$D:$D,'Hours Log'!$A:$A,"&gt;="&amp;$J1774,'Hours Log'!$A:$A,"&lt;"&amp;$J1774+7))</f>
        <v/>
      </c>
      <c r="E1774" t="str">
        <f t="shared" si="54"/>
        <v/>
      </c>
      <c r="F1774" t="str">
        <f t="shared" si="55"/>
        <v/>
      </c>
      <c r="G1774" t="str">
        <f>IF($J1774="","",SUMIFS('Hours Log'!$E:$E,'Hours Log'!$A:$A,"&gt;="&amp;$J1774,'Hours Log'!$A:$A,"&lt;"&amp;$J1774+7))</f>
        <v/>
      </c>
      <c r="J1774" t="str">
        <f>IF(COUNT('Hours Log'!$A$4:$A$5000)=0,"",IF(MIN('Hours Log'!$A$4:$A$5000)+7*(ROW()-10)&gt;MAX('Hours Log'!$A$4:$A$5000),"",MIN('Hours Log'!$A$4:$A$5000)+7*(ROW()-10)))</f>
        <v/>
      </c>
    </row>
    <row r="1775" spans="1:10" x14ac:dyDescent="0.25">
      <c r="A1775" t="str">
        <f>IF($J1775="","",YEAR($J1775-WEEKDAY($J1775,2)+4)&amp;"-W"&amp;TEXT(_xludf.ISOWEEKNUM($J1775),"00"))</f>
        <v/>
      </c>
      <c r="B1775"/>
      <c r="C1775" t="str">
        <f>IF($J1775="","",SUMIFS('Hours Log'!$C:$C,'Hours Log'!$A:$A,"&gt;="&amp;$J1775,'Hours Log'!$A:$A,"&lt;"&amp;$J1775+7)+SUMIFS('Hours Log'!$D:$D,'Hours Log'!$A:$A,"&gt;="&amp;$J1775,'Hours Log'!$A:$A,"&lt;"&amp;$J1775+7))</f>
        <v/>
      </c>
      <c r="D1775" t="str">
        <f>IF($J1775="","",SUMIFS('Hours Log'!$D:$D,'Hours Log'!$A:$A,"&gt;="&amp;$J1775,'Hours Log'!$A:$A,"&lt;"&amp;$J1775+7))</f>
        <v/>
      </c>
      <c r="E1775" t="str">
        <f t="shared" si="54"/>
        <v/>
      </c>
      <c r="F1775" t="str">
        <f t="shared" si="55"/>
        <v/>
      </c>
      <c r="G1775" t="str">
        <f>IF($J1775="","",SUMIFS('Hours Log'!$E:$E,'Hours Log'!$A:$A,"&gt;="&amp;$J1775,'Hours Log'!$A:$A,"&lt;"&amp;$J1775+7))</f>
        <v/>
      </c>
      <c r="J1775" t="str">
        <f>IF(COUNT('Hours Log'!$A$4:$A$5000)=0,"",IF(MIN('Hours Log'!$A$4:$A$5000)+7*(ROW()-10)&gt;MAX('Hours Log'!$A$4:$A$5000),"",MIN('Hours Log'!$A$4:$A$5000)+7*(ROW()-10)))</f>
        <v/>
      </c>
    </row>
    <row r="1776" spans="1:10" x14ac:dyDescent="0.25">
      <c r="A1776" t="str">
        <f>IF($J1776="","",YEAR($J1776-WEEKDAY($J1776,2)+4)&amp;"-W"&amp;TEXT(_xludf.ISOWEEKNUM($J1776),"00"))</f>
        <v/>
      </c>
      <c r="B1776"/>
      <c r="C1776" t="str">
        <f>IF($J1776="","",SUMIFS('Hours Log'!$C:$C,'Hours Log'!$A:$A,"&gt;="&amp;$J1776,'Hours Log'!$A:$A,"&lt;"&amp;$J1776+7)+SUMIFS('Hours Log'!$D:$D,'Hours Log'!$A:$A,"&gt;="&amp;$J1776,'Hours Log'!$A:$A,"&lt;"&amp;$J1776+7))</f>
        <v/>
      </c>
      <c r="D1776" t="str">
        <f>IF($J1776="","",SUMIFS('Hours Log'!$D:$D,'Hours Log'!$A:$A,"&gt;="&amp;$J1776,'Hours Log'!$A:$A,"&lt;"&amp;$J1776+7))</f>
        <v/>
      </c>
      <c r="E1776" t="str">
        <f t="shared" si="54"/>
        <v/>
      </c>
      <c r="F1776" t="str">
        <f t="shared" si="55"/>
        <v/>
      </c>
      <c r="G1776" t="str">
        <f>IF($J1776="","",SUMIFS('Hours Log'!$E:$E,'Hours Log'!$A:$A,"&gt;="&amp;$J1776,'Hours Log'!$A:$A,"&lt;"&amp;$J1776+7))</f>
        <v/>
      </c>
      <c r="J1776" t="str">
        <f>IF(COUNT('Hours Log'!$A$4:$A$5000)=0,"",IF(MIN('Hours Log'!$A$4:$A$5000)+7*(ROW()-10)&gt;MAX('Hours Log'!$A$4:$A$5000),"",MIN('Hours Log'!$A$4:$A$5000)+7*(ROW()-10)))</f>
        <v/>
      </c>
    </row>
    <row r="1777" spans="1:10" x14ac:dyDescent="0.25">
      <c r="A1777" t="str">
        <f>IF($J1777="","",YEAR($J1777-WEEKDAY($J1777,2)+4)&amp;"-W"&amp;TEXT(_xludf.ISOWEEKNUM($J1777),"00"))</f>
        <v/>
      </c>
      <c r="B1777"/>
      <c r="C1777" t="str">
        <f>IF($J1777="","",SUMIFS('Hours Log'!$C:$C,'Hours Log'!$A:$A,"&gt;="&amp;$J1777,'Hours Log'!$A:$A,"&lt;"&amp;$J1777+7)+SUMIFS('Hours Log'!$D:$D,'Hours Log'!$A:$A,"&gt;="&amp;$J1777,'Hours Log'!$A:$A,"&lt;"&amp;$J1777+7))</f>
        <v/>
      </c>
      <c r="D1777" t="str">
        <f>IF($J1777="","",SUMIFS('Hours Log'!$D:$D,'Hours Log'!$A:$A,"&gt;="&amp;$J1777,'Hours Log'!$A:$A,"&lt;"&amp;$J1777+7))</f>
        <v/>
      </c>
      <c r="E1777" t="str">
        <f t="shared" si="54"/>
        <v/>
      </c>
      <c r="F1777" t="str">
        <f t="shared" si="55"/>
        <v/>
      </c>
      <c r="G1777" t="str">
        <f>IF($J1777="","",SUMIFS('Hours Log'!$E:$E,'Hours Log'!$A:$A,"&gt;="&amp;$J1777,'Hours Log'!$A:$A,"&lt;"&amp;$J1777+7))</f>
        <v/>
      </c>
      <c r="J1777" t="str">
        <f>IF(COUNT('Hours Log'!$A$4:$A$5000)=0,"",IF(MIN('Hours Log'!$A$4:$A$5000)+7*(ROW()-10)&gt;MAX('Hours Log'!$A$4:$A$5000),"",MIN('Hours Log'!$A$4:$A$5000)+7*(ROW()-10)))</f>
        <v/>
      </c>
    </row>
    <row r="1778" spans="1:10" x14ac:dyDescent="0.25">
      <c r="A1778" t="str">
        <f>IF($J1778="","",YEAR($J1778-WEEKDAY($J1778,2)+4)&amp;"-W"&amp;TEXT(_xludf.ISOWEEKNUM($J1778),"00"))</f>
        <v/>
      </c>
      <c r="B1778"/>
      <c r="C1778" t="str">
        <f>IF($J1778="","",SUMIFS('Hours Log'!$C:$C,'Hours Log'!$A:$A,"&gt;="&amp;$J1778,'Hours Log'!$A:$A,"&lt;"&amp;$J1778+7)+SUMIFS('Hours Log'!$D:$D,'Hours Log'!$A:$A,"&gt;="&amp;$J1778,'Hours Log'!$A:$A,"&lt;"&amp;$J1778+7))</f>
        <v/>
      </c>
      <c r="D1778" t="str">
        <f>IF($J1778="","",SUMIFS('Hours Log'!$D:$D,'Hours Log'!$A:$A,"&gt;="&amp;$J1778,'Hours Log'!$A:$A,"&lt;"&amp;$J1778+7))</f>
        <v/>
      </c>
      <c r="E1778" t="str">
        <f t="shared" si="54"/>
        <v/>
      </c>
      <c r="F1778" t="str">
        <f t="shared" si="55"/>
        <v/>
      </c>
      <c r="G1778" t="str">
        <f>IF($J1778="","",SUMIFS('Hours Log'!$E:$E,'Hours Log'!$A:$A,"&gt;="&amp;$J1778,'Hours Log'!$A:$A,"&lt;"&amp;$J1778+7))</f>
        <v/>
      </c>
      <c r="J1778" t="str">
        <f>IF(COUNT('Hours Log'!$A$4:$A$5000)=0,"",IF(MIN('Hours Log'!$A$4:$A$5000)+7*(ROW()-10)&gt;MAX('Hours Log'!$A$4:$A$5000),"",MIN('Hours Log'!$A$4:$A$5000)+7*(ROW()-10)))</f>
        <v/>
      </c>
    </row>
    <row r="1779" spans="1:10" x14ac:dyDescent="0.25">
      <c r="A1779" t="str">
        <f>IF($J1779="","",YEAR($J1779-WEEKDAY($J1779,2)+4)&amp;"-W"&amp;TEXT(_xludf.ISOWEEKNUM($J1779),"00"))</f>
        <v/>
      </c>
      <c r="B1779"/>
      <c r="C1779" t="str">
        <f>IF($J1779="","",SUMIFS('Hours Log'!$C:$C,'Hours Log'!$A:$A,"&gt;="&amp;$J1779,'Hours Log'!$A:$A,"&lt;"&amp;$J1779+7)+SUMIFS('Hours Log'!$D:$D,'Hours Log'!$A:$A,"&gt;="&amp;$J1779,'Hours Log'!$A:$A,"&lt;"&amp;$J1779+7))</f>
        <v/>
      </c>
      <c r="D1779" t="str">
        <f>IF($J1779="","",SUMIFS('Hours Log'!$D:$D,'Hours Log'!$A:$A,"&gt;="&amp;$J1779,'Hours Log'!$A:$A,"&lt;"&amp;$J1779+7))</f>
        <v/>
      </c>
      <c r="E1779" t="str">
        <f t="shared" si="54"/>
        <v/>
      </c>
      <c r="F1779" t="str">
        <f t="shared" si="55"/>
        <v/>
      </c>
      <c r="G1779" t="str">
        <f>IF($J1779="","",SUMIFS('Hours Log'!$E:$E,'Hours Log'!$A:$A,"&gt;="&amp;$J1779,'Hours Log'!$A:$A,"&lt;"&amp;$J1779+7))</f>
        <v/>
      </c>
      <c r="J1779" t="str">
        <f>IF(COUNT('Hours Log'!$A$4:$A$5000)=0,"",IF(MIN('Hours Log'!$A$4:$A$5000)+7*(ROW()-10)&gt;MAX('Hours Log'!$A$4:$A$5000),"",MIN('Hours Log'!$A$4:$A$5000)+7*(ROW()-10)))</f>
        <v/>
      </c>
    </row>
    <row r="1780" spans="1:10" x14ac:dyDescent="0.25">
      <c r="A1780" t="str">
        <f>IF($J1780="","",YEAR($J1780-WEEKDAY($J1780,2)+4)&amp;"-W"&amp;TEXT(_xludf.ISOWEEKNUM($J1780),"00"))</f>
        <v/>
      </c>
      <c r="B1780"/>
      <c r="C1780" t="str">
        <f>IF($J1780="","",SUMIFS('Hours Log'!$C:$C,'Hours Log'!$A:$A,"&gt;="&amp;$J1780,'Hours Log'!$A:$A,"&lt;"&amp;$J1780+7)+SUMIFS('Hours Log'!$D:$D,'Hours Log'!$A:$A,"&gt;="&amp;$J1780,'Hours Log'!$A:$A,"&lt;"&amp;$J1780+7))</f>
        <v/>
      </c>
      <c r="D1780" t="str">
        <f>IF($J1780="","",SUMIFS('Hours Log'!$D:$D,'Hours Log'!$A:$A,"&gt;="&amp;$J1780,'Hours Log'!$A:$A,"&lt;"&amp;$J1780+7))</f>
        <v/>
      </c>
      <c r="E1780" t="str">
        <f t="shared" si="54"/>
        <v/>
      </c>
      <c r="F1780" t="str">
        <f t="shared" si="55"/>
        <v/>
      </c>
      <c r="G1780" t="str">
        <f>IF($J1780="","",SUMIFS('Hours Log'!$E:$E,'Hours Log'!$A:$A,"&gt;="&amp;$J1780,'Hours Log'!$A:$A,"&lt;"&amp;$J1780+7))</f>
        <v/>
      </c>
      <c r="J1780" t="str">
        <f>IF(COUNT('Hours Log'!$A$4:$A$5000)=0,"",IF(MIN('Hours Log'!$A$4:$A$5000)+7*(ROW()-10)&gt;MAX('Hours Log'!$A$4:$A$5000),"",MIN('Hours Log'!$A$4:$A$5000)+7*(ROW()-10)))</f>
        <v/>
      </c>
    </row>
    <row r="1781" spans="1:10" x14ac:dyDescent="0.25">
      <c r="A1781" t="str">
        <f>IF($J1781="","",YEAR($J1781-WEEKDAY($J1781,2)+4)&amp;"-W"&amp;TEXT(_xludf.ISOWEEKNUM($J1781),"00"))</f>
        <v/>
      </c>
      <c r="B1781"/>
      <c r="C1781" t="str">
        <f>IF($J1781="","",SUMIFS('Hours Log'!$C:$C,'Hours Log'!$A:$A,"&gt;="&amp;$J1781,'Hours Log'!$A:$A,"&lt;"&amp;$J1781+7)+SUMIFS('Hours Log'!$D:$D,'Hours Log'!$A:$A,"&gt;="&amp;$J1781,'Hours Log'!$A:$A,"&lt;"&amp;$J1781+7))</f>
        <v/>
      </c>
      <c r="D1781" t="str">
        <f>IF($J1781="","",SUMIFS('Hours Log'!$D:$D,'Hours Log'!$A:$A,"&gt;="&amp;$J1781,'Hours Log'!$A:$A,"&lt;"&amp;$J1781+7))</f>
        <v/>
      </c>
      <c r="E1781" t="str">
        <f t="shared" si="54"/>
        <v/>
      </c>
      <c r="F1781" t="str">
        <f t="shared" si="55"/>
        <v/>
      </c>
      <c r="G1781" t="str">
        <f>IF($J1781="","",SUMIFS('Hours Log'!$E:$E,'Hours Log'!$A:$A,"&gt;="&amp;$J1781,'Hours Log'!$A:$A,"&lt;"&amp;$J1781+7))</f>
        <v/>
      </c>
      <c r="J1781" t="str">
        <f>IF(COUNT('Hours Log'!$A$4:$A$5000)=0,"",IF(MIN('Hours Log'!$A$4:$A$5000)+7*(ROW()-10)&gt;MAX('Hours Log'!$A$4:$A$5000),"",MIN('Hours Log'!$A$4:$A$5000)+7*(ROW()-10)))</f>
        <v/>
      </c>
    </row>
    <row r="1782" spans="1:10" x14ac:dyDescent="0.25">
      <c r="A1782" t="str">
        <f>IF($J1782="","",YEAR($J1782-WEEKDAY($J1782,2)+4)&amp;"-W"&amp;TEXT(_xludf.ISOWEEKNUM($J1782),"00"))</f>
        <v/>
      </c>
      <c r="B1782"/>
      <c r="C1782" t="str">
        <f>IF($J1782="","",SUMIFS('Hours Log'!$C:$C,'Hours Log'!$A:$A,"&gt;="&amp;$J1782,'Hours Log'!$A:$A,"&lt;"&amp;$J1782+7)+SUMIFS('Hours Log'!$D:$D,'Hours Log'!$A:$A,"&gt;="&amp;$J1782,'Hours Log'!$A:$A,"&lt;"&amp;$J1782+7))</f>
        <v/>
      </c>
      <c r="D1782" t="str">
        <f>IF($J1782="","",SUMIFS('Hours Log'!$D:$D,'Hours Log'!$A:$A,"&gt;="&amp;$J1782,'Hours Log'!$A:$A,"&lt;"&amp;$J1782+7))</f>
        <v/>
      </c>
      <c r="E1782" t="str">
        <f t="shared" si="54"/>
        <v/>
      </c>
      <c r="F1782" t="str">
        <f t="shared" si="55"/>
        <v/>
      </c>
      <c r="G1782" t="str">
        <f>IF($J1782="","",SUMIFS('Hours Log'!$E:$E,'Hours Log'!$A:$A,"&gt;="&amp;$J1782,'Hours Log'!$A:$A,"&lt;"&amp;$J1782+7))</f>
        <v/>
      </c>
      <c r="J1782" t="str">
        <f>IF(COUNT('Hours Log'!$A$4:$A$5000)=0,"",IF(MIN('Hours Log'!$A$4:$A$5000)+7*(ROW()-10)&gt;MAX('Hours Log'!$A$4:$A$5000),"",MIN('Hours Log'!$A$4:$A$5000)+7*(ROW()-10)))</f>
        <v/>
      </c>
    </row>
    <row r="1783" spans="1:10" x14ac:dyDescent="0.25">
      <c r="A1783" t="str">
        <f>IF($J1783="","",YEAR($J1783-WEEKDAY($J1783,2)+4)&amp;"-W"&amp;TEXT(_xludf.ISOWEEKNUM($J1783),"00"))</f>
        <v/>
      </c>
      <c r="B1783"/>
      <c r="C1783" t="str">
        <f>IF($J1783="","",SUMIFS('Hours Log'!$C:$C,'Hours Log'!$A:$A,"&gt;="&amp;$J1783,'Hours Log'!$A:$A,"&lt;"&amp;$J1783+7)+SUMIFS('Hours Log'!$D:$D,'Hours Log'!$A:$A,"&gt;="&amp;$J1783,'Hours Log'!$A:$A,"&lt;"&amp;$J1783+7))</f>
        <v/>
      </c>
      <c r="D1783" t="str">
        <f>IF($J1783="","",SUMIFS('Hours Log'!$D:$D,'Hours Log'!$A:$A,"&gt;="&amp;$J1783,'Hours Log'!$A:$A,"&lt;"&amp;$J1783+7))</f>
        <v/>
      </c>
      <c r="E1783" t="str">
        <f t="shared" si="54"/>
        <v/>
      </c>
      <c r="F1783" t="str">
        <f t="shared" si="55"/>
        <v/>
      </c>
      <c r="G1783" t="str">
        <f>IF($J1783="","",SUMIFS('Hours Log'!$E:$E,'Hours Log'!$A:$A,"&gt;="&amp;$J1783,'Hours Log'!$A:$A,"&lt;"&amp;$J1783+7))</f>
        <v/>
      </c>
      <c r="J1783" t="str">
        <f>IF(COUNT('Hours Log'!$A$4:$A$5000)=0,"",IF(MIN('Hours Log'!$A$4:$A$5000)+7*(ROW()-10)&gt;MAX('Hours Log'!$A$4:$A$5000),"",MIN('Hours Log'!$A$4:$A$5000)+7*(ROW()-10)))</f>
        <v/>
      </c>
    </row>
    <row r="1784" spans="1:10" x14ac:dyDescent="0.25">
      <c r="A1784" t="str">
        <f>IF($J1784="","",YEAR($J1784-WEEKDAY($J1784,2)+4)&amp;"-W"&amp;TEXT(_xludf.ISOWEEKNUM($J1784),"00"))</f>
        <v/>
      </c>
      <c r="B1784"/>
      <c r="C1784" t="str">
        <f>IF($J1784="","",SUMIFS('Hours Log'!$C:$C,'Hours Log'!$A:$A,"&gt;="&amp;$J1784,'Hours Log'!$A:$A,"&lt;"&amp;$J1784+7)+SUMIFS('Hours Log'!$D:$D,'Hours Log'!$A:$A,"&gt;="&amp;$J1784,'Hours Log'!$A:$A,"&lt;"&amp;$J1784+7))</f>
        <v/>
      </c>
      <c r="D1784" t="str">
        <f>IF($J1784="","",SUMIFS('Hours Log'!$D:$D,'Hours Log'!$A:$A,"&gt;="&amp;$J1784,'Hours Log'!$A:$A,"&lt;"&amp;$J1784+7))</f>
        <v/>
      </c>
      <c r="E1784" t="str">
        <f t="shared" si="54"/>
        <v/>
      </c>
      <c r="F1784" t="str">
        <f t="shared" si="55"/>
        <v/>
      </c>
      <c r="G1784" t="str">
        <f>IF($J1784="","",SUMIFS('Hours Log'!$E:$E,'Hours Log'!$A:$A,"&gt;="&amp;$J1784,'Hours Log'!$A:$A,"&lt;"&amp;$J1784+7))</f>
        <v/>
      </c>
      <c r="J1784" t="str">
        <f>IF(COUNT('Hours Log'!$A$4:$A$5000)=0,"",IF(MIN('Hours Log'!$A$4:$A$5000)+7*(ROW()-10)&gt;MAX('Hours Log'!$A$4:$A$5000),"",MIN('Hours Log'!$A$4:$A$5000)+7*(ROW()-10)))</f>
        <v/>
      </c>
    </row>
    <row r="1785" spans="1:10" x14ac:dyDescent="0.25">
      <c r="A1785" t="str">
        <f>IF($J1785="","",YEAR($J1785-WEEKDAY($J1785,2)+4)&amp;"-W"&amp;TEXT(_xludf.ISOWEEKNUM($J1785),"00"))</f>
        <v/>
      </c>
      <c r="B1785"/>
      <c r="C1785" t="str">
        <f>IF($J1785="","",SUMIFS('Hours Log'!$C:$C,'Hours Log'!$A:$A,"&gt;="&amp;$J1785,'Hours Log'!$A:$A,"&lt;"&amp;$J1785+7)+SUMIFS('Hours Log'!$D:$D,'Hours Log'!$A:$A,"&gt;="&amp;$J1785,'Hours Log'!$A:$A,"&lt;"&amp;$J1785+7))</f>
        <v/>
      </c>
      <c r="D1785" t="str">
        <f>IF($J1785="","",SUMIFS('Hours Log'!$D:$D,'Hours Log'!$A:$A,"&gt;="&amp;$J1785,'Hours Log'!$A:$A,"&lt;"&amp;$J1785+7))</f>
        <v/>
      </c>
      <c r="E1785" t="str">
        <f t="shared" si="54"/>
        <v/>
      </c>
      <c r="F1785" t="str">
        <f t="shared" si="55"/>
        <v/>
      </c>
      <c r="G1785" t="str">
        <f>IF($J1785="","",SUMIFS('Hours Log'!$E:$E,'Hours Log'!$A:$A,"&gt;="&amp;$J1785,'Hours Log'!$A:$A,"&lt;"&amp;$J1785+7))</f>
        <v/>
      </c>
      <c r="J1785" t="str">
        <f>IF(COUNT('Hours Log'!$A$4:$A$5000)=0,"",IF(MIN('Hours Log'!$A$4:$A$5000)+7*(ROW()-10)&gt;MAX('Hours Log'!$A$4:$A$5000),"",MIN('Hours Log'!$A$4:$A$5000)+7*(ROW()-10)))</f>
        <v/>
      </c>
    </row>
    <row r="1786" spans="1:10" x14ac:dyDescent="0.25">
      <c r="A1786" t="str">
        <f>IF($J1786="","",YEAR($J1786-WEEKDAY($J1786,2)+4)&amp;"-W"&amp;TEXT(_xludf.ISOWEEKNUM($J1786),"00"))</f>
        <v/>
      </c>
      <c r="B1786"/>
      <c r="C1786" t="str">
        <f>IF($J1786="","",SUMIFS('Hours Log'!$C:$C,'Hours Log'!$A:$A,"&gt;="&amp;$J1786,'Hours Log'!$A:$A,"&lt;"&amp;$J1786+7)+SUMIFS('Hours Log'!$D:$D,'Hours Log'!$A:$A,"&gt;="&amp;$J1786,'Hours Log'!$A:$A,"&lt;"&amp;$J1786+7))</f>
        <v/>
      </c>
      <c r="D1786" t="str">
        <f>IF($J1786="","",SUMIFS('Hours Log'!$D:$D,'Hours Log'!$A:$A,"&gt;="&amp;$J1786,'Hours Log'!$A:$A,"&lt;"&amp;$J1786+7))</f>
        <v/>
      </c>
      <c r="E1786" t="str">
        <f t="shared" si="54"/>
        <v/>
      </c>
      <c r="F1786" t="str">
        <f t="shared" si="55"/>
        <v/>
      </c>
      <c r="G1786" t="str">
        <f>IF($J1786="","",SUMIFS('Hours Log'!$E:$E,'Hours Log'!$A:$A,"&gt;="&amp;$J1786,'Hours Log'!$A:$A,"&lt;"&amp;$J1786+7))</f>
        <v/>
      </c>
      <c r="J1786" t="str">
        <f>IF(COUNT('Hours Log'!$A$4:$A$5000)=0,"",IF(MIN('Hours Log'!$A$4:$A$5000)+7*(ROW()-10)&gt;MAX('Hours Log'!$A$4:$A$5000),"",MIN('Hours Log'!$A$4:$A$5000)+7*(ROW()-10)))</f>
        <v/>
      </c>
    </row>
    <row r="1787" spans="1:10" x14ac:dyDescent="0.25">
      <c r="A1787" t="str">
        <f>IF($J1787="","",YEAR($J1787-WEEKDAY($J1787,2)+4)&amp;"-W"&amp;TEXT(_xludf.ISOWEEKNUM($J1787),"00"))</f>
        <v/>
      </c>
      <c r="B1787"/>
      <c r="C1787" t="str">
        <f>IF($J1787="","",SUMIFS('Hours Log'!$C:$C,'Hours Log'!$A:$A,"&gt;="&amp;$J1787,'Hours Log'!$A:$A,"&lt;"&amp;$J1787+7)+SUMIFS('Hours Log'!$D:$D,'Hours Log'!$A:$A,"&gt;="&amp;$J1787,'Hours Log'!$A:$A,"&lt;"&amp;$J1787+7))</f>
        <v/>
      </c>
      <c r="D1787" t="str">
        <f>IF($J1787="","",SUMIFS('Hours Log'!$D:$D,'Hours Log'!$A:$A,"&gt;="&amp;$J1787,'Hours Log'!$A:$A,"&lt;"&amp;$J1787+7))</f>
        <v/>
      </c>
      <c r="E1787" t="str">
        <f t="shared" si="54"/>
        <v/>
      </c>
      <c r="F1787" t="str">
        <f t="shared" si="55"/>
        <v/>
      </c>
      <c r="G1787" t="str">
        <f>IF($J1787="","",SUMIFS('Hours Log'!$E:$E,'Hours Log'!$A:$A,"&gt;="&amp;$J1787,'Hours Log'!$A:$A,"&lt;"&amp;$J1787+7))</f>
        <v/>
      </c>
      <c r="J1787" t="str">
        <f>IF(COUNT('Hours Log'!$A$4:$A$5000)=0,"",IF(MIN('Hours Log'!$A$4:$A$5000)+7*(ROW()-10)&gt;MAX('Hours Log'!$A$4:$A$5000),"",MIN('Hours Log'!$A$4:$A$5000)+7*(ROW()-10)))</f>
        <v/>
      </c>
    </row>
    <row r="1788" spans="1:10" x14ac:dyDescent="0.25">
      <c r="A1788" t="str">
        <f>IF($J1788="","",YEAR($J1788-WEEKDAY($J1788,2)+4)&amp;"-W"&amp;TEXT(_xludf.ISOWEEKNUM($J1788),"00"))</f>
        <v/>
      </c>
      <c r="B1788"/>
      <c r="C1788" t="str">
        <f>IF($J1788="","",SUMIFS('Hours Log'!$C:$C,'Hours Log'!$A:$A,"&gt;="&amp;$J1788,'Hours Log'!$A:$A,"&lt;"&amp;$J1788+7)+SUMIFS('Hours Log'!$D:$D,'Hours Log'!$A:$A,"&gt;="&amp;$J1788,'Hours Log'!$A:$A,"&lt;"&amp;$J1788+7))</f>
        <v/>
      </c>
      <c r="D1788" t="str">
        <f>IF($J1788="","",SUMIFS('Hours Log'!$D:$D,'Hours Log'!$A:$A,"&gt;="&amp;$J1788,'Hours Log'!$A:$A,"&lt;"&amp;$J1788+7))</f>
        <v/>
      </c>
      <c r="E1788" t="str">
        <f t="shared" si="54"/>
        <v/>
      </c>
      <c r="F1788" t="str">
        <f t="shared" si="55"/>
        <v/>
      </c>
      <c r="G1788" t="str">
        <f>IF($J1788="","",SUMIFS('Hours Log'!$E:$E,'Hours Log'!$A:$A,"&gt;="&amp;$J1788,'Hours Log'!$A:$A,"&lt;"&amp;$J1788+7))</f>
        <v/>
      </c>
      <c r="J1788" t="str">
        <f>IF(COUNT('Hours Log'!$A$4:$A$5000)=0,"",IF(MIN('Hours Log'!$A$4:$A$5000)+7*(ROW()-10)&gt;MAX('Hours Log'!$A$4:$A$5000),"",MIN('Hours Log'!$A$4:$A$5000)+7*(ROW()-10)))</f>
        <v/>
      </c>
    </row>
    <row r="1789" spans="1:10" x14ac:dyDescent="0.25">
      <c r="A1789" t="str">
        <f>IF($J1789="","",YEAR($J1789-WEEKDAY($J1789,2)+4)&amp;"-W"&amp;TEXT(_xludf.ISOWEEKNUM($J1789),"00"))</f>
        <v/>
      </c>
      <c r="B1789"/>
      <c r="C1789" t="str">
        <f>IF($J1789="","",SUMIFS('Hours Log'!$C:$C,'Hours Log'!$A:$A,"&gt;="&amp;$J1789,'Hours Log'!$A:$A,"&lt;"&amp;$J1789+7)+SUMIFS('Hours Log'!$D:$D,'Hours Log'!$A:$A,"&gt;="&amp;$J1789,'Hours Log'!$A:$A,"&lt;"&amp;$J1789+7))</f>
        <v/>
      </c>
      <c r="D1789" t="str">
        <f>IF($J1789="","",SUMIFS('Hours Log'!$D:$D,'Hours Log'!$A:$A,"&gt;="&amp;$J1789,'Hours Log'!$A:$A,"&lt;"&amp;$J1789+7))</f>
        <v/>
      </c>
      <c r="E1789" t="str">
        <f t="shared" si="54"/>
        <v/>
      </c>
      <c r="F1789" t="str">
        <f t="shared" si="55"/>
        <v/>
      </c>
      <c r="G1789" t="str">
        <f>IF($J1789="","",SUMIFS('Hours Log'!$E:$E,'Hours Log'!$A:$A,"&gt;="&amp;$J1789,'Hours Log'!$A:$A,"&lt;"&amp;$J1789+7))</f>
        <v/>
      </c>
      <c r="J1789" t="str">
        <f>IF(COUNT('Hours Log'!$A$4:$A$5000)=0,"",IF(MIN('Hours Log'!$A$4:$A$5000)+7*(ROW()-10)&gt;MAX('Hours Log'!$A$4:$A$5000),"",MIN('Hours Log'!$A$4:$A$5000)+7*(ROW()-10)))</f>
        <v/>
      </c>
    </row>
    <row r="1790" spans="1:10" x14ac:dyDescent="0.25">
      <c r="A1790" t="str">
        <f>IF($J1790="","",YEAR($J1790-WEEKDAY($J1790,2)+4)&amp;"-W"&amp;TEXT(_xludf.ISOWEEKNUM($J1790),"00"))</f>
        <v/>
      </c>
      <c r="B1790"/>
      <c r="C1790" t="str">
        <f>IF($J1790="","",SUMIFS('Hours Log'!$C:$C,'Hours Log'!$A:$A,"&gt;="&amp;$J1790,'Hours Log'!$A:$A,"&lt;"&amp;$J1790+7)+SUMIFS('Hours Log'!$D:$D,'Hours Log'!$A:$A,"&gt;="&amp;$J1790,'Hours Log'!$A:$A,"&lt;"&amp;$J1790+7))</f>
        <v/>
      </c>
      <c r="D1790" t="str">
        <f>IF($J1790="","",SUMIFS('Hours Log'!$D:$D,'Hours Log'!$A:$A,"&gt;="&amp;$J1790,'Hours Log'!$A:$A,"&lt;"&amp;$J1790+7))</f>
        <v/>
      </c>
      <c r="E1790" t="str">
        <f t="shared" si="54"/>
        <v/>
      </c>
      <c r="F1790" t="str">
        <f t="shared" si="55"/>
        <v/>
      </c>
      <c r="G1790" t="str">
        <f>IF($J1790="","",SUMIFS('Hours Log'!$E:$E,'Hours Log'!$A:$A,"&gt;="&amp;$J1790,'Hours Log'!$A:$A,"&lt;"&amp;$J1790+7))</f>
        <v/>
      </c>
      <c r="J1790" t="str">
        <f>IF(COUNT('Hours Log'!$A$4:$A$5000)=0,"",IF(MIN('Hours Log'!$A$4:$A$5000)+7*(ROW()-10)&gt;MAX('Hours Log'!$A$4:$A$5000),"",MIN('Hours Log'!$A$4:$A$5000)+7*(ROW()-10)))</f>
        <v/>
      </c>
    </row>
    <row r="1791" spans="1:10" x14ac:dyDescent="0.25">
      <c r="A1791" t="str">
        <f>IF($J1791="","",YEAR($J1791-WEEKDAY($J1791,2)+4)&amp;"-W"&amp;TEXT(_xludf.ISOWEEKNUM($J1791),"00"))</f>
        <v/>
      </c>
      <c r="B1791"/>
      <c r="C1791" t="str">
        <f>IF($J1791="","",SUMIFS('Hours Log'!$C:$C,'Hours Log'!$A:$A,"&gt;="&amp;$J1791,'Hours Log'!$A:$A,"&lt;"&amp;$J1791+7)+SUMIFS('Hours Log'!$D:$D,'Hours Log'!$A:$A,"&gt;="&amp;$J1791,'Hours Log'!$A:$A,"&lt;"&amp;$J1791+7))</f>
        <v/>
      </c>
      <c r="D1791" t="str">
        <f>IF($J1791="","",SUMIFS('Hours Log'!$D:$D,'Hours Log'!$A:$A,"&gt;="&amp;$J1791,'Hours Log'!$A:$A,"&lt;"&amp;$J1791+7))</f>
        <v/>
      </c>
      <c r="E1791" t="str">
        <f t="shared" si="54"/>
        <v/>
      </c>
      <c r="F1791" t="str">
        <f t="shared" si="55"/>
        <v/>
      </c>
      <c r="G1791" t="str">
        <f>IF($J1791="","",SUMIFS('Hours Log'!$E:$E,'Hours Log'!$A:$A,"&gt;="&amp;$J1791,'Hours Log'!$A:$A,"&lt;"&amp;$J1791+7))</f>
        <v/>
      </c>
      <c r="J1791" t="str">
        <f>IF(COUNT('Hours Log'!$A$4:$A$5000)=0,"",IF(MIN('Hours Log'!$A$4:$A$5000)+7*(ROW()-10)&gt;MAX('Hours Log'!$A$4:$A$5000),"",MIN('Hours Log'!$A$4:$A$5000)+7*(ROW()-10)))</f>
        <v/>
      </c>
    </row>
    <row r="1792" spans="1:10" x14ac:dyDescent="0.25">
      <c r="A1792" t="str">
        <f>IF($J1792="","",YEAR($J1792-WEEKDAY($J1792,2)+4)&amp;"-W"&amp;TEXT(_xludf.ISOWEEKNUM($J1792),"00"))</f>
        <v/>
      </c>
      <c r="B1792"/>
      <c r="C1792" t="str">
        <f>IF($J1792="","",SUMIFS('Hours Log'!$C:$C,'Hours Log'!$A:$A,"&gt;="&amp;$J1792,'Hours Log'!$A:$A,"&lt;"&amp;$J1792+7)+SUMIFS('Hours Log'!$D:$D,'Hours Log'!$A:$A,"&gt;="&amp;$J1792,'Hours Log'!$A:$A,"&lt;"&amp;$J1792+7))</f>
        <v/>
      </c>
      <c r="D1792" t="str">
        <f>IF($J1792="","",SUMIFS('Hours Log'!$D:$D,'Hours Log'!$A:$A,"&gt;="&amp;$J1792,'Hours Log'!$A:$A,"&lt;"&amp;$J1792+7))</f>
        <v/>
      </c>
      <c r="E1792" t="str">
        <f t="shared" si="54"/>
        <v/>
      </c>
      <c r="F1792" t="str">
        <f t="shared" si="55"/>
        <v/>
      </c>
      <c r="G1792" t="str">
        <f>IF($J1792="","",SUMIFS('Hours Log'!$E:$E,'Hours Log'!$A:$A,"&gt;="&amp;$J1792,'Hours Log'!$A:$A,"&lt;"&amp;$J1792+7))</f>
        <v/>
      </c>
      <c r="J1792" t="str">
        <f>IF(COUNT('Hours Log'!$A$4:$A$5000)=0,"",IF(MIN('Hours Log'!$A$4:$A$5000)+7*(ROW()-10)&gt;MAX('Hours Log'!$A$4:$A$5000),"",MIN('Hours Log'!$A$4:$A$5000)+7*(ROW()-10)))</f>
        <v/>
      </c>
    </row>
    <row r="1793" spans="1:10" x14ac:dyDescent="0.25">
      <c r="A1793" t="str">
        <f>IF($J1793="","",YEAR($J1793-WEEKDAY($J1793,2)+4)&amp;"-W"&amp;TEXT(_xludf.ISOWEEKNUM($J1793),"00"))</f>
        <v/>
      </c>
      <c r="B1793"/>
      <c r="C1793" t="str">
        <f>IF($J1793="","",SUMIFS('Hours Log'!$C:$C,'Hours Log'!$A:$A,"&gt;="&amp;$J1793,'Hours Log'!$A:$A,"&lt;"&amp;$J1793+7)+SUMIFS('Hours Log'!$D:$D,'Hours Log'!$A:$A,"&gt;="&amp;$J1793,'Hours Log'!$A:$A,"&lt;"&amp;$J1793+7))</f>
        <v/>
      </c>
      <c r="D1793" t="str">
        <f>IF($J1793="","",SUMIFS('Hours Log'!$D:$D,'Hours Log'!$A:$A,"&gt;="&amp;$J1793,'Hours Log'!$A:$A,"&lt;"&amp;$J1793+7))</f>
        <v/>
      </c>
      <c r="E1793" t="str">
        <f t="shared" si="54"/>
        <v/>
      </c>
      <c r="F1793" t="str">
        <f t="shared" si="55"/>
        <v/>
      </c>
      <c r="G1793" t="str">
        <f>IF($J1793="","",SUMIFS('Hours Log'!$E:$E,'Hours Log'!$A:$A,"&gt;="&amp;$J1793,'Hours Log'!$A:$A,"&lt;"&amp;$J1793+7))</f>
        <v/>
      </c>
      <c r="J1793" t="str">
        <f>IF(COUNT('Hours Log'!$A$4:$A$5000)=0,"",IF(MIN('Hours Log'!$A$4:$A$5000)+7*(ROW()-10)&gt;MAX('Hours Log'!$A$4:$A$5000),"",MIN('Hours Log'!$A$4:$A$5000)+7*(ROW()-10)))</f>
        <v/>
      </c>
    </row>
    <row r="1794" spans="1:10" x14ac:dyDescent="0.25">
      <c r="A1794" t="str">
        <f>IF($J1794="","",YEAR($J1794-WEEKDAY($J1794,2)+4)&amp;"-W"&amp;TEXT(_xludf.ISOWEEKNUM($J1794),"00"))</f>
        <v/>
      </c>
      <c r="B1794"/>
      <c r="C1794" t="str">
        <f>IF($J1794="","",SUMIFS('Hours Log'!$C:$C,'Hours Log'!$A:$A,"&gt;="&amp;$J1794,'Hours Log'!$A:$A,"&lt;"&amp;$J1794+7)+SUMIFS('Hours Log'!$D:$D,'Hours Log'!$A:$A,"&gt;="&amp;$J1794,'Hours Log'!$A:$A,"&lt;"&amp;$J1794+7))</f>
        <v/>
      </c>
      <c r="D1794" t="str">
        <f>IF($J1794="","",SUMIFS('Hours Log'!$D:$D,'Hours Log'!$A:$A,"&gt;="&amp;$J1794,'Hours Log'!$A:$A,"&lt;"&amp;$J1794+7))</f>
        <v/>
      </c>
      <c r="E1794" t="str">
        <f t="shared" si="54"/>
        <v/>
      </c>
      <c r="F1794" t="str">
        <f t="shared" si="55"/>
        <v/>
      </c>
      <c r="G1794" t="str">
        <f>IF($J1794="","",SUMIFS('Hours Log'!$E:$E,'Hours Log'!$A:$A,"&gt;="&amp;$J1794,'Hours Log'!$A:$A,"&lt;"&amp;$J1794+7))</f>
        <v/>
      </c>
      <c r="J1794" t="str">
        <f>IF(COUNT('Hours Log'!$A$4:$A$5000)=0,"",IF(MIN('Hours Log'!$A$4:$A$5000)+7*(ROW()-10)&gt;MAX('Hours Log'!$A$4:$A$5000),"",MIN('Hours Log'!$A$4:$A$5000)+7*(ROW()-10)))</f>
        <v/>
      </c>
    </row>
    <row r="1795" spans="1:10" x14ac:dyDescent="0.25">
      <c r="A1795" t="str">
        <f>IF($J1795="","",YEAR($J1795-WEEKDAY($J1795,2)+4)&amp;"-W"&amp;TEXT(_xludf.ISOWEEKNUM($J1795),"00"))</f>
        <v/>
      </c>
      <c r="B1795"/>
      <c r="C1795" t="str">
        <f>IF($J1795="","",SUMIFS('Hours Log'!$C:$C,'Hours Log'!$A:$A,"&gt;="&amp;$J1795,'Hours Log'!$A:$A,"&lt;"&amp;$J1795+7)+SUMIFS('Hours Log'!$D:$D,'Hours Log'!$A:$A,"&gt;="&amp;$J1795,'Hours Log'!$A:$A,"&lt;"&amp;$J1795+7))</f>
        <v/>
      </c>
      <c r="D1795" t="str">
        <f>IF($J1795="","",SUMIFS('Hours Log'!$D:$D,'Hours Log'!$A:$A,"&gt;="&amp;$J1795,'Hours Log'!$A:$A,"&lt;"&amp;$J1795+7))</f>
        <v/>
      </c>
      <c r="E1795" t="str">
        <f t="shared" si="54"/>
        <v/>
      </c>
      <c r="F1795" t="str">
        <f t="shared" si="55"/>
        <v/>
      </c>
      <c r="G1795" t="str">
        <f>IF($J1795="","",SUMIFS('Hours Log'!$E:$E,'Hours Log'!$A:$A,"&gt;="&amp;$J1795,'Hours Log'!$A:$A,"&lt;"&amp;$J1795+7))</f>
        <v/>
      </c>
      <c r="J1795" t="str">
        <f>IF(COUNT('Hours Log'!$A$4:$A$5000)=0,"",IF(MIN('Hours Log'!$A$4:$A$5000)+7*(ROW()-10)&gt;MAX('Hours Log'!$A$4:$A$5000),"",MIN('Hours Log'!$A$4:$A$5000)+7*(ROW()-10)))</f>
        <v/>
      </c>
    </row>
    <row r="1796" spans="1:10" x14ac:dyDescent="0.25">
      <c r="A1796" t="str">
        <f>IF($J1796="","",YEAR($J1796-WEEKDAY($J1796,2)+4)&amp;"-W"&amp;TEXT(_xludf.ISOWEEKNUM($J1796),"00"))</f>
        <v/>
      </c>
      <c r="B1796"/>
      <c r="C1796" t="str">
        <f>IF($J1796="","",SUMIFS('Hours Log'!$C:$C,'Hours Log'!$A:$A,"&gt;="&amp;$J1796,'Hours Log'!$A:$A,"&lt;"&amp;$J1796+7)+SUMIFS('Hours Log'!$D:$D,'Hours Log'!$A:$A,"&gt;="&amp;$J1796,'Hours Log'!$A:$A,"&lt;"&amp;$J1796+7))</f>
        <v/>
      </c>
      <c r="D1796" t="str">
        <f>IF($J1796="","",SUMIFS('Hours Log'!$D:$D,'Hours Log'!$A:$A,"&gt;="&amp;$J1796,'Hours Log'!$A:$A,"&lt;"&amp;$J1796+7))</f>
        <v/>
      </c>
      <c r="E1796" t="str">
        <f t="shared" si="54"/>
        <v/>
      </c>
      <c r="F1796" t="str">
        <f t="shared" si="55"/>
        <v/>
      </c>
      <c r="G1796" t="str">
        <f>IF($J1796="","",SUMIFS('Hours Log'!$E:$E,'Hours Log'!$A:$A,"&gt;="&amp;$J1796,'Hours Log'!$A:$A,"&lt;"&amp;$J1796+7))</f>
        <v/>
      </c>
      <c r="J1796" t="str">
        <f>IF(COUNT('Hours Log'!$A$4:$A$5000)=0,"",IF(MIN('Hours Log'!$A$4:$A$5000)+7*(ROW()-10)&gt;MAX('Hours Log'!$A$4:$A$5000),"",MIN('Hours Log'!$A$4:$A$5000)+7*(ROW()-10)))</f>
        <v/>
      </c>
    </row>
    <row r="1797" spans="1:10" x14ac:dyDescent="0.25">
      <c r="A1797" t="str">
        <f>IF($J1797="","",YEAR($J1797-WEEKDAY($J1797,2)+4)&amp;"-W"&amp;TEXT(_xludf.ISOWEEKNUM($J1797),"00"))</f>
        <v/>
      </c>
      <c r="B1797"/>
      <c r="C1797" t="str">
        <f>IF($J1797="","",SUMIFS('Hours Log'!$C:$C,'Hours Log'!$A:$A,"&gt;="&amp;$J1797,'Hours Log'!$A:$A,"&lt;"&amp;$J1797+7)+SUMIFS('Hours Log'!$D:$D,'Hours Log'!$A:$A,"&gt;="&amp;$J1797,'Hours Log'!$A:$A,"&lt;"&amp;$J1797+7))</f>
        <v/>
      </c>
      <c r="D1797" t="str">
        <f>IF($J1797="","",SUMIFS('Hours Log'!$D:$D,'Hours Log'!$A:$A,"&gt;="&amp;$J1797,'Hours Log'!$A:$A,"&lt;"&amp;$J1797+7))</f>
        <v/>
      </c>
      <c r="E1797" t="str">
        <f t="shared" si="54"/>
        <v/>
      </c>
      <c r="F1797" t="str">
        <f t="shared" si="55"/>
        <v/>
      </c>
      <c r="G1797" t="str">
        <f>IF($J1797="","",SUMIFS('Hours Log'!$E:$E,'Hours Log'!$A:$A,"&gt;="&amp;$J1797,'Hours Log'!$A:$A,"&lt;"&amp;$J1797+7))</f>
        <v/>
      </c>
      <c r="J1797" t="str">
        <f>IF(COUNT('Hours Log'!$A$4:$A$5000)=0,"",IF(MIN('Hours Log'!$A$4:$A$5000)+7*(ROW()-10)&gt;MAX('Hours Log'!$A$4:$A$5000),"",MIN('Hours Log'!$A$4:$A$5000)+7*(ROW()-10)))</f>
        <v/>
      </c>
    </row>
    <row r="1798" spans="1:10" x14ac:dyDescent="0.25">
      <c r="A1798" t="str">
        <f>IF($J1798="","",YEAR($J1798-WEEKDAY($J1798,2)+4)&amp;"-W"&amp;TEXT(_xludf.ISOWEEKNUM($J1798),"00"))</f>
        <v/>
      </c>
      <c r="B1798"/>
      <c r="C1798" t="str">
        <f>IF($J1798="","",SUMIFS('Hours Log'!$C:$C,'Hours Log'!$A:$A,"&gt;="&amp;$J1798,'Hours Log'!$A:$A,"&lt;"&amp;$J1798+7)+SUMIFS('Hours Log'!$D:$D,'Hours Log'!$A:$A,"&gt;="&amp;$J1798,'Hours Log'!$A:$A,"&lt;"&amp;$J1798+7))</f>
        <v/>
      </c>
      <c r="D1798" t="str">
        <f>IF($J1798="","",SUMIFS('Hours Log'!$D:$D,'Hours Log'!$A:$A,"&gt;="&amp;$J1798,'Hours Log'!$A:$A,"&lt;"&amp;$J1798+7))</f>
        <v/>
      </c>
      <c r="E1798" t="str">
        <f t="shared" si="54"/>
        <v/>
      </c>
      <c r="F1798" t="str">
        <f t="shared" si="55"/>
        <v/>
      </c>
      <c r="G1798" t="str">
        <f>IF($J1798="","",SUMIFS('Hours Log'!$E:$E,'Hours Log'!$A:$A,"&gt;="&amp;$J1798,'Hours Log'!$A:$A,"&lt;"&amp;$J1798+7))</f>
        <v/>
      </c>
      <c r="J1798" t="str">
        <f>IF(COUNT('Hours Log'!$A$4:$A$5000)=0,"",IF(MIN('Hours Log'!$A$4:$A$5000)+7*(ROW()-10)&gt;MAX('Hours Log'!$A$4:$A$5000),"",MIN('Hours Log'!$A$4:$A$5000)+7*(ROW()-10)))</f>
        <v/>
      </c>
    </row>
    <row r="1799" spans="1:10" x14ac:dyDescent="0.25">
      <c r="A1799" t="str">
        <f>IF($J1799="","",YEAR($J1799-WEEKDAY($J1799,2)+4)&amp;"-W"&amp;TEXT(_xludf.ISOWEEKNUM($J1799),"00"))</f>
        <v/>
      </c>
      <c r="B1799"/>
      <c r="C1799" t="str">
        <f>IF($J1799="","",SUMIFS('Hours Log'!$C:$C,'Hours Log'!$A:$A,"&gt;="&amp;$J1799,'Hours Log'!$A:$A,"&lt;"&amp;$J1799+7)+SUMIFS('Hours Log'!$D:$D,'Hours Log'!$A:$A,"&gt;="&amp;$J1799,'Hours Log'!$A:$A,"&lt;"&amp;$J1799+7))</f>
        <v/>
      </c>
      <c r="D1799" t="str">
        <f>IF($J1799="","",SUMIFS('Hours Log'!$D:$D,'Hours Log'!$A:$A,"&gt;="&amp;$J1799,'Hours Log'!$A:$A,"&lt;"&amp;$J1799+7))</f>
        <v/>
      </c>
      <c r="E1799" t="str">
        <f t="shared" si="54"/>
        <v/>
      </c>
      <c r="F1799" t="str">
        <f t="shared" si="55"/>
        <v/>
      </c>
      <c r="G1799" t="str">
        <f>IF($J1799="","",SUMIFS('Hours Log'!$E:$E,'Hours Log'!$A:$A,"&gt;="&amp;$J1799,'Hours Log'!$A:$A,"&lt;"&amp;$J1799+7))</f>
        <v/>
      </c>
      <c r="J1799" t="str">
        <f>IF(COUNT('Hours Log'!$A$4:$A$5000)=0,"",IF(MIN('Hours Log'!$A$4:$A$5000)+7*(ROW()-10)&gt;MAX('Hours Log'!$A$4:$A$5000),"",MIN('Hours Log'!$A$4:$A$5000)+7*(ROW()-10)))</f>
        <v/>
      </c>
    </row>
    <row r="1800" spans="1:10" x14ac:dyDescent="0.25">
      <c r="A1800" t="str">
        <f>IF($J1800="","",YEAR($J1800-WEEKDAY($J1800,2)+4)&amp;"-W"&amp;TEXT(_xludf.ISOWEEKNUM($J1800),"00"))</f>
        <v/>
      </c>
      <c r="B1800"/>
      <c r="C1800" t="str">
        <f>IF($J1800="","",SUMIFS('Hours Log'!$C:$C,'Hours Log'!$A:$A,"&gt;="&amp;$J1800,'Hours Log'!$A:$A,"&lt;"&amp;$J1800+7)+SUMIFS('Hours Log'!$D:$D,'Hours Log'!$A:$A,"&gt;="&amp;$J1800,'Hours Log'!$A:$A,"&lt;"&amp;$J1800+7))</f>
        <v/>
      </c>
      <c r="D1800" t="str">
        <f>IF($J1800="","",SUMIFS('Hours Log'!$D:$D,'Hours Log'!$A:$A,"&gt;="&amp;$J1800,'Hours Log'!$A:$A,"&lt;"&amp;$J1800+7))</f>
        <v/>
      </c>
      <c r="E1800" t="str">
        <f t="shared" si="54"/>
        <v/>
      </c>
      <c r="F1800" t="str">
        <f t="shared" si="55"/>
        <v/>
      </c>
      <c r="G1800" t="str">
        <f>IF($J1800="","",SUMIFS('Hours Log'!$E:$E,'Hours Log'!$A:$A,"&gt;="&amp;$J1800,'Hours Log'!$A:$A,"&lt;"&amp;$J1800+7))</f>
        <v/>
      </c>
      <c r="J1800" t="str">
        <f>IF(COUNT('Hours Log'!$A$4:$A$5000)=0,"",IF(MIN('Hours Log'!$A$4:$A$5000)+7*(ROW()-10)&gt;MAX('Hours Log'!$A$4:$A$5000),"",MIN('Hours Log'!$A$4:$A$5000)+7*(ROW()-10)))</f>
        <v/>
      </c>
    </row>
    <row r="1801" spans="1:10" x14ac:dyDescent="0.25">
      <c r="A1801" t="str">
        <f>IF($J1801="","",YEAR($J1801-WEEKDAY($J1801,2)+4)&amp;"-W"&amp;TEXT(_xludf.ISOWEEKNUM($J1801),"00"))</f>
        <v/>
      </c>
      <c r="B1801"/>
      <c r="C1801" t="str">
        <f>IF($J1801="","",SUMIFS('Hours Log'!$C:$C,'Hours Log'!$A:$A,"&gt;="&amp;$J1801,'Hours Log'!$A:$A,"&lt;"&amp;$J1801+7)+SUMIFS('Hours Log'!$D:$D,'Hours Log'!$A:$A,"&gt;="&amp;$J1801,'Hours Log'!$A:$A,"&lt;"&amp;$J1801+7))</f>
        <v/>
      </c>
      <c r="D1801" t="str">
        <f>IF($J1801="","",SUMIFS('Hours Log'!$D:$D,'Hours Log'!$A:$A,"&gt;="&amp;$J1801,'Hours Log'!$A:$A,"&lt;"&amp;$J1801+7))</f>
        <v/>
      </c>
      <c r="E1801" t="str">
        <f t="shared" si="54"/>
        <v/>
      </c>
      <c r="F1801" t="str">
        <f t="shared" si="55"/>
        <v/>
      </c>
      <c r="G1801" t="str">
        <f>IF($J1801="","",SUMIFS('Hours Log'!$E:$E,'Hours Log'!$A:$A,"&gt;="&amp;$J1801,'Hours Log'!$A:$A,"&lt;"&amp;$J1801+7))</f>
        <v/>
      </c>
      <c r="J1801" t="str">
        <f>IF(COUNT('Hours Log'!$A$4:$A$5000)=0,"",IF(MIN('Hours Log'!$A$4:$A$5000)+7*(ROW()-10)&gt;MAX('Hours Log'!$A$4:$A$5000),"",MIN('Hours Log'!$A$4:$A$5000)+7*(ROW()-10)))</f>
        <v/>
      </c>
    </row>
    <row r="1802" spans="1:10" x14ac:dyDescent="0.25">
      <c r="A1802" t="str">
        <f>IF($J1802="","",YEAR($J1802-WEEKDAY($J1802,2)+4)&amp;"-W"&amp;TEXT(_xludf.ISOWEEKNUM($J1802),"00"))</f>
        <v/>
      </c>
      <c r="B1802"/>
      <c r="C1802" t="str">
        <f>IF($J1802="","",SUMIFS('Hours Log'!$C:$C,'Hours Log'!$A:$A,"&gt;="&amp;$J1802,'Hours Log'!$A:$A,"&lt;"&amp;$J1802+7)+SUMIFS('Hours Log'!$D:$D,'Hours Log'!$A:$A,"&gt;="&amp;$J1802,'Hours Log'!$A:$A,"&lt;"&amp;$J1802+7))</f>
        <v/>
      </c>
      <c r="D1802" t="str">
        <f>IF($J1802="","",SUMIFS('Hours Log'!$D:$D,'Hours Log'!$A:$A,"&gt;="&amp;$J1802,'Hours Log'!$A:$A,"&lt;"&amp;$J1802+7))</f>
        <v/>
      </c>
      <c r="E1802" t="str">
        <f t="shared" ref="E1802:E1865" si="56">IF($J1802="","",IFERROR(C1802/(B1802*40),0))</f>
        <v/>
      </c>
      <c r="F1802" t="str">
        <f t="shared" ref="F1802:F1865" si="57">IF($J1802="","",0)</f>
        <v/>
      </c>
      <c r="G1802" t="str">
        <f>IF($J1802="","",SUMIFS('Hours Log'!$E:$E,'Hours Log'!$A:$A,"&gt;="&amp;$J1802,'Hours Log'!$A:$A,"&lt;"&amp;$J1802+7))</f>
        <v/>
      </c>
      <c r="J1802" t="str">
        <f>IF(COUNT('Hours Log'!$A$4:$A$5000)=0,"",IF(MIN('Hours Log'!$A$4:$A$5000)+7*(ROW()-10)&gt;MAX('Hours Log'!$A$4:$A$5000),"",MIN('Hours Log'!$A$4:$A$5000)+7*(ROW()-10)))</f>
        <v/>
      </c>
    </row>
    <row r="1803" spans="1:10" x14ac:dyDescent="0.25">
      <c r="A1803" t="str">
        <f>IF($J1803="","",YEAR($J1803-WEEKDAY($J1803,2)+4)&amp;"-W"&amp;TEXT(_xludf.ISOWEEKNUM($J1803),"00"))</f>
        <v/>
      </c>
      <c r="B1803"/>
      <c r="C1803" t="str">
        <f>IF($J1803="","",SUMIFS('Hours Log'!$C:$C,'Hours Log'!$A:$A,"&gt;="&amp;$J1803,'Hours Log'!$A:$A,"&lt;"&amp;$J1803+7)+SUMIFS('Hours Log'!$D:$D,'Hours Log'!$A:$A,"&gt;="&amp;$J1803,'Hours Log'!$A:$A,"&lt;"&amp;$J1803+7))</f>
        <v/>
      </c>
      <c r="D1803" t="str">
        <f>IF($J1803="","",SUMIFS('Hours Log'!$D:$D,'Hours Log'!$A:$A,"&gt;="&amp;$J1803,'Hours Log'!$A:$A,"&lt;"&amp;$J1803+7))</f>
        <v/>
      </c>
      <c r="E1803" t="str">
        <f t="shared" si="56"/>
        <v/>
      </c>
      <c r="F1803" t="str">
        <f t="shared" si="57"/>
        <v/>
      </c>
      <c r="G1803" t="str">
        <f>IF($J1803="","",SUMIFS('Hours Log'!$E:$E,'Hours Log'!$A:$A,"&gt;="&amp;$J1803,'Hours Log'!$A:$A,"&lt;"&amp;$J1803+7))</f>
        <v/>
      </c>
      <c r="J1803" t="str">
        <f>IF(COUNT('Hours Log'!$A$4:$A$5000)=0,"",IF(MIN('Hours Log'!$A$4:$A$5000)+7*(ROW()-10)&gt;MAX('Hours Log'!$A$4:$A$5000),"",MIN('Hours Log'!$A$4:$A$5000)+7*(ROW()-10)))</f>
        <v/>
      </c>
    </row>
    <row r="1804" spans="1:10" x14ac:dyDescent="0.25">
      <c r="A1804" t="str">
        <f>IF($J1804="","",YEAR($J1804-WEEKDAY($J1804,2)+4)&amp;"-W"&amp;TEXT(_xludf.ISOWEEKNUM($J1804),"00"))</f>
        <v/>
      </c>
      <c r="B1804"/>
      <c r="C1804" t="str">
        <f>IF($J1804="","",SUMIFS('Hours Log'!$C:$C,'Hours Log'!$A:$A,"&gt;="&amp;$J1804,'Hours Log'!$A:$A,"&lt;"&amp;$J1804+7)+SUMIFS('Hours Log'!$D:$D,'Hours Log'!$A:$A,"&gt;="&amp;$J1804,'Hours Log'!$A:$A,"&lt;"&amp;$J1804+7))</f>
        <v/>
      </c>
      <c r="D1804" t="str">
        <f>IF($J1804="","",SUMIFS('Hours Log'!$D:$D,'Hours Log'!$A:$A,"&gt;="&amp;$J1804,'Hours Log'!$A:$A,"&lt;"&amp;$J1804+7))</f>
        <v/>
      </c>
      <c r="E1804" t="str">
        <f t="shared" si="56"/>
        <v/>
      </c>
      <c r="F1804" t="str">
        <f t="shared" si="57"/>
        <v/>
      </c>
      <c r="G1804" t="str">
        <f>IF($J1804="","",SUMIFS('Hours Log'!$E:$E,'Hours Log'!$A:$A,"&gt;="&amp;$J1804,'Hours Log'!$A:$A,"&lt;"&amp;$J1804+7))</f>
        <v/>
      </c>
      <c r="J1804" t="str">
        <f>IF(COUNT('Hours Log'!$A$4:$A$5000)=0,"",IF(MIN('Hours Log'!$A$4:$A$5000)+7*(ROW()-10)&gt;MAX('Hours Log'!$A$4:$A$5000),"",MIN('Hours Log'!$A$4:$A$5000)+7*(ROW()-10)))</f>
        <v/>
      </c>
    </row>
    <row r="1805" spans="1:10" x14ac:dyDescent="0.25">
      <c r="A1805" t="str">
        <f>IF($J1805="","",YEAR($J1805-WEEKDAY($J1805,2)+4)&amp;"-W"&amp;TEXT(_xludf.ISOWEEKNUM($J1805),"00"))</f>
        <v/>
      </c>
      <c r="B1805"/>
      <c r="C1805" t="str">
        <f>IF($J1805="","",SUMIFS('Hours Log'!$C:$C,'Hours Log'!$A:$A,"&gt;="&amp;$J1805,'Hours Log'!$A:$A,"&lt;"&amp;$J1805+7)+SUMIFS('Hours Log'!$D:$D,'Hours Log'!$A:$A,"&gt;="&amp;$J1805,'Hours Log'!$A:$A,"&lt;"&amp;$J1805+7))</f>
        <v/>
      </c>
      <c r="D1805" t="str">
        <f>IF($J1805="","",SUMIFS('Hours Log'!$D:$D,'Hours Log'!$A:$A,"&gt;="&amp;$J1805,'Hours Log'!$A:$A,"&lt;"&amp;$J1805+7))</f>
        <v/>
      </c>
      <c r="E1805" t="str">
        <f t="shared" si="56"/>
        <v/>
      </c>
      <c r="F1805" t="str">
        <f t="shared" si="57"/>
        <v/>
      </c>
      <c r="G1805" t="str">
        <f>IF($J1805="","",SUMIFS('Hours Log'!$E:$E,'Hours Log'!$A:$A,"&gt;="&amp;$J1805,'Hours Log'!$A:$A,"&lt;"&amp;$J1805+7))</f>
        <v/>
      </c>
      <c r="J1805" t="str">
        <f>IF(COUNT('Hours Log'!$A$4:$A$5000)=0,"",IF(MIN('Hours Log'!$A$4:$A$5000)+7*(ROW()-10)&gt;MAX('Hours Log'!$A$4:$A$5000),"",MIN('Hours Log'!$A$4:$A$5000)+7*(ROW()-10)))</f>
        <v/>
      </c>
    </row>
    <row r="1806" spans="1:10" x14ac:dyDescent="0.25">
      <c r="A1806" t="str">
        <f>IF($J1806="","",YEAR($J1806-WEEKDAY($J1806,2)+4)&amp;"-W"&amp;TEXT(_xludf.ISOWEEKNUM($J1806),"00"))</f>
        <v/>
      </c>
      <c r="B1806"/>
      <c r="C1806" t="str">
        <f>IF($J1806="","",SUMIFS('Hours Log'!$C:$C,'Hours Log'!$A:$A,"&gt;="&amp;$J1806,'Hours Log'!$A:$A,"&lt;"&amp;$J1806+7)+SUMIFS('Hours Log'!$D:$D,'Hours Log'!$A:$A,"&gt;="&amp;$J1806,'Hours Log'!$A:$A,"&lt;"&amp;$J1806+7))</f>
        <v/>
      </c>
      <c r="D1806" t="str">
        <f>IF($J1806="","",SUMIFS('Hours Log'!$D:$D,'Hours Log'!$A:$A,"&gt;="&amp;$J1806,'Hours Log'!$A:$A,"&lt;"&amp;$J1806+7))</f>
        <v/>
      </c>
      <c r="E1806" t="str">
        <f t="shared" si="56"/>
        <v/>
      </c>
      <c r="F1806" t="str">
        <f t="shared" si="57"/>
        <v/>
      </c>
      <c r="G1806" t="str">
        <f>IF($J1806="","",SUMIFS('Hours Log'!$E:$E,'Hours Log'!$A:$A,"&gt;="&amp;$J1806,'Hours Log'!$A:$A,"&lt;"&amp;$J1806+7))</f>
        <v/>
      </c>
      <c r="J1806" t="str">
        <f>IF(COUNT('Hours Log'!$A$4:$A$5000)=0,"",IF(MIN('Hours Log'!$A$4:$A$5000)+7*(ROW()-10)&gt;MAX('Hours Log'!$A$4:$A$5000),"",MIN('Hours Log'!$A$4:$A$5000)+7*(ROW()-10)))</f>
        <v/>
      </c>
    </row>
    <row r="1807" spans="1:10" x14ac:dyDescent="0.25">
      <c r="A1807" t="str">
        <f>IF($J1807="","",YEAR($J1807-WEEKDAY($J1807,2)+4)&amp;"-W"&amp;TEXT(_xludf.ISOWEEKNUM($J1807),"00"))</f>
        <v/>
      </c>
      <c r="B1807"/>
      <c r="C1807" t="str">
        <f>IF($J1807="","",SUMIFS('Hours Log'!$C:$C,'Hours Log'!$A:$A,"&gt;="&amp;$J1807,'Hours Log'!$A:$A,"&lt;"&amp;$J1807+7)+SUMIFS('Hours Log'!$D:$D,'Hours Log'!$A:$A,"&gt;="&amp;$J1807,'Hours Log'!$A:$A,"&lt;"&amp;$J1807+7))</f>
        <v/>
      </c>
      <c r="D1807" t="str">
        <f>IF($J1807="","",SUMIFS('Hours Log'!$D:$D,'Hours Log'!$A:$A,"&gt;="&amp;$J1807,'Hours Log'!$A:$A,"&lt;"&amp;$J1807+7))</f>
        <v/>
      </c>
      <c r="E1807" t="str">
        <f t="shared" si="56"/>
        <v/>
      </c>
      <c r="F1807" t="str">
        <f t="shared" si="57"/>
        <v/>
      </c>
      <c r="G1807" t="str">
        <f>IF($J1807="","",SUMIFS('Hours Log'!$E:$E,'Hours Log'!$A:$A,"&gt;="&amp;$J1807,'Hours Log'!$A:$A,"&lt;"&amp;$J1807+7))</f>
        <v/>
      </c>
      <c r="J1807" t="str">
        <f>IF(COUNT('Hours Log'!$A$4:$A$5000)=0,"",IF(MIN('Hours Log'!$A$4:$A$5000)+7*(ROW()-10)&gt;MAX('Hours Log'!$A$4:$A$5000),"",MIN('Hours Log'!$A$4:$A$5000)+7*(ROW()-10)))</f>
        <v/>
      </c>
    </row>
    <row r="1808" spans="1:10" x14ac:dyDescent="0.25">
      <c r="A1808" t="str">
        <f>IF($J1808="","",YEAR($J1808-WEEKDAY($J1808,2)+4)&amp;"-W"&amp;TEXT(_xludf.ISOWEEKNUM($J1808),"00"))</f>
        <v/>
      </c>
      <c r="B1808"/>
      <c r="C1808" t="str">
        <f>IF($J1808="","",SUMIFS('Hours Log'!$C:$C,'Hours Log'!$A:$A,"&gt;="&amp;$J1808,'Hours Log'!$A:$A,"&lt;"&amp;$J1808+7)+SUMIFS('Hours Log'!$D:$D,'Hours Log'!$A:$A,"&gt;="&amp;$J1808,'Hours Log'!$A:$A,"&lt;"&amp;$J1808+7))</f>
        <v/>
      </c>
      <c r="D1808" t="str">
        <f>IF($J1808="","",SUMIFS('Hours Log'!$D:$D,'Hours Log'!$A:$A,"&gt;="&amp;$J1808,'Hours Log'!$A:$A,"&lt;"&amp;$J1808+7))</f>
        <v/>
      </c>
      <c r="E1808" t="str">
        <f t="shared" si="56"/>
        <v/>
      </c>
      <c r="F1808" t="str">
        <f t="shared" si="57"/>
        <v/>
      </c>
      <c r="G1808" t="str">
        <f>IF($J1808="","",SUMIFS('Hours Log'!$E:$E,'Hours Log'!$A:$A,"&gt;="&amp;$J1808,'Hours Log'!$A:$A,"&lt;"&amp;$J1808+7))</f>
        <v/>
      </c>
      <c r="J1808" t="str">
        <f>IF(COUNT('Hours Log'!$A$4:$A$5000)=0,"",IF(MIN('Hours Log'!$A$4:$A$5000)+7*(ROW()-10)&gt;MAX('Hours Log'!$A$4:$A$5000),"",MIN('Hours Log'!$A$4:$A$5000)+7*(ROW()-10)))</f>
        <v/>
      </c>
    </row>
    <row r="1809" spans="1:10" x14ac:dyDescent="0.25">
      <c r="A1809" t="str">
        <f>IF($J1809="","",YEAR($J1809-WEEKDAY($J1809,2)+4)&amp;"-W"&amp;TEXT(_xludf.ISOWEEKNUM($J1809),"00"))</f>
        <v/>
      </c>
      <c r="B1809"/>
      <c r="C1809" t="str">
        <f>IF($J1809="","",SUMIFS('Hours Log'!$C:$C,'Hours Log'!$A:$A,"&gt;="&amp;$J1809,'Hours Log'!$A:$A,"&lt;"&amp;$J1809+7)+SUMIFS('Hours Log'!$D:$D,'Hours Log'!$A:$A,"&gt;="&amp;$J1809,'Hours Log'!$A:$A,"&lt;"&amp;$J1809+7))</f>
        <v/>
      </c>
      <c r="D1809" t="str">
        <f>IF($J1809="","",SUMIFS('Hours Log'!$D:$D,'Hours Log'!$A:$A,"&gt;="&amp;$J1809,'Hours Log'!$A:$A,"&lt;"&amp;$J1809+7))</f>
        <v/>
      </c>
      <c r="E1809" t="str">
        <f t="shared" si="56"/>
        <v/>
      </c>
      <c r="F1809" t="str">
        <f t="shared" si="57"/>
        <v/>
      </c>
      <c r="G1809" t="str">
        <f>IF($J1809="","",SUMIFS('Hours Log'!$E:$E,'Hours Log'!$A:$A,"&gt;="&amp;$J1809,'Hours Log'!$A:$A,"&lt;"&amp;$J1809+7))</f>
        <v/>
      </c>
      <c r="J1809" t="str">
        <f>IF(COUNT('Hours Log'!$A$4:$A$5000)=0,"",IF(MIN('Hours Log'!$A$4:$A$5000)+7*(ROW()-10)&gt;MAX('Hours Log'!$A$4:$A$5000),"",MIN('Hours Log'!$A$4:$A$5000)+7*(ROW()-10)))</f>
        <v/>
      </c>
    </row>
    <row r="1810" spans="1:10" x14ac:dyDescent="0.25">
      <c r="A1810" t="str">
        <f>IF($J1810="","",YEAR($J1810-WEEKDAY($J1810,2)+4)&amp;"-W"&amp;TEXT(_xludf.ISOWEEKNUM($J1810),"00"))</f>
        <v/>
      </c>
      <c r="B1810"/>
      <c r="C1810" t="str">
        <f>IF($J1810="","",SUMIFS('Hours Log'!$C:$C,'Hours Log'!$A:$A,"&gt;="&amp;$J1810,'Hours Log'!$A:$A,"&lt;"&amp;$J1810+7)+SUMIFS('Hours Log'!$D:$D,'Hours Log'!$A:$A,"&gt;="&amp;$J1810,'Hours Log'!$A:$A,"&lt;"&amp;$J1810+7))</f>
        <v/>
      </c>
      <c r="D1810" t="str">
        <f>IF($J1810="","",SUMIFS('Hours Log'!$D:$D,'Hours Log'!$A:$A,"&gt;="&amp;$J1810,'Hours Log'!$A:$A,"&lt;"&amp;$J1810+7))</f>
        <v/>
      </c>
      <c r="E1810" t="str">
        <f t="shared" si="56"/>
        <v/>
      </c>
      <c r="F1810" t="str">
        <f t="shared" si="57"/>
        <v/>
      </c>
      <c r="G1810" t="str">
        <f>IF($J1810="","",SUMIFS('Hours Log'!$E:$E,'Hours Log'!$A:$A,"&gt;="&amp;$J1810,'Hours Log'!$A:$A,"&lt;"&amp;$J1810+7))</f>
        <v/>
      </c>
      <c r="J1810" t="str">
        <f>IF(COUNT('Hours Log'!$A$4:$A$5000)=0,"",IF(MIN('Hours Log'!$A$4:$A$5000)+7*(ROW()-10)&gt;MAX('Hours Log'!$A$4:$A$5000),"",MIN('Hours Log'!$A$4:$A$5000)+7*(ROW()-10)))</f>
        <v/>
      </c>
    </row>
    <row r="1811" spans="1:10" x14ac:dyDescent="0.25">
      <c r="A1811" t="str">
        <f>IF($J1811="","",YEAR($J1811-WEEKDAY($J1811,2)+4)&amp;"-W"&amp;TEXT(_xludf.ISOWEEKNUM($J1811),"00"))</f>
        <v/>
      </c>
      <c r="B1811"/>
      <c r="C1811" t="str">
        <f>IF($J1811="","",SUMIFS('Hours Log'!$C:$C,'Hours Log'!$A:$A,"&gt;="&amp;$J1811,'Hours Log'!$A:$A,"&lt;"&amp;$J1811+7)+SUMIFS('Hours Log'!$D:$D,'Hours Log'!$A:$A,"&gt;="&amp;$J1811,'Hours Log'!$A:$A,"&lt;"&amp;$J1811+7))</f>
        <v/>
      </c>
      <c r="D1811" t="str">
        <f>IF($J1811="","",SUMIFS('Hours Log'!$D:$D,'Hours Log'!$A:$A,"&gt;="&amp;$J1811,'Hours Log'!$A:$A,"&lt;"&amp;$J1811+7))</f>
        <v/>
      </c>
      <c r="E1811" t="str">
        <f t="shared" si="56"/>
        <v/>
      </c>
      <c r="F1811" t="str">
        <f t="shared" si="57"/>
        <v/>
      </c>
      <c r="G1811" t="str">
        <f>IF($J1811="","",SUMIFS('Hours Log'!$E:$E,'Hours Log'!$A:$A,"&gt;="&amp;$J1811,'Hours Log'!$A:$A,"&lt;"&amp;$J1811+7))</f>
        <v/>
      </c>
      <c r="J1811" t="str">
        <f>IF(COUNT('Hours Log'!$A$4:$A$5000)=0,"",IF(MIN('Hours Log'!$A$4:$A$5000)+7*(ROW()-10)&gt;MAX('Hours Log'!$A$4:$A$5000),"",MIN('Hours Log'!$A$4:$A$5000)+7*(ROW()-10)))</f>
        <v/>
      </c>
    </row>
    <row r="1812" spans="1:10" x14ac:dyDescent="0.25">
      <c r="A1812" t="str">
        <f>IF($J1812="","",YEAR($J1812-WEEKDAY($J1812,2)+4)&amp;"-W"&amp;TEXT(_xludf.ISOWEEKNUM($J1812),"00"))</f>
        <v/>
      </c>
      <c r="B1812"/>
      <c r="C1812" t="str">
        <f>IF($J1812="","",SUMIFS('Hours Log'!$C:$C,'Hours Log'!$A:$A,"&gt;="&amp;$J1812,'Hours Log'!$A:$A,"&lt;"&amp;$J1812+7)+SUMIFS('Hours Log'!$D:$D,'Hours Log'!$A:$A,"&gt;="&amp;$J1812,'Hours Log'!$A:$A,"&lt;"&amp;$J1812+7))</f>
        <v/>
      </c>
      <c r="D1812" t="str">
        <f>IF($J1812="","",SUMIFS('Hours Log'!$D:$D,'Hours Log'!$A:$A,"&gt;="&amp;$J1812,'Hours Log'!$A:$A,"&lt;"&amp;$J1812+7))</f>
        <v/>
      </c>
      <c r="E1812" t="str">
        <f t="shared" si="56"/>
        <v/>
      </c>
      <c r="F1812" t="str">
        <f t="shared" si="57"/>
        <v/>
      </c>
      <c r="G1812" t="str">
        <f>IF($J1812="","",SUMIFS('Hours Log'!$E:$E,'Hours Log'!$A:$A,"&gt;="&amp;$J1812,'Hours Log'!$A:$A,"&lt;"&amp;$J1812+7))</f>
        <v/>
      </c>
      <c r="J1812" t="str">
        <f>IF(COUNT('Hours Log'!$A$4:$A$5000)=0,"",IF(MIN('Hours Log'!$A$4:$A$5000)+7*(ROW()-10)&gt;MAX('Hours Log'!$A$4:$A$5000),"",MIN('Hours Log'!$A$4:$A$5000)+7*(ROW()-10)))</f>
        <v/>
      </c>
    </row>
    <row r="1813" spans="1:10" x14ac:dyDescent="0.25">
      <c r="A1813" t="str">
        <f>IF($J1813="","",YEAR($J1813-WEEKDAY($J1813,2)+4)&amp;"-W"&amp;TEXT(_xludf.ISOWEEKNUM($J1813),"00"))</f>
        <v/>
      </c>
      <c r="B1813"/>
      <c r="C1813" t="str">
        <f>IF($J1813="","",SUMIFS('Hours Log'!$C:$C,'Hours Log'!$A:$A,"&gt;="&amp;$J1813,'Hours Log'!$A:$A,"&lt;"&amp;$J1813+7)+SUMIFS('Hours Log'!$D:$D,'Hours Log'!$A:$A,"&gt;="&amp;$J1813,'Hours Log'!$A:$A,"&lt;"&amp;$J1813+7))</f>
        <v/>
      </c>
      <c r="D1813" t="str">
        <f>IF($J1813="","",SUMIFS('Hours Log'!$D:$D,'Hours Log'!$A:$A,"&gt;="&amp;$J1813,'Hours Log'!$A:$A,"&lt;"&amp;$J1813+7))</f>
        <v/>
      </c>
      <c r="E1813" t="str">
        <f t="shared" si="56"/>
        <v/>
      </c>
      <c r="F1813" t="str">
        <f t="shared" si="57"/>
        <v/>
      </c>
      <c r="G1813" t="str">
        <f>IF($J1813="","",SUMIFS('Hours Log'!$E:$E,'Hours Log'!$A:$A,"&gt;="&amp;$J1813,'Hours Log'!$A:$A,"&lt;"&amp;$J1813+7))</f>
        <v/>
      </c>
      <c r="J1813" t="str">
        <f>IF(COUNT('Hours Log'!$A$4:$A$5000)=0,"",IF(MIN('Hours Log'!$A$4:$A$5000)+7*(ROW()-10)&gt;MAX('Hours Log'!$A$4:$A$5000),"",MIN('Hours Log'!$A$4:$A$5000)+7*(ROW()-10)))</f>
        <v/>
      </c>
    </row>
    <row r="1814" spans="1:10" x14ac:dyDescent="0.25">
      <c r="A1814" t="str">
        <f>IF($J1814="","",YEAR($J1814-WEEKDAY($J1814,2)+4)&amp;"-W"&amp;TEXT(_xludf.ISOWEEKNUM($J1814),"00"))</f>
        <v/>
      </c>
      <c r="B1814"/>
      <c r="C1814" t="str">
        <f>IF($J1814="","",SUMIFS('Hours Log'!$C:$C,'Hours Log'!$A:$A,"&gt;="&amp;$J1814,'Hours Log'!$A:$A,"&lt;"&amp;$J1814+7)+SUMIFS('Hours Log'!$D:$D,'Hours Log'!$A:$A,"&gt;="&amp;$J1814,'Hours Log'!$A:$A,"&lt;"&amp;$J1814+7))</f>
        <v/>
      </c>
      <c r="D1814" t="str">
        <f>IF($J1814="","",SUMIFS('Hours Log'!$D:$D,'Hours Log'!$A:$A,"&gt;="&amp;$J1814,'Hours Log'!$A:$A,"&lt;"&amp;$J1814+7))</f>
        <v/>
      </c>
      <c r="E1814" t="str">
        <f t="shared" si="56"/>
        <v/>
      </c>
      <c r="F1814" t="str">
        <f t="shared" si="57"/>
        <v/>
      </c>
      <c r="G1814" t="str">
        <f>IF($J1814="","",SUMIFS('Hours Log'!$E:$E,'Hours Log'!$A:$A,"&gt;="&amp;$J1814,'Hours Log'!$A:$A,"&lt;"&amp;$J1814+7))</f>
        <v/>
      </c>
      <c r="J1814" t="str">
        <f>IF(COUNT('Hours Log'!$A$4:$A$5000)=0,"",IF(MIN('Hours Log'!$A$4:$A$5000)+7*(ROW()-10)&gt;MAX('Hours Log'!$A$4:$A$5000),"",MIN('Hours Log'!$A$4:$A$5000)+7*(ROW()-10)))</f>
        <v/>
      </c>
    </row>
    <row r="1815" spans="1:10" x14ac:dyDescent="0.25">
      <c r="A1815" t="str">
        <f>IF($J1815="","",YEAR($J1815-WEEKDAY($J1815,2)+4)&amp;"-W"&amp;TEXT(_xludf.ISOWEEKNUM($J1815),"00"))</f>
        <v/>
      </c>
      <c r="B1815"/>
      <c r="C1815" t="str">
        <f>IF($J1815="","",SUMIFS('Hours Log'!$C:$C,'Hours Log'!$A:$A,"&gt;="&amp;$J1815,'Hours Log'!$A:$A,"&lt;"&amp;$J1815+7)+SUMIFS('Hours Log'!$D:$D,'Hours Log'!$A:$A,"&gt;="&amp;$J1815,'Hours Log'!$A:$A,"&lt;"&amp;$J1815+7))</f>
        <v/>
      </c>
      <c r="D1815" t="str">
        <f>IF($J1815="","",SUMIFS('Hours Log'!$D:$D,'Hours Log'!$A:$A,"&gt;="&amp;$J1815,'Hours Log'!$A:$A,"&lt;"&amp;$J1815+7))</f>
        <v/>
      </c>
      <c r="E1815" t="str">
        <f t="shared" si="56"/>
        <v/>
      </c>
      <c r="F1815" t="str">
        <f t="shared" si="57"/>
        <v/>
      </c>
      <c r="G1815" t="str">
        <f>IF($J1815="","",SUMIFS('Hours Log'!$E:$E,'Hours Log'!$A:$A,"&gt;="&amp;$J1815,'Hours Log'!$A:$A,"&lt;"&amp;$J1815+7))</f>
        <v/>
      </c>
      <c r="J1815" t="str">
        <f>IF(COUNT('Hours Log'!$A$4:$A$5000)=0,"",IF(MIN('Hours Log'!$A$4:$A$5000)+7*(ROW()-10)&gt;MAX('Hours Log'!$A$4:$A$5000),"",MIN('Hours Log'!$A$4:$A$5000)+7*(ROW()-10)))</f>
        <v/>
      </c>
    </row>
    <row r="1816" spans="1:10" x14ac:dyDescent="0.25">
      <c r="A1816" t="str">
        <f>IF($J1816="","",YEAR($J1816-WEEKDAY($J1816,2)+4)&amp;"-W"&amp;TEXT(_xludf.ISOWEEKNUM($J1816),"00"))</f>
        <v/>
      </c>
      <c r="B1816"/>
      <c r="C1816" t="str">
        <f>IF($J1816="","",SUMIFS('Hours Log'!$C:$C,'Hours Log'!$A:$A,"&gt;="&amp;$J1816,'Hours Log'!$A:$A,"&lt;"&amp;$J1816+7)+SUMIFS('Hours Log'!$D:$D,'Hours Log'!$A:$A,"&gt;="&amp;$J1816,'Hours Log'!$A:$A,"&lt;"&amp;$J1816+7))</f>
        <v/>
      </c>
      <c r="D1816" t="str">
        <f>IF($J1816="","",SUMIFS('Hours Log'!$D:$D,'Hours Log'!$A:$A,"&gt;="&amp;$J1816,'Hours Log'!$A:$A,"&lt;"&amp;$J1816+7))</f>
        <v/>
      </c>
      <c r="E1816" t="str">
        <f t="shared" si="56"/>
        <v/>
      </c>
      <c r="F1816" t="str">
        <f t="shared" si="57"/>
        <v/>
      </c>
      <c r="G1816" t="str">
        <f>IF($J1816="","",SUMIFS('Hours Log'!$E:$E,'Hours Log'!$A:$A,"&gt;="&amp;$J1816,'Hours Log'!$A:$A,"&lt;"&amp;$J1816+7))</f>
        <v/>
      </c>
      <c r="J1816" t="str">
        <f>IF(COUNT('Hours Log'!$A$4:$A$5000)=0,"",IF(MIN('Hours Log'!$A$4:$A$5000)+7*(ROW()-10)&gt;MAX('Hours Log'!$A$4:$A$5000),"",MIN('Hours Log'!$A$4:$A$5000)+7*(ROW()-10)))</f>
        <v/>
      </c>
    </row>
    <row r="1817" spans="1:10" x14ac:dyDescent="0.25">
      <c r="A1817" t="str">
        <f>IF($J1817="","",YEAR($J1817-WEEKDAY($J1817,2)+4)&amp;"-W"&amp;TEXT(_xludf.ISOWEEKNUM($J1817),"00"))</f>
        <v/>
      </c>
      <c r="B1817"/>
      <c r="C1817" t="str">
        <f>IF($J1817="","",SUMIFS('Hours Log'!$C:$C,'Hours Log'!$A:$A,"&gt;="&amp;$J1817,'Hours Log'!$A:$A,"&lt;"&amp;$J1817+7)+SUMIFS('Hours Log'!$D:$D,'Hours Log'!$A:$A,"&gt;="&amp;$J1817,'Hours Log'!$A:$A,"&lt;"&amp;$J1817+7))</f>
        <v/>
      </c>
      <c r="D1817" t="str">
        <f>IF($J1817="","",SUMIFS('Hours Log'!$D:$D,'Hours Log'!$A:$A,"&gt;="&amp;$J1817,'Hours Log'!$A:$A,"&lt;"&amp;$J1817+7))</f>
        <v/>
      </c>
      <c r="E1817" t="str">
        <f t="shared" si="56"/>
        <v/>
      </c>
      <c r="F1817" t="str">
        <f t="shared" si="57"/>
        <v/>
      </c>
      <c r="G1817" t="str">
        <f>IF($J1817="","",SUMIFS('Hours Log'!$E:$E,'Hours Log'!$A:$A,"&gt;="&amp;$J1817,'Hours Log'!$A:$A,"&lt;"&amp;$J1817+7))</f>
        <v/>
      </c>
      <c r="J1817" t="str">
        <f>IF(COUNT('Hours Log'!$A$4:$A$5000)=0,"",IF(MIN('Hours Log'!$A$4:$A$5000)+7*(ROW()-10)&gt;MAX('Hours Log'!$A$4:$A$5000),"",MIN('Hours Log'!$A$4:$A$5000)+7*(ROW()-10)))</f>
        <v/>
      </c>
    </row>
    <row r="1818" spans="1:10" x14ac:dyDescent="0.25">
      <c r="A1818" t="str">
        <f>IF($J1818="","",YEAR($J1818-WEEKDAY($J1818,2)+4)&amp;"-W"&amp;TEXT(_xludf.ISOWEEKNUM($J1818),"00"))</f>
        <v/>
      </c>
      <c r="B1818"/>
      <c r="C1818" t="str">
        <f>IF($J1818="","",SUMIFS('Hours Log'!$C:$C,'Hours Log'!$A:$A,"&gt;="&amp;$J1818,'Hours Log'!$A:$A,"&lt;"&amp;$J1818+7)+SUMIFS('Hours Log'!$D:$D,'Hours Log'!$A:$A,"&gt;="&amp;$J1818,'Hours Log'!$A:$A,"&lt;"&amp;$J1818+7))</f>
        <v/>
      </c>
      <c r="D1818" t="str">
        <f>IF($J1818="","",SUMIFS('Hours Log'!$D:$D,'Hours Log'!$A:$A,"&gt;="&amp;$J1818,'Hours Log'!$A:$A,"&lt;"&amp;$J1818+7))</f>
        <v/>
      </c>
      <c r="E1818" t="str">
        <f t="shared" si="56"/>
        <v/>
      </c>
      <c r="F1818" t="str">
        <f t="shared" si="57"/>
        <v/>
      </c>
      <c r="G1818" t="str">
        <f>IF($J1818="","",SUMIFS('Hours Log'!$E:$E,'Hours Log'!$A:$A,"&gt;="&amp;$J1818,'Hours Log'!$A:$A,"&lt;"&amp;$J1818+7))</f>
        <v/>
      </c>
      <c r="J1818" t="str">
        <f>IF(COUNT('Hours Log'!$A$4:$A$5000)=0,"",IF(MIN('Hours Log'!$A$4:$A$5000)+7*(ROW()-10)&gt;MAX('Hours Log'!$A$4:$A$5000),"",MIN('Hours Log'!$A$4:$A$5000)+7*(ROW()-10)))</f>
        <v/>
      </c>
    </row>
    <row r="1819" spans="1:10" x14ac:dyDescent="0.25">
      <c r="A1819" t="str">
        <f>IF($J1819="","",YEAR($J1819-WEEKDAY($J1819,2)+4)&amp;"-W"&amp;TEXT(_xludf.ISOWEEKNUM($J1819),"00"))</f>
        <v/>
      </c>
      <c r="B1819"/>
      <c r="C1819" t="str">
        <f>IF($J1819="","",SUMIFS('Hours Log'!$C:$C,'Hours Log'!$A:$A,"&gt;="&amp;$J1819,'Hours Log'!$A:$A,"&lt;"&amp;$J1819+7)+SUMIFS('Hours Log'!$D:$D,'Hours Log'!$A:$A,"&gt;="&amp;$J1819,'Hours Log'!$A:$A,"&lt;"&amp;$J1819+7))</f>
        <v/>
      </c>
      <c r="D1819" t="str">
        <f>IF($J1819="","",SUMIFS('Hours Log'!$D:$D,'Hours Log'!$A:$A,"&gt;="&amp;$J1819,'Hours Log'!$A:$A,"&lt;"&amp;$J1819+7))</f>
        <v/>
      </c>
      <c r="E1819" t="str">
        <f t="shared" si="56"/>
        <v/>
      </c>
      <c r="F1819" t="str">
        <f t="shared" si="57"/>
        <v/>
      </c>
      <c r="G1819" t="str">
        <f>IF($J1819="","",SUMIFS('Hours Log'!$E:$E,'Hours Log'!$A:$A,"&gt;="&amp;$J1819,'Hours Log'!$A:$A,"&lt;"&amp;$J1819+7))</f>
        <v/>
      </c>
      <c r="J1819" t="str">
        <f>IF(COUNT('Hours Log'!$A$4:$A$5000)=0,"",IF(MIN('Hours Log'!$A$4:$A$5000)+7*(ROW()-10)&gt;MAX('Hours Log'!$A$4:$A$5000),"",MIN('Hours Log'!$A$4:$A$5000)+7*(ROW()-10)))</f>
        <v/>
      </c>
    </row>
    <row r="1820" spans="1:10" x14ac:dyDescent="0.25">
      <c r="A1820" t="str">
        <f>IF($J1820="","",YEAR($J1820-WEEKDAY($J1820,2)+4)&amp;"-W"&amp;TEXT(_xludf.ISOWEEKNUM($J1820),"00"))</f>
        <v/>
      </c>
      <c r="B1820"/>
      <c r="C1820" t="str">
        <f>IF($J1820="","",SUMIFS('Hours Log'!$C:$C,'Hours Log'!$A:$A,"&gt;="&amp;$J1820,'Hours Log'!$A:$A,"&lt;"&amp;$J1820+7)+SUMIFS('Hours Log'!$D:$D,'Hours Log'!$A:$A,"&gt;="&amp;$J1820,'Hours Log'!$A:$A,"&lt;"&amp;$J1820+7))</f>
        <v/>
      </c>
      <c r="D1820" t="str">
        <f>IF($J1820="","",SUMIFS('Hours Log'!$D:$D,'Hours Log'!$A:$A,"&gt;="&amp;$J1820,'Hours Log'!$A:$A,"&lt;"&amp;$J1820+7))</f>
        <v/>
      </c>
      <c r="E1820" t="str">
        <f t="shared" si="56"/>
        <v/>
      </c>
      <c r="F1820" t="str">
        <f t="shared" si="57"/>
        <v/>
      </c>
      <c r="G1820" t="str">
        <f>IF($J1820="","",SUMIFS('Hours Log'!$E:$E,'Hours Log'!$A:$A,"&gt;="&amp;$J1820,'Hours Log'!$A:$A,"&lt;"&amp;$J1820+7))</f>
        <v/>
      </c>
      <c r="J1820" t="str">
        <f>IF(COUNT('Hours Log'!$A$4:$A$5000)=0,"",IF(MIN('Hours Log'!$A$4:$A$5000)+7*(ROW()-10)&gt;MAX('Hours Log'!$A$4:$A$5000),"",MIN('Hours Log'!$A$4:$A$5000)+7*(ROW()-10)))</f>
        <v/>
      </c>
    </row>
    <row r="1821" spans="1:10" x14ac:dyDescent="0.25">
      <c r="A1821" t="str">
        <f>IF($J1821="","",YEAR($J1821-WEEKDAY($J1821,2)+4)&amp;"-W"&amp;TEXT(_xludf.ISOWEEKNUM($J1821),"00"))</f>
        <v/>
      </c>
      <c r="B1821"/>
      <c r="C1821" t="str">
        <f>IF($J1821="","",SUMIFS('Hours Log'!$C:$C,'Hours Log'!$A:$A,"&gt;="&amp;$J1821,'Hours Log'!$A:$A,"&lt;"&amp;$J1821+7)+SUMIFS('Hours Log'!$D:$D,'Hours Log'!$A:$A,"&gt;="&amp;$J1821,'Hours Log'!$A:$A,"&lt;"&amp;$J1821+7))</f>
        <v/>
      </c>
      <c r="D1821" t="str">
        <f>IF($J1821="","",SUMIFS('Hours Log'!$D:$D,'Hours Log'!$A:$A,"&gt;="&amp;$J1821,'Hours Log'!$A:$A,"&lt;"&amp;$J1821+7))</f>
        <v/>
      </c>
      <c r="E1821" t="str">
        <f t="shared" si="56"/>
        <v/>
      </c>
      <c r="F1821" t="str">
        <f t="shared" si="57"/>
        <v/>
      </c>
      <c r="G1821" t="str">
        <f>IF($J1821="","",SUMIFS('Hours Log'!$E:$E,'Hours Log'!$A:$A,"&gt;="&amp;$J1821,'Hours Log'!$A:$A,"&lt;"&amp;$J1821+7))</f>
        <v/>
      </c>
      <c r="J1821" t="str">
        <f>IF(COUNT('Hours Log'!$A$4:$A$5000)=0,"",IF(MIN('Hours Log'!$A$4:$A$5000)+7*(ROW()-10)&gt;MAX('Hours Log'!$A$4:$A$5000),"",MIN('Hours Log'!$A$4:$A$5000)+7*(ROW()-10)))</f>
        <v/>
      </c>
    </row>
    <row r="1822" spans="1:10" x14ac:dyDescent="0.25">
      <c r="A1822" t="str">
        <f>IF($J1822="","",YEAR($J1822-WEEKDAY($J1822,2)+4)&amp;"-W"&amp;TEXT(_xludf.ISOWEEKNUM($J1822),"00"))</f>
        <v/>
      </c>
      <c r="B1822"/>
      <c r="C1822" t="str">
        <f>IF($J1822="","",SUMIFS('Hours Log'!$C:$C,'Hours Log'!$A:$A,"&gt;="&amp;$J1822,'Hours Log'!$A:$A,"&lt;"&amp;$J1822+7)+SUMIFS('Hours Log'!$D:$D,'Hours Log'!$A:$A,"&gt;="&amp;$J1822,'Hours Log'!$A:$A,"&lt;"&amp;$J1822+7))</f>
        <v/>
      </c>
      <c r="D1822" t="str">
        <f>IF($J1822="","",SUMIFS('Hours Log'!$D:$D,'Hours Log'!$A:$A,"&gt;="&amp;$J1822,'Hours Log'!$A:$A,"&lt;"&amp;$J1822+7))</f>
        <v/>
      </c>
      <c r="E1822" t="str">
        <f t="shared" si="56"/>
        <v/>
      </c>
      <c r="F1822" t="str">
        <f t="shared" si="57"/>
        <v/>
      </c>
      <c r="G1822" t="str">
        <f>IF($J1822="","",SUMIFS('Hours Log'!$E:$E,'Hours Log'!$A:$A,"&gt;="&amp;$J1822,'Hours Log'!$A:$A,"&lt;"&amp;$J1822+7))</f>
        <v/>
      </c>
      <c r="J1822" t="str">
        <f>IF(COUNT('Hours Log'!$A$4:$A$5000)=0,"",IF(MIN('Hours Log'!$A$4:$A$5000)+7*(ROW()-10)&gt;MAX('Hours Log'!$A$4:$A$5000),"",MIN('Hours Log'!$A$4:$A$5000)+7*(ROW()-10)))</f>
        <v/>
      </c>
    </row>
    <row r="1823" spans="1:10" x14ac:dyDescent="0.25">
      <c r="A1823" t="str">
        <f>IF($J1823="","",YEAR($J1823-WEEKDAY($J1823,2)+4)&amp;"-W"&amp;TEXT(_xludf.ISOWEEKNUM($J1823),"00"))</f>
        <v/>
      </c>
      <c r="B1823"/>
      <c r="C1823" t="str">
        <f>IF($J1823="","",SUMIFS('Hours Log'!$C:$C,'Hours Log'!$A:$A,"&gt;="&amp;$J1823,'Hours Log'!$A:$A,"&lt;"&amp;$J1823+7)+SUMIFS('Hours Log'!$D:$D,'Hours Log'!$A:$A,"&gt;="&amp;$J1823,'Hours Log'!$A:$A,"&lt;"&amp;$J1823+7))</f>
        <v/>
      </c>
      <c r="D1823" t="str">
        <f>IF($J1823="","",SUMIFS('Hours Log'!$D:$D,'Hours Log'!$A:$A,"&gt;="&amp;$J1823,'Hours Log'!$A:$A,"&lt;"&amp;$J1823+7))</f>
        <v/>
      </c>
      <c r="E1823" t="str">
        <f t="shared" si="56"/>
        <v/>
      </c>
      <c r="F1823" t="str">
        <f t="shared" si="57"/>
        <v/>
      </c>
      <c r="G1823" t="str">
        <f>IF($J1823="","",SUMIFS('Hours Log'!$E:$E,'Hours Log'!$A:$A,"&gt;="&amp;$J1823,'Hours Log'!$A:$A,"&lt;"&amp;$J1823+7))</f>
        <v/>
      </c>
      <c r="J1823" t="str">
        <f>IF(COUNT('Hours Log'!$A$4:$A$5000)=0,"",IF(MIN('Hours Log'!$A$4:$A$5000)+7*(ROW()-10)&gt;MAX('Hours Log'!$A$4:$A$5000),"",MIN('Hours Log'!$A$4:$A$5000)+7*(ROW()-10)))</f>
        <v/>
      </c>
    </row>
    <row r="1824" spans="1:10" x14ac:dyDescent="0.25">
      <c r="A1824" t="str">
        <f>IF($J1824="","",YEAR($J1824-WEEKDAY($J1824,2)+4)&amp;"-W"&amp;TEXT(_xludf.ISOWEEKNUM($J1824),"00"))</f>
        <v/>
      </c>
      <c r="B1824"/>
      <c r="C1824" t="str">
        <f>IF($J1824="","",SUMIFS('Hours Log'!$C:$C,'Hours Log'!$A:$A,"&gt;="&amp;$J1824,'Hours Log'!$A:$A,"&lt;"&amp;$J1824+7)+SUMIFS('Hours Log'!$D:$D,'Hours Log'!$A:$A,"&gt;="&amp;$J1824,'Hours Log'!$A:$A,"&lt;"&amp;$J1824+7))</f>
        <v/>
      </c>
      <c r="D1824" t="str">
        <f>IF($J1824="","",SUMIFS('Hours Log'!$D:$D,'Hours Log'!$A:$A,"&gt;="&amp;$J1824,'Hours Log'!$A:$A,"&lt;"&amp;$J1824+7))</f>
        <v/>
      </c>
      <c r="E1824" t="str">
        <f t="shared" si="56"/>
        <v/>
      </c>
      <c r="F1824" t="str">
        <f t="shared" si="57"/>
        <v/>
      </c>
      <c r="G1824" t="str">
        <f>IF($J1824="","",SUMIFS('Hours Log'!$E:$E,'Hours Log'!$A:$A,"&gt;="&amp;$J1824,'Hours Log'!$A:$A,"&lt;"&amp;$J1824+7))</f>
        <v/>
      </c>
      <c r="J1824" t="str">
        <f>IF(COUNT('Hours Log'!$A$4:$A$5000)=0,"",IF(MIN('Hours Log'!$A$4:$A$5000)+7*(ROW()-10)&gt;MAX('Hours Log'!$A$4:$A$5000),"",MIN('Hours Log'!$A$4:$A$5000)+7*(ROW()-10)))</f>
        <v/>
      </c>
    </row>
    <row r="1825" spans="1:10" x14ac:dyDescent="0.25">
      <c r="A1825" t="str">
        <f>IF($J1825="","",YEAR($J1825-WEEKDAY($J1825,2)+4)&amp;"-W"&amp;TEXT(_xludf.ISOWEEKNUM($J1825),"00"))</f>
        <v/>
      </c>
      <c r="B1825"/>
      <c r="C1825" t="str">
        <f>IF($J1825="","",SUMIFS('Hours Log'!$C:$C,'Hours Log'!$A:$A,"&gt;="&amp;$J1825,'Hours Log'!$A:$A,"&lt;"&amp;$J1825+7)+SUMIFS('Hours Log'!$D:$D,'Hours Log'!$A:$A,"&gt;="&amp;$J1825,'Hours Log'!$A:$A,"&lt;"&amp;$J1825+7))</f>
        <v/>
      </c>
      <c r="D1825" t="str">
        <f>IF($J1825="","",SUMIFS('Hours Log'!$D:$D,'Hours Log'!$A:$A,"&gt;="&amp;$J1825,'Hours Log'!$A:$A,"&lt;"&amp;$J1825+7))</f>
        <v/>
      </c>
      <c r="E1825" t="str">
        <f t="shared" si="56"/>
        <v/>
      </c>
      <c r="F1825" t="str">
        <f t="shared" si="57"/>
        <v/>
      </c>
      <c r="G1825" t="str">
        <f>IF($J1825="","",SUMIFS('Hours Log'!$E:$E,'Hours Log'!$A:$A,"&gt;="&amp;$J1825,'Hours Log'!$A:$A,"&lt;"&amp;$J1825+7))</f>
        <v/>
      </c>
      <c r="J1825" t="str">
        <f>IF(COUNT('Hours Log'!$A$4:$A$5000)=0,"",IF(MIN('Hours Log'!$A$4:$A$5000)+7*(ROW()-10)&gt;MAX('Hours Log'!$A$4:$A$5000),"",MIN('Hours Log'!$A$4:$A$5000)+7*(ROW()-10)))</f>
        <v/>
      </c>
    </row>
    <row r="1826" spans="1:10" x14ac:dyDescent="0.25">
      <c r="A1826" t="str">
        <f>IF($J1826="","",YEAR($J1826-WEEKDAY($J1826,2)+4)&amp;"-W"&amp;TEXT(_xludf.ISOWEEKNUM($J1826),"00"))</f>
        <v/>
      </c>
      <c r="B1826"/>
      <c r="C1826" t="str">
        <f>IF($J1826="","",SUMIFS('Hours Log'!$C:$C,'Hours Log'!$A:$A,"&gt;="&amp;$J1826,'Hours Log'!$A:$A,"&lt;"&amp;$J1826+7)+SUMIFS('Hours Log'!$D:$D,'Hours Log'!$A:$A,"&gt;="&amp;$J1826,'Hours Log'!$A:$A,"&lt;"&amp;$J1826+7))</f>
        <v/>
      </c>
      <c r="D1826" t="str">
        <f>IF($J1826="","",SUMIFS('Hours Log'!$D:$D,'Hours Log'!$A:$A,"&gt;="&amp;$J1826,'Hours Log'!$A:$A,"&lt;"&amp;$J1826+7))</f>
        <v/>
      </c>
      <c r="E1826" t="str">
        <f t="shared" si="56"/>
        <v/>
      </c>
      <c r="F1826" t="str">
        <f t="shared" si="57"/>
        <v/>
      </c>
      <c r="G1826" t="str">
        <f>IF($J1826="","",SUMIFS('Hours Log'!$E:$E,'Hours Log'!$A:$A,"&gt;="&amp;$J1826,'Hours Log'!$A:$A,"&lt;"&amp;$J1826+7))</f>
        <v/>
      </c>
      <c r="J1826" t="str">
        <f>IF(COUNT('Hours Log'!$A$4:$A$5000)=0,"",IF(MIN('Hours Log'!$A$4:$A$5000)+7*(ROW()-10)&gt;MAX('Hours Log'!$A$4:$A$5000),"",MIN('Hours Log'!$A$4:$A$5000)+7*(ROW()-10)))</f>
        <v/>
      </c>
    </row>
    <row r="1827" spans="1:10" x14ac:dyDescent="0.25">
      <c r="A1827" t="str">
        <f>IF($J1827="","",YEAR($J1827-WEEKDAY($J1827,2)+4)&amp;"-W"&amp;TEXT(_xludf.ISOWEEKNUM($J1827),"00"))</f>
        <v/>
      </c>
      <c r="B1827"/>
      <c r="C1827" t="str">
        <f>IF($J1827="","",SUMIFS('Hours Log'!$C:$C,'Hours Log'!$A:$A,"&gt;="&amp;$J1827,'Hours Log'!$A:$A,"&lt;"&amp;$J1827+7)+SUMIFS('Hours Log'!$D:$D,'Hours Log'!$A:$A,"&gt;="&amp;$J1827,'Hours Log'!$A:$A,"&lt;"&amp;$J1827+7))</f>
        <v/>
      </c>
      <c r="D1827" t="str">
        <f>IF($J1827="","",SUMIFS('Hours Log'!$D:$D,'Hours Log'!$A:$A,"&gt;="&amp;$J1827,'Hours Log'!$A:$A,"&lt;"&amp;$J1827+7))</f>
        <v/>
      </c>
      <c r="E1827" t="str">
        <f t="shared" si="56"/>
        <v/>
      </c>
      <c r="F1827" t="str">
        <f t="shared" si="57"/>
        <v/>
      </c>
      <c r="G1827" t="str">
        <f>IF($J1827="","",SUMIFS('Hours Log'!$E:$E,'Hours Log'!$A:$A,"&gt;="&amp;$J1827,'Hours Log'!$A:$A,"&lt;"&amp;$J1827+7))</f>
        <v/>
      </c>
      <c r="J1827" t="str">
        <f>IF(COUNT('Hours Log'!$A$4:$A$5000)=0,"",IF(MIN('Hours Log'!$A$4:$A$5000)+7*(ROW()-10)&gt;MAX('Hours Log'!$A$4:$A$5000),"",MIN('Hours Log'!$A$4:$A$5000)+7*(ROW()-10)))</f>
        <v/>
      </c>
    </row>
    <row r="1828" spans="1:10" x14ac:dyDescent="0.25">
      <c r="A1828" t="str">
        <f>IF($J1828="","",YEAR($J1828-WEEKDAY($J1828,2)+4)&amp;"-W"&amp;TEXT(_xludf.ISOWEEKNUM($J1828),"00"))</f>
        <v/>
      </c>
      <c r="B1828"/>
      <c r="C1828" t="str">
        <f>IF($J1828="","",SUMIFS('Hours Log'!$C:$C,'Hours Log'!$A:$A,"&gt;="&amp;$J1828,'Hours Log'!$A:$A,"&lt;"&amp;$J1828+7)+SUMIFS('Hours Log'!$D:$D,'Hours Log'!$A:$A,"&gt;="&amp;$J1828,'Hours Log'!$A:$A,"&lt;"&amp;$J1828+7))</f>
        <v/>
      </c>
      <c r="D1828" t="str">
        <f>IF($J1828="","",SUMIFS('Hours Log'!$D:$D,'Hours Log'!$A:$A,"&gt;="&amp;$J1828,'Hours Log'!$A:$A,"&lt;"&amp;$J1828+7))</f>
        <v/>
      </c>
      <c r="E1828" t="str">
        <f t="shared" si="56"/>
        <v/>
      </c>
      <c r="F1828" t="str">
        <f t="shared" si="57"/>
        <v/>
      </c>
      <c r="G1828" t="str">
        <f>IF($J1828="","",SUMIFS('Hours Log'!$E:$E,'Hours Log'!$A:$A,"&gt;="&amp;$J1828,'Hours Log'!$A:$A,"&lt;"&amp;$J1828+7))</f>
        <v/>
      </c>
      <c r="J1828" t="str">
        <f>IF(COUNT('Hours Log'!$A$4:$A$5000)=0,"",IF(MIN('Hours Log'!$A$4:$A$5000)+7*(ROW()-10)&gt;MAX('Hours Log'!$A$4:$A$5000),"",MIN('Hours Log'!$A$4:$A$5000)+7*(ROW()-10)))</f>
        <v/>
      </c>
    </row>
    <row r="1829" spans="1:10" x14ac:dyDescent="0.25">
      <c r="A1829" t="str">
        <f>IF($J1829="","",YEAR($J1829-WEEKDAY($J1829,2)+4)&amp;"-W"&amp;TEXT(_xludf.ISOWEEKNUM($J1829),"00"))</f>
        <v/>
      </c>
      <c r="B1829"/>
      <c r="C1829" t="str">
        <f>IF($J1829="","",SUMIFS('Hours Log'!$C:$C,'Hours Log'!$A:$A,"&gt;="&amp;$J1829,'Hours Log'!$A:$A,"&lt;"&amp;$J1829+7)+SUMIFS('Hours Log'!$D:$D,'Hours Log'!$A:$A,"&gt;="&amp;$J1829,'Hours Log'!$A:$A,"&lt;"&amp;$J1829+7))</f>
        <v/>
      </c>
      <c r="D1829" t="str">
        <f>IF($J1829="","",SUMIFS('Hours Log'!$D:$D,'Hours Log'!$A:$A,"&gt;="&amp;$J1829,'Hours Log'!$A:$A,"&lt;"&amp;$J1829+7))</f>
        <v/>
      </c>
      <c r="E1829" t="str">
        <f t="shared" si="56"/>
        <v/>
      </c>
      <c r="F1829" t="str">
        <f t="shared" si="57"/>
        <v/>
      </c>
      <c r="G1829" t="str">
        <f>IF($J1829="","",SUMIFS('Hours Log'!$E:$E,'Hours Log'!$A:$A,"&gt;="&amp;$J1829,'Hours Log'!$A:$A,"&lt;"&amp;$J1829+7))</f>
        <v/>
      </c>
      <c r="J1829" t="str">
        <f>IF(COUNT('Hours Log'!$A$4:$A$5000)=0,"",IF(MIN('Hours Log'!$A$4:$A$5000)+7*(ROW()-10)&gt;MAX('Hours Log'!$A$4:$A$5000),"",MIN('Hours Log'!$A$4:$A$5000)+7*(ROW()-10)))</f>
        <v/>
      </c>
    </row>
    <row r="1830" spans="1:10" x14ac:dyDescent="0.25">
      <c r="A1830" t="str">
        <f>IF($J1830="","",YEAR($J1830-WEEKDAY($J1830,2)+4)&amp;"-W"&amp;TEXT(_xludf.ISOWEEKNUM($J1830),"00"))</f>
        <v/>
      </c>
      <c r="B1830"/>
      <c r="C1830" t="str">
        <f>IF($J1830="","",SUMIFS('Hours Log'!$C:$C,'Hours Log'!$A:$A,"&gt;="&amp;$J1830,'Hours Log'!$A:$A,"&lt;"&amp;$J1830+7)+SUMIFS('Hours Log'!$D:$D,'Hours Log'!$A:$A,"&gt;="&amp;$J1830,'Hours Log'!$A:$A,"&lt;"&amp;$J1830+7))</f>
        <v/>
      </c>
      <c r="D1830" t="str">
        <f>IF($J1830="","",SUMIFS('Hours Log'!$D:$D,'Hours Log'!$A:$A,"&gt;="&amp;$J1830,'Hours Log'!$A:$A,"&lt;"&amp;$J1830+7))</f>
        <v/>
      </c>
      <c r="E1830" t="str">
        <f t="shared" si="56"/>
        <v/>
      </c>
      <c r="F1830" t="str">
        <f t="shared" si="57"/>
        <v/>
      </c>
      <c r="G1830" t="str">
        <f>IF($J1830="","",SUMIFS('Hours Log'!$E:$E,'Hours Log'!$A:$A,"&gt;="&amp;$J1830,'Hours Log'!$A:$A,"&lt;"&amp;$J1830+7))</f>
        <v/>
      </c>
      <c r="J1830" t="str">
        <f>IF(COUNT('Hours Log'!$A$4:$A$5000)=0,"",IF(MIN('Hours Log'!$A$4:$A$5000)+7*(ROW()-10)&gt;MAX('Hours Log'!$A$4:$A$5000),"",MIN('Hours Log'!$A$4:$A$5000)+7*(ROW()-10)))</f>
        <v/>
      </c>
    </row>
    <row r="1831" spans="1:10" x14ac:dyDescent="0.25">
      <c r="A1831" t="str">
        <f>IF($J1831="","",YEAR($J1831-WEEKDAY($J1831,2)+4)&amp;"-W"&amp;TEXT(_xludf.ISOWEEKNUM($J1831),"00"))</f>
        <v/>
      </c>
      <c r="B1831"/>
      <c r="C1831" t="str">
        <f>IF($J1831="","",SUMIFS('Hours Log'!$C:$C,'Hours Log'!$A:$A,"&gt;="&amp;$J1831,'Hours Log'!$A:$A,"&lt;"&amp;$J1831+7)+SUMIFS('Hours Log'!$D:$D,'Hours Log'!$A:$A,"&gt;="&amp;$J1831,'Hours Log'!$A:$A,"&lt;"&amp;$J1831+7))</f>
        <v/>
      </c>
      <c r="D1831" t="str">
        <f>IF($J1831="","",SUMIFS('Hours Log'!$D:$D,'Hours Log'!$A:$A,"&gt;="&amp;$J1831,'Hours Log'!$A:$A,"&lt;"&amp;$J1831+7))</f>
        <v/>
      </c>
      <c r="E1831" t="str">
        <f t="shared" si="56"/>
        <v/>
      </c>
      <c r="F1831" t="str">
        <f t="shared" si="57"/>
        <v/>
      </c>
      <c r="G1831" t="str">
        <f>IF($J1831="","",SUMIFS('Hours Log'!$E:$E,'Hours Log'!$A:$A,"&gt;="&amp;$J1831,'Hours Log'!$A:$A,"&lt;"&amp;$J1831+7))</f>
        <v/>
      </c>
      <c r="J1831" t="str">
        <f>IF(COUNT('Hours Log'!$A$4:$A$5000)=0,"",IF(MIN('Hours Log'!$A$4:$A$5000)+7*(ROW()-10)&gt;MAX('Hours Log'!$A$4:$A$5000),"",MIN('Hours Log'!$A$4:$A$5000)+7*(ROW()-10)))</f>
        <v/>
      </c>
    </row>
    <row r="1832" spans="1:10" x14ac:dyDescent="0.25">
      <c r="A1832" t="str">
        <f>IF($J1832="","",YEAR($J1832-WEEKDAY($J1832,2)+4)&amp;"-W"&amp;TEXT(_xludf.ISOWEEKNUM($J1832),"00"))</f>
        <v/>
      </c>
      <c r="B1832"/>
      <c r="C1832" t="str">
        <f>IF($J1832="","",SUMIFS('Hours Log'!$C:$C,'Hours Log'!$A:$A,"&gt;="&amp;$J1832,'Hours Log'!$A:$A,"&lt;"&amp;$J1832+7)+SUMIFS('Hours Log'!$D:$D,'Hours Log'!$A:$A,"&gt;="&amp;$J1832,'Hours Log'!$A:$A,"&lt;"&amp;$J1832+7))</f>
        <v/>
      </c>
      <c r="D1832" t="str">
        <f>IF($J1832="","",SUMIFS('Hours Log'!$D:$D,'Hours Log'!$A:$A,"&gt;="&amp;$J1832,'Hours Log'!$A:$A,"&lt;"&amp;$J1832+7))</f>
        <v/>
      </c>
      <c r="E1832" t="str">
        <f t="shared" si="56"/>
        <v/>
      </c>
      <c r="F1832" t="str">
        <f t="shared" si="57"/>
        <v/>
      </c>
      <c r="G1832" t="str">
        <f>IF($J1832="","",SUMIFS('Hours Log'!$E:$E,'Hours Log'!$A:$A,"&gt;="&amp;$J1832,'Hours Log'!$A:$A,"&lt;"&amp;$J1832+7))</f>
        <v/>
      </c>
      <c r="J1832" t="str">
        <f>IF(COUNT('Hours Log'!$A$4:$A$5000)=0,"",IF(MIN('Hours Log'!$A$4:$A$5000)+7*(ROW()-10)&gt;MAX('Hours Log'!$A$4:$A$5000),"",MIN('Hours Log'!$A$4:$A$5000)+7*(ROW()-10)))</f>
        <v/>
      </c>
    </row>
    <row r="1833" spans="1:10" x14ac:dyDescent="0.25">
      <c r="A1833" t="str">
        <f>IF($J1833="","",YEAR($J1833-WEEKDAY($J1833,2)+4)&amp;"-W"&amp;TEXT(_xludf.ISOWEEKNUM($J1833),"00"))</f>
        <v/>
      </c>
      <c r="B1833"/>
      <c r="C1833" t="str">
        <f>IF($J1833="","",SUMIFS('Hours Log'!$C:$C,'Hours Log'!$A:$A,"&gt;="&amp;$J1833,'Hours Log'!$A:$A,"&lt;"&amp;$J1833+7)+SUMIFS('Hours Log'!$D:$D,'Hours Log'!$A:$A,"&gt;="&amp;$J1833,'Hours Log'!$A:$A,"&lt;"&amp;$J1833+7))</f>
        <v/>
      </c>
      <c r="D1833" t="str">
        <f>IF($J1833="","",SUMIFS('Hours Log'!$D:$D,'Hours Log'!$A:$A,"&gt;="&amp;$J1833,'Hours Log'!$A:$A,"&lt;"&amp;$J1833+7))</f>
        <v/>
      </c>
      <c r="E1833" t="str">
        <f t="shared" si="56"/>
        <v/>
      </c>
      <c r="F1833" t="str">
        <f t="shared" si="57"/>
        <v/>
      </c>
      <c r="G1833" t="str">
        <f>IF($J1833="","",SUMIFS('Hours Log'!$E:$E,'Hours Log'!$A:$A,"&gt;="&amp;$J1833,'Hours Log'!$A:$A,"&lt;"&amp;$J1833+7))</f>
        <v/>
      </c>
      <c r="J1833" t="str">
        <f>IF(COUNT('Hours Log'!$A$4:$A$5000)=0,"",IF(MIN('Hours Log'!$A$4:$A$5000)+7*(ROW()-10)&gt;MAX('Hours Log'!$A$4:$A$5000),"",MIN('Hours Log'!$A$4:$A$5000)+7*(ROW()-10)))</f>
        <v/>
      </c>
    </row>
    <row r="1834" spans="1:10" x14ac:dyDescent="0.25">
      <c r="A1834" t="str">
        <f>IF($J1834="","",YEAR($J1834-WEEKDAY($J1834,2)+4)&amp;"-W"&amp;TEXT(_xludf.ISOWEEKNUM($J1834),"00"))</f>
        <v/>
      </c>
      <c r="B1834"/>
      <c r="C1834" t="str">
        <f>IF($J1834="","",SUMIFS('Hours Log'!$C:$C,'Hours Log'!$A:$A,"&gt;="&amp;$J1834,'Hours Log'!$A:$A,"&lt;"&amp;$J1834+7)+SUMIFS('Hours Log'!$D:$D,'Hours Log'!$A:$A,"&gt;="&amp;$J1834,'Hours Log'!$A:$A,"&lt;"&amp;$J1834+7))</f>
        <v/>
      </c>
      <c r="D1834" t="str">
        <f>IF($J1834="","",SUMIFS('Hours Log'!$D:$D,'Hours Log'!$A:$A,"&gt;="&amp;$J1834,'Hours Log'!$A:$A,"&lt;"&amp;$J1834+7))</f>
        <v/>
      </c>
      <c r="E1834" t="str">
        <f t="shared" si="56"/>
        <v/>
      </c>
      <c r="F1834" t="str">
        <f t="shared" si="57"/>
        <v/>
      </c>
      <c r="G1834" t="str">
        <f>IF($J1834="","",SUMIFS('Hours Log'!$E:$E,'Hours Log'!$A:$A,"&gt;="&amp;$J1834,'Hours Log'!$A:$A,"&lt;"&amp;$J1834+7))</f>
        <v/>
      </c>
      <c r="J1834" t="str">
        <f>IF(COUNT('Hours Log'!$A$4:$A$5000)=0,"",IF(MIN('Hours Log'!$A$4:$A$5000)+7*(ROW()-10)&gt;MAX('Hours Log'!$A$4:$A$5000),"",MIN('Hours Log'!$A$4:$A$5000)+7*(ROW()-10)))</f>
        <v/>
      </c>
    </row>
    <row r="1835" spans="1:10" x14ac:dyDescent="0.25">
      <c r="A1835" t="str">
        <f>IF($J1835="","",YEAR($J1835-WEEKDAY($J1835,2)+4)&amp;"-W"&amp;TEXT(_xludf.ISOWEEKNUM($J1835),"00"))</f>
        <v/>
      </c>
      <c r="B1835"/>
      <c r="C1835" t="str">
        <f>IF($J1835="","",SUMIFS('Hours Log'!$C:$C,'Hours Log'!$A:$A,"&gt;="&amp;$J1835,'Hours Log'!$A:$A,"&lt;"&amp;$J1835+7)+SUMIFS('Hours Log'!$D:$D,'Hours Log'!$A:$A,"&gt;="&amp;$J1835,'Hours Log'!$A:$A,"&lt;"&amp;$J1835+7))</f>
        <v/>
      </c>
      <c r="D1835" t="str">
        <f>IF($J1835="","",SUMIFS('Hours Log'!$D:$D,'Hours Log'!$A:$A,"&gt;="&amp;$J1835,'Hours Log'!$A:$A,"&lt;"&amp;$J1835+7))</f>
        <v/>
      </c>
      <c r="E1835" t="str">
        <f t="shared" si="56"/>
        <v/>
      </c>
      <c r="F1835" t="str">
        <f t="shared" si="57"/>
        <v/>
      </c>
      <c r="G1835" t="str">
        <f>IF($J1835="","",SUMIFS('Hours Log'!$E:$E,'Hours Log'!$A:$A,"&gt;="&amp;$J1835,'Hours Log'!$A:$A,"&lt;"&amp;$J1835+7))</f>
        <v/>
      </c>
      <c r="J1835" t="str">
        <f>IF(COUNT('Hours Log'!$A$4:$A$5000)=0,"",IF(MIN('Hours Log'!$A$4:$A$5000)+7*(ROW()-10)&gt;MAX('Hours Log'!$A$4:$A$5000),"",MIN('Hours Log'!$A$4:$A$5000)+7*(ROW()-10)))</f>
        <v/>
      </c>
    </row>
    <row r="1836" spans="1:10" x14ac:dyDescent="0.25">
      <c r="A1836" t="str">
        <f>IF($J1836="","",YEAR($J1836-WEEKDAY($J1836,2)+4)&amp;"-W"&amp;TEXT(_xludf.ISOWEEKNUM($J1836),"00"))</f>
        <v/>
      </c>
      <c r="B1836"/>
      <c r="C1836" t="str">
        <f>IF($J1836="","",SUMIFS('Hours Log'!$C:$C,'Hours Log'!$A:$A,"&gt;="&amp;$J1836,'Hours Log'!$A:$A,"&lt;"&amp;$J1836+7)+SUMIFS('Hours Log'!$D:$D,'Hours Log'!$A:$A,"&gt;="&amp;$J1836,'Hours Log'!$A:$A,"&lt;"&amp;$J1836+7))</f>
        <v/>
      </c>
      <c r="D1836" t="str">
        <f>IF($J1836="","",SUMIFS('Hours Log'!$D:$D,'Hours Log'!$A:$A,"&gt;="&amp;$J1836,'Hours Log'!$A:$A,"&lt;"&amp;$J1836+7))</f>
        <v/>
      </c>
      <c r="E1836" t="str">
        <f t="shared" si="56"/>
        <v/>
      </c>
      <c r="F1836" t="str">
        <f t="shared" si="57"/>
        <v/>
      </c>
      <c r="G1836" t="str">
        <f>IF($J1836="","",SUMIFS('Hours Log'!$E:$E,'Hours Log'!$A:$A,"&gt;="&amp;$J1836,'Hours Log'!$A:$A,"&lt;"&amp;$J1836+7))</f>
        <v/>
      </c>
      <c r="J1836" t="str">
        <f>IF(COUNT('Hours Log'!$A$4:$A$5000)=0,"",IF(MIN('Hours Log'!$A$4:$A$5000)+7*(ROW()-10)&gt;MAX('Hours Log'!$A$4:$A$5000),"",MIN('Hours Log'!$A$4:$A$5000)+7*(ROW()-10)))</f>
        <v/>
      </c>
    </row>
    <row r="1837" spans="1:10" x14ac:dyDescent="0.25">
      <c r="A1837" t="str">
        <f>IF($J1837="","",YEAR($J1837-WEEKDAY($J1837,2)+4)&amp;"-W"&amp;TEXT(_xludf.ISOWEEKNUM($J1837),"00"))</f>
        <v/>
      </c>
      <c r="B1837"/>
      <c r="C1837" t="str">
        <f>IF($J1837="","",SUMIFS('Hours Log'!$C:$C,'Hours Log'!$A:$A,"&gt;="&amp;$J1837,'Hours Log'!$A:$A,"&lt;"&amp;$J1837+7)+SUMIFS('Hours Log'!$D:$D,'Hours Log'!$A:$A,"&gt;="&amp;$J1837,'Hours Log'!$A:$A,"&lt;"&amp;$J1837+7))</f>
        <v/>
      </c>
      <c r="D1837" t="str">
        <f>IF($J1837="","",SUMIFS('Hours Log'!$D:$D,'Hours Log'!$A:$A,"&gt;="&amp;$J1837,'Hours Log'!$A:$A,"&lt;"&amp;$J1837+7))</f>
        <v/>
      </c>
      <c r="E1837" t="str">
        <f t="shared" si="56"/>
        <v/>
      </c>
      <c r="F1837" t="str">
        <f t="shared" si="57"/>
        <v/>
      </c>
      <c r="G1837" t="str">
        <f>IF($J1837="","",SUMIFS('Hours Log'!$E:$E,'Hours Log'!$A:$A,"&gt;="&amp;$J1837,'Hours Log'!$A:$A,"&lt;"&amp;$J1837+7))</f>
        <v/>
      </c>
      <c r="J1837" t="str">
        <f>IF(COUNT('Hours Log'!$A$4:$A$5000)=0,"",IF(MIN('Hours Log'!$A$4:$A$5000)+7*(ROW()-10)&gt;MAX('Hours Log'!$A$4:$A$5000),"",MIN('Hours Log'!$A$4:$A$5000)+7*(ROW()-10)))</f>
        <v/>
      </c>
    </row>
    <row r="1838" spans="1:10" x14ac:dyDescent="0.25">
      <c r="A1838" t="str">
        <f>IF($J1838="","",YEAR($J1838-WEEKDAY($J1838,2)+4)&amp;"-W"&amp;TEXT(_xludf.ISOWEEKNUM($J1838),"00"))</f>
        <v/>
      </c>
      <c r="B1838"/>
      <c r="C1838" t="str">
        <f>IF($J1838="","",SUMIFS('Hours Log'!$C:$C,'Hours Log'!$A:$A,"&gt;="&amp;$J1838,'Hours Log'!$A:$A,"&lt;"&amp;$J1838+7)+SUMIFS('Hours Log'!$D:$D,'Hours Log'!$A:$A,"&gt;="&amp;$J1838,'Hours Log'!$A:$A,"&lt;"&amp;$J1838+7))</f>
        <v/>
      </c>
      <c r="D1838" t="str">
        <f>IF($J1838="","",SUMIFS('Hours Log'!$D:$D,'Hours Log'!$A:$A,"&gt;="&amp;$J1838,'Hours Log'!$A:$A,"&lt;"&amp;$J1838+7))</f>
        <v/>
      </c>
      <c r="E1838" t="str">
        <f t="shared" si="56"/>
        <v/>
      </c>
      <c r="F1838" t="str">
        <f t="shared" si="57"/>
        <v/>
      </c>
      <c r="G1838" t="str">
        <f>IF($J1838="","",SUMIFS('Hours Log'!$E:$E,'Hours Log'!$A:$A,"&gt;="&amp;$J1838,'Hours Log'!$A:$A,"&lt;"&amp;$J1838+7))</f>
        <v/>
      </c>
      <c r="J1838" t="str">
        <f>IF(COUNT('Hours Log'!$A$4:$A$5000)=0,"",IF(MIN('Hours Log'!$A$4:$A$5000)+7*(ROW()-10)&gt;MAX('Hours Log'!$A$4:$A$5000),"",MIN('Hours Log'!$A$4:$A$5000)+7*(ROW()-10)))</f>
        <v/>
      </c>
    </row>
    <row r="1839" spans="1:10" x14ac:dyDescent="0.25">
      <c r="A1839" t="str">
        <f>IF($J1839="","",YEAR($J1839-WEEKDAY($J1839,2)+4)&amp;"-W"&amp;TEXT(_xludf.ISOWEEKNUM($J1839),"00"))</f>
        <v/>
      </c>
      <c r="B1839"/>
      <c r="C1839" t="str">
        <f>IF($J1839="","",SUMIFS('Hours Log'!$C:$C,'Hours Log'!$A:$A,"&gt;="&amp;$J1839,'Hours Log'!$A:$A,"&lt;"&amp;$J1839+7)+SUMIFS('Hours Log'!$D:$D,'Hours Log'!$A:$A,"&gt;="&amp;$J1839,'Hours Log'!$A:$A,"&lt;"&amp;$J1839+7))</f>
        <v/>
      </c>
      <c r="D1839" t="str">
        <f>IF($J1839="","",SUMIFS('Hours Log'!$D:$D,'Hours Log'!$A:$A,"&gt;="&amp;$J1839,'Hours Log'!$A:$A,"&lt;"&amp;$J1839+7))</f>
        <v/>
      </c>
      <c r="E1839" t="str">
        <f t="shared" si="56"/>
        <v/>
      </c>
      <c r="F1839" t="str">
        <f t="shared" si="57"/>
        <v/>
      </c>
      <c r="G1839" t="str">
        <f>IF($J1839="","",SUMIFS('Hours Log'!$E:$E,'Hours Log'!$A:$A,"&gt;="&amp;$J1839,'Hours Log'!$A:$A,"&lt;"&amp;$J1839+7))</f>
        <v/>
      </c>
      <c r="J1839" t="str">
        <f>IF(COUNT('Hours Log'!$A$4:$A$5000)=0,"",IF(MIN('Hours Log'!$A$4:$A$5000)+7*(ROW()-10)&gt;MAX('Hours Log'!$A$4:$A$5000),"",MIN('Hours Log'!$A$4:$A$5000)+7*(ROW()-10)))</f>
        <v/>
      </c>
    </row>
    <row r="1840" spans="1:10" x14ac:dyDescent="0.25">
      <c r="A1840" t="str">
        <f>IF($J1840="","",YEAR($J1840-WEEKDAY($J1840,2)+4)&amp;"-W"&amp;TEXT(_xludf.ISOWEEKNUM($J1840),"00"))</f>
        <v/>
      </c>
      <c r="B1840"/>
      <c r="C1840" t="str">
        <f>IF($J1840="","",SUMIFS('Hours Log'!$C:$C,'Hours Log'!$A:$A,"&gt;="&amp;$J1840,'Hours Log'!$A:$A,"&lt;"&amp;$J1840+7)+SUMIFS('Hours Log'!$D:$D,'Hours Log'!$A:$A,"&gt;="&amp;$J1840,'Hours Log'!$A:$A,"&lt;"&amp;$J1840+7))</f>
        <v/>
      </c>
      <c r="D1840" t="str">
        <f>IF($J1840="","",SUMIFS('Hours Log'!$D:$D,'Hours Log'!$A:$A,"&gt;="&amp;$J1840,'Hours Log'!$A:$A,"&lt;"&amp;$J1840+7))</f>
        <v/>
      </c>
      <c r="E1840" t="str">
        <f t="shared" si="56"/>
        <v/>
      </c>
      <c r="F1840" t="str">
        <f t="shared" si="57"/>
        <v/>
      </c>
      <c r="G1840" t="str">
        <f>IF($J1840="","",SUMIFS('Hours Log'!$E:$E,'Hours Log'!$A:$A,"&gt;="&amp;$J1840,'Hours Log'!$A:$A,"&lt;"&amp;$J1840+7))</f>
        <v/>
      </c>
      <c r="J1840" t="str">
        <f>IF(COUNT('Hours Log'!$A$4:$A$5000)=0,"",IF(MIN('Hours Log'!$A$4:$A$5000)+7*(ROW()-10)&gt;MAX('Hours Log'!$A$4:$A$5000),"",MIN('Hours Log'!$A$4:$A$5000)+7*(ROW()-10)))</f>
        <v/>
      </c>
    </row>
    <row r="1841" spans="1:10" x14ac:dyDescent="0.25">
      <c r="A1841" t="str">
        <f>IF($J1841="","",YEAR($J1841-WEEKDAY($J1841,2)+4)&amp;"-W"&amp;TEXT(_xludf.ISOWEEKNUM($J1841),"00"))</f>
        <v/>
      </c>
      <c r="B1841"/>
      <c r="C1841" t="str">
        <f>IF($J1841="","",SUMIFS('Hours Log'!$C:$C,'Hours Log'!$A:$A,"&gt;="&amp;$J1841,'Hours Log'!$A:$A,"&lt;"&amp;$J1841+7)+SUMIFS('Hours Log'!$D:$D,'Hours Log'!$A:$A,"&gt;="&amp;$J1841,'Hours Log'!$A:$A,"&lt;"&amp;$J1841+7))</f>
        <v/>
      </c>
      <c r="D1841" t="str">
        <f>IF($J1841="","",SUMIFS('Hours Log'!$D:$D,'Hours Log'!$A:$A,"&gt;="&amp;$J1841,'Hours Log'!$A:$A,"&lt;"&amp;$J1841+7))</f>
        <v/>
      </c>
      <c r="E1841" t="str">
        <f t="shared" si="56"/>
        <v/>
      </c>
      <c r="F1841" t="str">
        <f t="shared" si="57"/>
        <v/>
      </c>
      <c r="G1841" t="str">
        <f>IF($J1841="","",SUMIFS('Hours Log'!$E:$E,'Hours Log'!$A:$A,"&gt;="&amp;$J1841,'Hours Log'!$A:$A,"&lt;"&amp;$J1841+7))</f>
        <v/>
      </c>
      <c r="J1841" t="str">
        <f>IF(COUNT('Hours Log'!$A$4:$A$5000)=0,"",IF(MIN('Hours Log'!$A$4:$A$5000)+7*(ROW()-10)&gt;MAX('Hours Log'!$A$4:$A$5000),"",MIN('Hours Log'!$A$4:$A$5000)+7*(ROW()-10)))</f>
        <v/>
      </c>
    </row>
    <row r="1842" spans="1:10" x14ac:dyDescent="0.25">
      <c r="A1842" t="str">
        <f>IF($J1842="","",YEAR($J1842-WEEKDAY($J1842,2)+4)&amp;"-W"&amp;TEXT(_xludf.ISOWEEKNUM($J1842),"00"))</f>
        <v/>
      </c>
      <c r="B1842"/>
      <c r="C1842" t="str">
        <f>IF($J1842="","",SUMIFS('Hours Log'!$C:$C,'Hours Log'!$A:$A,"&gt;="&amp;$J1842,'Hours Log'!$A:$A,"&lt;"&amp;$J1842+7)+SUMIFS('Hours Log'!$D:$D,'Hours Log'!$A:$A,"&gt;="&amp;$J1842,'Hours Log'!$A:$A,"&lt;"&amp;$J1842+7))</f>
        <v/>
      </c>
      <c r="D1842" t="str">
        <f>IF($J1842="","",SUMIFS('Hours Log'!$D:$D,'Hours Log'!$A:$A,"&gt;="&amp;$J1842,'Hours Log'!$A:$A,"&lt;"&amp;$J1842+7))</f>
        <v/>
      </c>
      <c r="E1842" t="str">
        <f t="shared" si="56"/>
        <v/>
      </c>
      <c r="F1842" t="str">
        <f t="shared" si="57"/>
        <v/>
      </c>
      <c r="G1842" t="str">
        <f>IF($J1842="","",SUMIFS('Hours Log'!$E:$E,'Hours Log'!$A:$A,"&gt;="&amp;$J1842,'Hours Log'!$A:$A,"&lt;"&amp;$J1842+7))</f>
        <v/>
      </c>
      <c r="J1842" t="str">
        <f>IF(COUNT('Hours Log'!$A$4:$A$5000)=0,"",IF(MIN('Hours Log'!$A$4:$A$5000)+7*(ROW()-10)&gt;MAX('Hours Log'!$A$4:$A$5000),"",MIN('Hours Log'!$A$4:$A$5000)+7*(ROW()-10)))</f>
        <v/>
      </c>
    </row>
    <row r="1843" spans="1:10" x14ac:dyDescent="0.25">
      <c r="A1843" t="str">
        <f>IF($J1843="","",YEAR($J1843-WEEKDAY($J1843,2)+4)&amp;"-W"&amp;TEXT(_xludf.ISOWEEKNUM($J1843),"00"))</f>
        <v/>
      </c>
      <c r="B1843"/>
      <c r="C1843" t="str">
        <f>IF($J1843="","",SUMIFS('Hours Log'!$C:$C,'Hours Log'!$A:$A,"&gt;="&amp;$J1843,'Hours Log'!$A:$A,"&lt;"&amp;$J1843+7)+SUMIFS('Hours Log'!$D:$D,'Hours Log'!$A:$A,"&gt;="&amp;$J1843,'Hours Log'!$A:$A,"&lt;"&amp;$J1843+7))</f>
        <v/>
      </c>
      <c r="D1843" t="str">
        <f>IF($J1843="","",SUMIFS('Hours Log'!$D:$D,'Hours Log'!$A:$A,"&gt;="&amp;$J1843,'Hours Log'!$A:$A,"&lt;"&amp;$J1843+7))</f>
        <v/>
      </c>
      <c r="E1843" t="str">
        <f t="shared" si="56"/>
        <v/>
      </c>
      <c r="F1843" t="str">
        <f t="shared" si="57"/>
        <v/>
      </c>
      <c r="G1843" t="str">
        <f>IF($J1843="","",SUMIFS('Hours Log'!$E:$E,'Hours Log'!$A:$A,"&gt;="&amp;$J1843,'Hours Log'!$A:$A,"&lt;"&amp;$J1843+7))</f>
        <v/>
      </c>
      <c r="J1843" t="str">
        <f>IF(COUNT('Hours Log'!$A$4:$A$5000)=0,"",IF(MIN('Hours Log'!$A$4:$A$5000)+7*(ROW()-10)&gt;MAX('Hours Log'!$A$4:$A$5000),"",MIN('Hours Log'!$A$4:$A$5000)+7*(ROW()-10)))</f>
        <v/>
      </c>
    </row>
    <row r="1844" spans="1:10" x14ac:dyDescent="0.25">
      <c r="A1844" t="str">
        <f>IF($J1844="","",YEAR($J1844-WEEKDAY($J1844,2)+4)&amp;"-W"&amp;TEXT(_xludf.ISOWEEKNUM($J1844),"00"))</f>
        <v/>
      </c>
      <c r="B1844"/>
      <c r="C1844" t="str">
        <f>IF($J1844="","",SUMIFS('Hours Log'!$C:$C,'Hours Log'!$A:$A,"&gt;="&amp;$J1844,'Hours Log'!$A:$A,"&lt;"&amp;$J1844+7)+SUMIFS('Hours Log'!$D:$D,'Hours Log'!$A:$A,"&gt;="&amp;$J1844,'Hours Log'!$A:$A,"&lt;"&amp;$J1844+7))</f>
        <v/>
      </c>
      <c r="D1844" t="str">
        <f>IF($J1844="","",SUMIFS('Hours Log'!$D:$D,'Hours Log'!$A:$A,"&gt;="&amp;$J1844,'Hours Log'!$A:$A,"&lt;"&amp;$J1844+7))</f>
        <v/>
      </c>
      <c r="E1844" t="str">
        <f t="shared" si="56"/>
        <v/>
      </c>
      <c r="F1844" t="str">
        <f t="shared" si="57"/>
        <v/>
      </c>
      <c r="G1844" t="str">
        <f>IF($J1844="","",SUMIFS('Hours Log'!$E:$E,'Hours Log'!$A:$A,"&gt;="&amp;$J1844,'Hours Log'!$A:$A,"&lt;"&amp;$J1844+7))</f>
        <v/>
      </c>
      <c r="J1844" t="str">
        <f>IF(COUNT('Hours Log'!$A$4:$A$5000)=0,"",IF(MIN('Hours Log'!$A$4:$A$5000)+7*(ROW()-10)&gt;MAX('Hours Log'!$A$4:$A$5000),"",MIN('Hours Log'!$A$4:$A$5000)+7*(ROW()-10)))</f>
        <v/>
      </c>
    </row>
    <row r="1845" spans="1:10" x14ac:dyDescent="0.25">
      <c r="A1845" t="str">
        <f>IF($J1845="","",YEAR($J1845-WEEKDAY($J1845,2)+4)&amp;"-W"&amp;TEXT(_xludf.ISOWEEKNUM($J1845),"00"))</f>
        <v/>
      </c>
      <c r="B1845"/>
      <c r="C1845" t="str">
        <f>IF($J1845="","",SUMIFS('Hours Log'!$C:$C,'Hours Log'!$A:$A,"&gt;="&amp;$J1845,'Hours Log'!$A:$A,"&lt;"&amp;$J1845+7)+SUMIFS('Hours Log'!$D:$D,'Hours Log'!$A:$A,"&gt;="&amp;$J1845,'Hours Log'!$A:$A,"&lt;"&amp;$J1845+7))</f>
        <v/>
      </c>
      <c r="D1845" t="str">
        <f>IF($J1845="","",SUMIFS('Hours Log'!$D:$D,'Hours Log'!$A:$A,"&gt;="&amp;$J1845,'Hours Log'!$A:$A,"&lt;"&amp;$J1845+7))</f>
        <v/>
      </c>
      <c r="E1845" t="str">
        <f t="shared" si="56"/>
        <v/>
      </c>
      <c r="F1845" t="str">
        <f t="shared" si="57"/>
        <v/>
      </c>
      <c r="G1845" t="str">
        <f>IF($J1845="","",SUMIFS('Hours Log'!$E:$E,'Hours Log'!$A:$A,"&gt;="&amp;$J1845,'Hours Log'!$A:$A,"&lt;"&amp;$J1845+7))</f>
        <v/>
      </c>
      <c r="J1845" t="str">
        <f>IF(COUNT('Hours Log'!$A$4:$A$5000)=0,"",IF(MIN('Hours Log'!$A$4:$A$5000)+7*(ROW()-10)&gt;MAX('Hours Log'!$A$4:$A$5000),"",MIN('Hours Log'!$A$4:$A$5000)+7*(ROW()-10)))</f>
        <v/>
      </c>
    </row>
    <row r="1846" spans="1:10" x14ac:dyDescent="0.25">
      <c r="A1846" t="str">
        <f>IF($J1846="","",YEAR($J1846-WEEKDAY($J1846,2)+4)&amp;"-W"&amp;TEXT(_xludf.ISOWEEKNUM($J1846),"00"))</f>
        <v/>
      </c>
      <c r="B1846"/>
      <c r="C1846" t="str">
        <f>IF($J1846="","",SUMIFS('Hours Log'!$C:$C,'Hours Log'!$A:$A,"&gt;="&amp;$J1846,'Hours Log'!$A:$A,"&lt;"&amp;$J1846+7)+SUMIFS('Hours Log'!$D:$D,'Hours Log'!$A:$A,"&gt;="&amp;$J1846,'Hours Log'!$A:$A,"&lt;"&amp;$J1846+7))</f>
        <v/>
      </c>
      <c r="D1846" t="str">
        <f>IF($J1846="","",SUMIFS('Hours Log'!$D:$D,'Hours Log'!$A:$A,"&gt;="&amp;$J1846,'Hours Log'!$A:$A,"&lt;"&amp;$J1846+7))</f>
        <v/>
      </c>
      <c r="E1846" t="str">
        <f t="shared" si="56"/>
        <v/>
      </c>
      <c r="F1846" t="str">
        <f t="shared" si="57"/>
        <v/>
      </c>
      <c r="G1846" t="str">
        <f>IF($J1846="","",SUMIFS('Hours Log'!$E:$E,'Hours Log'!$A:$A,"&gt;="&amp;$J1846,'Hours Log'!$A:$A,"&lt;"&amp;$J1846+7))</f>
        <v/>
      </c>
      <c r="J1846" t="str">
        <f>IF(COUNT('Hours Log'!$A$4:$A$5000)=0,"",IF(MIN('Hours Log'!$A$4:$A$5000)+7*(ROW()-10)&gt;MAX('Hours Log'!$A$4:$A$5000),"",MIN('Hours Log'!$A$4:$A$5000)+7*(ROW()-10)))</f>
        <v/>
      </c>
    </row>
    <row r="1847" spans="1:10" x14ac:dyDescent="0.25">
      <c r="A1847" t="str">
        <f>IF($J1847="","",YEAR($J1847-WEEKDAY($J1847,2)+4)&amp;"-W"&amp;TEXT(_xludf.ISOWEEKNUM($J1847),"00"))</f>
        <v/>
      </c>
      <c r="B1847"/>
      <c r="C1847" t="str">
        <f>IF($J1847="","",SUMIFS('Hours Log'!$C:$C,'Hours Log'!$A:$A,"&gt;="&amp;$J1847,'Hours Log'!$A:$A,"&lt;"&amp;$J1847+7)+SUMIFS('Hours Log'!$D:$D,'Hours Log'!$A:$A,"&gt;="&amp;$J1847,'Hours Log'!$A:$A,"&lt;"&amp;$J1847+7))</f>
        <v/>
      </c>
      <c r="D1847" t="str">
        <f>IF($J1847="","",SUMIFS('Hours Log'!$D:$D,'Hours Log'!$A:$A,"&gt;="&amp;$J1847,'Hours Log'!$A:$A,"&lt;"&amp;$J1847+7))</f>
        <v/>
      </c>
      <c r="E1847" t="str">
        <f t="shared" si="56"/>
        <v/>
      </c>
      <c r="F1847" t="str">
        <f t="shared" si="57"/>
        <v/>
      </c>
      <c r="G1847" t="str">
        <f>IF($J1847="","",SUMIFS('Hours Log'!$E:$E,'Hours Log'!$A:$A,"&gt;="&amp;$J1847,'Hours Log'!$A:$A,"&lt;"&amp;$J1847+7))</f>
        <v/>
      </c>
      <c r="J1847" t="str">
        <f>IF(COUNT('Hours Log'!$A$4:$A$5000)=0,"",IF(MIN('Hours Log'!$A$4:$A$5000)+7*(ROW()-10)&gt;MAX('Hours Log'!$A$4:$A$5000),"",MIN('Hours Log'!$A$4:$A$5000)+7*(ROW()-10)))</f>
        <v/>
      </c>
    </row>
    <row r="1848" spans="1:10" x14ac:dyDescent="0.25">
      <c r="A1848" t="str">
        <f>IF($J1848="","",YEAR($J1848-WEEKDAY($J1848,2)+4)&amp;"-W"&amp;TEXT(_xludf.ISOWEEKNUM($J1848),"00"))</f>
        <v/>
      </c>
      <c r="B1848"/>
      <c r="C1848" t="str">
        <f>IF($J1848="","",SUMIFS('Hours Log'!$C:$C,'Hours Log'!$A:$A,"&gt;="&amp;$J1848,'Hours Log'!$A:$A,"&lt;"&amp;$J1848+7)+SUMIFS('Hours Log'!$D:$D,'Hours Log'!$A:$A,"&gt;="&amp;$J1848,'Hours Log'!$A:$A,"&lt;"&amp;$J1848+7))</f>
        <v/>
      </c>
      <c r="D1848" t="str">
        <f>IF($J1848="","",SUMIFS('Hours Log'!$D:$D,'Hours Log'!$A:$A,"&gt;="&amp;$J1848,'Hours Log'!$A:$A,"&lt;"&amp;$J1848+7))</f>
        <v/>
      </c>
      <c r="E1848" t="str">
        <f t="shared" si="56"/>
        <v/>
      </c>
      <c r="F1848" t="str">
        <f t="shared" si="57"/>
        <v/>
      </c>
      <c r="G1848" t="str">
        <f>IF($J1848="","",SUMIFS('Hours Log'!$E:$E,'Hours Log'!$A:$A,"&gt;="&amp;$J1848,'Hours Log'!$A:$A,"&lt;"&amp;$J1848+7))</f>
        <v/>
      </c>
      <c r="J1848" t="str">
        <f>IF(COUNT('Hours Log'!$A$4:$A$5000)=0,"",IF(MIN('Hours Log'!$A$4:$A$5000)+7*(ROW()-10)&gt;MAX('Hours Log'!$A$4:$A$5000),"",MIN('Hours Log'!$A$4:$A$5000)+7*(ROW()-10)))</f>
        <v/>
      </c>
    </row>
    <row r="1849" spans="1:10" x14ac:dyDescent="0.25">
      <c r="A1849" t="str">
        <f>IF($J1849="","",YEAR($J1849-WEEKDAY($J1849,2)+4)&amp;"-W"&amp;TEXT(_xludf.ISOWEEKNUM($J1849),"00"))</f>
        <v/>
      </c>
      <c r="B1849"/>
      <c r="C1849" t="str">
        <f>IF($J1849="","",SUMIFS('Hours Log'!$C:$C,'Hours Log'!$A:$A,"&gt;="&amp;$J1849,'Hours Log'!$A:$A,"&lt;"&amp;$J1849+7)+SUMIFS('Hours Log'!$D:$D,'Hours Log'!$A:$A,"&gt;="&amp;$J1849,'Hours Log'!$A:$A,"&lt;"&amp;$J1849+7))</f>
        <v/>
      </c>
      <c r="D1849" t="str">
        <f>IF($J1849="","",SUMIFS('Hours Log'!$D:$D,'Hours Log'!$A:$A,"&gt;="&amp;$J1849,'Hours Log'!$A:$A,"&lt;"&amp;$J1849+7))</f>
        <v/>
      </c>
      <c r="E1849" t="str">
        <f t="shared" si="56"/>
        <v/>
      </c>
      <c r="F1849" t="str">
        <f t="shared" si="57"/>
        <v/>
      </c>
      <c r="G1849" t="str">
        <f>IF($J1849="","",SUMIFS('Hours Log'!$E:$E,'Hours Log'!$A:$A,"&gt;="&amp;$J1849,'Hours Log'!$A:$A,"&lt;"&amp;$J1849+7))</f>
        <v/>
      </c>
      <c r="J1849" t="str">
        <f>IF(COUNT('Hours Log'!$A$4:$A$5000)=0,"",IF(MIN('Hours Log'!$A$4:$A$5000)+7*(ROW()-10)&gt;MAX('Hours Log'!$A$4:$A$5000),"",MIN('Hours Log'!$A$4:$A$5000)+7*(ROW()-10)))</f>
        <v/>
      </c>
    </row>
    <row r="1850" spans="1:10" x14ac:dyDescent="0.25">
      <c r="A1850" t="str">
        <f>IF($J1850="","",YEAR($J1850-WEEKDAY($J1850,2)+4)&amp;"-W"&amp;TEXT(_xludf.ISOWEEKNUM($J1850),"00"))</f>
        <v/>
      </c>
      <c r="B1850"/>
      <c r="C1850" t="str">
        <f>IF($J1850="","",SUMIFS('Hours Log'!$C:$C,'Hours Log'!$A:$A,"&gt;="&amp;$J1850,'Hours Log'!$A:$A,"&lt;"&amp;$J1850+7)+SUMIFS('Hours Log'!$D:$D,'Hours Log'!$A:$A,"&gt;="&amp;$J1850,'Hours Log'!$A:$A,"&lt;"&amp;$J1850+7))</f>
        <v/>
      </c>
      <c r="D1850" t="str">
        <f>IF($J1850="","",SUMIFS('Hours Log'!$D:$D,'Hours Log'!$A:$A,"&gt;="&amp;$J1850,'Hours Log'!$A:$A,"&lt;"&amp;$J1850+7))</f>
        <v/>
      </c>
      <c r="E1850" t="str">
        <f t="shared" si="56"/>
        <v/>
      </c>
      <c r="F1850" t="str">
        <f t="shared" si="57"/>
        <v/>
      </c>
      <c r="G1850" t="str">
        <f>IF($J1850="","",SUMIFS('Hours Log'!$E:$E,'Hours Log'!$A:$A,"&gt;="&amp;$J1850,'Hours Log'!$A:$A,"&lt;"&amp;$J1850+7))</f>
        <v/>
      </c>
      <c r="J1850" t="str">
        <f>IF(COUNT('Hours Log'!$A$4:$A$5000)=0,"",IF(MIN('Hours Log'!$A$4:$A$5000)+7*(ROW()-10)&gt;MAX('Hours Log'!$A$4:$A$5000),"",MIN('Hours Log'!$A$4:$A$5000)+7*(ROW()-10)))</f>
        <v/>
      </c>
    </row>
    <row r="1851" spans="1:10" x14ac:dyDescent="0.25">
      <c r="A1851" t="str">
        <f>IF($J1851="","",YEAR($J1851-WEEKDAY($J1851,2)+4)&amp;"-W"&amp;TEXT(_xludf.ISOWEEKNUM($J1851),"00"))</f>
        <v/>
      </c>
      <c r="B1851"/>
      <c r="C1851" t="str">
        <f>IF($J1851="","",SUMIFS('Hours Log'!$C:$C,'Hours Log'!$A:$A,"&gt;="&amp;$J1851,'Hours Log'!$A:$A,"&lt;"&amp;$J1851+7)+SUMIFS('Hours Log'!$D:$D,'Hours Log'!$A:$A,"&gt;="&amp;$J1851,'Hours Log'!$A:$A,"&lt;"&amp;$J1851+7))</f>
        <v/>
      </c>
      <c r="D1851" t="str">
        <f>IF($J1851="","",SUMIFS('Hours Log'!$D:$D,'Hours Log'!$A:$A,"&gt;="&amp;$J1851,'Hours Log'!$A:$A,"&lt;"&amp;$J1851+7))</f>
        <v/>
      </c>
      <c r="E1851" t="str">
        <f t="shared" si="56"/>
        <v/>
      </c>
      <c r="F1851" t="str">
        <f t="shared" si="57"/>
        <v/>
      </c>
      <c r="G1851" t="str">
        <f>IF($J1851="","",SUMIFS('Hours Log'!$E:$E,'Hours Log'!$A:$A,"&gt;="&amp;$J1851,'Hours Log'!$A:$A,"&lt;"&amp;$J1851+7))</f>
        <v/>
      </c>
      <c r="J1851" t="str">
        <f>IF(COUNT('Hours Log'!$A$4:$A$5000)=0,"",IF(MIN('Hours Log'!$A$4:$A$5000)+7*(ROW()-10)&gt;MAX('Hours Log'!$A$4:$A$5000),"",MIN('Hours Log'!$A$4:$A$5000)+7*(ROW()-10)))</f>
        <v/>
      </c>
    </row>
    <row r="1852" spans="1:10" x14ac:dyDescent="0.25">
      <c r="A1852" t="str">
        <f>IF($J1852="","",YEAR($J1852-WEEKDAY($J1852,2)+4)&amp;"-W"&amp;TEXT(_xludf.ISOWEEKNUM($J1852),"00"))</f>
        <v/>
      </c>
      <c r="B1852"/>
      <c r="C1852" t="str">
        <f>IF($J1852="","",SUMIFS('Hours Log'!$C:$C,'Hours Log'!$A:$A,"&gt;="&amp;$J1852,'Hours Log'!$A:$A,"&lt;"&amp;$J1852+7)+SUMIFS('Hours Log'!$D:$D,'Hours Log'!$A:$A,"&gt;="&amp;$J1852,'Hours Log'!$A:$A,"&lt;"&amp;$J1852+7))</f>
        <v/>
      </c>
      <c r="D1852" t="str">
        <f>IF($J1852="","",SUMIFS('Hours Log'!$D:$D,'Hours Log'!$A:$A,"&gt;="&amp;$J1852,'Hours Log'!$A:$A,"&lt;"&amp;$J1852+7))</f>
        <v/>
      </c>
      <c r="E1852" t="str">
        <f t="shared" si="56"/>
        <v/>
      </c>
      <c r="F1852" t="str">
        <f t="shared" si="57"/>
        <v/>
      </c>
      <c r="G1852" t="str">
        <f>IF($J1852="","",SUMIFS('Hours Log'!$E:$E,'Hours Log'!$A:$A,"&gt;="&amp;$J1852,'Hours Log'!$A:$A,"&lt;"&amp;$J1852+7))</f>
        <v/>
      </c>
      <c r="J1852" t="str">
        <f>IF(COUNT('Hours Log'!$A$4:$A$5000)=0,"",IF(MIN('Hours Log'!$A$4:$A$5000)+7*(ROW()-10)&gt;MAX('Hours Log'!$A$4:$A$5000),"",MIN('Hours Log'!$A$4:$A$5000)+7*(ROW()-10)))</f>
        <v/>
      </c>
    </row>
    <row r="1853" spans="1:10" x14ac:dyDescent="0.25">
      <c r="A1853" t="str">
        <f>IF($J1853="","",YEAR($J1853-WEEKDAY($J1853,2)+4)&amp;"-W"&amp;TEXT(_xludf.ISOWEEKNUM($J1853),"00"))</f>
        <v/>
      </c>
      <c r="B1853"/>
      <c r="C1853" t="str">
        <f>IF($J1853="","",SUMIFS('Hours Log'!$C:$C,'Hours Log'!$A:$A,"&gt;="&amp;$J1853,'Hours Log'!$A:$A,"&lt;"&amp;$J1853+7)+SUMIFS('Hours Log'!$D:$D,'Hours Log'!$A:$A,"&gt;="&amp;$J1853,'Hours Log'!$A:$A,"&lt;"&amp;$J1853+7))</f>
        <v/>
      </c>
      <c r="D1853" t="str">
        <f>IF($J1853="","",SUMIFS('Hours Log'!$D:$D,'Hours Log'!$A:$A,"&gt;="&amp;$J1853,'Hours Log'!$A:$A,"&lt;"&amp;$J1853+7))</f>
        <v/>
      </c>
      <c r="E1853" t="str">
        <f t="shared" si="56"/>
        <v/>
      </c>
      <c r="F1853" t="str">
        <f t="shared" si="57"/>
        <v/>
      </c>
      <c r="G1853" t="str">
        <f>IF($J1853="","",SUMIFS('Hours Log'!$E:$E,'Hours Log'!$A:$A,"&gt;="&amp;$J1853,'Hours Log'!$A:$A,"&lt;"&amp;$J1853+7))</f>
        <v/>
      </c>
      <c r="J1853" t="str">
        <f>IF(COUNT('Hours Log'!$A$4:$A$5000)=0,"",IF(MIN('Hours Log'!$A$4:$A$5000)+7*(ROW()-10)&gt;MAX('Hours Log'!$A$4:$A$5000),"",MIN('Hours Log'!$A$4:$A$5000)+7*(ROW()-10)))</f>
        <v/>
      </c>
    </row>
    <row r="1854" spans="1:10" x14ac:dyDescent="0.25">
      <c r="A1854" t="str">
        <f>IF($J1854="","",YEAR($J1854-WEEKDAY($J1854,2)+4)&amp;"-W"&amp;TEXT(_xludf.ISOWEEKNUM($J1854),"00"))</f>
        <v/>
      </c>
      <c r="B1854"/>
      <c r="C1854" t="str">
        <f>IF($J1854="","",SUMIFS('Hours Log'!$C:$C,'Hours Log'!$A:$A,"&gt;="&amp;$J1854,'Hours Log'!$A:$A,"&lt;"&amp;$J1854+7)+SUMIFS('Hours Log'!$D:$D,'Hours Log'!$A:$A,"&gt;="&amp;$J1854,'Hours Log'!$A:$A,"&lt;"&amp;$J1854+7))</f>
        <v/>
      </c>
      <c r="D1854" t="str">
        <f>IF($J1854="","",SUMIFS('Hours Log'!$D:$D,'Hours Log'!$A:$A,"&gt;="&amp;$J1854,'Hours Log'!$A:$A,"&lt;"&amp;$J1854+7))</f>
        <v/>
      </c>
      <c r="E1854" t="str">
        <f t="shared" si="56"/>
        <v/>
      </c>
      <c r="F1854" t="str">
        <f t="shared" si="57"/>
        <v/>
      </c>
      <c r="G1854" t="str">
        <f>IF($J1854="","",SUMIFS('Hours Log'!$E:$E,'Hours Log'!$A:$A,"&gt;="&amp;$J1854,'Hours Log'!$A:$A,"&lt;"&amp;$J1854+7))</f>
        <v/>
      </c>
      <c r="J1854" t="str">
        <f>IF(COUNT('Hours Log'!$A$4:$A$5000)=0,"",IF(MIN('Hours Log'!$A$4:$A$5000)+7*(ROW()-10)&gt;MAX('Hours Log'!$A$4:$A$5000),"",MIN('Hours Log'!$A$4:$A$5000)+7*(ROW()-10)))</f>
        <v/>
      </c>
    </row>
    <row r="1855" spans="1:10" x14ac:dyDescent="0.25">
      <c r="A1855" t="str">
        <f>IF($J1855="","",YEAR($J1855-WEEKDAY($J1855,2)+4)&amp;"-W"&amp;TEXT(_xludf.ISOWEEKNUM($J1855),"00"))</f>
        <v/>
      </c>
      <c r="B1855"/>
      <c r="C1855" t="str">
        <f>IF($J1855="","",SUMIFS('Hours Log'!$C:$C,'Hours Log'!$A:$A,"&gt;="&amp;$J1855,'Hours Log'!$A:$A,"&lt;"&amp;$J1855+7)+SUMIFS('Hours Log'!$D:$D,'Hours Log'!$A:$A,"&gt;="&amp;$J1855,'Hours Log'!$A:$A,"&lt;"&amp;$J1855+7))</f>
        <v/>
      </c>
      <c r="D1855" t="str">
        <f>IF($J1855="","",SUMIFS('Hours Log'!$D:$D,'Hours Log'!$A:$A,"&gt;="&amp;$J1855,'Hours Log'!$A:$A,"&lt;"&amp;$J1855+7))</f>
        <v/>
      </c>
      <c r="E1855" t="str">
        <f t="shared" si="56"/>
        <v/>
      </c>
      <c r="F1855" t="str">
        <f t="shared" si="57"/>
        <v/>
      </c>
      <c r="G1855" t="str">
        <f>IF($J1855="","",SUMIFS('Hours Log'!$E:$E,'Hours Log'!$A:$A,"&gt;="&amp;$J1855,'Hours Log'!$A:$A,"&lt;"&amp;$J1855+7))</f>
        <v/>
      </c>
      <c r="J1855" t="str">
        <f>IF(COUNT('Hours Log'!$A$4:$A$5000)=0,"",IF(MIN('Hours Log'!$A$4:$A$5000)+7*(ROW()-10)&gt;MAX('Hours Log'!$A$4:$A$5000),"",MIN('Hours Log'!$A$4:$A$5000)+7*(ROW()-10)))</f>
        <v/>
      </c>
    </row>
    <row r="1856" spans="1:10" x14ac:dyDescent="0.25">
      <c r="A1856" t="str">
        <f>IF($J1856="","",YEAR($J1856-WEEKDAY($J1856,2)+4)&amp;"-W"&amp;TEXT(_xludf.ISOWEEKNUM($J1856),"00"))</f>
        <v/>
      </c>
      <c r="B1856"/>
      <c r="C1856" t="str">
        <f>IF($J1856="","",SUMIFS('Hours Log'!$C:$C,'Hours Log'!$A:$A,"&gt;="&amp;$J1856,'Hours Log'!$A:$A,"&lt;"&amp;$J1856+7)+SUMIFS('Hours Log'!$D:$D,'Hours Log'!$A:$A,"&gt;="&amp;$J1856,'Hours Log'!$A:$A,"&lt;"&amp;$J1856+7))</f>
        <v/>
      </c>
      <c r="D1856" t="str">
        <f>IF($J1856="","",SUMIFS('Hours Log'!$D:$D,'Hours Log'!$A:$A,"&gt;="&amp;$J1856,'Hours Log'!$A:$A,"&lt;"&amp;$J1856+7))</f>
        <v/>
      </c>
      <c r="E1856" t="str">
        <f t="shared" si="56"/>
        <v/>
      </c>
      <c r="F1856" t="str">
        <f t="shared" si="57"/>
        <v/>
      </c>
      <c r="G1856" t="str">
        <f>IF($J1856="","",SUMIFS('Hours Log'!$E:$E,'Hours Log'!$A:$A,"&gt;="&amp;$J1856,'Hours Log'!$A:$A,"&lt;"&amp;$J1856+7))</f>
        <v/>
      </c>
      <c r="J1856" t="str">
        <f>IF(COUNT('Hours Log'!$A$4:$A$5000)=0,"",IF(MIN('Hours Log'!$A$4:$A$5000)+7*(ROW()-10)&gt;MAX('Hours Log'!$A$4:$A$5000),"",MIN('Hours Log'!$A$4:$A$5000)+7*(ROW()-10)))</f>
        <v/>
      </c>
    </row>
    <row r="1857" spans="1:10" x14ac:dyDescent="0.25">
      <c r="A1857" t="str">
        <f>IF($J1857="","",YEAR($J1857-WEEKDAY($J1857,2)+4)&amp;"-W"&amp;TEXT(_xludf.ISOWEEKNUM($J1857),"00"))</f>
        <v/>
      </c>
      <c r="B1857"/>
      <c r="C1857" t="str">
        <f>IF($J1857="","",SUMIFS('Hours Log'!$C:$C,'Hours Log'!$A:$A,"&gt;="&amp;$J1857,'Hours Log'!$A:$A,"&lt;"&amp;$J1857+7)+SUMIFS('Hours Log'!$D:$D,'Hours Log'!$A:$A,"&gt;="&amp;$J1857,'Hours Log'!$A:$A,"&lt;"&amp;$J1857+7))</f>
        <v/>
      </c>
      <c r="D1857" t="str">
        <f>IF($J1857="","",SUMIFS('Hours Log'!$D:$D,'Hours Log'!$A:$A,"&gt;="&amp;$J1857,'Hours Log'!$A:$A,"&lt;"&amp;$J1857+7))</f>
        <v/>
      </c>
      <c r="E1857" t="str">
        <f t="shared" si="56"/>
        <v/>
      </c>
      <c r="F1857" t="str">
        <f t="shared" si="57"/>
        <v/>
      </c>
      <c r="G1857" t="str">
        <f>IF($J1857="","",SUMIFS('Hours Log'!$E:$E,'Hours Log'!$A:$A,"&gt;="&amp;$J1857,'Hours Log'!$A:$A,"&lt;"&amp;$J1857+7))</f>
        <v/>
      </c>
      <c r="J1857" t="str">
        <f>IF(COUNT('Hours Log'!$A$4:$A$5000)=0,"",IF(MIN('Hours Log'!$A$4:$A$5000)+7*(ROW()-10)&gt;MAX('Hours Log'!$A$4:$A$5000),"",MIN('Hours Log'!$A$4:$A$5000)+7*(ROW()-10)))</f>
        <v/>
      </c>
    </row>
    <row r="1858" spans="1:10" x14ac:dyDescent="0.25">
      <c r="A1858" t="str">
        <f>IF($J1858="","",YEAR($J1858-WEEKDAY($J1858,2)+4)&amp;"-W"&amp;TEXT(_xludf.ISOWEEKNUM($J1858),"00"))</f>
        <v/>
      </c>
      <c r="B1858"/>
      <c r="C1858" t="str">
        <f>IF($J1858="","",SUMIFS('Hours Log'!$C:$C,'Hours Log'!$A:$A,"&gt;="&amp;$J1858,'Hours Log'!$A:$A,"&lt;"&amp;$J1858+7)+SUMIFS('Hours Log'!$D:$D,'Hours Log'!$A:$A,"&gt;="&amp;$J1858,'Hours Log'!$A:$A,"&lt;"&amp;$J1858+7))</f>
        <v/>
      </c>
      <c r="D1858" t="str">
        <f>IF($J1858="","",SUMIFS('Hours Log'!$D:$D,'Hours Log'!$A:$A,"&gt;="&amp;$J1858,'Hours Log'!$A:$A,"&lt;"&amp;$J1858+7))</f>
        <v/>
      </c>
      <c r="E1858" t="str">
        <f t="shared" si="56"/>
        <v/>
      </c>
      <c r="F1858" t="str">
        <f t="shared" si="57"/>
        <v/>
      </c>
      <c r="G1858" t="str">
        <f>IF($J1858="","",SUMIFS('Hours Log'!$E:$E,'Hours Log'!$A:$A,"&gt;="&amp;$J1858,'Hours Log'!$A:$A,"&lt;"&amp;$J1858+7))</f>
        <v/>
      </c>
      <c r="J1858" t="str">
        <f>IF(COUNT('Hours Log'!$A$4:$A$5000)=0,"",IF(MIN('Hours Log'!$A$4:$A$5000)+7*(ROW()-10)&gt;MAX('Hours Log'!$A$4:$A$5000),"",MIN('Hours Log'!$A$4:$A$5000)+7*(ROW()-10)))</f>
        <v/>
      </c>
    </row>
    <row r="1859" spans="1:10" x14ac:dyDescent="0.25">
      <c r="A1859" t="str">
        <f>IF($J1859="","",YEAR($J1859-WEEKDAY($J1859,2)+4)&amp;"-W"&amp;TEXT(_xludf.ISOWEEKNUM($J1859),"00"))</f>
        <v/>
      </c>
      <c r="B1859"/>
      <c r="C1859" t="str">
        <f>IF($J1859="","",SUMIFS('Hours Log'!$C:$C,'Hours Log'!$A:$A,"&gt;="&amp;$J1859,'Hours Log'!$A:$A,"&lt;"&amp;$J1859+7)+SUMIFS('Hours Log'!$D:$D,'Hours Log'!$A:$A,"&gt;="&amp;$J1859,'Hours Log'!$A:$A,"&lt;"&amp;$J1859+7))</f>
        <v/>
      </c>
      <c r="D1859" t="str">
        <f>IF($J1859="","",SUMIFS('Hours Log'!$D:$D,'Hours Log'!$A:$A,"&gt;="&amp;$J1859,'Hours Log'!$A:$A,"&lt;"&amp;$J1859+7))</f>
        <v/>
      </c>
      <c r="E1859" t="str">
        <f t="shared" si="56"/>
        <v/>
      </c>
      <c r="F1859" t="str">
        <f t="shared" si="57"/>
        <v/>
      </c>
      <c r="G1859" t="str">
        <f>IF($J1859="","",SUMIFS('Hours Log'!$E:$E,'Hours Log'!$A:$A,"&gt;="&amp;$J1859,'Hours Log'!$A:$A,"&lt;"&amp;$J1859+7))</f>
        <v/>
      </c>
      <c r="J1859" t="str">
        <f>IF(COUNT('Hours Log'!$A$4:$A$5000)=0,"",IF(MIN('Hours Log'!$A$4:$A$5000)+7*(ROW()-10)&gt;MAX('Hours Log'!$A$4:$A$5000),"",MIN('Hours Log'!$A$4:$A$5000)+7*(ROW()-10)))</f>
        <v/>
      </c>
    </row>
    <row r="1860" spans="1:10" x14ac:dyDescent="0.25">
      <c r="A1860" t="str">
        <f>IF($J1860="","",YEAR($J1860-WEEKDAY($J1860,2)+4)&amp;"-W"&amp;TEXT(_xludf.ISOWEEKNUM($J1860),"00"))</f>
        <v/>
      </c>
      <c r="B1860"/>
      <c r="C1860" t="str">
        <f>IF($J1860="","",SUMIFS('Hours Log'!$C:$C,'Hours Log'!$A:$A,"&gt;="&amp;$J1860,'Hours Log'!$A:$A,"&lt;"&amp;$J1860+7)+SUMIFS('Hours Log'!$D:$D,'Hours Log'!$A:$A,"&gt;="&amp;$J1860,'Hours Log'!$A:$A,"&lt;"&amp;$J1860+7))</f>
        <v/>
      </c>
      <c r="D1860" t="str">
        <f>IF($J1860="","",SUMIFS('Hours Log'!$D:$D,'Hours Log'!$A:$A,"&gt;="&amp;$J1860,'Hours Log'!$A:$A,"&lt;"&amp;$J1860+7))</f>
        <v/>
      </c>
      <c r="E1860" t="str">
        <f t="shared" si="56"/>
        <v/>
      </c>
      <c r="F1860" t="str">
        <f t="shared" si="57"/>
        <v/>
      </c>
      <c r="G1860" t="str">
        <f>IF($J1860="","",SUMIFS('Hours Log'!$E:$E,'Hours Log'!$A:$A,"&gt;="&amp;$J1860,'Hours Log'!$A:$A,"&lt;"&amp;$J1860+7))</f>
        <v/>
      </c>
      <c r="J1860" t="str">
        <f>IF(COUNT('Hours Log'!$A$4:$A$5000)=0,"",IF(MIN('Hours Log'!$A$4:$A$5000)+7*(ROW()-10)&gt;MAX('Hours Log'!$A$4:$A$5000),"",MIN('Hours Log'!$A$4:$A$5000)+7*(ROW()-10)))</f>
        <v/>
      </c>
    </row>
    <row r="1861" spans="1:10" x14ac:dyDescent="0.25">
      <c r="A1861" t="str">
        <f>IF($J1861="","",YEAR($J1861-WEEKDAY($J1861,2)+4)&amp;"-W"&amp;TEXT(_xludf.ISOWEEKNUM($J1861),"00"))</f>
        <v/>
      </c>
      <c r="B1861"/>
      <c r="C1861" t="str">
        <f>IF($J1861="","",SUMIFS('Hours Log'!$C:$C,'Hours Log'!$A:$A,"&gt;="&amp;$J1861,'Hours Log'!$A:$A,"&lt;"&amp;$J1861+7)+SUMIFS('Hours Log'!$D:$D,'Hours Log'!$A:$A,"&gt;="&amp;$J1861,'Hours Log'!$A:$A,"&lt;"&amp;$J1861+7))</f>
        <v/>
      </c>
      <c r="D1861" t="str">
        <f>IF($J1861="","",SUMIFS('Hours Log'!$D:$D,'Hours Log'!$A:$A,"&gt;="&amp;$J1861,'Hours Log'!$A:$A,"&lt;"&amp;$J1861+7))</f>
        <v/>
      </c>
      <c r="E1861" t="str">
        <f t="shared" si="56"/>
        <v/>
      </c>
      <c r="F1861" t="str">
        <f t="shared" si="57"/>
        <v/>
      </c>
      <c r="G1861" t="str">
        <f>IF($J1861="","",SUMIFS('Hours Log'!$E:$E,'Hours Log'!$A:$A,"&gt;="&amp;$J1861,'Hours Log'!$A:$A,"&lt;"&amp;$J1861+7))</f>
        <v/>
      </c>
      <c r="J1861" t="str">
        <f>IF(COUNT('Hours Log'!$A$4:$A$5000)=0,"",IF(MIN('Hours Log'!$A$4:$A$5000)+7*(ROW()-10)&gt;MAX('Hours Log'!$A$4:$A$5000),"",MIN('Hours Log'!$A$4:$A$5000)+7*(ROW()-10)))</f>
        <v/>
      </c>
    </row>
    <row r="1862" spans="1:10" x14ac:dyDescent="0.25">
      <c r="A1862" t="str">
        <f>IF($J1862="","",YEAR($J1862-WEEKDAY($J1862,2)+4)&amp;"-W"&amp;TEXT(_xludf.ISOWEEKNUM($J1862),"00"))</f>
        <v/>
      </c>
      <c r="B1862"/>
      <c r="C1862" t="str">
        <f>IF($J1862="","",SUMIFS('Hours Log'!$C:$C,'Hours Log'!$A:$A,"&gt;="&amp;$J1862,'Hours Log'!$A:$A,"&lt;"&amp;$J1862+7)+SUMIFS('Hours Log'!$D:$D,'Hours Log'!$A:$A,"&gt;="&amp;$J1862,'Hours Log'!$A:$A,"&lt;"&amp;$J1862+7))</f>
        <v/>
      </c>
      <c r="D1862" t="str">
        <f>IF($J1862="","",SUMIFS('Hours Log'!$D:$D,'Hours Log'!$A:$A,"&gt;="&amp;$J1862,'Hours Log'!$A:$A,"&lt;"&amp;$J1862+7))</f>
        <v/>
      </c>
      <c r="E1862" t="str">
        <f t="shared" si="56"/>
        <v/>
      </c>
      <c r="F1862" t="str">
        <f t="shared" si="57"/>
        <v/>
      </c>
      <c r="G1862" t="str">
        <f>IF($J1862="","",SUMIFS('Hours Log'!$E:$E,'Hours Log'!$A:$A,"&gt;="&amp;$J1862,'Hours Log'!$A:$A,"&lt;"&amp;$J1862+7))</f>
        <v/>
      </c>
      <c r="J1862" t="str">
        <f>IF(COUNT('Hours Log'!$A$4:$A$5000)=0,"",IF(MIN('Hours Log'!$A$4:$A$5000)+7*(ROW()-10)&gt;MAX('Hours Log'!$A$4:$A$5000),"",MIN('Hours Log'!$A$4:$A$5000)+7*(ROW()-10)))</f>
        <v/>
      </c>
    </row>
    <row r="1863" spans="1:10" x14ac:dyDescent="0.25">
      <c r="A1863" t="str">
        <f>IF($J1863="","",YEAR($J1863-WEEKDAY($J1863,2)+4)&amp;"-W"&amp;TEXT(_xludf.ISOWEEKNUM($J1863),"00"))</f>
        <v/>
      </c>
      <c r="B1863"/>
      <c r="C1863" t="str">
        <f>IF($J1863="","",SUMIFS('Hours Log'!$C:$C,'Hours Log'!$A:$A,"&gt;="&amp;$J1863,'Hours Log'!$A:$A,"&lt;"&amp;$J1863+7)+SUMIFS('Hours Log'!$D:$D,'Hours Log'!$A:$A,"&gt;="&amp;$J1863,'Hours Log'!$A:$A,"&lt;"&amp;$J1863+7))</f>
        <v/>
      </c>
      <c r="D1863" t="str">
        <f>IF($J1863="","",SUMIFS('Hours Log'!$D:$D,'Hours Log'!$A:$A,"&gt;="&amp;$J1863,'Hours Log'!$A:$A,"&lt;"&amp;$J1863+7))</f>
        <v/>
      </c>
      <c r="E1863" t="str">
        <f t="shared" si="56"/>
        <v/>
      </c>
      <c r="F1863" t="str">
        <f t="shared" si="57"/>
        <v/>
      </c>
      <c r="G1863" t="str">
        <f>IF($J1863="","",SUMIFS('Hours Log'!$E:$E,'Hours Log'!$A:$A,"&gt;="&amp;$J1863,'Hours Log'!$A:$A,"&lt;"&amp;$J1863+7))</f>
        <v/>
      </c>
      <c r="J1863" t="str">
        <f>IF(COUNT('Hours Log'!$A$4:$A$5000)=0,"",IF(MIN('Hours Log'!$A$4:$A$5000)+7*(ROW()-10)&gt;MAX('Hours Log'!$A$4:$A$5000),"",MIN('Hours Log'!$A$4:$A$5000)+7*(ROW()-10)))</f>
        <v/>
      </c>
    </row>
    <row r="1864" spans="1:10" x14ac:dyDescent="0.25">
      <c r="A1864" t="str">
        <f>IF($J1864="","",YEAR($J1864-WEEKDAY($J1864,2)+4)&amp;"-W"&amp;TEXT(_xludf.ISOWEEKNUM($J1864),"00"))</f>
        <v/>
      </c>
      <c r="B1864"/>
      <c r="C1864" t="str">
        <f>IF($J1864="","",SUMIFS('Hours Log'!$C:$C,'Hours Log'!$A:$A,"&gt;="&amp;$J1864,'Hours Log'!$A:$A,"&lt;"&amp;$J1864+7)+SUMIFS('Hours Log'!$D:$D,'Hours Log'!$A:$A,"&gt;="&amp;$J1864,'Hours Log'!$A:$A,"&lt;"&amp;$J1864+7))</f>
        <v/>
      </c>
      <c r="D1864" t="str">
        <f>IF($J1864="","",SUMIFS('Hours Log'!$D:$D,'Hours Log'!$A:$A,"&gt;="&amp;$J1864,'Hours Log'!$A:$A,"&lt;"&amp;$J1864+7))</f>
        <v/>
      </c>
      <c r="E1864" t="str">
        <f t="shared" si="56"/>
        <v/>
      </c>
      <c r="F1864" t="str">
        <f t="shared" si="57"/>
        <v/>
      </c>
      <c r="G1864" t="str">
        <f>IF($J1864="","",SUMIFS('Hours Log'!$E:$E,'Hours Log'!$A:$A,"&gt;="&amp;$J1864,'Hours Log'!$A:$A,"&lt;"&amp;$J1864+7))</f>
        <v/>
      </c>
      <c r="J1864" t="str">
        <f>IF(COUNT('Hours Log'!$A$4:$A$5000)=0,"",IF(MIN('Hours Log'!$A$4:$A$5000)+7*(ROW()-10)&gt;MAX('Hours Log'!$A$4:$A$5000),"",MIN('Hours Log'!$A$4:$A$5000)+7*(ROW()-10)))</f>
        <v/>
      </c>
    </row>
    <row r="1865" spans="1:10" x14ac:dyDescent="0.25">
      <c r="A1865" t="str">
        <f>IF($J1865="","",YEAR($J1865-WEEKDAY($J1865,2)+4)&amp;"-W"&amp;TEXT(_xludf.ISOWEEKNUM($J1865),"00"))</f>
        <v/>
      </c>
      <c r="B1865"/>
      <c r="C1865" t="str">
        <f>IF($J1865="","",SUMIFS('Hours Log'!$C:$C,'Hours Log'!$A:$A,"&gt;="&amp;$J1865,'Hours Log'!$A:$A,"&lt;"&amp;$J1865+7)+SUMIFS('Hours Log'!$D:$D,'Hours Log'!$A:$A,"&gt;="&amp;$J1865,'Hours Log'!$A:$A,"&lt;"&amp;$J1865+7))</f>
        <v/>
      </c>
      <c r="D1865" t="str">
        <f>IF($J1865="","",SUMIFS('Hours Log'!$D:$D,'Hours Log'!$A:$A,"&gt;="&amp;$J1865,'Hours Log'!$A:$A,"&lt;"&amp;$J1865+7))</f>
        <v/>
      </c>
      <c r="E1865" t="str">
        <f t="shared" si="56"/>
        <v/>
      </c>
      <c r="F1865" t="str">
        <f t="shared" si="57"/>
        <v/>
      </c>
      <c r="G1865" t="str">
        <f>IF($J1865="","",SUMIFS('Hours Log'!$E:$E,'Hours Log'!$A:$A,"&gt;="&amp;$J1865,'Hours Log'!$A:$A,"&lt;"&amp;$J1865+7))</f>
        <v/>
      </c>
      <c r="J1865" t="str">
        <f>IF(COUNT('Hours Log'!$A$4:$A$5000)=0,"",IF(MIN('Hours Log'!$A$4:$A$5000)+7*(ROW()-10)&gt;MAX('Hours Log'!$A$4:$A$5000),"",MIN('Hours Log'!$A$4:$A$5000)+7*(ROW()-10)))</f>
        <v/>
      </c>
    </row>
    <row r="1866" spans="1:10" x14ac:dyDescent="0.25">
      <c r="A1866" t="str">
        <f>IF($J1866="","",YEAR($J1866-WEEKDAY($J1866,2)+4)&amp;"-W"&amp;TEXT(_xludf.ISOWEEKNUM($J1866),"00"))</f>
        <v/>
      </c>
      <c r="B1866"/>
      <c r="C1866" t="str">
        <f>IF($J1866="","",SUMIFS('Hours Log'!$C:$C,'Hours Log'!$A:$A,"&gt;="&amp;$J1866,'Hours Log'!$A:$A,"&lt;"&amp;$J1866+7)+SUMIFS('Hours Log'!$D:$D,'Hours Log'!$A:$A,"&gt;="&amp;$J1866,'Hours Log'!$A:$A,"&lt;"&amp;$J1866+7))</f>
        <v/>
      </c>
      <c r="D1866" t="str">
        <f>IF($J1866="","",SUMIFS('Hours Log'!$D:$D,'Hours Log'!$A:$A,"&gt;="&amp;$J1866,'Hours Log'!$A:$A,"&lt;"&amp;$J1866+7))</f>
        <v/>
      </c>
      <c r="E1866" t="str">
        <f t="shared" ref="E1866:E1929" si="58">IF($J1866="","",IFERROR(C1866/(B1866*40),0))</f>
        <v/>
      </c>
      <c r="F1866" t="str">
        <f t="shared" ref="F1866:F1929" si="59">IF($J1866="","",0)</f>
        <v/>
      </c>
      <c r="G1866" t="str">
        <f>IF($J1866="","",SUMIFS('Hours Log'!$E:$E,'Hours Log'!$A:$A,"&gt;="&amp;$J1866,'Hours Log'!$A:$A,"&lt;"&amp;$J1866+7))</f>
        <v/>
      </c>
      <c r="J1866" t="str">
        <f>IF(COUNT('Hours Log'!$A$4:$A$5000)=0,"",IF(MIN('Hours Log'!$A$4:$A$5000)+7*(ROW()-10)&gt;MAX('Hours Log'!$A$4:$A$5000),"",MIN('Hours Log'!$A$4:$A$5000)+7*(ROW()-10)))</f>
        <v/>
      </c>
    </row>
    <row r="1867" spans="1:10" x14ac:dyDescent="0.25">
      <c r="A1867" t="str">
        <f>IF($J1867="","",YEAR($J1867-WEEKDAY($J1867,2)+4)&amp;"-W"&amp;TEXT(_xludf.ISOWEEKNUM($J1867),"00"))</f>
        <v/>
      </c>
      <c r="B1867"/>
      <c r="C1867" t="str">
        <f>IF($J1867="","",SUMIFS('Hours Log'!$C:$C,'Hours Log'!$A:$A,"&gt;="&amp;$J1867,'Hours Log'!$A:$A,"&lt;"&amp;$J1867+7)+SUMIFS('Hours Log'!$D:$D,'Hours Log'!$A:$A,"&gt;="&amp;$J1867,'Hours Log'!$A:$A,"&lt;"&amp;$J1867+7))</f>
        <v/>
      </c>
      <c r="D1867" t="str">
        <f>IF($J1867="","",SUMIFS('Hours Log'!$D:$D,'Hours Log'!$A:$A,"&gt;="&amp;$J1867,'Hours Log'!$A:$A,"&lt;"&amp;$J1867+7))</f>
        <v/>
      </c>
      <c r="E1867" t="str">
        <f t="shared" si="58"/>
        <v/>
      </c>
      <c r="F1867" t="str">
        <f t="shared" si="59"/>
        <v/>
      </c>
      <c r="G1867" t="str">
        <f>IF($J1867="","",SUMIFS('Hours Log'!$E:$E,'Hours Log'!$A:$A,"&gt;="&amp;$J1867,'Hours Log'!$A:$A,"&lt;"&amp;$J1867+7))</f>
        <v/>
      </c>
      <c r="J1867" t="str">
        <f>IF(COUNT('Hours Log'!$A$4:$A$5000)=0,"",IF(MIN('Hours Log'!$A$4:$A$5000)+7*(ROW()-10)&gt;MAX('Hours Log'!$A$4:$A$5000),"",MIN('Hours Log'!$A$4:$A$5000)+7*(ROW()-10)))</f>
        <v/>
      </c>
    </row>
    <row r="1868" spans="1:10" x14ac:dyDescent="0.25">
      <c r="A1868" t="str">
        <f>IF($J1868="","",YEAR($J1868-WEEKDAY($J1868,2)+4)&amp;"-W"&amp;TEXT(_xludf.ISOWEEKNUM($J1868),"00"))</f>
        <v/>
      </c>
      <c r="B1868"/>
      <c r="C1868" t="str">
        <f>IF($J1868="","",SUMIFS('Hours Log'!$C:$C,'Hours Log'!$A:$A,"&gt;="&amp;$J1868,'Hours Log'!$A:$A,"&lt;"&amp;$J1868+7)+SUMIFS('Hours Log'!$D:$D,'Hours Log'!$A:$A,"&gt;="&amp;$J1868,'Hours Log'!$A:$A,"&lt;"&amp;$J1868+7))</f>
        <v/>
      </c>
      <c r="D1868" t="str">
        <f>IF($J1868="","",SUMIFS('Hours Log'!$D:$D,'Hours Log'!$A:$A,"&gt;="&amp;$J1868,'Hours Log'!$A:$A,"&lt;"&amp;$J1868+7))</f>
        <v/>
      </c>
      <c r="E1868" t="str">
        <f t="shared" si="58"/>
        <v/>
      </c>
      <c r="F1868" t="str">
        <f t="shared" si="59"/>
        <v/>
      </c>
      <c r="G1868" t="str">
        <f>IF($J1868="","",SUMIFS('Hours Log'!$E:$E,'Hours Log'!$A:$A,"&gt;="&amp;$J1868,'Hours Log'!$A:$A,"&lt;"&amp;$J1868+7))</f>
        <v/>
      </c>
      <c r="J1868" t="str">
        <f>IF(COUNT('Hours Log'!$A$4:$A$5000)=0,"",IF(MIN('Hours Log'!$A$4:$A$5000)+7*(ROW()-10)&gt;MAX('Hours Log'!$A$4:$A$5000),"",MIN('Hours Log'!$A$4:$A$5000)+7*(ROW()-10)))</f>
        <v/>
      </c>
    </row>
    <row r="1869" spans="1:10" x14ac:dyDescent="0.25">
      <c r="A1869" t="str">
        <f>IF($J1869="","",YEAR($J1869-WEEKDAY($J1869,2)+4)&amp;"-W"&amp;TEXT(_xludf.ISOWEEKNUM($J1869),"00"))</f>
        <v/>
      </c>
      <c r="B1869"/>
      <c r="C1869" t="str">
        <f>IF($J1869="","",SUMIFS('Hours Log'!$C:$C,'Hours Log'!$A:$A,"&gt;="&amp;$J1869,'Hours Log'!$A:$A,"&lt;"&amp;$J1869+7)+SUMIFS('Hours Log'!$D:$D,'Hours Log'!$A:$A,"&gt;="&amp;$J1869,'Hours Log'!$A:$A,"&lt;"&amp;$J1869+7))</f>
        <v/>
      </c>
      <c r="D1869" t="str">
        <f>IF($J1869="","",SUMIFS('Hours Log'!$D:$D,'Hours Log'!$A:$A,"&gt;="&amp;$J1869,'Hours Log'!$A:$A,"&lt;"&amp;$J1869+7))</f>
        <v/>
      </c>
      <c r="E1869" t="str">
        <f t="shared" si="58"/>
        <v/>
      </c>
      <c r="F1869" t="str">
        <f t="shared" si="59"/>
        <v/>
      </c>
      <c r="G1869" t="str">
        <f>IF($J1869="","",SUMIFS('Hours Log'!$E:$E,'Hours Log'!$A:$A,"&gt;="&amp;$J1869,'Hours Log'!$A:$A,"&lt;"&amp;$J1869+7))</f>
        <v/>
      </c>
      <c r="J1869" t="str">
        <f>IF(COUNT('Hours Log'!$A$4:$A$5000)=0,"",IF(MIN('Hours Log'!$A$4:$A$5000)+7*(ROW()-10)&gt;MAX('Hours Log'!$A$4:$A$5000),"",MIN('Hours Log'!$A$4:$A$5000)+7*(ROW()-10)))</f>
        <v/>
      </c>
    </row>
    <row r="1870" spans="1:10" x14ac:dyDescent="0.25">
      <c r="A1870" t="str">
        <f>IF($J1870="","",YEAR($J1870-WEEKDAY($J1870,2)+4)&amp;"-W"&amp;TEXT(_xludf.ISOWEEKNUM($J1870),"00"))</f>
        <v/>
      </c>
      <c r="B1870"/>
      <c r="C1870" t="str">
        <f>IF($J1870="","",SUMIFS('Hours Log'!$C:$C,'Hours Log'!$A:$A,"&gt;="&amp;$J1870,'Hours Log'!$A:$A,"&lt;"&amp;$J1870+7)+SUMIFS('Hours Log'!$D:$D,'Hours Log'!$A:$A,"&gt;="&amp;$J1870,'Hours Log'!$A:$A,"&lt;"&amp;$J1870+7))</f>
        <v/>
      </c>
      <c r="D1870" t="str">
        <f>IF($J1870="","",SUMIFS('Hours Log'!$D:$D,'Hours Log'!$A:$A,"&gt;="&amp;$J1870,'Hours Log'!$A:$A,"&lt;"&amp;$J1870+7))</f>
        <v/>
      </c>
      <c r="E1870" t="str">
        <f t="shared" si="58"/>
        <v/>
      </c>
      <c r="F1870" t="str">
        <f t="shared" si="59"/>
        <v/>
      </c>
      <c r="G1870" t="str">
        <f>IF($J1870="","",SUMIFS('Hours Log'!$E:$E,'Hours Log'!$A:$A,"&gt;="&amp;$J1870,'Hours Log'!$A:$A,"&lt;"&amp;$J1870+7))</f>
        <v/>
      </c>
      <c r="J1870" t="str">
        <f>IF(COUNT('Hours Log'!$A$4:$A$5000)=0,"",IF(MIN('Hours Log'!$A$4:$A$5000)+7*(ROW()-10)&gt;MAX('Hours Log'!$A$4:$A$5000),"",MIN('Hours Log'!$A$4:$A$5000)+7*(ROW()-10)))</f>
        <v/>
      </c>
    </row>
    <row r="1871" spans="1:10" x14ac:dyDescent="0.25">
      <c r="A1871" t="str">
        <f>IF($J1871="","",YEAR($J1871-WEEKDAY($J1871,2)+4)&amp;"-W"&amp;TEXT(_xludf.ISOWEEKNUM($J1871),"00"))</f>
        <v/>
      </c>
      <c r="B1871"/>
      <c r="C1871" t="str">
        <f>IF($J1871="","",SUMIFS('Hours Log'!$C:$C,'Hours Log'!$A:$A,"&gt;="&amp;$J1871,'Hours Log'!$A:$A,"&lt;"&amp;$J1871+7)+SUMIFS('Hours Log'!$D:$D,'Hours Log'!$A:$A,"&gt;="&amp;$J1871,'Hours Log'!$A:$A,"&lt;"&amp;$J1871+7))</f>
        <v/>
      </c>
      <c r="D1871" t="str">
        <f>IF($J1871="","",SUMIFS('Hours Log'!$D:$D,'Hours Log'!$A:$A,"&gt;="&amp;$J1871,'Hours Log'!$A:$A,"&lt;"&amp;$J1871+7))</f>
        <v/>
      </c>
      <c r="E1871" t="str">
        <f t="shared" si="58"/>
        <v/>
      </c>
      <c r="F1871" t="str">
        <f t="shared" si="59"/>
        <v/>
      </c>
      <c r="G1871" t="str">
        <f>IF($J1871="","",SUMIFS('Hours Log'!$E:$E,'Hours Log'!$A:$A,"&gt;="&amp;$J1871,'Hours Log'!$A:$A,"&lt;"&amp;$J1871+7))</f>
        <v/>
      </c>
      <c r="J1871" t="str">
        <f>IF(COUNT('Hours Log'!$A$4:$A$5000)=0,"",IF(MIN('Hours Log'!$A$4:$A$5000)+7*(ROW()-10)&gt;MAX('Hours Log'!$A$4:$A$5000),"",MIN('Hours Log'!$A$4:$A$5000)+7*(ROW()-10)))</f>
        <v/>
      </c>
    </row>
    <row r="1872" spans="1:10" x14ac:dyDescent="0.25">
      <c r="A1872" t="str">
        <f>IF($J1872="","",YEAR($J1872-WEEKDAY($J1872,2)+4)&amp;"-W"&amp;TEXT(_xludf.ISOWEEKNUM($J1872),"00"))</f>
        <v/>
      </c>
      <c r="B1872"/>
      <c r="C1872" t="str">
        <f>IF($J1872="","",SUMIFS('Hours Log'!$C:$C,'Hours Log'!$A:$A,"&gt;="&amp;$J1872,'Hours Log'!$A:$A,"&lt;"&amp;$J1872+7)+SUMIFS('Hours Log'!$D:$D,'Hours Log'!$A:$A,"&gt;="&amp;$J1872,'Hours Log'!$A:$A,"&lt;"&amp;$J1872+7))</f>
        <v/>
      </c>
      <c r="D1872" t="str">
        <f>IF($J1872="","",SUMIFS('Hours Log'!$D:$D,'Hours Log'!$A:$A,"&gt;="&amp;$J1872,'Hours Log'!$A:$A,"&lt;"&amp;$J1872+7))</f>
        <v/>
      </c>
      <c r="E1872" t="str">
        <f t="shared" si="58"/>
        <v/>
      </c>
      <c r="F1872" t="str">
        <f t="shared" si="59"/>
        <v/>
      </c>
      <c r="G1872" t="str">
        <f>IF($J1872="","",SUMIFS('Hours Log'!$E:$E,'Hours Log'!$A:$A,"&gt;="&amp;$J1872,'Hours Log'!$A:$A,"&lt;"&amp;$J1872+7))</f>
        <v/>
      </c>
      <c r="J1872" t="str">
        <f>IF(COUNT('Hours Log'!$A$4:$A$5000)=0,"",IF(MIN('Hours Log'!$A$4:$A$5000)+7*(ROW()-10)&gt;MAX('Hours Log'!$A$4:$A$5000),"",MIN('Hours Log'!$A$4:$A$5000)+7*(ROW()-10)))</f>
        <v/>
      </c>
    </row>
    <row r="1873" spans="1:10" x14ac:dyDescent="0.25">
      <c r="A1873" t="str">
        <f>IF($J1873="","",YEAR($J1873-WEEKDAY($J1873,2)+4)&amp;"-W"&amp;TEXT(_xludf.ISOWEEKNUM($J1873),"00"))</f>
        <v/>
      </c>
      <c r="B1873"/>
      <c r="C1873" t="str">
        <f>IF($J1873="","",SUMIFS('Hours Log'!$C:$C,'Hours Log'!$A:$A,"&gt;="&amp;$J1873,'Hours Log'!$A:$A,"&lt;"&amp;$J1873+7)+SUMIFS('Hours Log'!$D:$D,'Hours Log'!$A:$A,"&gt;="&amp;$J1873,'Hours Log'!$A:$A,"&lt;"&amp;$J1873+7))</f>
        <v/>
      </c>
      <c r="D1873" t="str">
        <f>IF($J1873="","",SUMIFS('Hours Log'!$D:$D,'Hours Log'!$A:$A,"&gt;="&amp;$J1873,'Hours Log'!$A:$A,"&lt;"&amp;$J1873+7))</f>
        <v/>
      </c>
      <c r="E1873" t="str">
        <f t="shared" si="58"/>
        <v/>
      </c>
      <c r="F1873" t="str">
        <f t="shared" si="59"/>
        <v/>
      </c>
      <c r="G1873" t="str">
        <f>IF($J1873="","",SUMIFS('Hours Log'!$E:$E,'Hours Log'!$A:$A,"&gt;="&amp;$J1873,'Hours Log'!$A:$A,"&lt;"&amp;$J1873+7))</f>
        <v/>
      </c>
      <c r="J1873" t="str">
        <f>IF(COUNT('Hours Log'!$A$4:$A$5000)=0,"",IF(MIN('Hours Log'!$A$4:$A$5000)+7*(ROW()-10)&gt;MAX('Hours Log'!$A$4:$A$5000),"",MIN('Hours Log'!$A$4:$A$5000)+7*(ROW()-10)))</f>
        <v/>
      </c>
    </row>
    <row r="1874" spans="1:10" x14ac:dyDescent="0.25">
      <c r="A1874" t="str">
        <f>IF($J1874="","",YEAR($J1874-WEEKDAY($J1874,2)+4)&amp;"-W"&amp;TEXT(_xludf.ISOWEEKNUM($J1874),"00"))</f>
        <v/>
      </c>
      <c r="B1874"/>
      <c r="C1874" t="str">
        <f>IF($J1874="","",SUMIFS('Hours Log'!$C:$C,'Hours Log'!$A:$A,"&gt;="&amp;$J1874,'Hours Log'!$A:$A,"&lt;"&amp;$J1874+7)+SUMIFS('Hours Log'!$D:$D,'Hours Log'!$A:$A,"&gt;="&amp;$J1874,'Hours Log'!$A:$A,"&lt;"&amp;$J1874+7))</f>
        <v/>
      </c>
      <c r="D1874" t="str">
        <f>IF($J1874="","",SUMIFS('Hours Log'!$D:$D,'Hours Log'!$A:$A,"&gt;="&amp;$J1874,'Hours Log'!$A:$A,"&lt;"&amp;$J1874+7))</f>
        <v/>
      </c>
      <c r="E1874" t="str">
        <f t="shared" si="58"/>
        <v/>
      </c>
      <c r="F1874" t="str">
        <f t="shared" si="59"/>
        <v/>
      </c>
      <c r="G1874" t="str">
        <f>IF($J1874="","",SUMIFS('Hours Log'!$E:$E,'Hours Log'!$A:$A,"&gt;="&amp;$J1874,'Hours Log'!$A:$A,"&lt;"&amp;$J1874+7))</f>
        <v/>
      </c>
      <c r="J1874" t="str">
        <f>IF(COUNT('Hours Log'!$A$4:$A$5000)=0,"",IF(MIN('Hours Log'!$A$4:$A$5000)+7*(ROW()-10)&gt;MAX('Hours Log'!$A$4:$A$5000),"",MIN('Hours Log'!$A$4:$A$5000)+7*(ROW()-10)))</f>
        <v/>
      </c>
    </row>
    <row r="1875" spans="1:10" x14ac:dyDescent="0.25">
      <c r="A1875" t="str">
        <f>IF($J1875="","",YEAR($J1875-WEEKDAY($J1875,2)+4)&amp;"-W"&amp;TEXT(_xludf.ISOWEEKNUM($J1875),"00"))</f>
        <v/>
      </c>
      <c r="B1875"/>
      <c r="C1875" t="str">
        <f>IF($J1875="","",SUMIFS('Hours Log'!$C:$C,'Hours Log'!$A:$A,"&gt;="&amp;$J1875,'Hours Log'!$A:$A,"&lt;"&amp;$J1875+7)+SUMIFS('Hours Log'!$D:$D,'Hours Log'!$A:$A,"&gt;="&amp;$J1875,'Hours Log'!$A:$A,"&lt;"&amp;$J1875+7))</f>
        <v/>
      </c>
      <c r="D1875" t="str">
        <f>IF($J1875="","",SUMIFS('Hours Log'!$D:$D,'Hours Log'!$A:$A,"&gt;="&amp;$J1875,'Hours Log'!$A:$A,"&lt;"&amp;$J1875+7))</f>
        <v/>
      </c>
      <c r="E1875" t="str">
        <f t="shared" si="58"/>
        <v/>
      </c>
      <c r="F1875" t="str">
        <f t="shared" si="59"/>
        <v/>
      </c>
      <c r="G1875" t="str">
        <f>IF($J1875="","",SUMIFS('Hours Log'!$E:$E,'Hours Log'!$A:$A,"&gt;="&amp;$J1875,'Hours Log'!$A:$A,"&lt;"&amp;$J1875+7))</f>
        <v/>
      </c>
      <c r="J1875" t="str">
        <f>IF(COUNT('Hours Log'!$A$4:$A$5000)=0,"",IF(MIN('Hours Log'!$A$4:$A$5000)+7*(ROW()-10)&gt;MAX('Hours Log'!$A$4:$A$5000),"",MIN('Hours Log'!$A$4:$A$5000)+7*(ROW()-10)))</f>
        <v/>
      </c>
    </row>
    <row r="1876" spans="1:10" x14ac:dyDescent="0.25">
      <c r="A1876" t="str">
        <f>IF($J1876="","",YEAR($J1876-WEEKDAY($J1876,2)+4)&amp;"-W"&amp;TEXT(_xludf.ISOWEEKNUM($J1876),"00"))</f>
        <v/>
      </c>
      <c r="B1876"/>
      <c r="C1876" t="str">
        <f>IF($J1876="","",SUMIFS('Hours Log'!$C:$C,'Hours Log'!$A:$A,"&gt;="&amp;$J1876,'Hours Log'!$A:$A,"&lt;"&amp;$J1876+7)+SUMIFS('Hours Log'!$D:$D,'Hours Log'!$A:$A,"&gt;="&amp;$J1876,'Hours Log'!$A:$A,"&lt;"&amp;$J1876+7))</f>
        <v/>
      </c>
      <c r="D1876" t="str">
        <f>IF($J1876="","",SUMIFS('Hours Log'!$D:$D,'Hours Log'!$A:$A,"&gt;="&amp;$J1876,'Hours Log'!$A:$A,"&lt;"&amp;$J1876+7))</f>
        <v/>
      </c>
      <c r="E1876" t="str">
        <f t="shared" si="58"/>
        <v/>
      </c>
      <c r="F1876" t="str">
        <f t="shared" si="59"/>
        <v/>
      </c>
      <c r="G1876" t="str">
        <f>IF($J1876="","",SUMIFS('Hours Log'!$E:$E,'Hours Log'!$A:$A,"&gt;="&amp;$J1876,'Hours Log'!$A:$A,"&lt;"&amp;$J1876+7))</f>
        <v/>
      </c>
      <c r="J1876" t="str">
        <f>IF(COUNT('Hours Log'!$A$4:$A$5000)=0,"",IF(MIN('Hours Log'!$A$4:$A$5000)+7*(ROW()-10)&gt;MAX('Hours Log'!$A$4:$A$5000),"",MIN('Hours Log'!$A$4:$A$5000)+7*(ROW()-10)))</f>
        <v/>
      </c>
    </row>
    <row r="1877" spans="1:10" x14ac:dyDescent="0.25">
      <c r="A1877" t="str">
        <f>IF($J1877="","",YEAR($J1877-WEEKDAY($J1877,2)+4)&amp;"-W"&amp;TEXT(_xludf.ISOWEEKNUM($J1877),"00"))</f>
        <v/>
      </c>
      <c r="B1877"/>
      <c r="C1877" t="str">
        <f>IF($J1877="","",SUMIFS('Hours Log'!$C:$C,'Hours Log'!$A:$A,"&gt;="&amp;$J1877,'Hours Log'!$A:$A,"&lt;"&amp;$J1877+7)+SUMIFS('Hours Log'!$D:$D,'Hours Log'!$A:$A,"&gt;="&amp;$J1877,'Hours Log'!$A:$A,"&lt;"&amp;$J1877+7))</f>
        <v/>
      </c>
      <c r="D1877" t="str">
        <f>IF($J1877="","",SUMIFS('Hours Log'!$D:$D,'Hours Log'!$A:$A,"&gt;="&amp;$J1877,'Hours Log'!$A:$A,"&lt;"&amp;$J1877+7))</f>
        <v/>
      </c>
      <c r="E1877" t="str">
        <f t="shared" si="58"/>
        <v/>
      </c>
      <c r="F1877" t="str">
        <f t="shared" si="59"/>
        <v/>
      </c>
      <c r="G1877" t="str">
        <f>IF($J1877="","",SUMIFS('Hours Log'!$E:$E,'Hours Log'!$A:$A,"&gt;="&amp;$J1877,'Hours Log'!$A:$A,"&lt;"&amp;$J1877+7))</f>
        <v/>
      </c>
      <c r="J1877" t="str">
        <f>IF(COUNT('Hours Log'!$A$4:$A$5000)=0,"",IF(MIN('Hours Log'!$A$4:$A$5000)+7*(ROW()-10)&gt;MAX('Hours Log'!$A$4:$A$5000),"",MIN('Hours Log'!$A$4:$A$5000)+7*(ROW()-10)))</f>
        <v/>
      </c>
    </row>
    <row r="1878" spans="1:10" x14ac:dyDescent="0.25">
      <c r="A1878" t="str">
        <f>IF($J1878="","",YEAR($J1878-WEEKDAY($J1878,2)+4)&amp;"-W"&amp;TEXT(_xludf.ISOWEEKNUM($J1878),"00"))</f>
        <v/>
      </c>
      <c r="B1878"/>
      <c r="C1878" t="str">
        <f>IF($J1878="","",SUMIFS('Hours Log'!$C:$C,'Hours Log'!$A:$A,"&gt;="&amp;$J1878,'Hours Log'!$A:$A,"&lt;"&amp;$J1878+7)+SUMIFS('Hours Log'!$D:$D,'Hours Log'!$A:$A,"&gt;="&amp;$J1878,'Hours Log'!$A:$A,"&lt;"&amp;$J1878+7))</f>
        <v/>
      </c>
      <c r="D1878" t="str">
        <f>IF($J1878="","",SUMIFS('Hours Log'!$D:$D,'Hours Log'!$A:$A,"&gt;="&amp;$J1878,'Hours Log'!$A:$A,"&lt;"&amp;$J1878+7))</f>
        <v/>
      </c>
      <c r="E1878" t="str">
        <f t="shared" si="58"/>
        <v/>
      </c>
      <c r="F1878" t="str">
        <f t="shared" si="59"/>
        <v/>
      </c>
      <c r="G1878" t="str">
        <f>IF($J1878="","",SUMIFS('Hours Log'!$E:$E,'Hours Log'!$A:$A,"&gt;="&amp;$J1878,'Hours Log'!$A:$A,"&lt;"&amp;$J1878+7))</f>
        <v/>
      </c>
      <c r="J1878" t="str">
        <f>IF(COUNT('Hours Log'!$A$4:$A$5000)=0,"",IF(MIN('Hours Log'!$A$4:$A$5000)+7*(ROW()-10)&gt;MAX('Hours Log'!$A$4:$A$5000),"",MIN('Hours Log'!$A$4:$A$5000)+7*(ROW()-10)))</f>
        <v/>
      </c>
    </row>
    <row r="1879" spans="1:10" x14ac:dyDescent="0.25">
      <c r="A1879" t="str">
        <f>IF($J1879="","",YEAR($J1879-WEEKDAY($J1879,2)+4)&amp;"-W"&amp;TEXT(_xludf.ISOWEEKNUM($J1879),"00"))</f>
        <v/>
      </c>
      <c r="B1879"/>
      <c r="C1879" t="str">
        <f>IF($J1879="","",SUMIFS('Hours Log'!$C:$C,'Hours Log'!$A:$A,"&gt;="&amp;$J1879,'Hours Log'!$A:$A,"&lt;"&amp;$J1879+7)+SUMIFS('Hours Log'!$D:$D,'Hours Log'!$A:$A,"&gt;="&amp;$J1879,'Hours Log'!$A:$A,"&lt;"&amp;$J1879+7))</f>
        <v/>
      </c>
      <c r="D1879" t="str">
        <f>IF($J1879="","",SUMIFS('Hours Log'!$D:$D,'Hours Log'!$A:$A,"&gt;="&amp;$J1879,'Hours Log'!$A:$A,"&lt;"&amp;$J1879+7))</f>
        <v/>
      </c>
      <c r="E1879" t="str">
        <f t="shared" si="58"/>
        <v/>
      </c>
      <c r="F1879" t="str">
        <f t="shared" si="59"/>
        <v/>
      </c>
      <c r="G1879" t="str">
        <f>IF($J1879="","",SUMIFS('Hours Log'!$E:$E,'Hours Log'!$A:$A,"&gt;="&amp;$J1879,'Hours Log'!$A:$A,"&lt;"&amp;$J1879+7))</f>
        <v/>
      </c>
      <c r="J1879" t="str">
        <f>IF(COUNT('Hours Log'!$A$4:$A$5000)=0,"",IF(MIN('Hours Log'!$A$4:$A$5000)+7*(ROW()-10)&gt;MAX('Hours Log'!$A$4:$A$5000),"",MIN('Hours Log'!$A$4:$A$5000)+7*(ROW()-10)))</f>
        <v/>
      </c>
    </row>
    <row r="1880" spans="1:10" x14ac:dyDescent="0.25">
      <c r="A1880" t="str">
        <f>IF($J1880="","",YEAR($J1880-WEEKDAY($J1880,2)+4)&amp;"-W"&amp;TEXT(_xludf.ISOWEEKNUM($J1880),"00"))</f>
        <v/>
      </c>
      <c r="B1880"/>
      <c r="C1880" t="str">
        <f>IF($J1880="","",SUMIFS('Hours Log'!$C:$C,'Hours Log'!$A:$A,"&gt;="&amp;$J1880,'Hours Log'!$A:$A,"&lt;"&amp;$J1880+7)+SUMIFS('Hours Log'!$D:$D,'Hours Log'!$A:$A,"&gt;="&amp;$J1880,'Hours Log'!$A:$A,"&lt;"&amp;$J1880+7))</f>
        <v/>
      </c>
      <c r="D1880" t="str">
        <f>IF($J1880="","",SUMIFS('Hours Log'!$D:$D,'Hours Log'!$A:$A,"&gt;="&amp;$J1880,'Hours Log'!$A:$A,"&lt;"&amp;$J1880+7))</f>
        <v/>
      </c>
      <c r="E1880" t="str">
        <f t="shared" si="58"/>
        <v/>
      </c>
      <c r="F1880" t="str">
        <f t="shared" si="59"/>
        <v/>
      </c>
      <c r="G1880" t="str">
        <f>IF($J1880="","",SUMIFS('Hours Log'!$E:$E,'Hours Log'!$A:$A,"&gt;="&amp;$J1880,'Hours Log'!$A:$A,"&lt;"&amp;$J1880+7))</f>
        <v/>
      </c>
      <c r="J1880" t="str">
        <f>IF(COUNT('Hours Log'!$A$4:$A$5000)=0,"",IF(MIN('Hours Log'!$A$4:$A$5000)+7*(ROW()-10)&gt;MAX('Hours Log'!$A$4:$A$5000),"",MIN('Hours Log'!$A$4:$A$5000)+7*(ROW()-10)))</f>
        <v/>
      </c>
    </row>
    <row r="1881" spans="1:10" x14ac:dyDescent="0.25">
      <c r="A1881" t="str">
        <f>IF($J1881="","",YEAR($J1881-WEEKDAY($J1881,2)+4)&amp;"-W"&amp;TEXT(_xludf.ISOWEEKNUM($J1881),"00"))</f>
        <v/>
      </c>
      <c r="B1881"/>
      <c r="C1881" t="str">
        <f>IF($J1881="","",SUMIFS('Hours Log'!$C:$C,'Hours Log'!$A:$A,"&gt;="&amp;$J1881,'Hours Log'!$A:$A,"&lt;"&amp;$J1881+7)+SUMIFS('Hours Log'!$D:$D,'Hours Log'!$A:$A,"&gt;="&amp;$J1881,'Hours Log'!$A:$A,"&lt;"&amp;$J1881+7))</f>
        <v/>
      </c>
      <c r="D1881" t="str">
        <f>IF($J1881="","",SUMIFS('Hours Log'!$D:$D,'Hours Log'!$A:$A,"&gt;="&amp;$J1881,'Hours Log'!$A:$A,"&lt;"&amp;$J1881+7))</f>
        <v/>
      </c>
      <c r="E1881" t="str">
        <f t="shared" si="58"/>
        <v/>
      </c>
      <c r="F1881" t="str">
        <f t="shared" si="59"/>
        <v/>
      </c>
      <c r="G1881" t="str">
        <f>IF($J1881="","",SUMIFS('Hours Log'!$E:$E,'Hours Log'!$A:$A,"&gt;="&amp;$J1881,'Hours Log'!$A:$A,"&lt;"&amp;$J1881+7))</f>
        <v/>
      </c>
      <c r="J1881" t="str">
        <f>IF(COUNT('Hours Log'!$A$4:$A$5000)=0,"",IF(MIN('Hours Log'!$A$4:$A$5000)+7*(ROW()-10)&gt;MAX('Hours Log'!$A$4:$A$5000),"",MIN('Hours Log'!$A$4:$A$5000)+7*(ROW()-10)))</f>
        <v/>
      </c>
    </row>
    <row r="1882" spans="1:10" x14ac:dyDescent="0.25">
      <c r="A1882" t="str">
        <f>IF($J1882="","",YEAR($J1882-WEEKDAY($J1882,2)+4)&amp;"-W"&amp;TEXT(_xludf.ISOWEEKNUM($J1882),"00"))</f>
        <v/>
      </c>
      <c r="B1882"/>
      <c r="C1882" t="str">
        <f>IF($J1882="","",SUMIFS('Hours Log'!$C:$C,'Hours Log'!$A:$A,"&gt;="&amp;$J1882,'Hours Log'!$A:$A,"&lt;"&amp;$J1882+7)+SUMIFS('Hours Log'!$D:$D,'Hours Log'!$A:$A,"&gt;="&amp;$J1882,'Hours Log'!$A:$A,"&lt;"&amp;$J1882+7))</f>
        <v/>
      </c>
      <c r="D1882" t="str">
        <f>IF($J1882="","",SUMIFS('Hours Log'!$D:$D,'Hours Log'!$A:$A,"&gt;="&amp;$J1882,'Hours Log'!$A:$A,"&lt;"&amp;$J1882+7))</f>
        <v/>
      </c>
      <c r="E1882" t="str">
        <f t="shared" si="58"/>
        <v/>
      </c>
      <c r="F1882" t="str">
        <f t="shared" si="59"/>
        <v/>
      </c>
      <c r="G1882" t="str">
        <f>IF($J1882="","",SUMIFS('Hours Log'!$E:$E,'Hours Log'!$A:$A,"&gt;="&amp;$J1882,'Hours Log'!$A:$A,"&lt;"&amp;$J1882+7))</f>
        <v/>
      </c>
      <c r="J1882" t="str">
        <f>IF(COUNT('Hours Log'!$A$4:$A$5000)=0,"",IF(MIN('Hours Log'!$A$4:$A$5000)+7*(ROW()-10)&gt;MAX('Hours Log'!$A$4:$A$5000),"",MIN('Hours Log'!$A$4:$A$5000)+7*(ROW()-10)))</f>
        <v/>
      </c>
    </row>
    <row r="1883" spans="1:10" x14ac:dyDescent="0.25">
      <c r="A1883" t="str">
        <f>IF($J1883="","",YEAR($J1883-WEEKDAY($J1883,2)+4)&amp;"-W"&amp;TEXT(_xludf.ISOWEEKNUM($J1883),"00"))</f>
        <v/>
      </c>
      <c r="B1883"/>
      <c r="C1883" t="str">
        <f>IF($J1883="","",SUMIFS('Hours Log'!$C:$C,'Hours Log'!$A:$A,"&gt;="&amp;$J1883,'Hours Log'!$A:$A,"&lt;"&amp;$J1883+7)+SUMIFS('Hours Log'!$D:$D,'Hours Log'!$A:$A,"&gt;="&amp;$J1883,'Hours Log'!$A:$A,"&lt;"&amp;$J1883+7))</f>
        <v/>
      </c>
      <c r="D1883" t="str">
        <f>IF($J1883="","",SUMIFS('Hours Log'!$D:$D,'Hours Log'!$A:$A,"&gt;="&amp;$J1883,'Hours Log'!$A:$A,"&lt;"&amp;$J1883+7))</f>
        <v/>
      </c>
      <c r="E1883" t="str">
        <f t="shared" si="58"/>
        <v/>
      </c>
      <c r="F1883" t="str">
        <f t="shared" si="59"/>
        <v/>
      </c>
      <c r="G1883" t="str">
        <f>IF($J1883="","",SUMIFS('Hours Log'!$E:$E,'Hours Log'!$A:$A,"&gt;="&amp;$J1883,'Hours Log'!$A:$A,"&lt;"&amp;$J1883+7))</f>
        <v/>
      </c>
      <c r="J1883" t="str">
        <f>IF(COUNT('Hours Log'!$A$4:$A$5000)=0,"",IF(MIN('Hours Log'!$A$4:$A$5000)+7*(ROW()-10)&gt;MAX('Hours Log'!$A$4:$A$5000),"",MIN('Hours Log'!$A$4:$A$5000)+7*(ROW()-10)))</f>
        <v/>
      </c>
    </row>
    <row r="1884" spans="1:10" x14ac:dyDescent="0.25">
      <c r="A1884" t="str">
        <f>IF($J1884="","",YEAR($J1884-WEEKDAY($J1884,2)+4)&amp;"-W"&amp;TEXT(_xludf.ISOWEEKNUM($J1884),"00"))</f>
        <v/>
      </c>
      <c r="B1884"/>
      <c r="C1884" t="str">
        <f>IF($J1884="","",SUMIFS('Hours Log'!$C:$C,'Hours Log'!$A:$A,"&gt;="&amp;$J1884,'Hours Log'!$A:$A,"&lt;"&amp;$J1884+7)+SUMIFS('Hours Log'!$D:$D,'Hours Log'!$A:$A,"&gt;="&amp;$J1884,'Hours Log'!$A:$A,"&lt;"&amp;$J1884+7))</f>
        <v/>
      </c>
      <c r="D1884" t="str">
        <f>IF($J1884="","",SUMIFS('Hours Log'!$D:$D,'Hours Log'!$A:$A,"&gt;="&amp;$J1884,'Hours Log'!$A:$A,"&lt;"&amp;$J1884+7))</f>
        <v/>
      </c>
      <c r="E1884" t="str">
        <f t="shared" si="58"/>
        <v/>
      </c>
      <c r="F1884" t="str">
        <f t="shared" si="59"/>
        <v/>
      </c>
      <c r="G1884" t="str">
        <f>IF($J1884="","",SUMIFS('Hours Log'!$E:$E,'Hours Log'!$A:$A,"&gt;="&amp;$J1884,'Hours Log'!$A:$A,"&lt;"&amp;$J1884+7))</f>
        <v/>
      </c>
      <c r="J1884" t="str">
        <f>IF(COUNT('Hours Log'!$A$4:$A$5000)=0,"",IF(MIN('Hours Log'!$A$4:$A$5000)+7*(ROW()-10)&gt;MAX('Hours Log'!$A$4:$A$5000),"",MIN('Hours Log'!$A$4:$A$5000)+7*(ROW()-10)))</f>
        <v/>
      </c>
    </row>
    <row r="1885" spans="1:10" x14ac:dyDescent="0.25">
      <c r="A1885" t="str">
        <f>IF($J1885="","",YEAR($J1885-WEEKDAY($J1885,2)+4)&amp;"-W"&amp;TEXT(_xludf.ISOWEEKNUM($J1885),"00"))</f>
        <v/>
      </c>
      <c r="B1885"/>
      <c r="C1885" t="str">
        <f>IF($J1885="","",SUMIFS('Hours Log'!$C:$C,'Hours Log'!$A:$A,"&gt;="&amp;$J1885,'Hours Log'!$A:$A,"&lt;"&amp;$J1885+7)+SUMIFS('Hours Log'!$D:$D,'Hours Log'!$A:$A,"&gt;="&amp;$J1885,'Hours Log'!$A:$A,"&lt;"&amp;$J1885+7))</f>
        <v/>
      </c>
      <c r="D1885" t="str">
        <f>IF($J1885="","",SUMIFS('Hours Log'!$D:$D,'Hours Log'!$A:$A,"&gt;="&amp;$J1885,'Hours Log'!$A:$A,"&lt;"&amp;$J1885+7))</f>
        <v/>
      </c>
      <c r="E1885" t="str">
        <f t="shared" si="58"/>
        <v/>
      </c>
      <c r="F1885" t="str">
        <f t="shared" si="59"/>
        <v/>
      </c>
      <c r="G1885" t="str">
        <f>IF($J1885="","",SUMIFS('Hours Log'!$E:$E,'Hours Log'!$A:$A,"&gt;="&amp;$J1885,'Hours Log'!$A:$A,"&lt;"&amp;$J1885+7))</f>
        <v/>
      </c>
      <c r="J1885" t="str">
        <f>IF(COUNT('Hours Log'!$A$4:$A$5000)=0,"",IF(MIN('Hours Log'!$A$4:$A$5000)+7*(ROW()-10)&gt;MAX('Hours Log'!$A$4:$A$5000),"",MIN('Hours Log'!$A$4:$A$5000)+7*(ROW()-10)))</f>
        <v/>
      </c>
    </row>
    <row r="1886" spans="1:10" x14ac:dyDescent="0.25">
      <c r="A1886" t="str">
        <f>IF($J1886="","",YEAR($J1886-WEEKDAY($J1886,2)+4)&amp;"-W"&amp;TEXT(_xludf.ISOWEEKNUM($J1886),"00"))</f>
        <v/>
      </c>
      <c r="B1886"/>
      <c r="C1886" t="str">
        <f>IF($J1886="","",SUMIFS('Hours Log'!$C:$C,'Hours Log'!$A:$A,"&gt;="&amp;$J1886,'Hours Log'!$A:$A,"&lt;"&amp;$J1886+7)+SUMIFS('Hours Log'!$D:$D,'Hours Log'!$A:$A,"&gt;="&amp;$J1886,'Hours Log'!$A:$A,"&lt;"&amp;$J1886+7))</f>
        <v/>
      </c>
      <c r="D1886" t="str">
        <f>IF($J1886="","",SUMIFS('Hours Log'!$D:$D,'Hours Log'!$A:$A,"&gt;="&amp;$J1886,'Hours Log'!$A:$A,"&lt;"&amp;$J1886+7))</f>
        <v/>
      </c>
      <c r="E1886" t="str">
        <f t="shared" si="58"/>
        <v/>
      </c>
      <c r="F1886" t="str">
        <f t="shared" si="59"/>
        <v/>
      </c>
      <c r="G1886" t="str">
        <f>IF($J1886="","",SUMIFS('Hours Log'!$E:$E,'Hours Log'!$A:$A,"&gt;="&amp;$J1886,'Hours Log'!$A:$A,"&lt;"&amp;$J1886+7))</f>
        <v/>
      </c>
      <c r="J1886" t="str">
        <f>IF(COUNT('Hours Log'!$A$4:$A$5000)=0,"",IF(MIN('Hours Log'!$A$4:$A$5000)+7*(ROW()-10)&gt;MAX('Hours Log'!$A$4:$A$5000),"",MIN('Hours Log'!$A$4:$A$5000)+7*(ROW()-10)))</f>
        <v/>
      </c>
    </row>
    <row r="1887" spans="1:10" x14ac:dyDescent="0.25">
      <c r="A1887" t="str">
        <f>IF($J1887="","",YEAR($J1887-WEEKDAY($J1887,2)+4)&amp;"-W"&amp;TEXT(_xludf.ISOWEEKNUM($J1887),"00"))</f>
        <v/>
      </c>
      <c r="B1887"/>
      <c r="C1887" t="str">
        <f>IF($J1887="","",SUMIFS('Hours Log'!$C:$C,'Hours Log'!$A:$A,"&gt;="&amp;$J1887,'Hours Log'!$A:$A,"&lt;"&amp;$J1887+7)+SUMIFS('Hours Log'!$D:$D,'Hours Log'!$A:$A,"&gt;="&amp;$J1887,'Hours Log'!$A:$A,"&lt;"&amp;$J1887+7))</f>
        <v/>
      </c>
      <c r="D1887" t="str">
        <f>IF($J1887="","",SUMIFS('Hours Log'!$D:$D,'Hours Log'!$A:$A,"&gt;="&amp;$J1887,'Hours Log'!$A:$A,"&lt;"&amp;$J1887+7))</f>
        <v/>
      </c>
      <c r="E1887" t="str">
        <f t="shared" si="58"/>
        <v/>
      </c>
      <c r="F1887" t="str">
        <f t="shared" si="59"/>
        <v/>
      </c>
      <c r="G1887" t="str">
        <f>IF($J1887="","",SUMIFS('Hours Log'!$E:$E,'Hours Log'!$A:$A,"&gt;="&amp;$J1887,'Hours Log'!$A:$A,"&lt;"&amp;$J1887+7))</f>
        <v/>
      </c>
      <c r="J1887" t="str">
        <f>IF(COUNT('Hours Log'!$A$4:$A$5000)=0,"",IF(MIN('Hours Log'!$A$4:$A$5000)+7*(ROW()-10)&gt;MAX('Hours Log'!$A$4:$A$5000),"",MIN('Hours Log'!$A$4:$A$5000)+7*(ROW()-10)))</f>
        <v/>
      </c>
    </row>
    <row r="1888" spans="1:10" x14ac:dyDescent="0.25">
      <c r="A1888" t="str">
        <f>IF($J1888="","",YEAR($J1888-WEEKDAY($J1888,2)+4)&amp;"-W"&amp;TEXT(_xludf.ISOWEEKNUM($J1888),"00"))</f>
        <v/>
      </c>
      <c r="B1888"/>
      <c r="C1888" t="str">
        <f>IF($J1888="","",SUMIFS('Hours Log'!$C:$C,'Hours Log'!$A:$A,"&gt;="&amp;$J1888,'Hours Log'!$A:$A,"&lt;"&amp;$J1888+7)+SUMIFS('Hours Log'!$D:$D,'Hours Log'!$A:$A,"&gt;="&amp;$J1888,'Hours Log'!$A:$A,"&lt;"&amp;$J1888+7))</f>
        <v/>
      </c>
      <c r="D1888" t="str">
        <f>IF($J1888="","",SUMIFS('Hours Log'!$D:$D,'Hours Log'!$A:$A,"&gt;="&amp;$J1888,'Hours Log'!$A:$A,"&lt;"&amp;$J1888+7))</f>
        <v/>
      </c>
      <c r="E1888" t="str">
        <f t="shared" si="58"/>
        <v/>
      </c>
      <c r="F1888" t="str">
        <f t="shared" si="59"/>
        <v/>
      </c>
      <c r="G1888" t="str">
        <f>IF($J1888="","",SUMIFS('Hours Log'!$E:$E,'Hours Log'!$A:$A,"&gt;="&amp;$J1888,'Hours Log'!$A:$A,"&lt;"&amp;$J1888+7))</f>
        <v/>
      </c>
      <c r="J1888" t="str">
        <f>IF(COUNT('Hours Log'!$A$4:$A$5000)=0,"",IF(MIN('Hours Log'!$A$4:$A$5000)+7*(ROW()-10)&gt;MAX('Hours Log'!$A$4:$A$5000),"",MIN('Hours Log'!$A$4:$A$5000)+7*(ROW()-10)))</f>
        <v/>
      </c>
    </row>
    <row r="1889" spans="1:10" x14ac:dyDescent="0.25">
      <c r="A1889" t="str">
        <f>IF($J1889="","",YEAR($J1889-WEEKDAY($J1889,2)+4)&amp;"-W"&amp;TEXT(_xludf.ISOWEEKNUM($J1889),"00"))</f>
        <v/>
      </c>
      <c r="B1889"/>
      <c r="C1889" t="str">
        <f>IF($J1889="","",SUMIFS('Hours Log'!$C:$C,'Hours Log'!$A:$A,"&gt;="&amp;$J1889,'Hours Log'!$A:$A,"&lt;"&amp;$J1889+7)+SUMIFS('Hours Log'!$D:$D,'Hours Log'!$A:$A,"&gt;="&amp;$J1889,'Hours Log'!$A:$A,"&lt;"&amp;$J1889+7))</f>
        <v/>
      </c>
      <c r="D1889" t="str">
        <f>IF($J1889="","",SUMIFS('Hours Log'!$D:$D,'Hours Log'!$A:$A,"&gt;="&amp;$J1889,'Hours Log'!$A:$A,"&lt;"&amp;$J1889+7))</f>
        <v/>
      </c>
      <c r="E1889" t="str">
        <f t="shared" si="58"/>
        <v/>
      </c>
      <c r="F1889" t="str">
        <f t="shared" si="59"/>
        <v/>
      </c>
      <c r="G1889" t="str">
        <f>IF($J1889="","",SUMIFS('Hours Log'!$E:$E,'Hours Log'!$A:$A,"&gt;="&amp;$J1889,'Hours Log'!$A:$A,"&lt;"&amp;$J1889+7))</f>
        <v/>
      </c>
      <c r="J1889" t="str">
        <f>IF(COUNT('Hours Log'!$A$4:$A$5000)=0,"",IF(MIN('Hours Log'!$A$4:$A$5000)+7*(ROW()-10)&gt;MAX('Hours Log'!$A$4:$A$5000),"",MIN('Hours Log'!$A$4:$A$5000)+7*(ROW()-10)))</f>
        <v/>
      </c>
    </row>
    <row r="1890" spans="1:10" x14ac:dyDescent="0.25">
      <c r="A1890" t="str">
        <f>IF($J1890="","",YEAR($J1890-WEEKDAY($J1890,2)+4)&amp;"-W"&amp;TEXT(_xludf.ISOWEEKNUM($J1890),"00"))</f>
        <v/>
      </c>
      <c r="B1890"/>
      <c r="C1890" t="str">
        <f>IF($J1890="","",SUMIFS('Hours Log'!$C:$C,'Hours Log'!$A:$A,"&gt;="&amp;$J1890,'Hours Log'!$A:$A,"&lt;"&amp;$J1890+7)+SUMIFS('Hours Log'!$D:$D,'Hours Log'!$A:$A,"&gt;="&amp;$J1890,'Hours Log'!$A:$A,"&lt;"&amp;$J1890+7))</f>
        <v/>
      </c>
      <c r="D1890" t="str">
        <f>IF($J1890="","",SUMIFS('Hours Log'!$D:$D,'Hours Log'!$A:$A,"&gt;="&amp;$J1890,'Hours Log'!$A:$A,"&lt;"&amp;$J1890+7))</f>
        <v/>
      </c>
      <c r="E1890" t="str">
        <f t="shared" si="58"/>
        <v/>
      </c>
      <c r="F1890" t="str">
        <f t="shared" si="59"/>
        <v/>
      </c>
      <c r="G1890" t="str">
        <f>IF($J1890="","",SUMIFS('Hours Log'!$E:$E,'Hours Log'!$A:$A,"&gt;="&amp;$J1890,'Hours Log'!$A:$A,"&lt;"&amp;$J1890+7))</f>
        <v/>
      </c>
      <c r="J1890" t="str">
        <f>IF(COUNT('Hours Log'!$A$4:$A$5000)=0,"",IF(MIN('Hours Log'!$A$4:$A$5000)+7*(ROW()-10)&gt;MAX('Hours Log'!$A$4:$A$5000),"",MIN('Hours Log'!$A$4:$A$5000)+7*(ROW()-10)))</f>
        <v/>
      </c>
    </row>
    <row r="1891" spans="1:10" x14ac:dyDescent="0.25">
      <c r="A1891" t="str">
        <f>IF($J1891="","",YEAR($J1891-WEEKDAY($J1891,2)+4)&amp;"-W"&amp;TEXT(_xludf.ISOWEEKNUM($J1891),"00"))</f>
        <v/>
      </c>
      <c r="B1891"/>
      <c r="C1891" t="str">
        <f>IF($J1891="","",SUMIFS('Hours Log'!$C:$C,'Hours Log'!$A:$A,"&gt;="&amp;$J1891,'Hours Log'!$A:$A,"&lt;"&amp;$J1891+7)+SUMIFS('Hours Log'!$D:$D,'Hours Log'!$A:$A,"&gt;="&amp;$J1891,'Hours Log'!$A:$A,"&lt;"&amp;$J1891+7))</f>
        <v/>
      </c>
      <c r="D1891" t="str">
        <f>IF($J1891="","",SUMIFS('Hours Log'!$D:$D,'Hours Log'!$A:$A,"&gt;="&amp;$J1891,'Hours Log'!$A:$A,"&lt;"&amp;$J1891+7))</f>
        <v/>
      </c>
      <c r="E1891" t="str">
        <f t="shared" si="58"/>
        <v/>
      </c>
      <c r="F1891" t="str">
        <f t="shared" si="59"/>
        <v/>
      </c>
      <c r="G1891" t="str">
        <f>IF($J1891="","",SUMIFS('Hours Log'!$E:$E,'Hours Log'!$A:$A,"&gt;="&amp;$J1891,'Hours Log'!$A:$A,"&lt;"&amp;$J1891+7))</f>
        <v/>
      </c>
      <c r="J1891" t="str">
        <f>IF(COUNT('Hours Log'!$A$4:$A$5000)=0,"",IF(MIN('Hours Log'!$A$4:$A$5000)+7*(ROW()-10)&gt;MAX('Hours Log'!$A$4:$A$5000),"",MIN('Hours Log'!$A$4:$A$5000)+7*(ROW()-10)))</f>
        <v/>
      </c>
    </row>
    <row r="1892" spans="1:10" x14ac:dyDescent="0.25">
      <c r="A1892" t="str">
        <f>IF($J1892="","",YEAR($J1892-WEEKDAY($J1892,2)+4)&amp;"-W"&amp;TEXT(_xludf.ISOWEEKNUM($J1892),"00"))</f>
        <v/>
      </c>
      <c r="B1892"/>
      <c r="C1892" t="str">
        <f>IF($J1892="","",SUMIFS('Hours Log'!$C:$C,'Hours Log'!$A:$A,"&gt;="&amp;$J1892,'Hours Log'!$A:$A,"&lt;"&amp;$J1892+7)+SUMIFS('Hours Log'!$D:$D,'Hours Log'!$A:$A,"&gt;="&amp;$J1892,'Hours Log'!$A:$A,"&lt;"&amp;$J1892+7))</f>
        <v/>
      </c>
      <c r="D1892" t="str">
        <f>IF($J1892="","",SUMIFS('Hours Log'!$D:$D,'Hours Log'!$A:$A,"&gt;="&amp;$J1892,'Hours Log'!$A:$A,"&lt;"&amp;$J1892+7))</f>
        <v/>
      </c>
      <c r="E1892" t="str">
        <f t="shared" si="58"/>
        <v/>
      </c>
      <c r="F1892" t="str">
        <f t="shared" si="59"/>
        <v/>
      </c>
      <c r="G1892" t="str">
        <f>IF($J1892="","",SUMIFS('Hours Log'!$E:$E,'Hours Log'!$A:$A,"&gt;="&amp;$J1892,'Hours Log'!$A:$A,"&lt;"&amp;$J1892+7))</f>
        <v/>
      </c>
      <c r="J1892" t="str">
        <f>IF(COUNT('Hours Log'!$A$4:$A$5000)=0,"",IF(MIN('Hours Log'!$A$4:$A$5000)+7*(ROW()-10)&gt;MAX('Hours Log'!$A$4:$A$5000),"",MIN('Hours Log'!$A$4:$A$5000)+7*(ROW()-10)))</f>
        <v/>
      </c>
    </row>
    <row r="1893" spans="1:10" x14ac:dyDescent="0.25">
      <c r="A1893" t="str">
        <f>IF($J1893="","",YEAR($J1893-WEEKDAY($J1893,2)+4)&amp;"-W"&amp;TEXT(_xludf.ISOWEEKNUM($J1893),"00"))</f>
        <v/>
      </c>
      <c r="B1893"/>
      <c r="C1893" t="str">
        <f>IF($J1893="","",SUMIFS('Hours Log'!$C:$C,'Hours Log'!$A:$A,"&gt;="&amp;$J1893,'Hours Log'!$A:$A,"&lt;"&amp;$J1893+7)+SUMIFS('Hours Log'!$D:$D,'Hours Log'!$A:$A,"&gt;="&amp;$J1893,'Hours Log'!$A:$A,"&lt;"&amp;$J1893+7))</f>
        <v/>
      </c>
      <c r="D1893" t="str">
        <f>IF($J1893="","",SUMIFS('Hours Log'!$D:$D,'Hours Log'!$A:$A,"&gt;="&amp;$J1893,'Hours Log'!$A:$A,"&lt;"&amp;$J1893+7))</f>
        <v/>
      </c>
      <c r="E1893" t="str">
        <f t="shared" si="58"/>
        <v/>
      </c>
      <c r="F1893" t="str">
        <f t="shared" si="59"/>
        <v/>
      </c>
      <c r="G1893" t="str">
        <f>IF($J1893="","",SUMIFS('Hours Log'!$E:$E,'Hours Log'!$A:$A,"&gt;="&amp;$J1893,'Hours Log'!$A:$A,"&lt;"&amp;$J1893+7))</f>
        <v/>
      </c>
      <c r="J1893" t="str">
        <f>IF(COUNT('Hours Log'!$A$4:$A$5000)=0,"",IF(MIN('Hours Log'!$A$4:$A$5000)+7*(ROW()-10)&gt;MAX('Hours Log'!$A$4:$A$5000),"",MIN('Hours Log'!$A$4:$A$5000)+7*(ROW()-10)))</f>
        <v/>
      </c>
    </row>
    <row r="1894" spans="1:10" x14ac:dyDescent="0.25">
      <c r="A1894" t="str">
        <f>IF($J1894="","",YEAR($J1894-WEEKDAY($J1894,2)+4)&amp;"-W"&amp;TEXT(_xludf.ISOWEEKNUM($J1894),"00"))</f>
        <v/>
      </c>
      <c r="B1894"/>
      <c r="C1894" t="str">
        <f>IF($J1894="","",SUMIFS('Hours Log'!$C:$C,'Hours Log'!$A:$A,"&gt;="&amp;$J1894,'Hours Log'!$A:$A,"&lt;"&amp;$J1894+7)+SUMIFS('Hours Log'!$D:$D,'Hours Log'!$A:$A,"&gt;="&amp;$J1894,'Hours Log'!$A:$A,"&lt;"&amp;$J1894+7))</f>
        <v/>
      </c>
      <c r="D1894" t="str">
        <f>IF($J1894="","",SUMIFS('Hours Log'!$D:$D,'Hours Log'!$A:$A,"&gt;="&amp;$J1894,'Hours Log'!$A:$A,"&lt;"&amp;$J1894+7))</f>
        <v/>
      </c>
      <c r="E1894" t="str">
        <f t="shared" si="58"/>
        <v/>
      </c>
      <c r="F1894" t="str">
        <f t="shared" si="59"/>
        <v/>
      </c>
      <c r="G1894" t="str">
        <f>IF($J1894="","",SUMIFS('Hours Log'!$E:$E,'Hours Log'!$A:$A,"&gt;="&amp;$J1894,'Hours Log'!$A:$A,"&lt;"&amp;$J1894+7))</f>
        <v/>
      </c>
      <c r="J1894" t="str">
        <f>IF(COUNT('Hours Log'!$A$4:$A$5000)=0,"",IF(MIN('Hours Log'!$A$4:$A$5000)+7*(ROW()-10)&gt;MAX('Hours Log'!$A$4:$A$5000),"",MIN('Hours Log'!$A$4:$A$5000)+7*(ROW()-10)))</f>
        <v/>
      </c>
    </row>
    <row r="1895" spans="1:10" x14ac:dyDescent="0.25">
      <c r="A1895" t="str">
        <f>IF($J1895="","",YEAR($J1895-WEEKDAY($J1895,2)+4)&amp;"-W"&amp;TEXT(_xludf.ISOWEEKNUM($J1895),"00"))</f>
        <v/>
      </c>
      <c r="B1895"/>
      <c r="C1895" t="str">
        <f>IF($J1895="","",SUMIFS('Hours Log'!$C:$C,'Hours Log'!$A:$A,"&gt;="&amp;$J1895,'Hours Log'!$A:$A,"&lt;"&amp;$J1895+7)+SUMIFS('Hours Log'!$D:$D,'Hours Log'!$A:$A,"&gt;="&amp;$J1895,'Hours Log'!$A:$A,"&lt;"&amp;$J1895+7))</f>
        <v/>
      </c>
      <c r="D1895" t="str">
        <f>IF($J1895="","",SUMIFS('Hours Log'!$D:$D,'Hours Log'!$A:$A,"&gt;="&amp;$J1895,'Hours Log'!$A:$A,"&lt;"&amp;$J1895+7))</f>
        <v/>
      </c>
      <c r="E1895" t="str">
        <f t="shared" si="58"/>
        <v/>
      </c>
      <c r="F1895" t="str">
        <f t="shared" si="59"/>
        <v/>
      </c>
      <c r="G1895" t="str">
        <f>IF($J1895="","",SUMIFS('Hours Log'!$E:$E,'Hours Log'!$A:$A,"&gt;="&amp;$J1895,'Hours Log'!$A:$A,"&lt;"&amp;$J1895+7))</f>
        <v/>
      </c>
      <c r="J1895" t="str">
        <f>IF(COUNT('Hours Log'!$A$4:$A$5000)=0,"",IF(MIN('Hours Log'!$A$4:$A$5000)+7*(ROW()-10)&gt;MAX('Hours Log'!$A$4:$A$5000),"",MIN('Hours Log'!$A$4:$A$5000)+7*(ROW()-10)))</f>
        <v/>
      </c>
    </row>
    <row r="1896" spans="1:10" x14ac:dyDescent="0.25">
      <c r="A1896" t="str">
        <f>IF($J1896="","",YEAR($J1896-WEEKDAY($J1896,2)+4)&amp;"-W"&amp;TEXT(_xludf.ISOWEEKNUM($J1896),"00"))</f>
        <v/>
      </c>
      <c r="B1896"/>
      <c r="C1896" t="str">
        <f>IF($J1896="","",SUMIFS('Hours Log'!$C:$C,'Hours Log'!$A:$A,"&gt;="&amp;$J1896,'Hours Log'!$A:$A,"&lt;"&amp;$J1896+7)+SUMIFS('Hours Log'!$D:$D,'Hours Log'!$A:$A,"&gt;="&amp;$J1896,'Hours Log'!$A:$A,"&lt;"&amp;$J1896+7))</f>
        <v/>
      </c>
      <c r="D1896" t="str">
        <f>IF($J1896="","",SUMIFS('Hours Log'!$D:$D,'Hours Log'!$A:$A,"&gt;="&amp;$J1896,'Hours Log'!$A:$A,"&lt;"&amp;$J1896+7))</f>
        <v/>
      </c>
      <c r="E1896" t="str">
        <f t="shared" si="58"/>
        <v/>
      </c>
      <c r="F1896" t="str">
        <f t="shared" si="59"/>
        <v/>
      </c>
      <c r="G1896" t="str">
        <f>IF($J1896="","",SUMIFS('Hours Log'!$E:$E,'Hours Log'!$A:$A,"&gt;="&amp;$J1896,'Hours Log'!$A:$A,"&lt;"&amp;$J1896+7))</f>
        <v/>
      </c>
      <c r="J1896" t="str">
        <f>IF(COUNT('Hours Log'!$A$4:$A$5000)=0,"",IF(MIN('Hours Log'!$A$4:$A$5000)+7*(ROW()-10)&gt;MAX('Hours Log'!$A$4:$A$5000),"",MIN('Hours Log'!$A$4:$A$5000)+7*(ROW()-10)))</f>
        <v/>
      </c>
    </row>
    <row r="1897" spans="1:10" x14ac:dyDescent="0.25">
      <c r="A1897" t="str">
        <f>IF($J1897="","",YEAR($J1897-WEEKDAY($J1897,2)+4)&amp;"-W"&amp;TEXT(_xludf.ISOWEEKNUM($J1897),"00"))</f>
        <v/>
      </c>
      <c r="B1897"/>
      <c r="C1897" t="str">
        <f>IF($J1897="","",SUMIFS('Hours Log'!$C:$C,'Hours Log'!$A:$A,"&gt;="&amp;$J1897,'Hours Log'!$A:$A,"&lt;"&amp;$J1897+7)+SUMIFS('Hours Log'!$D:$D,'Hours Log'!$A:$A,"&gt;="&amp;$J1897,'Hours Log'!$A:$A,"&lt;"&amp;$J1897+7))</f>
        <v/>
      </c>
      <c r="D1897" t="str">
        <f>IF($J1897="","",SUMIFS('Hours Log'!$D:$D,'Hours Log'!$A:$A,"&gt;="&amp;$J1897,'Hours Log'!$A:$A,"&lt;"&amp;$J1897+7))</f>
        <v/>
      </c>
      <c r="E1897" t="str">
        <f t="shared" si="58"/>
        <v/>
      </c>
      <c r="F1897" t="str">
        <f t="shared" si="59"/>
        <v/>
      </c>
      <c r="G1897" t="str">
        <f>IF($J1897="","",SUMIFS('Hours Log'!$E:$E,'Hours Log'!$A:$A,"&gt;="&amp;$J1897,'Hours Log'!$A:$A,"&lt;"&amp;$J1897+7))</f>
        <v/>
      </c>
      <c r="J1897" t="str">
        <f>IF(COUNT('Hours Log'!$A$4:$A$5000)=0,"",IF(MIN('Hours Log'!$A$4:$A$5000)+7*(ROW()-10)&gt;MAX('Hours Log'!$A$4:$A$5000),"",MIN('Hours Log'!$A$4:$A$5000)+7*(ROW()-10)))</f>
        <v/>
      </c>
    </row>
    <row r="1898" spans="1:10" x14ac:dyDescent="0.25">
      <c r="A1898" t="str">
        <f>IF($J1898="","",YEAR($J1898-WEEKDAY($J1898,2)+4)&amp;"-W"&amp;TEXT(_xludf.ISOWEEKNUM($J1898),"00"))</f>
        <v/>
      </c>
      <c r="B1898"/>
      <c r="C1898" t="str">
        <f>IF($J1898="","",SUMIFS('Hours Log'!$C:$C,'Hours Log'!$A:$A,"&gt;="&amp;$J1898,'Hours Log'!$A:$A,"&lt;"&amp;$J1898+7)+SUMIFS('Hours Log'!$D:$D,'Hours Log'!$A:$A,"&gt;="&amp;$J1898,'Hours Log'!$A:$A,"&lt;"&amp;$J1898+7))</f>
        <v/>
      </c>
      <c r="D1898" t="str">
        <f>IF($J1898="","",SUMIFS('Hours Log'!$D:$D,'Hours Log'!$A:$A,"&gt;="&amp;$J1898,'Hours Log'!$A:$A,"&lt;"&amp;$J1898+7))</f>
        <v/>
      </c>
      <c r="E1898" t="str">
        <f t="shared" si="58"/>
        <v/>
      </c>
      <c r="F1898" t="str">
        <f t="shared" si="59"/>
        <v/>
      </c>
      <c r="G1898" t="str">
        <f>IF($J1898="","",SUMIFS('Hours Log'!$E:$E,'Hours Log'!$A:$A,"&gt;="&amp;$J1898,'Hours Log'!$A:$A,"&lt;"&amp;$J1898+7))</f>
        <v/>
      </c>
      <c r="J1898" t="str">
        <f>IF(COUNT('Hours Log'!$A$4:$A$5000)=0,"",IF(MIN('Hours Log'!$A$4:$A$5000)+7*(ROW()-10)&gt;MAX('Hours Log'!$A$4:$A$5000),"",MIN('Hours Log'!$A$4:$A$5000)+7*(ROW()-10)))</f>
        <v/>
      </c>
    </row>
    <row r="1899" spans="1:10" x14ac:dyDescent="0.25">
      <c r="A1899" t="str">
        <f>IF($J1899="","",YEAR($J1899-WEEKDAY($J1899,2)+4)&amp;"-W"&amp;TEXT(_xludf.ISOWEEKNUM($J1899),"00"))</f>
        <v/>
      </c>
      <c r="B1899"/>
      <c r="C1899" t="str">
        <f>IF($J1899="","",SUMIFS('Hours Log'!$C:$C,'Hours Log'!$A:$A,"&gt;="&amp;$J1899,'Hours Log'!$A:$A,"&lt;"&amp;$J1899+7)+SUMIFS('Hours Log'!$D:$D,'Hours Log'!$A:$A,"&gt;="&amp;$J1899,'Hours Log'!$A:$A,"&lt;"&amp;$J1899+7))</f>
        <v/>
      </c>
      <c r="D1899" t="str">
        <f>IF($J1899="","",SUMIFS('Hours Log'!$D:$D,'Hours Log'!$A:$A,"&gt;="&amp;$J1899,'Hours Log'!$A:$A,"&lt;"&amp;$J1899+7))</f>
        <v/>
      </c>
      <c r="E1899" t="str">
        <f t="shared" si="58"/>
        <v/>
      </c>
      <c r="F1899" t="str">
        <f t="shared" si="59"/>
        <v/>
      </c>
      <c r="G1899" t="str">
        <f>IF($J1899="","",SUMIFS('Hours Log'!$E:$E,'Hours Log'!$A:$A,"&gt;="&amp;$J1899,'Hours Log'!$A:$A,"&lt;"&amp;$J1899+7))</f>
        <v/>
      </c>
      <c r="J1899" t="str">
        <f>IF(COUNT('Hours Log'!$A$4:$A$5000)=0,"",IF(MIN('Hours Log'!$A$4:$A$5000)+7*(ROW()-10)&gt;MAX('Hours Log'!$A$4:$A$5000),"",MIN('Hours Log'!$A$4:$A$5000)+7*(ROW()-10)))</f>
        <v/>
      </c>
    </row>
    <row r="1900" spans="1:10" x14ac:dyDescent="0.25">
      <c r="A1900" t="str">
        <f>IF($J1900="","",YEAR($J1900-WEEKDAY($J1900,2)+4)&amp;"-W"&amp;TEXT(_xludf.ISOWEEKNUM($J1900),"00"))</f>
        <v/>
      </c>
      <c r="B1900"/>
      <c r="C1900" t="str">
        <f>IF($J1900="","",SUMIFS('Hours Log'!$C:$C,'Hours Log'!$A:$A,"&gt;="&amp;$J1900,'Hours Log'!$A:$A,"&lt;"&amp;$J1900+7)+SUMIFS('Hours Log'!$D:$D,'Hours Log'!$A:$A,"&gt;="&amp;$J1900,'Hours Log'!$A:$A,"&lt;"&amp;$J1900+7))</f>
        <v/>
      </c>
      <c r="D1900" t="str">
        <f>IF($J1900="","",SUMIFS('Hours Log'!$D:$D,'Hours Log'!$A:$A,"&gt;="&amp;$J1900,'Hours Log'!$A:$A,"&lt;"&amp;$J1900+7))</f>
        <v/>
      </c>
      <c r="E1900" t="str">
        <f t="shared" si="58"/>
        <v/>
      </c>
      <c r="F1900" t="str">
        <f t="shared" si="59"/>
        <v/>
      </c>
      <c r="G1900" t="str">
        <f>IF($J1900="","",SUMIFS('Hours Log'!$E:$E,'Hours Log'!$A:$A,"&gt;="&amp;$J1900,'Hours Log'!$A:$A,"&lt;"&amp;$J1900+7))</f>
        <v/>
      </c>
      <c r="J1900" t="str">
        <f>IF(COUNT('Hours Log'!$A$4:$A$5000)=0,"",IF(MIN('Hours Log'!$A$4:$A$5000)+7*(ROW()-10)&gt;MAX('Hours Log'!$A$4:$A$5000),"",MIN('Hours Log'!$A$4:$A$5000)+7*(ROW()-10)))</f>
        <v/>
      </c>
    </row>
    <row r="1901" spans="1:10" x14ac:dyDescent="0.25">
      <c r="A1901" t="str">
        <f>IF($J1901="","",YEAR($J1901-WEEKDAY($J1901,2)+4)&amp;"-W"&amp;TEXT(_xludf.ISOWEEKNUM($J1901),"00"))</f>
        <v/>
      </c>
      <c r="B1901"/>
      <c r="C1901" t="str">
        <f>IF($J1901="","",SUMIFS('Hours Log'!$C:$C,'Hours Log'!$A:$A,"&gt;="&amp;$J1901,'Hours Log'!$A:$A,"&lt;"&amp;$J1901+7)+SUMIFS('Hours Log'!$D:$D,'Hours Log'!$A:$A,"&gt;="&amp;$J1901,'Hours Log'!$A:$A,"&lt;"&amp;$J1901+7))</f>
        <v/>
      </c>
      <c r="D1901" t="str">
        <f>IF($J1901="","",SUMIFS('Hours Log'!$D:$D,'Hours Log'!$A:$A,"&gt;="&amp;$J1901,'Hours Log'!$A:$A,"&lt;"&amp;$J1901+7))</f>
        <v/>
      </c>
      <c r="E1901" t="str">
        <f t="shared" si="58"/>
        <v/>
      </c>
      <c r="F1901" t="str">
        <f t="shared" si="59"/>
        <v/>
      </c>
      <c r="G1901" t="str">
        <f>IF($J1901="","",SUMIFS('Hours Log'!$E:$E,'Hours Log'!$A:$A,"&gt;="&amp;$J1901,'Hours Log'!$A:$A,"&lt;"&amp;$J1901+7))</f>
        <v/>
      </c>
      <c r="J1901" t="str">
        <f>IF(COUNT('Hours Log'!$A$4:$A$5000)=0,"",IF(MIN('Hours Log'!$A$4:$A$5000)+7*(ROW()-10)&gt;MAX('Hours Log'!$A$4:$A$5000),"",MIN('Hours Log'!$A$4:$A$5000)+7*(ROW()-10)))</f>
        <v/>
      </c>
    </row>
    <row r="1902" spans="1:10" x14ac:dyDescent="0.25">
      <c r="A1902" t="str">
        <f>IF($J1902="","",YEAR($J1902-WEEKDAY($J1902,2)+4)&amp;"-W"&amp;TEXT(_xludf.ISOWEEKNUM($J1902),"00"))</f>
        <v/>
      </c>
      <c r="B1902"/>
      <c r="C1902" t="str">
        <f>IF($J1902="","",SUMIFS('Hours Log'!$C:$C,'Hours Log'!$A:$A,"&gt;="&amp;$J1902,'Hours Log'!$A:$A,"&lt;"&amp;$J1902+7)+SUMIFS('Hours Log'!$D:$D,'Hours Log'!$A:$A,"&gt;="&amp;$J1902,'Hours Log'!$A:$A,"&lt;"&amp;$J1902+7))</f>
        <v/>
      </c>
      <c r="D1902" t="str">
        <f>IF($J1902="","",SUMIFS('Hours Log'!$D:$D,'Hours Log'!$A:$A,"&gt;="&amp;$J1902,'Hours Log'!$A:$A,"&lt;"&amp;$J1902+7))</f>
        <v/>
      </c>
      <c r="E1902" t="str">
        <f t="shared" si="58"/>
        <v/>
      </c>
      <c r="F1902" t="str">
        <f t="shared" si="59"/>
        <v/>
      </c>
      <c r="G1902" t="str">
        <f>IF($J1902="","",SUMIFS('Hours Log'!$E:$E,'Hours Log'!$A:$A,"&gt;="&amp;$J1902,'Hours Log'!$A:$A,"&lt;"&amp;$J1902+7))</f>
        <v/>
      </c>
      <c r="J1902" t="str">
        <f>IF(COUNT('Hours Log'!$A$4:$A$5000)=0,"",IF(MIN('Hours Log'!$A$4:$A$5000)+7*(ROW()-10)&gt;MAX('Hours Log'!$A$4:$A$5000),"",MIN('Hours Log'!$A$4:$A$5000)+7*(ROW()-10)))</f>
        <v/>
      </c>
    </row>
    <row r="1903" spans="1:10" x14ac:dyDescent="0.25">
      <c r="A1903" t="str">
        <f>IF($J1903="","",YEAR($J1903-WEEKDAY($J1903,2)+4)&amp;"-W"&amp;TEXT(_xludf.ISOWEEKNUM($J1903),"00"))</f>
        <v/>
      </c>
      <c r="B1903"/>
      <c r="C1903" t="str">
        <f>IF($J1903="","",SUMIFS('Hours Log'!$C:$C,'Hours Log'!$A:$A,"&gt;="&amp;$J1903,'Hours Log'!$A:$A,"&lt;"&amp;$J1903+7)+SUMIFS('Hours Log'!$D:$D,'Hours Log'!$A:$A,"&gt;="&amp;$J1903,'Hours Log'!$A:$A,"&lt;"&amp;$J1903+7))</f>
        <v/>
      </c>
      <c r="D1903" t="str">
        <f>IF($J1903="","",SUMIFS('Hours Log'!$D:$D,'Hours Log'!$A:$A,"&gt;="&amp;$J1903,'Hours Log'!$A:$A,"&lt;"&amp;$J1903+7))</f>
        <v/>
      </c>
      <c r="E1903" t="str">
        <f t="shared" si="58"/>
        <v/>
      </c>
      <c r="F1903" t="str">
        <f t="shared" si="59"/>
        <v/>
      </c>
      <c r="G1903" t="str">
        <f>IF($J1903="","",SUMIFS('Hours Log'!$E:$E,'Hours Log'!$A:$A,"&gt;="&amp;$J1903,'Hours Log'!$A:$A,"&lt;"&amp;$J1903+7))</f>
        <v/>
      </c>
      <c r="J1903" t="str">
        <f>IF(COUNT('Hours Log'!$A$4:$A$5000)=0,"",IF(MIN('Hours Log'!$A$4:$A$5000)+7*(ROW()-10)&gt;MAX('Hours Log'!$A$4:$A$5000),"",MIN('Hours Log'!$A$4:$A$5000)+7*(ROW()-10)))</f>
        <v/>
      </c>
    </row>
    <row r="1904" spans="1:10" x14ac:dyDescent="0.25">
      <c r="A1904" t="str">
        <f>IF($J1904="","",YEAR($J1904-WEEKDAY($J1904,2)+4)&amp;"-W"&amp;TEXT(_xludf.ISOWEEKNUM($J1904),"00"))</f>
        <v/>
      </c>
      <c r="B1904"/>
      <c r="C1904" t="str">
        <f>IF($J1904="","",SUMIFS('Hours Log'!$C:$C,'Hours Log'!$A:$A,"&gt;="&amp;$J1904,'Hours Log'!$A:$A,"&lt;"&amp;$J1904+7)+SUMIFS('Hours Log'!$D:$D,'Hours Log'!$A:$A,"&gt;="&amp;$J1904,'Hours Log'!$A:$A,"&lt;"&amp;$J1904+7))</f>
        <v/>
      </c>
      <c r="D1904" t="str">
        <f>IF($J1904="","",SUMIFS('Hours Log'!$D:$D,'Hours Log'!$A:$A,"&gt;="&amp;$J1904,'Hours Log'!$A:$A,"&lt;"&amp;$J1904+7))</f>
        <v/>
      </c>
      <c r="E1904" t="str">
        <f t="shared" si="58"/>
        <v/>
      </c>
      <c r="F1904" t="str">
        <f t="shared" si="59"/>
        <v/>
      </c>
      <c r="G1904" t="str">
        <f>IF($J1904="","",SUMIFS('Hours Log'!$E:$E,'Hours Log'!$A:$A,"&gt;="&amp;$J1904,'Hours Log'!$A:$A,"&lt;"&amp;$J1904+7))</f>
        <v/>
      </c>
      <c r="J1904" t="str">
        <f>IF(COUNT('Hours Log'!$A$4:$A$5000)=0,"",IF(MIN('Hours Log'!$A$4:$A$5000)+7*(ROW()-10)&gt;MAX('Hours Log'!$A$4:$A$5000),"",MIN('Hours Log'!$A$4:$A$5000)+7*(ROW()-10)))</f>
        <v/>
      </c>
    </row>
    <row r="1905" spans="1:10" x14ac:dyDescent="0.25">
      <c r="A1905" t="str">
        <f>IF($J1905="","",YEAR($J1905-WEEKDAY($J1905,2)+4)&amp;"-W"&amp;TEXT(_xludf.ISOWEEKNUM($J1905),"00"))</f>
        <v/>
      </c>
      <c r="B1905"/>
      <c r="C1905" t="str">
        <f>IF($J1905="","",SUMIFS('Hours Log'!$C:$C,'Hours Log'!$A:$A,"&gt;="&amp;$J1905,'Hours Log'!$A:$A,"&lt;"&amp;$J1905+7)+SUMIFS('Hours Log'!$D:$D,'Hours Log'!$A:$A,"&gt;="&amp;$J1905,'Hours Log'!$A:$A,"&lt;"&amp;$J1905+7))</f>
        <v/>
      </c>
      <c r="D1905" t="str">
        <f>IF($J1905="","",SUMIFS('Hours Log'!$D:$D,'Hours Log'!$A:$A,"&gt;="&amp;$J1905,'Hours Log'!$A:$A,"&lt;"&amp;$J1905+7))</f>
        <v/>
      </c>
      <c r="E1905" t="str">
        <f t="shared" si="58"/>
        <v/>
      </c>
      <c r="F1905" t="str">
        <f t="shared" si="59"/>
        <v/>
      </c>
      <c r="G1905" t="str">
        <f>IF($J1905="","",SUMIFS('Hours Log'!$E:$E,'Hours Log'!$A:$A,"&gt;="&amp;$J1905,'Hours Log'!$A:$A,"&lt;"&amp;$J1905+7))</f>
        <v/>
      </c>
      <c r="J1905" t="str">
        <f>IF(COUNT('Hours Log'!$A$4:$A$5000)=0,"",IF(MIN('Hours Log'!$A$4:$A$5000)+7*(ROW()-10)&gt;MAX('Hours Log'!$A$4:$A$5000),"",MIN('Hours Log'!$A$4:$A$5000)+7*(ROW()-10)))</f>
        <v/>
      </c>
    </row>
    <row r="1906" spans="1:10" x14ac:dyDescent="0.25">
      <c r="A1906" t="str">
        <f>IF($J1906="","",YEAR($J1906-WEEKDAY($J1906,2)+4)&amp;"-W"&amp;TEXT(_xludf.ISOWEEKNUM($J1906),"00"))</f>
        <v/>
      </c>
      <c r="B1906"/>
      <c r="C1906" t="str">
        <f>IF($J1906="","",SUMIFS('Hours Log'!$C:$C,'Hours Log'!$A:$A,"&gt;="&amp;$J1906,'Hours Log'!$A:$A,"&lt;"&amp;$J1906+7)+SUMIFS('Hours Log'!$D:$D,'Hours Log'!$A:$A,"&gt;="&amp;$J1906,'Hours Log'!$A:$A,"&lt;"&amp;$J1906+7))</f>
        <v/>
      </c>
      <c r="D1906" t="str">
        <f>IF($J1906="","",SUMIFS('Hours Log'!$D:$D,'Hours Log'!$A:$A,"&gt;="&amp;$J1906,'Hours Log'!$A:$A,"&lt;"&amp;$J1906+7))</f>
        <v/>
      </c>
      <c r="E1906" t="str">
        <f t="shared" si="58"/>
        <v/>
      </c>
      <c r="F1906" t="str">
        <f t="shared" si="59"/>
        <v/>
      </c>
      <c r="G1906" t="str">
        <f>IF($J1906="","",SUMIFS('Hours Log'!$E:$E,'Hours Log'!$A:$A,"&gt;="&amp;$J1906,'Hours Log'!$A:$A,"&lt;"&amp;$J1906+7))</f>
        <v/>
      </c>
      <c r="J1906" t="str">
        <f>IF(COUNT('Hours Log'!$A$4:$A$5000)=0,"",IF(MIN('Hours Log'!$A$4:$A$5000)+7*(ROW()-10)&gt;MAX('Hours Log'!$A$4:$A$5000),"",MIN('Hours Log'!$A$4:$A$5000)+7*(ROW()-10)))</f>
        <v/>
      </c>
    </row>
    <row r="1907" spans="1:10" x14ac:dyDescent="0.25">
      <c r="A1907" t="str">
        <f>IF($J1907="","",YEAR($J1907-WEEKDAY($J1907,2)+4)&amp;"-W"&amp;TEXT(_xludf.ISOWEEKNUM($J1907),"00"))</f>
        <v/>
      </c>
      <c r="B1907"/>
      <c r="C1907" t="str">
        <f>IF($J1907="","",SUMIFS('Hours Log'!$C:$C,'Hours Log'!$A:$A,"&gt;="&amp;$J1907,'Hours Log'!$A:$A,"&lt;"&amp;$J1907+7)+SUMIFS('Hours Log'!$D:$D,'Hours Log'!$A:$A,"&gt;="&amp;$J1907,'Hours Log'!$A:$A,"&lt;"&amp;$J1907+7))</f>
        <v/>
      </c>
      <c r="D1907" t="str">
        <f>IF($J1907="","",SUMIFS('Hours Log'!$D:$D,'Hours Log'!$A:$A,"&gt;="&amp;$J1907,'Hours Log'!$A:$A,"&lt;"&amp;$J1907+7))</f>
        <v/>
      </c>
      <c r="E1907" t="str">
        <f t="shared" si="58"/>
        <v/>
      </c>
      <c r="F1907" t="str">
        <f t="shared" si="59"/>
        <v/>
      </c>
      <c r="G1907" t="str">
        <f>IF($J1907="","",SUMIFS('Hours Log'!$E:$E,'Hours Log'!$A:$A,"&gt;="&amp;$J1907,'Hours Log'!$A:$A,"&lt;"&amp;$J1907+7))</f>
        <v/>
      </c>
      <c r="J1907" t="str">
        <f>IF(COUNT('Hours Log'!$A$4:$A$5000)=0,"",IF(MIN('Hours Log'!$A$4:$A$5000)+7*(ROW()-10)&gt;MAX('Hours Log'!$A$4:$A$5000),"",MIN('Hours Log'!$A$4:$A$5000)+7*(ROW()-10)))</f>
        <v/>
      </c>
    </row>
    <row r="1908" spans="1:10" x14ac:dyDescent="0.25">
      <c r="A1908" t="str">
        <f>IF($J1908="","",YEAR($J1908-WEEKDAY($J1908,2)+4)&amp;"-W"&amp;TEXT(_xludf.ISOWEEKNUM($J1908),"00"))</f>
        <v/>
      </c>
      <c r="B1908"/>
      <c r="C1908" t="str">
        <f>IF($J1908="","",SUMIFS('Hours Log'!$C:$C,'Hours Log'!$A:$A,"&gt;="&amp;$J1908,'Hours Log'!$A:$A,"&lt;"&amp;$J1908+7)+SUMIFS('Hours Log'!$D:$D,'Hours Log'!$A:$A,"&gt;="&amp;$J1908,'Hours Log'!$A:$A,"&lt;"&amp;$J1908+7))</f>
        <v/>
      </c>
      <c r="D1908" t="str">
        <f>IF($J1908="","",SUMIFS('Hours Log'!$D:$D,'Hours Log'!$A:$A,"&gt;="&amp;$J1908,'Hours Log'!$A:$A,"&lt;"&amp;$J1908+7))</f>
        <v/>
      </c>
      <c r="E1908" t="str">
        <f t="shared" si="58"/>
        <v/>
      </c>
      <c r="F1908" t="str">
        <f t="shared" si="59"/>
        <v/>
      </c>
      <c r="G1908" t="str">
        <f>IF($J1908="","",SUMIFS('Hours Log'!$E:$E,'Hours Log'!$A:$A,"&gt;="&amp;$J1908,'Hours Log'!$A:$A,"&lt;"&amp;$J1908+7))</f>
        <v/>
      </c>
      <c r="J1908" t="str">
        <f>IF(COUNT('Hours Log'!$A$4:$A$5000)=0,"",IF(MIN('Hours Log'!$A$4:$A$5000)+7*(ROW()-10)&gt;MAX('Hours Log'!$A$4:$A$5000),"",MIN('Hours Log'!$A$4:$A$5000)+7*(ROW()-10)))</f>
        <v/>
      </c>
    </row>
    <row r="1909" spans="1:10" x14ac:dyDescent="0.25">
      <c r="A1909" t="str">
        <f>IF($J1909="","",YEAR($J1909-WEEKDAY($J1909,2)+4)&amp;"-W"&amp;TEXT(_xludf.ISOWEEKNUM($J1909),"00"))</f>
        <v/>
      </c>
      <c r="B1909"/>
      <c r="C1909" t="str">
        <f>IF($J1909="","",SUMIFS('Hours Log'!$C:$C,'Hours Log'!$A:$A,"&gt;="&amp;$J1909,'Hours Log'!$A:$A,"&lt;"&amp;$J1909+7)+SUMIFS('Hours Log'!$D:$D,'Hours Log'!$A:$A,"&gt;="&amp;$J1909,'Hours Log'!$A:$A,"&lt;"&amp;$J1909+7))</f>
        <v/>
      </c>
      <c r="D1909" t="str">
        <f>IF($J1909="","",SUMIFS('Hours Log'!$D:$D,'Hours Log'!$A:$A,"&gt;="&amp;$J1909,'Hours Log'!$A:$A,"&lt;"&amp;$J1909+7))</f>
        <v/>
      </c>
      <c r="E1909" t="str">
        <f t="shared" si="58"/>
        <v/>
      </c>
      <c r="F1909" t="str">
        <f t="shared" si="59"/>
        <v/>
      </c>
      <c r="G1909" t="str">
        <f>IF($J1909="","",SUMIFS('Hours Log'!$E:$E,'Hours Log'!$A:$A,"&gt;="&amp;$J1909,'Hours Log'!$A:$A,"&lt;"&amp;$J1909+7))</f>
        <v/>
      </c>
      <c r="J1909" t="str">
        <f>IF(COUNT('Hours Log'!$A$4:$A$5000)=0,"",IF(MIN('Hours Log'!$A$4:$A$5000)+7*(ROW()-10)&gt;MAX('Hours Log'!$A$4:$A$5000),"",MIN('Hours Log'!$A$4:$A$5000)+7*(ROW()-10)))</f>
        <v/>
      </c>
    </row>
    <row r="1910" spans="1:10" x14ac:dyDescent="0.25">
      <c r="A1910" t="str">
        <f>IF($J1910="","",YEAR($J1910-WEEKDAY($J1910,2)+4)&amp;"-W"&amp;TEXT(_xludf.ISOWEEKNUM($J1910),"00"))</f>
        <v/>
      </c>
      <c r="B1910"/>
      <c r="C1910" t="str">
        <f>IF($J1910="","",SUMIFS('Hours Log'!$C:$C,'Hours Log'!$A:$A,"&gt;="&amp;$J1910,'Hours Log'!$A:$A,"&lt;"&amp;$J1910+7)+SUMIFS('Hours Log'!$D:$D,'Hours Log'!$A:$A,"&gt;="&amp;$J1910,'Hours Log'!$A:$A,"&lt;"&amp;$J1910+7))</f>
        <v/>
      </c>
      <c r="D1910" t="str">
        <f>IF($J1910="","",SUMIFS('Hours Log'!$D:$D,'Hours Log'!$A:$A,"&gt;="&amp;$J1910,'Hours Log'!$A:$A,"&lt;"&amp;$J1910+7))</f>
        <v/>
      </c>
      <c r="E1910" t="str">
        <f t="shared" si="58"/>
        <v/>
      </c>
      <c r="F1910" t="str">
        <f t="shared" si="59"/>
        <v/>
      </c>
      <c r="G1910" t="str">
        <f>IF($J1910="","",SUMIFS('Hours Log'!$E:$E,'Hours Log'!$A:$A,"&gt;="&amp;$J1910,'Hours Log'!$A:$A,"&lt;"&amp;$J1910+7))</f>
        <v/>
      </c>
      <c r="J1910" t="str">
        <f>IF(COUNT('Hours Log'!$A$4:$A$5000)=0,"",IF(MIN('Hours Log'!$A$4:$A$5000)+7*(ROW()-10)&gt;MAX('Hours Log'!$A$4:$A$5000),"",MIN('Hours Log'!$A$4:$A$5000)+7*(ROW()-10)))</f>
        <v/>
      </c>
    </row>
    <row r="1911" spans="1:10" x14ac:dyDescent="0.25">
      <c r="A1911" t="str">
        <f>IF($J1911="","",YEAR($J1911-WEEKDAY($J1911,2)+4)&amp;"-W"&amp;TEXT(_xludf.ISOWEEKNUM($J1911),"00"))</f>
        <v/>
      </c>
      <c r="B1911"/>
      <c r="C1911" t="str">
        <f>IF($J1911="","",SUMIFS('Hours Log'!$C:$C,'Hours Log'!$A:$A,"&gt;="&amp;$J1911,'Hours Log'!$A:$A,"&lt;"&amp;$J1911+7)+SUMIFS('Hours Log'!$D:$D,'Hours Log'!$A:$A,"&gt;="&amp;$J1911,'Hours Log'!$A:$A,"&lt;"&amp;$J1911+7))</f>
        <v/>
      </c>
      <c r="D1911" t="str">
        <f>IF($J1911="","",SUMIFS('Hours Log'!$D:$D,'Hours Log'!$A:$A,"&gt;="&amp;$J1911,'Hours Log'!$A:$A,"&lt;"&amp;$J1911+7))</f>
        <v/>
      </c>
      <c r="E1911" t="str">
        <f t="shared" si="58"/>
        <v/>
      </c>
      <c r="F1911" t="str">
        <f t="shared" si="59"/>
        <v/>
      </c>
      <c r="G1911" t="str">
        <f>IF($J1911="","",SUMIFS('Hours Log'!$E:$E,'Hours Log'!$A:$A,"&gt;="&amp;$J1911,'Hours Log'!$A:$A,"&lt;"&amp;$J1911+7))</f>
        <v/>
      </c>
      <c r="J1911" t="str">
        <f>IF(COUNT('Hours Log'!$A$4:$A$5000)=0,"",IF(MIN('Hours Log'!$A$4:$A$5000)+7*(ROW()-10)&gt;MAX('Hours Log'!$A$4:$A$5000),"",MIN('Hours Log'!$A$4:$A$5000)+7*(ROW()-10)))</f>
        <v/>
      </c>
    </row>
    <row r="1912" spans="1:10" x14ac:dyDescent="0.25">
      <c r="A1912" t="str">
        <f>IF($J1912="","",YEAR($J1912-WEEKDAY($J1912,2)+4)&amp;"-W"&amp;TEXT(_xludf.ISOWEEKNUM($J1912),"00"))</f>
        <v/>
      </c>
      <c r="B1912"/>
      <c r="C1912" t="str">
        <f>IF($J1912="","",SUMIFS('Hours Log'!$C:$C,'Hours Log'!$A:$A,"&gt;="&amp;$J1912,'Hours Log'!$A:$A,"&lt;"&amp;$J1912+7)+SUMIFS('Hours Log'!$D:$D,'Hours Log'!$A:$A,"&gt;="&amp;$J1912,'Hours Log'!$A:$A,"&lt;"&amp;$J1912+7))</f>
        <v/>
      </c>
      <c r="D1912" t="str">
        <f>IF($J1912="","",SUMIFS('Hours Log'!$D:$D,'Hours Log'!$A:$A,"&gt;="&amp;$J1912,'Hours Log'!$A:$A,"&lt;"&amp;$J1912+7))</f>
        <v/>
      </c>
      <c r="E1912" t="str">
        <f t="shared" si="58"/>
        <v/>
      </c>
      <c r="F1912" t="str">
        <f t="shared" si="59"/>
        <v/>
      </c>
      <c r="G1912" t="str">
        <f>IF($J1912="","",SUMIFS('Hours Log'!$E:$E,'Hours Log'!$A:$A,"&gt;="&amp;$J1912,'Hours Log'!$A:$A,"&lt;"&amp;$J1912+7))</f>
        <v/>
      </c>
      <c r="J1912" t="str">
        <f>IF(COUNT('Hours Log'!$A$4:$A$5000)=0,"",IF(MIN('Hours Log'!$A$4:$A$5000)+7*(ROW()-10)&gt;MAX('Hours Log'!$A$4:$A$5000),"",MIN('Hours Log'!$A$4:$A$5000)+7*(ROW()-10)))</f>
        <v/>
      </c>
    </row>
    <row r="1913" spans="1:10" x14ac:dyDescent="0.25">
      <c r="A1913" t="str">
        <f>IF($J1913="","",YEAR($J1913-WEEKDAY($J1913,2)+4)&amp;"-W"&amp;TEXT(_xludf.ISOWEEKNUM($J1913),"00"))</f>
        <v/>
      </c>
      <c r="B1913"/>
      <c r="C1913" t="str">
        <f>IF($J1913="","",SUMIFS('Hours Log'!$C:$C,'Hours Log'!$A:$A,"&gt;="&amp;$J1913,'Hours Log'!$A:$A,"&lt;"&amp;$J1913+7)+SUMIFS('Hours Log'!$D:$D,'Hours Log'!$A:$A,"&gt;="&amp;$J1913,'Hours Log'!$A:$A,"&lt;"&amp;$J1913+7))</f>
        <v/>
      </c>
      <c r="D1913" t="str">
        <f>IF($J1913="","",SUMIFS('Hours Log'!$D:$D,'Hours Log'!$A:$A,"&gt;="&amp;$J1913,'Hours Log'!$A:$A,"&lt;"&amp;$J1913+7))</f>
        <v/>
      </c>
      <c r="E1913" t="str">
        <f t="shared" si="58"/>
        <v/>
      </c>
      <c r="F1913" t="str">
        <f t="shared" si="59"/>
        <v/>
      </c>
      <c r="G1913" t="str">
        <f>IF($J1913="","",SUMIFS('Hours Log'!$E:$E,'Hours Log'!$A:$A,"&gt;="&amp;$J1913,'Hours Log'!$A:$A,"&lt;"&amp;$J1913+7))</f>
        <v/>
      </c>
      <c r="J1913" t="str">
        <f>IF(COUNT('Hours Log'!$A$4:$A$5000)=0,"",IF(MIN('Hours Log'!$A$4:$A$5000)+7*(ROW()-10)&gt;MAX('Hours Log'!$A$4:$A$5000),"",MIN('Hours Log'!$A$4:$A$5000)+7*(ROW()-10)))</f>
        <v/>
      </c>
    </row>
    <row r="1914" spans="1:10" x14ac:dyDescent="0.25">
      <c r="A1914" t="str">
        <f>IF($J1914="","",YEAR($J1914-WEEKDAY($J1914,2)+4)&amp;"-W"&amp;TEXT(_xludf.ISOWEEKNUM($J1914),"00"))</f>
        <v/>
      </c>
      <c r="B1914"/>
      <c r="C1914" t="str">
        <f>IF($J1914="","",SUMIFS('Hours Log'!$C:$C,'Hours Log'!$A:$A,"&gt;="&amp;$J1914,'Hours Log'!$A:$A,"&lt;"&amp;$J1914+7)+SUMIFS('Hours Log'!$D:$D,'Hours Log'!$A:$A,"&gt;="&amp;$J1914,'Hours Log'!$A:$A,"&lt;"&amp;$J1914+7))</f>
        <v/>
      </c>
      <c r="D1914" t="str">
        <f>IF($J1914="","",SUMIFS('Hours Log'!$D:$D,'Hours Log'!$A:$A,"&gt;="&amp;$J1914,'Hours Log'!$A:$A,"&lt;"&amp;$J1914+7))</f>
        <v/>
      </c>
      <c r="E1914" t="str">
        <f t="shared" si="58"/>
        <v/>
      </c>
      <c r="F1914" t="str">
        <f t="shared" si="59"/>
        <v/>
      </c>
      <c r="G1914" t="str">
        <f>IF($J1914="","",SUMIFS('Hours Log'!$E:$E,'Hours Log'!$A:$A,"&gt;="&amp;$J1914,'Hours Log'!$A:$A,"&lt;"&amp;$J1914+7))</f>
        <v/>
      </c>
      <c r="J1914" t="str">
        <f>IF(COUNT('Hours Log'!$A$4:$A$5000)=0,"",IF(MIN('Hours Log'!$A$4:$A$5000)+7*(ROW()-10)&gt;MAX('Hours Log'!$A$4:$A$5000),"",MIN('Hours Log'!$A$4:$A$5000)+7*(ROW()-10)))</f>
        <v/>
      </c>
    </row>
    <row r="1915" spans="1:10" x14ac:dyDescent="0.25">
      <c r="A1915" t="str">
        <f>IF($J1915="","",YEAR($J1915-WEEKDAY($J1915,2)+4)&amp;"-W"&amp;TEXT(_xludf.ISOWEEKNUM($J1915),"00"))</f>
        <v/>
      </c>
      <c r="B1915"/>
      <c r="C1915" t="str">
        <f>IF($J1915="","",SUMIFS('Hours Log'!$C:$C,'Hours Log'!$A:$A,"&gt;="&amp;$J1915,'Hours Log'!$A:$A,"&lt;"&amp;$J1915+7)+SUMIFS('Hours Log'!$D:$D,'Hours Log'!$A:$A,"&gt;="&amp;$J1915,'Hours Log'!$A:$A,"&lt;"&amp;$J1915+7))</f>
        <v/>
      </c>
      <c r="D1915" t="str">
        <f>IF($J1915="","",SUMIFS('Hours Log'!$D:$D,'Hours Log'!$A:$A,"&gt;="&amp;$J1915,'Hours Log'!$A:$A,"&lt;"&amp;$J1915+7))</f>
        <v/>
      </c>
      <c r="E1915" t="str">
        <f t="shared" si="58"/>
        <v/>
      </c>
      <c r="F1915" t="str">
        <f t="shared" si="59"/>
        <v/>
      </c>
      <c r="G1915" t="str">
        <f>IF($J1915="","",SUMIFS('Hours Log'!$E:$E,'Hours Log'!$A:$A,"&gt;="&amp;$J1915,'Hours Log'!$A:$A,"&lt;"&amp;$J1915+7))</f>
        <v/>
      </c>
      <c r="J1915" t="str">
        <f>IF(COUNT('Hours Log'!$A$4:$A$5000)=0,"",IF(MIN('Hours Log'!$A$4:$A$5000)+7*(ROW()-10)&gt;MAX('Hours Log'!$A$4:$A$5000),"",MIN('Hours Log'!$A$4:$A$5000)+7*(ROW()-10)))</f>
        <v/>
      </c>
    </row>
    <row r="1916" spans="1:10" x14ac:dyDescent="0.25">
      <c r="A1916" t="str">
        <f>IF($J1916="","",YEAR($J1916-WEEKDAY($J1916,2)+4)&amp;"-W"&amp;TEXT(_xludf.ISOWEEKNUM($J1916),"00"))</f>
        <v/>
      </c>
      <c r="B1916"/>
      <c r="C1916" t="str">
        <f>IF($J1916="","",SUMIFS('Hours Log'!$C:$C,'Hours Log'!$A:$A,"&gt;="&amp;$J1916,'Hours Log'!$A:$A,"&lt;"&amp;$J1916+7)+SUMIFS('Hours Log'!$D:$D,'Hours Log'!$A:$A,"&gt;="&amp;$J1916,'Hours Log'!$A:$A,"&lt;"&amp;$J1916+7))</f>
        <v/>
      </c>
      <c r="D1916" t="str">
        <f>IF($J1916="","",SUMIFS('Hours Log'!$D:$D,'Hours Log'!$A:$A,"&gt;="&amp;$J1916,'Hours Log'!$A:$A,"&lt;"&amp;$J1916+7))</f>
        <v/>
      </c>
      <c r="E1916" t="str">
        <f t="shared" si="58"/>
        <v/>
      </c>
      <c r="F1916" t="str">
        <f t="shared" si="59"/>
        <v/>
      </c>
      <c r="G1916" t="str">
        <f>IF($J1916="","",SUMIFS('Hours Log'!$E:$E,'Hours Log'!$A:$A,"&gt;="&amp;$J1916,'Hours Log'!$A:$A,"&lt;"&amp;$J1916+7))</f>
        <v/>
      </c>
      <c r="J1916" t="str">
        <f>IF(COUNT('Hours Log'!$A$4:$A$5000)=0,"",IF(MIN('Hours Log'!$A$4:$A$5000)+7*(ROW()-10)&gt;MAX('Hours Log'!$A$4:$A$5000),"",MIN('Hours Log'!$A$4:$A$5000)+7*(ROW()-10)))</f>
        <v/>
      </c>
    </row>
    <row r="1917" spans="1:10" x14ac:dyDescent="0.25">
      <c r="A1917" t="str">
        <f>IF($J1917="","",YEAR($J1917-WEEKDAY($J1917,2)+4)&amp;"-W"&amp;TEXT(_xludf.ISOWEEKNUM($J1917),"00"))</f>
        <v/>
      </c>
      <c r="B1917"/>
      <c r="C1917" t="str">
        <f>IF($J1917="","",SUMIFS('Hours Log'!$C:$C,'Hours Log'!$A:$A,"&gt;="&amp;$J1917,'Hours Log'!$A:$A,"&lt;"&amp;$J1917+7)+SUMIFS('Hours Log'!$D:$D,'Hours Log'!$A:$A,"&gt;="&amp;$J1917,'Hours Log'!$A:$A,"&lt;"&amp;$J1917+7))</f>
        <v/>
      </c>
      <c r="D1917" t="str">
        <f>IF($J1917="","",SUMIFS('Hours Log'!$D:$D,'Hours Log'!$A:$A,"&gt;="&amp;$J1917,'Hours Log'!$A:$A,"&lt;"&amp;$J1917+7))</f>
        <v/>
      </c>
      <c r="E1917" t="str">
        <f t="shared" si="58"/>
        <v/>
      </c>
      <c r="F1917" t="str">
        <f t="shared" si="59"/>
        <v/>
      </c>
      <c r="G1917" t="str">
        <f>IF($J1917="","",SUMIFS('Hours Log'!$E:$E,'Hours Log'!$A:$A,"&gt;="&amp;$J1917,'Hours Log'!$A:$A,"&lt;"&amp;$J1917+7))</f>
        <v/>
      </c>
      <c r="J1917" t="str">
        <f>IF(COUNT('Hours Log'!$A$4:$A$5000)=0,"",IF(MIN('Hours Log'!$A$4:$A$5000)+7*(ROW()-10)&gt;MAX('Hours Log'!$A$4:$A$5000),"",MIN('Hours Log'!$A$4:$A$5000)+7*(ROW()-10)))</f>
        <v/>
      </c>
    </row>
    <row r="1918" spans="1:10" x14ac:dyDescent="0.25">
      <c r="A1918" t="str">
        <f>IF($J1918="","",YEAR($J1918-WEEKDAY($J1918,2)+4)&amp;"-W"&amp;TEXT(_xludf.ISOWEEKNUM($J1918),"00"))</f>
        <v/>
      </c>
      <c r="B1918"/>
      <c r="C1918" t="str">
        <f>IF($J1918="","",SUMIFS('Hours Log'!$C:$C,'Hours Log'!$A:$A,"&gt;="&amp;$J1918,'Hours Log'!$A:$A,"&lt;"&amp;$J1918+7)+SUMIFS('Hours Log'!$D:$D,'Hours Log'!$A:$A,"&gt;="&amp;$J1918,'Hours Log'!$A:$A,"&lt;"&amp;$J1918+7))</f>
        <v/>
      </c>
      <c r="D1918" t="str">
        <f>IF($J1918="","",SUMIFS('Hours Log'!$D:$D,'Hours Log'!$A:$A,"&gt;="&amp;$J1918,'Hours Log'!$A:$A,"&lt;"&amp;$J1918+7))</f>
        <v/>
      </c>
      <c r="E1918" t="str">
        <f t="shared" si="58"/>
        <v/>
      </c>
      <c r="F1918" t="str">
        <f t="shared" si="59"/>
        <v/>
      </c>
      <c r="G1918" t="str">
        <f>IF($J1918="","",SUMIFS('Hours Log'!$E:$E,'Hours Log'!$A:$A,"&gt;="&amp;$J1918,'Hours Log'!$A:$A,"&lt;"&amp;$J1918+7))</f>
        <v/>
      </c>
      <c r="J1918" t="str">
        <f>IF(COUNT('Hours Log'!$A$4:$A$5000)=0,"",IF(MIN('Hours Log'!$A$4:$A$5000)+7*(ROW()-10)&gt;MAX('Hours Log'!$A$4:$A$5000),"",MIN('Hours Log'!$A$4:$A$5000)+7*(ROW()-10)))</f>
        <v/>
      </c>
    </row>
    <row r="1919" spans="1:10" x14ac:dyDescent="0.25">
      <c r="A1919" t="str">
        <f>IF($J1919="","",YEAR($J1919-WEEKDAY($J1919,2)+4)&amp;"-W"&amp;TEXT(_xludf.ISOWEEKNUM($J1919),"00"))</f>
        <v/>
      </c>
      <c r="B1919"/>
      <c r="C1919" t="str">
        <f>IF($J1919="","",SUMIFS('Hours Log'!$C:$C,'Hours Log'!$A:$A,"&gt;="&amp;$J1919,'Hours Log'!$A:$A,"&lt;"&amp;$J1919+7)+SUMIFS('Hours Log'!$D:$D,'Hours Log'!$A:$A,"&gt;="&amp;$J1919,'Hours Log'!$A:$A,"&lt;"&amp;$J1919+7))</f>
        <v/>
      </c>
      <c r="D1919" t="str">
        <f>IF($J1919="","",SUMIFS('Hours Log'!$D:$D,'Hours Log'!$A:$A,"&gt;="&amp;$J1919,'Hours Log'!$A:$A,"&lt;"&amp;$J1919+7))</f>
        <v/>
      </c>
      <c r="E1919" t="str">
        <f t="shared" si="58"/>
        <v/>
      </c>
      <c r="F1919" t="str">
        <f t="shared" si="59"/>
        <v/>
      </c>
      <c r="G1919" t="str">
        <f>IF($J1919="","",SUMIFS('Hours Log'!$E:$E,'Hours Log'!$A:$A,"&gt;="&amp;$J1919,'Hours Log'!$A:$A,"&lt;"&amp;$J1919+7))</f>
        <v/>
      </c>
      <c r="J1919" t="str">
        <f>IF(COUNT('Hours Log'!$A$4:$A$5000)=0,"",IF(MIN('Hours Log'!$A$4:$A$5000)+7*(ROW()-10)&gt;MAX('Hours Log'!$A$4:$A$5000),"",MIN('Hours Log'!$A$4:$A$5000)+7*(ROW()-10)))</f>
        <v/>
      </c>
    </row>
    <row r="1920" spans="1:10" x14ac:dyDescent="0.25">
      <c r="A1920" t="str">
        <f>IF($J1920="","",YEAR($J1920-WEEKDAY($J1920,2)+4)&amp;"-W"&amp;TEXT(_xludf.ISOWEEKNUM($J1920),"00"))</f>
        <v/>
      </c>
      <c r="B1920"/>
      <c r="C1920" t="str">
        <f>IF($J1920="","",SUMIFS('Hours Log'!$C:$C,'Hours Log'!$A:$A,"&gt;="&amp;$J1920,'Hours Log'!$A:$A,"&lt;"&amp;$J1920+7)+SUMIFS('Hours Log'!$D:$D,'Hours Log'!$A:$A,"&gt;="&amp;$J1920,'Hours Log'!$A:$A,"&lt;"&amp;$J1920+7))</f>
        <v/>
      </c>
      <c r="D1920" t="str">
        <f>IF($J1920="","",SUMIFS('Hours Log'!$D:$D,'Hours Log'!$A:$A,"&gt;="&amp;$J1920,'Hours Log'!$A:$A,"&lt;"&amp;$J1920+7))</f>
        <v/>
      </c>
      <c r="E1920" t="str">
        <f t="shared" si="58"/>
        <v/>
      </c>
      <c r="F1920" t="str">
        <f t="shared" si="59"/>
        <v/>
      </c>
      <c r="G1920" t="str">
        <f>IF($J1920="","",SUMIFS('Hours Log'!$E:$E,'Hours Log'!$A:$A,"&gt;="&amp;$J1920,'Hours Log'!$A:$A,"&lt;"&amp;$J1920+7))</f>
        <v/>
      </c>
      <c r="J1920" t="str">
        <f>IF(COUNT('Hours Log'!$A$4:$A$5000)=0,"",IF(MIN('Hours Log'!$A$4:$A$5000)+7*(ROW()-10)&gt;MAX('Hours Log'!$A$4:$A$5000),"",MIN('Hours Log'!$A$4:$A$5000)+7*(ROW()-10)))</f>
        <v/>
      </c>
    </row>
    <row r="1921" spans="1:10" x14ac:dyDescent="0.25">
      <c r="A1921" t="str">
        <f>IF($J1921="","",YEAR($J1921-WEEKDAY($J1921,2)+4)&amp;"-W"&amp;TEXT(_xludf.ISOWEEKNUM($J1921),"00"))</f>
        <v/>
      </c>
      <c r="B1921"/>
      <c r="C1921" t="str">
        <f>IF($J1921="","",SUMIFS('Hours Log'!$C:$C,'Hours Log'!$A:$A,"&gt;="&amp;$J1921,'Hours Log'!$A:$A,"&lt;"&amp;$J1921+7)+SUMIFS('Hours Log'!$D:$D,'Hours Log'!$A:$A,"&gt;="&amp;$J1921,'Hours Log'!$A:$A,"&lt;"&amp;$J1921+7))</f>
        <v/>
      </c>
      <c r="D1921" t="str">
        <f>IF($J1921="","",SUMIFS('Hours Log'!$D:$D,'Hours Log'!$A:$A,"&gt;="&amp;$J1921,'Hours Log'!$A:$A,"&lt;"&amp;$J1921+7))</f>
        <v/>
      </c>
      <c r="E1921" t="str">
        <f t="shared" si="58"/>
        <v/>
      </c>
      <c r="F1921" t="str">
        <f t="shared" si="59"/>
        <v/>
      </c>
      <c r="G1921" t="str">
        <f>IF($J1921="","",SUMIFS('Hours Log'!$E:$E,'Hours Log'!$A:$A,"&gt;="&amp;$J1921,'Hours Log'!$A:$A,"&lt;"&amp;$J1921+7))</f>
        <v/>
      </c>
      <c r="J1921" t="str">
        <f>IF(COUNT('Hours Log'!$A$4:$A$5000)=0,"",IF(MIN('Hours Log'!$A$4:$A$5000)+7*(ROW()-10)&gt;MAX('Hours Log'!$A$4:$A$5000),"",MIN('Hours Log'!$A$4:$A$5000)+7*(ROW()-10)))</f>
        <v/>
      </c>
    </row>
    <row r="1922" spans="1:10" x14ac:dyDescent="0.25">
      <c r="A1922" t="str">
        <f>IF($J1922="","",YEAR($J1922-WEEKDAY($J1922,2)+4)&amp;"-W"&amp;TEXT(_xludf.ISOWEEKNUM($J1922),"00"))</f>
        <v/>
      </c>
      <c r="B1922"/>
      <c r="C1922" t="str">
        <f>IF($J1922="","",SUMIFS('Hours Log'!$C:$C,'Hours Log'!$A:$A,"&gt;="&amp;$J1922,'Hours Log'!$A:$A,"&lt;"&amp;$J1922+7)+SUMIFS('Hours Log'!$D:$D,'Hours Log'!$A:$A,"&gt;="&amp;$J1922,'Hours Log'!$A:$A,"&lt;"&amp;$J1922+7))</f>
        <v/>
      </c>
      <c r="D1922" t="str">
        <f>IF($J1922="","",SUMIFS('Hours Log'!$D:$D,'Hours Log'!$A:$A,"&gt;="&amp;$J1922,'Hours Log'!$A:$A,"&lt;"&amp;$J1922+7))</f>
        <v/>
      </c>
      <c r="E1922" t="str">
        <f t="shared" si="58"/>
        <v/>
      </c>
      <c r="F1922" t="str">
        <f t="shared" si="59"/>
        <v/>
      </c>
      <c r="G1922" t="str">
        <f>IF($J1922="","",SUMIFS('Hours Log'!$E:$E,'Hours Log'!$A:$A,"&gt;="&amp;$J1922,'Hours Log'!$A:$A,"&lt;"&amp;$J1922+7))</f>
        <v/>
      </c>
      <c r="J1922" t="str">
        <f>IF(COUNT('Hours Log'!$A$4:$A$5000)=0,"",IF(MIN('Hours Log'!$A$4:$A$5000)+7*(ROW()-10)&gt;MAX('Hours Log'!$A$4:$A$5000),"",MIN('Hours Log'!$A$4:$A$5000)+7*(ROW()-10)))</f>
        <v/>
      </c>
    </row>
    <row r="1923" spans="1:10" x14ac:dyDescent="0.25">
      <c r="A1923" t="str">
        <f>IF($J1923="","",YEAR($J1923-WEEKDAY($J1923,2)+4)&amp;"-W"&amp;TEXT(_xludf.ISOWEEKNUM($J1923),"00"))</f>
        <v/>
      </c>
      <c r="B1923"/>
      <c r="C1923" t="str">
        <f>IF($J1923="","",SUMIFS('Hours Log'!$C:$C,'Hours Log'!$A:$A,"&gt;="&amp;$J1923,'Hours Log'!$A:$A,"&lt;"&amp;$J1923+7)+SUMIFS('Hours Log'!$D:$D,'Hours Log'!$A:$A,"&gt;="&amp;$J1923,'Hours Log'!$A:$A,"&lt;"&amp;$J1923+7))</f>
        <v/>
      </c>
      <c r="D1923" t="str">
        <f>IF($J1923="","",SUMIFS('Hours Log'!$D:$D,'Hours Log'!$A:$A,"&gt;="&amp;$J1923,'Hours Log'!$A:$A,"&lt;"&amp;$J1923+7))</f>
        <v/>
      </c>
      <c r="E1923" t="str">
        <f t="shared" si="58"/>
        <v/>
      </c>
      <c r="F1923" t="str">
        <f t="shared" si="59"/>
        <v/>
      </c>
      <c r="G1923" t="str">
        <f>IF($J1923="","",SUMIFS('Hours Log'!$E:$E,'Hours Log'!$A:$A,"&gt;="&amp;$J1923,'Hours Log'!$A:$A,"&lt;"&amp;$J1923+7))</f>
        <v/>
      </c>
      <c r="J1923" t="str">
        <f>IF(COUNT('Hours Log'!$A$4:$A$5000)=0,"",IF(MIN('Hours Log'!$A$4:$A$5000)+7*(ROW()-10)&gt;MAX('Hours Log'!$A$4:$A$5000),"",MIN('Hours Log'!$A$4:$A$5000)+7*(ROW()-10)))</f>
        <v/>
      </c>
    </row>
    <row r="1924" spans="1:10" x14ac:dyDescent="0.25">
      <c r="A1924" t="str">
        <f>IF($J1924="","",YEAR($J1924-WEEKDAY($J1924,2)+4)&amp;"-W"&amp;TEXT(_xludf.ISOWEEKNUM($J1924),"00"))</f>
        <v/>
      </c>
      <c r="B1924"/>
      <c r="C1924" t="str">
        <f>IF($J1924="","",SUMIFS('Hours Log'!$C:$C,'Hours Log'!$A:$A,"&gt;="&amp;$J1924,'Hours Log'!$A:$A,"&lt;"&amp;$J1924+7)+SUMIFS('Hours Log'!$D:$D,'Hours Log'!$A:$A,"&gt;="&amp;$J1924,'Hours Log'!$A:$A,"&lt;"&amp;$J1924+7))</f>
        <v/>
      </c>
      <c r="D1924" t="str">
        <f>IF($J1924="","",SUMIFS('Hours Log'!$D:$D,'Hours Log'!$A:$A,"&gt;="&amp;$J1924,'Hours Log'!$A:$A,"&lt;"&amp;$J1924+7))</f>
        <v/>
      </c>
      <c r="E1924" t="str">
        <f t="shared" si="58"/>
        <v/>
      </c>
      <c r="F1924" t="str">
        <f t="shared" si="59"/>
        <v/>
      </c>
      <c r="G1924" t="str">
        <f>IF($J1924="","",SUMIFS('Hours Log'!$E:$E,'Hours Log'!$A:$A,"&gt;="&amp;$J1924,'Hours Log'!$A:$A,"&lt;"&amp;$J1924+7))</f>
        <v/>
      </c>
      <c r="J1924" t="str">
        <f>IF(COUNT('Hours Log'!$A$4:$A$5000)=0,"",IF(MIN('Hours Log'!$A$4:$A$5000)+7*(ROW()-10)&gt;MAX('Hours Log'!$A$4:$A$5000),"",MIN('Hours Log'!$A$4:$A$5000)+7*(ROW()-10)))</f>
        <v/>
      </c>
    </row>
    <row r="1925" spans="1:10" x14ac:dyDescent="0.25">
      <c r="A1925" t="str">
        <f>IF($J1925="","",YEAR($J1925-WEEKDAY($J1925,2)+4)&amp;"-W"&amp;TEXT(_xludf.ISOWEEKNUM($J1925),"00"))</f>
        <v/>
      </c>
      <c r="B1925"/>
      <c r="C1925" t="str">
        <f>IF($J1925="","",SUMIFS('Hours Log'!$C:$C,'Hours Log'!$A:$A,"&gt;="&amp;$J1925,'Hours Log'!$A:$A,"&lt;"&amp;$J1925+7)+SUMIFS('Hours Log'!$D:$D,'Hours Log'!$A:$A,"&gt;="&amp;$J1925,'Hours Log'!$A:$A,"&lt;"&amp;$J1925+7))</f>
        <v/>
      </c>
      <c r="D1925" t="str">
        <f>IF($J1925="","",SUMIFS('Hours Log'!$D:$D,'Hours Log'!$A:$A,"&gt;="&amp;$J1925,'Hours Log'!$A:$A,"&lt;"&amp;$J1925+7))</f>
        <v/>
      </c>
      <c r="E1925" t="str">
        <f t="shared" si="58"/>
        <v/>
      </c>
      <c r="F1925" t="str">
        <f t="shared" si="59"/>
        <v/>
      </c>
      <c r="G1925" t="str">
        <f>IF($J1925="","",SUMIFS('Hours Log'!$E:$E,'Hours Log'!$A:$A,"&gt;="&amp;$J1925,'Hours Log'!$A:$A,"&lt;"&amp;$J1925+7))</f>
        <v/>
      </c>
      <c r="J1925" t="str">
        <f>IF(COUNT('Hours Log'!$A$4:$A$5000)=0,"",IF(MIN('Hours Log'!$A$4:$A$5000)+7*(ROW()-10)&gt;MAX('Hours Log'!$A$4:$A$5000),"",MIN('Hours Log'!$A$4:$A$5000)+7*(ROW()-10)))</f>
        <v/>
      </c>
    </row>
    <row r="1926" spans="1:10" x14ac:dyDescent="0.25">
      <c r="A1926" t="str">
        <f>IF($J1926="","",YEAR($J1926-WEEKDAY($J1926,2)+4)&amp;"-W"&amp;TEXT(_xludf.ISOWEEKNUM($J1926),"00"))</f>
        <v/>
      </c>
      <c r="B1926"/>
      <c r="C1926" t="str">
        <f>IF($J1926="","",SUMIFS('Hours Log'!$C:$C,'Hours Log'!$A:$A,"&gt;="&amp;$J1926,'Hours Log'!$A:$A,"&lt;"&amp;$J1926+7)+SUMIFS('Hours Log'!$D:$D,'Hours Log'!$A:$A,"&gt;="&amp;$J1926,'Hours Log'!$A:$A,"&lt;"&amp;$J1926+7))</f>
        <v/>
      </c>
      <c r="D1926" t="str">
        <f>IF($J1926="","",SUMIFS('Hours Log'!$D:$D,'Hours Log'!$A:$A,"&gt;="&amp;$J1926,'Hours Log'!$A:$A,"&lt;"&amp;$J1926+7))</f>
        <v/>
      </c>
      <c r="E1926" t="str">
        <f t="shared" si="58"/>
        <v/>
      </c>
      <c r="F1926" t="str">
        <f t="shared" si="59"/>
        <v/>
      </c>
      <c r="G1926" t="str">
        <f>IF($J1926="","",SUMIFS('Hours Log'!$E:$E,'Hours Log'!$A:$A,"&gt;="&amp;$J1926,'Hours Log'!$A:$A,"&lt;"&amp;$J1926+7))</f>
        <v/>
      </c>
      <c r="J1926" t="str">
        <f>IF(COUNT('Hours Log'!$A$4:$A$5000)=0,"",IF(MIN('Hours Log'!$A$4:$A$5000)+7*(ROW()-10)&gt;MAX('Hours Log'!$A$4:$A$5000),"",MIN('Hours Log'!$A$4:$A$5000)+7*(ROW()-10)))</f>
        <v/>
      </c>
    </row>
    <row r="1927" spans="1:10" x14ac:dyDescent="0.25">
      <c r="A1927" t="str">
        <f>IF($J1927="","",YEAR($J1927-WEEKDAY($J1927,2)+4)&amp;"-W"&amp;TEXT(_xludf.ISOWEEKNUM($J1927),"00"))</f>
        <v/>
      </c>
      <c r="B1927"/>
      <c r="C1927" t="str">
        <f>IF($J1927="","",SUMIFS('Hours Log'!$C:$C,'Hours Log'!$A:$A,"&gt;="&amp;$J1927,'Hours Log'!$A:$A,"&lt;"&amp;$J1927+7)+SUMIFS('Hours Log'!$D:$D,'Hours Log'!$A:$A,"&gt;="&amp;$J1927,'Hours Log'!$A:$A,"&lt;"&amp;$J1927+7))</f>
        <v/>
      </c>
      <c r="D1927" t="str">
        <f>IF($J1927="","",SUMIFS('Hours Log'!$D:$D,'Hours Log'!$A:$A,"&gt;="&amp;$J1927,'Hours Log'!$A:$A,"&lt;"&amp;$J1927+7))</f>
        <v/>
      </c>
      <c r="E1927" t="str">
        <f t="shared" si="58"/>
        <v/>
      </c>
      <c r="F1927" t="str">
        <f t="shared" si="59"/>
        <v/>
      </c>
      <c r="G1927" t="str">
        <f>IF($J1927="","",SUMIFS('Hours Log'!$E:$E,'Hours Log'!$A:$A,"&gt;="&amp;$J1927,'Hours Log'!$A:$A,"&lt;"&amp;$J1927+7))</f>
        <v/>
      </c>
      <c r="J1927" t="str">
        <f>IF(COUNT('Hours Log'!$A$4:$A$5000)=0,"",IF(MIN('Hours Log'!$A$4:$A$5000)+7*(ROW()-10)&gt;MAX('Hours Log'!$A$4:$A$5000),"",MIN('Hours Log'!$A$4:$A$5000)+7*(ROW()-10)))</f>
        <v/>
      </c>
    </row>
    <row r="1928" spans="1:10" x14ac:dyDescent="0.25">
      <c r="A1928" t="str">
        <f>IF($J1928="","",YEAR($J1928-WEEKDAY($J1928,2)+4)&amp;"-W"&amp;TEXT(_xludf.ISOWEEKNUM($J1928),"00"))</f>
        <v/>
      </c>
      <c r="B1928"/>
      <c r="C1928" t="str">
        <f>IF($J1928="","",SUMIFS('Hours Log'!$C:$C,'Hours Log'!$A:$A,"&gt;="&amp;$J1928,'Hours Log'!$A:$A,"&lt;"&amp;$J1928+7)+SUMIFS('Hours Log'!$D:$D,'Hours Log'!$A:$A,"&gt;="&amp;$J1928,'Hours Log'!$A:$A,"&lt;"&amp;$J1928+7))</f>
        <v/>
      </c>
      <c r="D1928" t="str">
        <f>IF($J1928="","",SUMIFS('Hours Log'!$D:$D,'Hours Log'!$A:$A,"&gt;="&amp;$J1928,'Hours Log'!$A:$A,"&lt;"&amp;$J1928+7))</f>
        <v/>
      </c>
      <c r="E1928" t="str">
        <f t="shared" si="58"/>
        <v/>
      </c>
      <c r="F1928" t="str">
        <f t="shared" si="59"/>
        <v/>
      </c>
      <c r="G1928" t="str">
        <f>IF($J1928="","",SUMIFS('Hours Log'!$E:$E,'Hours Log'!$A:$A,"&gt;="&amp;$J1928,'Hours Log'!$A:$A,"&lt;"&amp;$J1928+7))</f>
        <v/>
      </c>
      <c r="J1928" t="str">
        <f>IF(COUNT('Hours Log'!$A$4:$A$5000)=0,"",IF(MIN('Hours Log'!$A$4:$A$5000)+7*(ROW()-10)&gt;MAX('Hours Log'!$A$4:$A$5000),"",MIN('Hours Log'!$A$4:$A$5000)+7*(ROW()-10)))</f>
        <v/>
      </c>
    </row>
    <row r="1929" spans="1:10" x14ac:dyDescent="0.25">
      <c r="A1929" t="str">
        <f>IF($J1929="","",YEAR($J1929-WEEKDAY($J1929,2)+4)&amp;"-W"&amp;TEXT(_xludf.ISOWEEKNUM($J1929),"00"))</f>
        <v/>
      </c>
      <c r="B1929"/>
      <c r="C1929" t="str">
        <f>IF($J1929="","",SUMIFS('Hours Log'!$C:$C,'Hours Log'!$A:$A,"&gt;="&amp;$J1929,'Hours Log'!$A:$A,"&lt;"&amp;$J1929+7)+SUMIFS('Hours Log'!$D:$D,'Hours Log'!$A:$A,"&gt;="&amp;$J1929,'Hours Log'!$A:$A,"&lt;"&amp;$J1929+7))</f>
        <v/>
      </c>
      <c r="D1929" t="str">
        <f>IF($J1929="","",SUMIFS('Hours Log'!$D:$D,'Hours Log'!$A:$A,"&gt;="&amp;$J1929,'Hours Log'!$A:$A,"&lt;"&amp;$J1929+7))</f>
        <v/>
      </c>
      <c r="E1929" t="str">
        <f t="shared" si="58"/>
        <v/>
      </c>
      <c r="F1929" t="str">
        <f t="shared" si="59"/>
        <v/>
      </c>
      <c r="G1929" t="str">
        <f>IF($J1929="","",SUMIFS('Hours Log'!$E:$E,'Hours Log'!$A:$A,"&gt;="&amp;$J1929,'Hours Log'!$A:$A,"&lt;"&amp;$J1929+7))</f>
        <v/>
      </c>
      <c r="J1929" t="str">
        <f>IF(COUNT('Hours Log'!$A$4:$A$5000)=0,"",IF(MIN('Hours Log'!$A$4:$A$5000)+7*(ROW()-10)&gt;MAX('Hours Log'!$A$4:$A$5000),"",MIN('Hours Log'!$A$4:$A$5000)+7*(ROW()-10)))</f>
        <v/>
      </c>
    </row>
    <row r="1930" spans="1:10" x14ac:dyDescent="0.25">
      <c r="A1930" t="str">
        <f>IF($J1930="","",YEAR($J1930-WEEKDAY($J1930,2)+4)&amp;"-W"&amp;TEXT(_xludf.ISOWEEKNUM($J1930),"00"))</f>
        <v/>
      </c>
      <c r="B1930"/>
      <c r="C1930" t="str">
        <f>IF($J1930="","",SUMIFS('Hours Log'!$C:$C,'Hours Log'!$A:$A,"&gt;="&amp;$J1930,'Hours Log'!$A:$A,"&lt;"&amp;$J1930+7)+SUMIFS('Hours Log'!$D:$D,'Hours Log'!$A:$A,"&gt;="&amp;$J1930,'Hours Log'!$A:$A,"&lt;"&amp;$J1930+7))</f>
        <v/>
      </c>
      <c r="D1930" t="str">
        <f>IF($J1930="","",SUMIFS('Hours Log'!$D:$D,'Hours Log'!$A:$A,"&gt;="&amp;$J1930,'Hours Log'!$A:$A,"&lt;"&amp;$J1930+7))</f>
        <v/>
      </c>
      <c r="E1930" t="str">
        <f t="shared" ref="E1930:E1993" si="60">IF($J1930="","",IFERROR(C1930/(B1930*40),0))</f>
        <v/>
      </c>
      <c r="F1930" t="str">
        <f t="shared" ref="F1930:F1993" si="61">IF($J1930="","",0)</f>
        <v/>
      </c>
      <c r="G1930" t="str">
        <f>IF($J1930="","",SUMIFS('Hours Log'!$E:$E,'Hours Log'!$A:$A,"&gt;="&amp;$J1930,'Hours Log'!$A:$A,"&lt;"&amp;$J1930+7))</f>
        <v/>
      </c>
      <c r="J1930" t="str">
        <f>IF(COUNT('Hours Log'!$A$4:$A$5000)=0,"",IF(MIN('Hours Log'!$A$4:$A$5000)+7*(ROW()-10)&gt;MAX('Hours Log'!$A$4:$A$5000),"",MIN('Hours Log'!$A$4:$A$5000)+7*(ROW()-10)))</f>
        <v/>
      </c>
    </row>
    <row r="1931" spans="1:10" x14ac:dyDescent="0.25">
      <c r="A1931" t="str">
        <f>IF($J1931="","",YEAR($J1931-WEEKDAY($J1931,2)+4)&amp;"-W"&amp;TEXT(_xludf.ISOWEEKNUM($J1931),"00"))</f>
        <v/>
      </c>
      <c r="B1931"/>
      <c r="C1931" t="str">
        <f>IF($J1931="","",SUMIFS('Hours Log'!$C:$C,'Hours Log'!$A:$A,"&gt;="&amp;$J1931,'Hours Log'!$A:$A,"&lt;"&amp;$J1931+7)+SUMIFS('Hours Log'!$D:$D,'Hours Log'!$A:$A,"&gt;="&amp;$J1931,'Hours Log'!$A:$A,"&lt;"&amp;$J1931+7))</f>
        <v/>
      </c>
      <c r="D1931" t="str">
        <f>IF($J1931="","",SUMIFS('Hours Log'!$D:$D,'Hours Log'!$A:$A,"&gt;="&amp;$J1931,'Hours Log'!$A:$A,"&lt;"&amp;$J1931+7))</f>
        <v/>
      </c>
      <c r="E1931" t="str">
        <f t="shared" si="60"/>
        <v/>
      </c>
      <c r="F1931" t="str">
        <f t="shared" si="61"/>
        <v/>
      </c>
      <c r="G1931" t="str">
        <f>IF($J1931="","",SUMIFS('Hours Log'!$E:$E,'Hours Log'!$A:$A,"&gt;="&amp;$J1931,'Hours Log'!$A:$A,"&lt;"&amp;$J1931+7))</f>
        <v/>
      </c>
      <c r="J1931" t="str">
        <f>IF(COUNT('Hours Log'!$A$4:$A$5000)=0,"",IF(MIN('Hours Log'!$A$4:$A$5000)+7*(ROW()-10)&gt;MAX('Hours Log'!$A$4:$A$5000),"",MIN('Hours Log'!$A$4:$A$5000)+7*(ROW()-10)))</f>
        <v/>
      </c>
    </row>
    <row r="1932" spans="1:10" x14ac:dyDescent="0.25">
      <c r="A1932" t="str">
        <f>IF($J1932="","",YEAR($J1932-WEEKDAY($J1932,2)+4)&amp;"-W"&amp;TEXT(_xludf.ISOWEEKNUM($J1932),"00"))</f>
        <v/>
      </c>
      <c r="B1932"/>
      <c r="C1932" t="str">
        <f>IF($J1932="","",SUMIFS('Hours Log'!$C:$C,'Hours Log'!$A:$A,"&gt;="&amp;$J1932,'Hours Log'!$A:$A,"&lt;"&amp;$J1932+7)+SUMIFS('Hours Log'!$D:$D,'Hours Log'!$A:$A,"&gt;="&amp;$J1932,'Hours Log'!$A:$A,"&lt;"&amp;$J1932+7))</f>
        <v/>
      </c>
      <c r="D1932" t="str">
        <f>IF($J1932="","",SUMIFS('Hours Log'!$D:$D,'Hours Log'!$A:$A,"&gt;="&amp;$J1932,'Hours Log'!$A:$A,"&lt;"&amp;$J1932+7))</f>
        <v/>
      </c>
      <c r="E1932" t="str">
        <f t="shared" si="60"/>
        <v/>
      </c>
      <c r="F1932" t="str">
        <f t="shared" si="61"/>
        <v/>
      </c>
      <c r="G1932" t="str">
        <f>IF($J1932="","",SUMIFS('Hours Log'!$E:$E,'Hours Log'!$A:$A,"&gt;="&amp;$J1932,'Hours Log'!$A:$A,"&lt;"&amp;$J1932+7))</f>
        <v/>
      </c>
      <c r="J1932" t="str">
        <f>IF(COUNT('Hours Log'!$A$4:$A$5000)=0,"",IF(MIN('Hours Log'!$A$4:$A$5000)+7*(ROW()-10)&gt;MAX('Hours Log'!$A$4:$A$5000),"",MIN('Hours Log'!$A$4:$A$5000)+7*(ROW()-10)))</f>
        <v/>
      </c>
    </row>
    <row r="1933" spans="1:10" x14ac:dyDescent="0.25">
      <c r="A1933" t="str">
        <f>IF($J1933="","",YEAR($J1933-WEEKDAY($J1933,2)+4)&amp;"-W"&amp;TEXT(_xludf.ISOWEEKNUM($J1933),"00"))</f>
        <v/>
      </c>
      <c r="B1933"/>
      <c r="C1933" t="str">
        <f>IF($J1933="","",SUMIFS('Hours Log'!$C:$C,'Hours Log'!$A:$A,"&gt;="&amp;$J1933,'Hours Log'!$A:$A,"&lt;"&amp;$J1933+7)+SUMIFS('Hours Log'!$D:$D,'Hours Log'!$A:$A,"&gt;="&amp;$J1933,'Hours Log'!$A:$A,"&lt;"&amp;$J1933+7))</f>
        <v/>
      </c>
      <c r="D1933" t="str">
        <f>IF($J1933="","",SUMIFS('Hours Log'!$D:$D,'Hours Log'!$A:$A,"&gt;="&amp;$J1933,'Hours Log'!$A:$A,"&lt;"&amp;$J1933+7))</f>
        <v/>
      </c>
      <c r="E1933" t="str">
        <f t="shared" si="60"/>
        <v/>
      </c>
      <c r="F1933" t="str">
        <f t="shared" si="61"/>
        <v/>
      </c>
      <c r="G1933" t="str">
        <f>IF($J1933="","",SUMIFS('Hours Log'!$E:$E,'Hours Log'!$A:$A,"&gt;="&amp;$J1933,'Hours Log'!$A:$A,"&lt;"&amp;$J1933+7))</f>
        <v/>
      </c>
      <c r="J1933" t="str">
        <f>IF(COUNT('Hours Log'!$A$4:$A$5000)=0,"",IF(MIN('Hours Log'!$A$4:$A$5000)+7*(ROW()-10)&gt;MAX('Hours Log'!$A$4:$A$5000),"",MIN('Hours Log'!$A$4:$A$5000)+7*(ROW()-10)))</f>
        <v/>
      </c>
    </row>
    <row r="1934" spans="1:10" x14ac:dyDescent="0.25">
      <c r="A1934" t="str">
        <f>IF($J1934="","",YEAR($J1934-WEEKDAY($J1934,2)+4)&amp;"-W"&amp;TEXT(_xludf.ISOWEEKNUM($J1934),"00"))</f>
        <v/>
      </c>
      <c r="B1934"/>
      <c r="C1934" t="str">
        <f>IF($J1934="","",SUMIFS('Hours Log'!$C:$C,'Hours Log'!$A:$A,"&gt;="&amp;$J1934,'Hours Log'!$A:$A,"&lt;"&amp;$J1934+7)+SUMIFS('Hours Log'!$D:$D,'Hours Log'!$A:$A,"&gt;="&amp;$J1934,'Hours Log'!$A:$A,"&lt;"&amp;$J1934+7))</f>
        <v/>
      </c>
      <c r="D1934" t="str">
        <f>IF($J1934="","",SUMIFS('Hours Log'!$D:$D,'Hours Log'!$A:$A,"&gt;="&amp;$J1934,'Hours Log'!$A:$A,"&lt;"&amp;$J1934+7))</f>
        <v/>
      </c>
      <c r="E1934" t="str">
        <f t="shared" si="60"/>
        <v/>
      </c>
      <c r="F1934" t="str">
        <f t="shared" si="61"/>
        <v/>
      </c>
      <c r="G1934" t="str">
        <f>IF($J1934="","",SUMIFS('Hours Log'!$E:$E,'Hours Log'!$A:$A,"&gt;="&amp;$J1934,'Hours Log'!$A:$A,"&lt;"&amp;$J1934+7))</f>
        <v/>
      </c>
      <c r="J1934" t="str">
        <f>IF(COUNT('Hours Log'!$A$4:$A$5000)=0,"",IF(MIN('Hours Log'!$A$4:$A$5000)+7*(ROW()-10)&gt;MAX('Hours Log'!$A$4:$A$5000),"",MIN('Hours Log'!$A$4:$A$5000)+7*(ROW()-10)))</f>
        <v/>
      </c>
    </row>
    <row r="1935" spans="1:10" x14ac:dyDescent="0.25">
      <c r="A1935" t="str">
        <f>IF($J1935="","",YEAR($J1935-WEEKDAY($J1935,2)+4)&amp;"-W"&amp;TEXT(_xludf.ISOWEEKNUM($J1935),"00"))</f>
        <v/>
      </c>
      <c r="B1935"/>
      <c r="C1935" t="str">
        <f>IF($J1935="","",SUMIFS('Hours Log'!$C:$C,'Hours Log'!$A:$A,"&gt;="&amp;$J1935,'Hours Log'!$A:$A,"&lt;"&amp;$J1935+7)+SUMIFS('Hours Log'!$D:$D,'Hours Log'!$A:$A,"&gt;="&amp;$J1935,'Hours Log'!$A:$A,"&lt;"&amp;$J1935+7))</f>
        <v/>
      </c>
      <c r="D1935" t="str">
        <f>IF($J1935="","",SUMIFS('Hours Log'!$D:$D,'Hours Log'!$A:$A,"&gt;="&amp;$J1935,'Hours Log'!$A:$A,"&lt;"&amp;$J1935+7))</f>
        <v/>
      </c>
      <c r="E1935" t="str">
        <f t="shared" si="60"/>
        <v/>
      </c>
      <c r="F1935" t="str">
        <f t="shared" si="61"/>
        <v/>
      </c>
      <c r="G1935" t="str">
        <f>IF($J1935="","",SUMIFS('Hours Log'!$E:$E,'Hours Log'!$A:$A,"&gt;="&amp;$J1935,'Hours Log'!$A:$A,"&lt;"&amp;$J1935+7))</f>
        <v/>
      </c>
      <c r="J1935" t="str">
        <f>IF(COUNT('Hours Log'!$A$4:$A$5000)=0,"",IF(MIN('Hours Log'!$A$4:$A$5000)+7*(ROW()-10)&gt;MAX('Hours Log'!$A$4:$A$5000),"",MIN('Hours Log'!$A$4:$A$5000)+7*(ROW()-10)))</f>
        <v/>
      </c>
    </row>
    <row r="1936" spans="1:10" x14ac:dyDescent="0.25">
      <c r="A1936" t="str">
        <f>IF($J1936="","",YEAR($J1936-WEEKDAY($J1936,2)+4)&amp;"-W"&amp;TEXT(_xludf.ISOWEEKNUM($J1936),"00"))</f>
        <v/>
      </c>
      <c r="B1936"/>
      <c r="C1936" t="str">
        <f>IF($J1936="","",SUMIFS('Hours Log'!$C:$C,'Hours Log'!$A:$A,"&gt;="&amp;$J1936,'Hours Log'!$A:$A,"&lt;"&amp;$J1936+7)+SUMIFS('Hours Log'!$D:$D,'Hours Log'!$A:$A,"&gt;="&amp;$J1936,'Hours Log'!$A:$A,"&lt;"&amp;$J1936+7))</f>
        <v/>
      </c>
      <c r="D1936" t="str">
        <f>IF($J1936="","",SUMIFS('Hours Log'!$D:$D,'Hours Log'!$A:$A,"&gt;="&amp;$J1936,'Hours Log'!$A:$A,"&lt;"&amp;$J1936+7))</f>
        <v/>
      </c>
      <c r="E1936" t="str">
        <f t="shared" si="60"/>
        <v/>
      </c>
      <c r="F1936" t="str">
        <f t="shared" si="61"/>
        <v/>
      </c>
      <c r="G1936" t="str">
        <f>IF($J1936="","",SUMIFS('Hours Log'!$E:$E,'Hours Log'!$A:$A,"&gt;="&amp;$J1936,'Hours Log'!$A:$A,"&lt;"&amp;$J1936+7))</f>
        <v/>
      </c>
      <c r="J1936" t="str">
        <f>IF(COUNT('Hours Log'!$A$4:$A$5000)=0,"",IF(MIN('Hours Log'!$A$4:$A$5000)+7*(ROW()-10)&gt;MAX('Hours Log'!$A$4:$A$5000),"",MIN('Hours Log'!$A$4:$A$5000)+7*(ROW()-10)))</f>
        <v/>
      </c>
    </row>
    <row r="1937" spans="1:10" x14ac:dyDescent="0.25">
      <c r="A1937" t="str">
        <f>IF($J1937="","",YEAR($J1937-WEEKDAY($J1937,2)+4)&amp;"-W"&amp;TEXT(_xludf.ISOWEEKNUM($J1937),"00"))</f>
        <v/>
      </c>
      <c r="B1937"/>
      <c r="C1937" t="str">
        <f>IF($J1937="","",SUMIFS('Hours Log'!$C:$C,'Hours Log'!$A:$A,"&gt;="&amp;$J1937,'Hours Log'!$A:$A,"&lt;"&amp;$J1937+7)+SUMIFS('Hours Log'!$D:$D,'Hours Log'!$A:$A,"&gt;="&amp;$J1937,'Hours Log'!$A:$A,"&lt;"&amp;$J1937+7))</f>
        <v/>
      </c>
      <c r="D1937" t="str">
        <f>IF($J1937="","",SUMIFS('Hours Log'!$D:$D,'Hours Log'!$A:$A,"&gt;="&amp;$J1937,'Hours Log'!$A:$A,"&lt;"&amp;$J1937+7))</f>
        <v/>
      </c>
      <c r="E1937" t="str">
        <f t="shared" si="60"/>
        <v/>
      </c>
      <c r="F1937" t="str">
        <f t="shared" si="61"/>
        <v/>
      </c>
      <c r="G1937" t="str">
        <f>IF($J1937="","",SUMIFS('Hours Log'!$E:$E,'Hours Log'!$A:$A,"&gt;="&amp;$J1937,'Hours Log'!$A:$A,"&lt;"&amp;$J1937+7))</f>
        <v/>
      </c>
      <c r="J1937" t="str">
        <f>IF(COUNT('Hours Log'!$A$4:$A$5000)=0,"",IF(MIN('Hours Log'!$A$4:$A$5000)+7*(ROW()-10)&gt;MAX('Hours Log'!$A$4:$A$5000),"",MIN('Hours Log'!$A$4:$A$5000)+7*(ROW()-10)))</f>
        <v/>
      </c>
    </row>
    <row r="1938" spans="1:10" x14ac:dyDescent="0.25">
      <c r="A1938" t="str">
        <f>IF($J1938="","",YEAR($J1938-WEEKDAY($J1938,2)+4)&amp;"-W"&amp;TEXT(_xludf.ISOWEEKNUM($J1938),"00"))</f>
        <v/>
      </c>
      <c r="B1938"/>
      <c r="C1938" t="str">
        <f>IF($J1938="","",SUMIFS('Hours Log'!$C:$C,'Hours Log'!$A:$A,"&gt;="&amp;$J1938,'Hours Log'!$A:$A,"&lt;"&amp;$J1938+7)+SUMIFS('Hours Log'!$D:$D,'Hours Log'!$A:$A,"&gt;="&amp;$J1938,'Hours Log'!$A:$A,"&lt;"&amp;$J1938+7))</f>
        <v/>
      </c>
      <c r="D1938" t="str">
        <f>IF($J1938="","",SUMIFS('Hours Log'!$D:$D,'Hours Log'!$A:$A,"&gt;="&amp;$J1938,'Hours Log'!$A:$A,"&lt;"&amp;$J1938+7))</f>
        <v/>
      </c>
      <c r="E1938" t="str">
        <f t="shared" si="60"/>
        <v/>
      </c>
      <c r="F1938" t="str">
        <f t="shared" si="61"/>
        <v/>
      </c>
      <c r="G1938" t="str">
        <f>IF($J1938="","",SUMIFS('Hours Log'!$E:$E,'Hours Log'!$A:$A,"&gt;="&amp;$J1938,'Hours Log'!$A:$A,"&lt;"&amp;$J1938+7))</f>
        <v/>
      </c>
      <c r="J1938" t="str">
        <f>IF(COUNT('Hours Log'!$A$4:$A$5000)=0,"",IF(MIN('Hours Log'!$A$4:$A$5000)+7*(ROW()-10)&gt;MAX('Hours Log'!$A$4:$A$5000),"",MIN('Hours Log'!$A$4:$A$5000)+7*(ROW()-10)))</f>
        <v/>
      </c>
    </row>
    <row r="1939" spans="1:10" x14ac:dyDescent="0.25">
      <c r="A1939" t="str">
        <f>IF($J1939="","",YEAR($J1939-WEEKDAY($J1939,2)+4)&amp;"-W"&amp;TEXT(_xludf.ISOWEEKNUM($J1939),"00"))</f>
        <v/>
      </c>
      <c r="B1939"/>
      <c r="C1939" t="str">
        <f>IF($J1939="","",SUMIFS('Hours Log'!$C:$C,'Hours Log'!$A:$A,"&gt;="&amp;$J1939,'Hours Log'!$A:$A,"&lt;"&amp;$J1939+7)+SUMIFS('Hours Log'!$D:$D,'Hours Log'!$A:$A,"&gt;="&amp;$J1939,'Hours Log'!$A:$A,"&lt;"&amp;$J1939+7))</f>
        <v/>
      </c>
      <c r="D1939" t="str">
        <f>IF($J1939="","",SUMIFS('Hours Log'!$D:$D,'Hours Log'!$A:$A,"&gt;="&amp;$J1939,'Hours Log'!$A:$A,"&lt;"&amp;$J1939+7))</f>
        <v/>
      </c>
      <c r="E1939" t="str">
        <f t="shared" si="60"/>
        <v/>
      </c>
      <c r="F1939" t="str">
        <f t="shared" si="61"/>
        <v/>
      </c>
      <c r="G1939" t="str">
        <f>IF($J1939="","",SUMIFS('Hours Log'!$E:$E,'Hours Log'!$A:$A,"&gt;="&amp;$J1939,'Hours Log'!$A:$A,"&lt;"&amp;$J1939+7))</f>
        <v/>
      </c>
      <c r="J1939" t="str">
        <f>IF(COUNT('Hours Log'!$A$4:$A$5000)=0,"",IF(MIN('Hours Log'!$A$4:$A$5000)+7*(ROW()-10)&gt;MAX('Hours Log'!$A$4:$A$5000),"",MIN('Hours Log'!$A$4:$A$5000)+7*(ROW()-10)))</f>
        <v/>
      </c>
    </row>
    <row r="1940" spans="1:10" x14ac:dyDescent="0.25">
      <c r="A1940" t="str">
        <f>IF($J1940="","",YEAR($J1940-WEEKDAY($J1940,2)+4)&amp;"-W"&amp;TEXT(_xludf.ISOWEEKNUM($J1940),"00"))</f>
        <v/>
      </c>
      <c r="B1940"/>
      <c r="C1940" t="str">
        <f>IF($J1940="","",SUMIFS('Hours Log'!$C:$C,'Hours Log'!$A:$A,"&gt;="&amp;$J1940,'Hours Log'!$A:$A,"&lt;"&amp;$J1940+7)+SUMIFS('Hours Log'!$D:$D,'Hours Log'!$A:$A,"&gt;="&amp;$J1940,'Hours Log'!$A:$A,"&lt;"&amp;$J1940+7))</f>
        <v/>
      </c>
      <c r="D1940" t="str">
        <f>IF($J1940="","",SUMIFS('Hours Log'!$D:$D,'Hours Log'!$A:$A,"&gt;="&amp;$J1940,'Hours Log'!$A:$A,"&lt;"&amp;$J1940+7))</f>
        <v/>
      </c>
      <c r="E1940" t="str">
        <f t="shared" si="60"/>
        <v/>
      </c>
      <c r="F1940" t="str">
        <f t="shared" si="61"/>
        <v/>
      </c>
      <c r="G1940" t="str">
        <f>IF($J1940="","",SUMIFS('Hours Log'!$E:$E,'Hours Log'!$A:$A,"&gt;="&amp;$J1940,'Hours Log'!$A:$A,"&lt;"&amp;$J1940+7))</f>
        <v/>
      </c>
      <c r="J1940" t="str">
        <f>IF(COUNT('Hours Log'!$A$4:$A$5000)=0,"",IF(MIN('Hours Log'!$A$4:$A$5000)+7*(ROW()-10)&gt;MAX('Hours Log'!$A$4:$A$5000),"",MIN('Hours Log'!$A$4:$A$5000)+7*(ROW()-10)))</f>
        <v/>
      </c>
    </row>
    <row r="1941" spans="1:10" x14ac:dyDescent="0.25">
      <c r="A1941" t="str">
        <f>IF($J1941="","",YEAR($J1941-WEEKDAY($J1941,2)+4)&amp;"-W"&amp;TEXT(_xludf.ISOWEEKNUM($J1941),"00"))</f>
        <v/>
      </c>
      <c r="B1941"/>
      <c r="C1941" t="str">
        <f>IF($J1941="","",SUMIFS('Hours Log'!$C:$C,'Hours Log'!$A:$A,"&gt;="&amp;$J1941,'Hours Log'!$A:$A,"&lt;"&amp;$J1941+7)+SUMIFS('Hours Log'!$D:$D,'Hours Log'!$A:$A,"&gt;="&amp;$J1941,'Hours Log'!$A:$A,"&lt;"&amp;$J1941+7))</f>
        <v/>
      </c>
      <c r="D1941" t="str">
        <f>IF($J1941="","",SUMIFS('Hours Log'!$D:$D,'Hours Log'!$A:$A,"&gt;="&amp;$J1941,'Hours Log'!$A:$A,"&lt;"&amp;$J1941+7))</f>
        <v/>
      </c>
      <c r="E1941" t="str">
        <f t="shared" si="60"/>
        <v/>
      </c>
      <c r="F1941" t="str">
        <f t="shared" si="61"/>
        <v/>
      </c>
      <c r="G1941" t="str">
        <f>IF($J1941="","",SUMIFS('Hours Log'!$E:$E,'Hours Log'!$A:$A,"&gt;="&amp;$J1941,'Hours Log'!$A:$A,"&lt;"&amp;$J1941+7))</f>
        <v/>
      </c>
      <c r="J1941" t="str">
        <f>IF(COUNT('Hours Log'!$A$4:$A$5000)=0,"",IF(MIN('Hours Log'!$A$4:$A$5000)+7*(ROW()-10)&gt;MAX('Hours Log'!$A$4:$A$5000),"",MIN('Hours Log'!$A$4:$A$5000)+7*(ROW()-10)))</f>
        <v/>
      </c>
    </row>
    <row r="1942" spans="1:10" x14ac:dyDescent="0.25">
      <c r="A1942" t="str">
        <f>IF($J1942="","",YEAR($J1942-WEEKDAY($J1942,2)+4)&amp;"-W"&amp;TEXT(_xludf.ISOWEEKNUM($J1942),"00"))</f>
        <v/>
      </c>
      <c r="B1942"/>
      <c r="C1942" t="str">
        <f>IF($J1942="","",SUMIFS('Hours Log'!$C:$C,'Hours Log'!$A:$A,"&gt;="&amp;$J1942,'Hours Log'!$A:$A,"&lt;"&amp;$J1942+7)+SUMIFS('Hours Log'!$D:$D,'Hours Log'!$A:$A,"&gt;="&amp;$J1942,'Hours Log'!$A:$A,"&lt;"&amp;$J1942+7))</f>
        <v/>
      </c>
      <c r="D1942" t="str">
        <f>IF($J1942="","",SUMIFS('Hours Log'!$D:$D,'Hours Log'!$A:$A,"&gt;="&amp;$J1942,'Hours Log'!$A:$A,"&lt;"&amp;$J1942+7))</f>
        <v/>
      </c>
      <c r="E1942" t="str">
        <f t="shared" si="60"/>
        <v/>
      </c>
      <c r="F1942" t="str">
        <f t="shared" si="61"/>
        <v/>
      </c>
      <c r="G1942" t="str">
        <f>IF($J1942="","",SUMIFS('Hours Log'!$E:$E,'Hours Log'!$A:$A,"&gt;="&amp;$J1942,'Hours Log'!$A:$A,"&lt;"&amp;$J1942+7))</f>
        <v/>
      </c>
      <c r="J1942" t="str">
        <f>IF(COUNT('Hours Log'!$A$4:$A$5000)=0,"",IF(MIN('Hours Log'!$A$4:$A$5000)+7*(ROW()-10)&gt;MAX('Hours Log'!$A$4:$A$5000),"",MIN('Hours Log'!$A$4:$A$5000)+7*(ROW()-10)))</f>
        <v/>
      </c>
    </row>
    <row r="1943" spans="1:10" x14ac:dyDescent="0.25">
      <c r="A1943" t="str">
        <f>IF($J1943="","",YEAR($J1943-WEEKDAY($J1943,2)+4)&amp;"-W"&amp;TEXT(_xludf.ISOWEEKNUM($J1943),"00"))</f>
        <v/>
      </c>
      <c r="B1943"/>
      <c r="C1943" t="str">
        <f>IF($J1943="","",SUMIFS('Hours Log'!$C:$C,'Hours Log'!$A:$A,"&gt;="&amp;$J1943,'Hours Log'!$A:$A,"&lt;"&amp;$J1943+7)+SUMIFS('Hours Log'!$D:$D,'Hours Log'!$A:$A,"&gt;="&amp;$J1943,'Hours Log'!$A:$A,"&lt;"&amp;$J1943+7))</f>
        <v/>
      </c>
      <c r="D1943" t="str">
        <f>IF($J1943="","",SUMIFS('Hours Log'!$D:$D,'Hours Log'!$A:$A,"&gt;="&amp;$J1943,'Hours Log'!$A:$A,"&lt;"&amp;$J1943+7))</f>
        <v/>
      </c>
      <c r="E1943" t="str">
        <f t="shared" si="60"/>
        <v/>
      </c>
      <c r="F1943" t="str">
        <f t="shared" si="61"/>
        <v/>
      </c>
      <c r="G1943" t="str">
        <f>IF($J1943="","",SUMIFS('Hours Log'!$E:$E,'Hours Log'!$A:$A,"&gt;="&amp;$J1943,'Hours Log'!$A:$A,"&lt;"&amp;$J1943+7))</f>
        <v/>
      </c>
      <c r="J1943" t="str">
        <f>IF(COUNT('Hours Log'!$A$4:$A$5000)=0,"",IF(MIN('Hours Log'!$A$4:$A$5000)+7*(ROW()-10)&gt;MAX('Hours Log'!$A$4:$A$5000),"",MIN('Hours Log'!$A$4:$A$5000)+7*(ROW()-10)))</f>
        <v/>
      </c>
    </row>
    <row r="1944" spans="1:10" x14ac:dyDescent="0.25">
      <c r="A1944" t="str">
        <f>IF($J1944="","",YEAR($J1944-WEEKDAY($J1944,2)+4)&amp;"-W"&amp;TEXT(_xludf.ISOWEEKNUM($J1944),"00"))</f>
        <v/>
      </c>
      <c r="B1944"/>
      <c r="C1944" t="str">
        <f>IF($J1944="","",SUMIFS('Hours Log'!$C:$C,'Hours Log'!$A:$A,"&gt;="&amp;$J1944,'Hours Log'!$A:$A,"&lt;"&amp;$J1944+7)+SUMIFS('Hours Log'!$D:$D,'Hours Log'!$A:$A,"&gt;="&amp;$J1944,'Hours Log'!$A:$A,"&lt;"&amp;$J1944+7))</f>
        <v/>
      </c>
      <c r="D1944" t="str">
        <f>IF($J1944="","",SUMIFS('Hours Log'!$D:$D,'Hours Log'!$A:$A,"&gt;="&amp;$J1944,'Hours Log'!$A:$A,"&lt;"&amp;$J1944+7))</f>
        <v/>
      </c>
      <c r="E1944" t="str">
        <f t="shared" si="60"/>
        <v/>
      </c>
      <c r="F1944" t="str">
        <f t="shared" si="61"/>
        <v/>
      </c>
      <c r="G1944" t="str">
        <f>IF($J1944="","",SUMIFS('Hours Log'!$E:$E,'Hours Log'!$A:$A,"&gt;="&amp;$J1944,'Hours Log'!$A:$A,"&lt;"&amp;$J1944+7))</f>
        <v/>
      </c>
      <c r="J1944" t="str">
        <f>IF(COUNT('Hours Log'!$A$4:$A$5000)=0,"",IF(MIN('Hours Log'!$A$4:$A$5000)+7*(ROW()-10)&gt;MAX('Hours Log'!$A$4:$A$5000),"",MIN('Hours Log'!$A$4:$A$5000)+7*(ROW()-10)))</f>
        <v/>
      </c>
    </row>
    <row r="1945" spans="1:10" x14ac:dyDescent="0.25">
      <c r="A1945" t="str">
        <f>IF($J1945="","",YEAR($J1945-WEEKDAY($J1945,2)+4)&amp;"-W"&amp;TEXT(_xludf.ISOWEEKNUM($J1945),"00"))</f>
        <v/>
      </c>
      <c r="B1945"/>
      <c r="C1945" t="str">
        <f>IF($J1945="","",SUMIFS('Hours Log'!$C:$C,'Hours Log'!$A:$A,"&gt;="&amp;$J1945,'Hours Log'!$A:$A,"&lt;"&amp;$J1945+7)+SUMIFS('Hours Log'!$D:$D,'Hours Log'!$A:$A,"&gt;="&amp;$J1945,'Hours Log'!$A:$A,"&lt;"&amp;$J1945+7))</f>
        <v/>
      </c>
      <c r="D1945" t="str">
        <f>IF($J1945="","",SUMIFS('Hours Log'!$D:$D,'Hours Log'!$A:$A,"&gt;="&amp;$J1945,'Hours Log'!$A:$A,"&lt;"&amp;$J1945+7))</f>
        <v/>
      </c>
      <c r="E1945" t="str">
        <f t="shared" si="60"/>
        <v/>
      </c>
      <c r="F1945" t="str">
        <f t="shared" si="61"/>
        <v/>
      </c>
      <c r="G1945" t="str">
        <f>IF($J1945="","",SUMIFS('Hours Log'!$E:$E,'Hours Log'!$A:$A,"&gt;="&amp;$J1945,'Hours Log'!$A:$A,"&lt;"&amp;$J1945+7))</f>
        <v/>
      </c>
      <c r="J1945" t="str">
        <f>IF(COUNT('Hours Log'!$A$4:$A$5000)=0,"",IF(MIN('Hours Log'!$A$4:$A$5000)+7*(ROW()-10)&gt;MAX('Hours Log'!$A$4:$A$5000),"",MIN('Hours Log'!$A$4:$A$5000)+7*(ROW()-10)))</f>
        <v/>
      </c>
    </row>
    <row r="1946" spans="1:10" x14ac:dyDescent="0.25">
      <c r="A1946" t="str">
        <f>IF($J1946="","",YEAR($J1946-WEEKDAY($J1946,2)+4)&amp;"-W"&amp;TEXT(_xludf.ISOWEEKNUM($J1946),"00"))</f>
        <v/>
      </c>
      <c r="B1946"/>
      <c r="C1946" t="str">
        <f>IF($J1946="","",SUMIFS('Hours Log'!$C:$C,'Hours Log'!$A:$A,"&gt;="&amp;$J1946,'Hours Log'!$A:$A,"&lt;"&amp;$J1946+7)+SUMIFS('Hours Log'!$D:$D,'Hours Log'!$A:$A,"&gt;="&amp;$J1946,'Hours Log'!$A:$A,"&lt;"&amp;$J1946+7))</f>
        <v/>
      </c>
      <c r="D1946" t="str">
        <f>IF($J1946="","",SUMIFS('Hours Log'!$D:$D,'Hours Log'!$A:$A,"&gt;="&amp;$J1946,'Hours Log'!$A:$A,"&lt;"&amp;$J1946+7))</f>
        <v/>
      </c>
      <c r="E1946" t="str">
        <f t="shared" si="60"/>
        <v/>
      </c>
      <c r="F1946" t="str">
        <f t="shared" si="61"/>
        <v/>
      </c>
      <c r="G1946" t="str">
        <f>IF($J1946="","",SUMIFS('Hours Log'!$E:$E,'Hours Log'!$A:$A,"&gt;="&amp;$J1946,'Hours Log'!$A:$A,"&lt;"&amp;$J1946+7))</f>
        <v/>
      </c>
      <c r="J1946" t="str">
        <f>IF(COUNT('Hours Log'!$A$4:$A$5000)=0,"",IF(MIN('Hours Log'!$A$4:$A$5000)+7*(ROW()-10)&gt;MAX('Hours Log'!$A$4:$A$5000),"",MIN('Hours Log'!$A$4:$A$5000)+7*(ROW()-10)))</f>
        <v/>
      </c>
    </row>
    <row r="1947" spans="1:10" x14ac:dyDescent="0.25">
      <c r="A1947" t="str">
        <f>IF($J1947="","",YEAR($J1947-WEEKDAY($J1947,2)+4)&amp;"-W"&amp;TEXT(_xludf.ISOWEEKNUM($J1947),"00"))</f>
        <v/>
      </c>
      <c r="B1947"/>
      <c r="C1947" t="str">
        <f>IF($J1947="","",SUMIFS('Hours Log'!$C:$C,'Hours Log'!$A:$A,"&gt;="&amp;$J1947,'Hours Log'!$A:$A,"&lt;"&amp;$J1947+7)+SUMIFS('Hours Log'!$D:$D,'Hours Log'!$A:$A,"&gt;="&amp;$J1947,'Hours Log'!$A:$A,"&lt;"&amp;$J1947+7))</f>
        <v/>
      </c>
      <c r="D1947" t="str">
        <f>IF($J1947="","",SUMIFS('Hours Log'!$D:$D,'Hours Log'!$A:$A,"&gt;="&amp;$J1947,'Hours Log'!$A:$A,"&lt;"&amp;$J1947+7))</f>
        <v/>
      </c>
      <c r="E1947" t="str">
        <f t="shared" si="60"/>
        <v/>
      </c>
      <c r="F1947" t="str">
        <f t="shared" si="61"/>
        <v/>
      </c>
      <c r="G1947" t="str">
        <f>IF($J1947="","",SUMIFS('Hours Log'!$E:$E,'Hours Log'!$A:$A,"&gt;="&amp;$J1947,'Hours Log'!$A:$A,"&lt;"&amp;$J1947+7))</f>
        <v/>
      </c>
      <c r="J1947" t="str">
        <f>IF(COUNT('Hours Log'!$A$4:$A$5000)=0,"",IF(MIN('Hours Log'!$A$4:$A$5000)+7*(ROW()-10)&gt;MAX('Hours Log'!$A$4:$A$5000),"",MIN('Hours Log'!$A$4:$A$5000)+7*(ROW()-10)))</f>
        <v/>
      </c>
    </row>
    <row r="1948" spans="1:10" x14ac:dyDescent="0.25">
      <c r="A1948" t="str">
        <f>IF($J1948="","",YEAR($J1948-WEEKDAY($J1948,2)+4)&amp;"-W"&amp;TEXT(_xludf.ISOWEEKNUM($J1948),"00"))</f>
        <v/>
      </c>
      <c r="B1948"/>
      <c r="C1948" t="str">
        <f>IF($J1948="","",SUMIFS('Hours Log'!$C:$C,'Hours Log'!$A:$A,"&gt;="&amp;$J1948,'Hours Log'!$A:$A,"&lt;"&amp;$J1948+7)+SUMIFS('Hours Log'!$D:$D,'Hours Log'!$A:$A,"&gt;="&amp;$J1948,'Hours Log'!$A:$A,"&lt;"&amp;$J1948+7))</f>
        <v/>
      </c>
      <c r="D1948" t="str">
        <f>IF($J1948="","",SUMIFS('Hours Log'!$D:$D,'Hours Log'!$A:$A,"&gt;="&amp;$J1948,'Hours Log'!$A:$A,"&lt;"&amp;$J1948+7))</f>
        <v/>
      </c>
      <c r="E1948" t="str">
        <f t="shared" si="60"/>
        <v/>
      </c>
      <c r="F1948" t="str">
        <f t="shared" si="61"/>
        <v/>
      </c>
      <c r="G1948" t="str">
        <f>IF($J1948="","",SUMIFS('Hours Log'!$E:$E,'Hours Log'!$A:$A,"&gt;="&amp;$J1948,'Hours Log'!$A:$A,"&lt;"&amp;$J1948+7))</f>
        <v/>
      </c>
      <c r="J1948" t="str">
        <f>IF(COUNT('Hours Log'!$A$4:$A$5000)=0,"",IF(MIN('Hours Log'!$A$4:$A$5000)+7*(ROW()-10)&gt;MAX('Hours Log'!$A$4:$A$5000),"",MIN('Hours Log'!$A$4:$A$5000)+7*(ROW()-10)))</f>
        <v/>
      </c>
    </row>
    <row r="1949" spans="1:10" x14ac:dyDescent="0.25">
      <c r="A1949" t="str">
        <f>IF($J1949="","",YEAR($J1949-WEEKDAY($J1949,2)+4)&amp;"-W"&amp;TEXT(_xludf.ISOWEEKNUM($J1949),"00"))</f>
        <v/>
      </c>
      <c r="B1949"/>
      <c r="C1949" t="str">
        <f>IF($J1949="","",SUMIFS('Hours Log'!$C:$C,'Hours Log'!$A:$A,"&gt;="&amp;$J1949,'Hours Log'!$A:$A,"&lt;"&amp;$J1949+7)+SUMIFS('Hours Log'!$D:$D,'Hours Log'!$A:$A,"&gt;="&amp;$J1949,'Hours Log'!$A:$A,"&lt;"&amp;$J1949+7))</f>
        <v/>
      </c>
      <c r="D1949" t="str">
        <f>IF($J1949="","",SUMIFS('Hours Log'!$D:$D,'Hours Log'!$A:$A,"&gt;="&amp;$J1949,'Hours Log'!$A:$A,"&lt;"&amp;$J1949+7))</f>
        <v/>
      </c>
      <c r="E1949" t="str">
        <f t="shared" si="60"/>
        <v/>
      </c>
      <c r="F1949" t="str">
        <f t="shared" si="61"/>
        <v/>
      </c>
      <c r="G1949" t="str">
        <f>IF($J1949="","",SUMIFS('Hours Log'!$E:$E,'Hours Log'!$A:$A,"&gt;="&amp;$J1949,'Hours Log'!$A:$A,"&lt;"&amp;$J1949+7))</f>
        <v/>
      </c>
      <c r="J1949" t="str">
        <f>IF(COUNT('Hours Log'!$A$4:$A$5000)=0,"",IF(MIN('Hours Log'!$A$4:$A$5000)+7*(ROW()-10)&gt;MAX('Hours Log'!$A$4:$A$5000),"",MIN('Hours Log'!$A$4:$A$5000)+7*(ROW()-10)))</f>
        <v/>
      </c>
    </row>
    <row r="1950" spans="1:10" x14ac:dyDescent="0.25">
      <c r="A1950" t="str">
        <f>IF($J1950="","",YEAR($J1950-WEEKDAY($J1950,2)+4)&amp;"-W"&amp;TEXT(_xludf.ISOWEEKNUM($J1950),"00"))</f>
        <v/>
      </c>
      <c r="B1950"/>
      <c r="C1950" t="str">
        <f>IF($J1950="","",SUMIFS('Hours Log'!$C:$C,'Hours Log'!$A:$A,"&gt;="&amp;$J1950,'Hours Log'!$A:$A,"&lt;"&amp;$J1950+7)+SUMIFS('Hours Log'!$D:$D,'Hours Log'!$A:$A,"&gt;="&amp;$J1950,'Hours Log'!$A:$A,"&lt;"&amp;$J1950+7))</f>
        <v/>
      </c>
      <c r="D1950" t="str">
        <f>IF($J1950="","",SUMIFS('Hours Log'!$D:$D,'Hours Log'!$A:$A,"&gt;="&amp;$J1950,'Hours Log'!$A:$A,"&lt;"&amp;$J1950+7))</f>
        <v/>
      </c>
      <c r="E1950" t="str">
        <f t="shared" si="60"/>
        <v/>
      </c>
      <c r="F1950" t="str">
        <f t="shared" si="61"/>
        <v/>
      </c>
      <c r="G1950" t="str">
        <f>IF($J1950="","",SUMIFS('Hours Log'!$E:$E,'Hours Log'!$A:$A,"&gt;="&amp;$J1950,'Hours Log'!$A:$A,"&lt;"&amp;$J1950+7))</f>
        <v/>
      </c>
      <c r="J1950" t="str">
        <f>IF(COUNT('Hours Log'!$A$4:$A$5000)=0,"",IF(MIN('Hours Log'!$A$4:$A$5000)+7*(ROW()-10)&gt;MAX('Hours Log'!$A$4:$A$5000),"",MIN('Hours Log'!$A$4:$A$5000)+7*(ROW()-10)))</f>
        <v/>
      </c>
    </row>
    <row r="1951" spans="1:10" x14ac:dyDescent="0.25">
      <c r="A1951" t="str">
        <f>IF($J1951="","",YEAR($J1951-WEEKDAY($J1951,2)+4)&amp;"-W"&amp;TEXT(_xludf.ISOWEEKNUM($J1951),"00"))</f>
        <v/>
      </c>
      <c r="B1951"/>
      <c r="C1951" t="str">
        <f>IF($J1951="","",SUMIFS('Hours Log'!$C:$C,'Hours Log'!$A:$A,"&gt;="&amp;$J1951,'Hours Log'!$A:$A,"&lt;"&amp;$J1951+7)+SUMIFS('Hours Log'!$D:$D,'Hours Log'!$A:$A,"&gt;="&amp;$J1951,'Hours Log'!$A:$A,"&lt;"&amp;$J1951+7))</f>
        <v/>
      </c>
      <c r="D1951" t="str">
        <f>IF($J1951="","",SUMIFS('Hours Log'!$D:$D,'Hours Log'!$A:$A,"&gt;="&amp;$J1951,'Hours Log'!$A:$A,"&lt;"&amp;$J1951+7))</f>
        <v/>
      </c>
      <c r="E1951" t="str">
        <f t="shared" si="60"/>
        <v/>
      </c>
      <c r="F1951" t="str">
        <f t="shared" si="61"/>
        <v/>
      </c>
      <c r="G1951" t="str">
        <f>IF($J1951="","",SUMIFS('Hours Log'!$E:$E,'Hours Log'!$A:$A,"&gt;="&amp;$J1951,'Hours Log'!$A:$A,"&lt;"&amp;$J1951+7))</f>
        <v/>
      </c>
      <c r="J1951" t="str">
        <f>IF(COUNT('Hours Log'!$A$4:$A$5000)=0,"",IF(MIN('Hours Log'!$A$4:$A$5000)+7*(ROW()-10)&gt;MAX('Hours Log'!$A$4:$A$5000),"",MIN('Hours Log'!$A$4:$A$5000)+7*(ROW()-10)))</f>
        <v/>
      </c>
    </row>
    <row r="1952" spans="1:10" x14ac:dyDescent="0.25">
      <c r="A1952" t="str">
        <f>IF($J1952="","",YEAR($J1952-WEEKDAY($J1952,2)+4)&amp;"-W"&amp;TEXT(_xludf.ISOWEEKNUM($J1952),"00"))</f>
        <v/>
      </c>
      <c r="B1952"/>
      <c r="C1952" t="str">
        <f>IF($J1952="","",SUMIFS('Hours Log'!$C:$C,'Hours Log'!$A:$A,"&gt;="&amp;$J1952,'Hours Log'!$A:$A,"&lt;"&amp;$J1952+7)+SUMIFS('Hours Log'!$D:$D,'Hours Log'!$A:$A,"&gt;="&amp;$J1952,'Hours Log'!$A:$A,"&lt;"&amp;$J1952+7))</f>
        <v/>
      </c>
      <c r="D1952" t="str">
        <f>IF($J1952="","",SUMIFS('Hours Log'!$D:$D,'Hours Log'!$A:$A,"&gt;="&amp;$J1952,'Hours Log'!$A:$A,"&lt;"&amp;$J1952+7))</f>
        <v/>
      </c>
      <c r="E1952" t="str">
        <f t="shared" si="60"/>
        <v/>
      </c>
      <c r="F1952" t="str">
        <f t="shared" si="61"/>
        <v/>
      </c>
      <c r="G1952" t="str">
        <f>IF($J1952="","",SUMIFS('Hours Log'!$E:$E,'Hours Log'!$A:$A,"&gt;="&amp;$J1952,'Hours Log'!$A:$A,"&lt;"&amp;$J1952+7))</f>
        <v/>
      </c>
      <c r="J1952" t="str">
        <f>IF(COUNT('Hours Log'!$A$4:$A$5000)=0,"",IF(MIN('Hours Log'!$A$4:$A$5000)+7*(ROW()-10)&gt;MAX('Hours Log'!$A$4:$A$5000),"",MIN('Hours Log'!$A$4:$A$5000)+7*(ROW()-10)))</f>
        <v/>
      </c>
    </row>
    <row r="1953" spans="1:10" x14ac:dyDescent="0.25">
      <c r="A1953" t="str">
        <f>IF($J1953="","",YEAR($J1953-WEEKDAY($J1953,2)+4)&amp;"-W"&amp;TEXT(_xludf.ISOWEEKNUM($J1953),"00"))</f>
        <v/>
      </c>
      <c r="B1953"/>
      <c r="C1953" t="str">
        <f>IF($J1953="","",SUMIFS('Hours Log'!$C:$C,'Hours Log'!$A:$A,"&gt;="&amp;$J1953,'Hours Log'!$A:$A,"&lt;"&amp;$J1953+7)+SUMIFS('Hours Log'!$D:$D,'Hours Log'!$A:$A,"&gt;="&amp;$J1953,'Hours Log'!$A:$A,"&lt;"&amp;$J1953+7))</f>
        <v/>
      </c>
      <c r="D1953" t="str">
        <f>IF($J1953="","",SUMIFS('Hours Log'!$D:$D,'Hours Log'!$A:$A,"&gt;="&amp;$J1953,'Hours Log'!$A:$A,"&lt;"&amp;$J1953+7))</f>
        <v/>
      </c>
      <c r="E1953" t="str">
        <f t="shared" si="60"/>
        <v/>
      </c>
      <c r="F1953" t="str">
        <f t="shared" si="61"/>
        <v/>
      </c>
      <c r="G1953" t="str">
        <f>IF($J1953="","",SUMIFS('Hours Log'!$E:$E,'Hours Log'!$A:$A,"&gt;="&amp;$J1953,'Hours Log'!$A:$A,"&lt;"&amp;$J1953+7))</f>
        <v/>
      </c>
      <c r="J1953" t="str">
        <f>IF(COUNT('Hours Log'!$A$4:$A$5000)=0,"",IF(MIN('Hours Log'!$A$4:$A$5000)+7*(ROW()-10)&gt;MAX('Hours Log'!$A$4:$A$5000),"",MIN('Hours Log'!$A$4:$A$5000)+7*(ROW()-10)))</f>
        <v/>
      </c>
    </row>
    <row r="1954" spans="1:10" x14ac:dyDescent="0.25">
      <c r="A1954" t="str">
        <f>IF($J1954="","",YEAR($J1954-WEEKDAY($J1954,2)+4)&amp;"-W"&amp;TEXT(_xludf.ISOWEEKNUM($J1954),"00"))</f>
        <v/>
      </c>
      <c r="B1954"/>
      <c r="C1954" t="str">
        <f>IF($J1954="","",SUMIFS('Hours Log'!$C:$C,'Hours Log'!$A:$A,"&gt;="&amp;$J1954,'Hours Log'!$A:$A,"&lt;"&amp;$J1954+7)+SUMIFS('Hours Log'!$D:$D,'Hours Log'!$A:$A,"&gt;="&amp;$J1954,'Hours Log'!$A:$A,"&lt;"&amp;$J1954+7))</f>
        <v/>
      </c>
      <c r="D1954" t="str">
        <f>IF($J1954="","",SUMIFS('Hours Log'!$D:$D,'Hours Log'!$A:$A,"&gt;="&amp;$J1954,'Hours Log'!$A:$A,"&lt;"&amp;$J1954+7))</f>
        <v/>
      </c>
      <c r="E1954" t="str">
        <f t="shared" si="60"/>
        <v/>
      </c>
      <c r="F1954" t="str">
        <f t="shared" si="61"/>
        <v/>
      </c>
      <c r="G1954" t="str">
        <f>IF($J1954="","",SUMIFS('Hours Log'!$E:$E,'Hours Log'!$A:$A,"&gt;="&amp;$J1954,'Hours Log'!$A:$A,"&lt;"&amp;$J1954+7))</f>
        <v/>
      </c>
      <c r="J1954" t="str">
        <f>IF(COUNT('Hours Log'!$A$4:$A$5000)=0,"",IF(MIN('Hours Log'!$A$4:$A$5000)+7*(ROW()-10)&gt;MAX('Hours Log'!$A$4:$A$5000),"",MIN('Hours Log'!$A$4:$A$5000)+7*(ROW()-10)))</f>
        <v/>
      </c>
    </row>
    <row r="1955" spans="1:10" x14ac:dyDescent="0.25">
      <c r="A1955" t="str">
        <f>IF($J1955="","",YEAR($J1955-WEEKDAY($J1955,2)+4)&amp;"-W"&amp;TEXT(_xludf.ISOWEEKNUM($J1955),"00"))</f>
        <v/>
      </c>
      <c r="B1955"/>
      <c r="C1955" t="str">
        <f>IF($J1955="","",SUMIFS('Hours Log'!$C:$C,'Hours Log'!$A:$A,"&gt;="&amp;$J1955,'Hours Log'!$A:$A,"&lt;"&amp;$J1955+7)+SUMIFS('Hours Log'!$D:$D,'Hours Log'!$A:$A,"&gt;="&amp;$J1955,'Hours Log'!$A:$A,"&lt;"&amp;$J1955+7))</f>
        <v/>
      </c>
      <c r="D1955" t="str">
        <f>IF($J1955="","",SUMIFS('Hours Log'!$D:$D,'Hours Log'!$A:$A,"&gt;="&amp;$J1955,'Hours Log'!$A:$A,"&lt;"&amp;$J1955+7))</f>
        <v/>
      </c>
      <c r="E1955" t="str">
        <f t="shared" si="60"/>
        <v/>
      </c>
      <c r="F1955" t="str">
        <f t="shared" si="61"/>
        <v/>
      </c>
      <c r="G1955" t="str">
        <f>IF($J1955="","",SUMIFS('Hours Log'!$E:$E,'Hours Log'!$A:$A,"&gt;="&amp;$J1955,'Hours Log'!$A:$A,"&lt;"&amp;$J1955+7))</f>
        <v/>
      </c>
      <c r="J1955" t="str">
        <f>IF(COUNT('Hours Log'!$A$4:$A$5000)=0,"",IF(MIN('Hours Log'!$A$4:$A$5000)+7*(ROW()-10)&gt;MAX('Hours Log'!$A$4:$A$5000),"",MIN('Hours Log'!$A$4:$A$5000)+7*(ROW()-10)))</f>
        <v/>
      </c>
    </row>
    <row r="1956" spans="1:10" x14ac:dyDescent="0.25">
      <c r="A1956" t="str">
        <f>IF($J1956="","",YEAR($J1956-WEEKDAY($J1956,2)+4)&amp;"-W"&amp;TEXT(_xludf.ISOWEEKNUM($J1956),"00"))</f>
        <v/>
      </c>
      <c r="B1956"/>
      <c r="C1956" t="str">
        <f>IF($J1956="","",SUMIFS('Hours Log'!$C:$C,'Hours Log'!$A:$A,"&gt;="&amp;$J1956,'Hours Log'!$A:$A,"&lt;"&amp;$J1956+7)+SUMIFS('Hours Log'!$D:$D,'Hours Log'!$A:$A,"&gt;="&amp;$J1956,'Hours Log'!$A:$A,"&lt;"&amp;$J1956+7))</f>
        <v/>
      </c>
      <c r="D1956" t="str">
        <f>IF($J1956="","",SUMIFS('Hours Log'!$D:$D,'Hours Log'!$A:$A,"&gt;="&amp;$J1956,'Hours Log'!$A:$A,"&lt;"&amp;$J1956+7))</f>
        <v/>
      </c>
      <c r="E1956" t="str">
        <f t="shared" si="60"/>
        <v/>
      </c>
      <c r="F1956" t="str">
        <f t="shared" si="61"/>
        <v/>
      </c>
      <c r="G1956" t="str">
        <f>IF($J1956="","",SUMIFS('Hours Log'!$E:$E,'Hours Log'!$A:$A,"&gt;="&amp;$J1956,'Hours Log'!$A:$A,"&lt;"&amp;$J1956+7))</f>
        <v/>
      </c>
      <c r="J1956" t="str">
        <f>IF(COUNT('Hours Log'!$A$4:$A$5000)=0,"",IF(MIN('Hours Log'!$A$4:$A$5000)+7*(ROW()-10)&gt;MAX('Hours Log'!$A$4:$A$5000),"",MIN('Hours Log'!$A$4:$A$5000)+7*(ROW()-10)))</f>
        <v/>
      </c>
    </row>
    <row r="1957" spans="1:10" x14ac:dyDescent="0.25">
      <c r="A1957" t="str">
        <f>IF($J1957="","",YEAR($J1957-WEEKDAY($J1957,2)+4)&amp;"-W"&amp;TEXT(_xludf.ISOWEEKNUM($J1957),"00"))</f>
        <v/>
      </c>
      <c r="B1957"/>
      <c r="C1957" t="str">
        <f>IF($J1957="","",SUMIFS('Hours Log'!$C:$C,'Hours Log'!$A:$A,"&gt;="&amp;$J1957,'Hours Log'!$A:$A,"&lt;"&amp;$J1957+7)+SUMIFS('Hours Log'!$D:$D,'Hours Log'!$A:$A,"&gt;="&amp;$J1957,'Hours Log'!$A:$A,"&lt;"&amp;$J1957+7))</f>
        <v/>
      </c>
      <c r="D1957" t="str">
        <f>IF($J1957="","",SUMIFS('Hours Log'!$D:$D,'Hours Log'!$A:$A,"&gt;="&amp;$J1957,'Hours Log'!$A:$A,"&lt;"&amp;$J1957+7))</f>
        <v/>
      </c>
      <c r="E1957" t="str">
        <f t="shared" si="60"/>
        <v/>
      </c>
      <c r="F1957" t="str">
        <f t="shared" si="61"/>
        <v/>
      </c>
      <c r="G1957" t="str">
        <f>IF($J1957="","",SUMIFS('Hours Log'!$E:$E,'Hours Log'!$A:$A,"&gt;="&amp;$J1957,'Hours Log'!$A:$A,"&lt;"&amp;$J1957+7))</f>
        <v/>
      </c>
      <c r="J1957" t="str">
        <f>IF(COUNT('Hours Log'!$A$4:$A$5000)=0,"",IF(MIN('Hours Log'!$A$4:$A$5000)+7*(ROW()-10)&gt;MAX('Hours Log'!$A$4:$A$5000),"",MIN('Hours Log'!$A$4:$A$5000)+7*(ROW()-10)))</f>
        <v/>
      </c>
    </row>
    <row r="1958" spans="1:10" x14ac:dyDescent="0.25">
      <c r="A1958" t="str">
        <f>IF($J1958="","",YEAR($J1958-WEEKDAY($J1958,2)+4)&amp;"-W"&amp;TEXT(_xludf.ISOWEEKNUM($J1958),"00"))</f>
        <v/>
      </c>
      <c r="B1958"/>
      <c r="C1958" t="str">
        <f>IF($J1958="","",SUMIFS('Hours Log'!$C:$C,'Hours Log'!$A:$A,"&gt;="&amp;$J1958,'Hours Log'!$A:$A,"&lt;"&amp;$J1958+7)+SUMIFS('Hours Log'!$D:$D,'Hours Log'!$A:$A,"&gt;="&amp;$J1958,'Hours Log'!$A:$A,"&lt;"&amp;$J1958+7))</f>
        <v/>
      </c>
      <c r="D1958" t="str">
        <f>IF($J1958="","",SUMIFS('Hours Log'!$D:$D,'Hours Log'!$A:$A,"&gt;="&amp;$J1958,'Hours Log'!$A:$A,"&lt;"&amp;$J1958+7))</f>
        <v/>
      </c>
      <c r="E1958" t="str">
        <f t="shared" si="60"/>
        <v/>
      </c>
      <c r="F1958" t="str">
        <f t="shared" si="61"/>
        <v/>
      </c>
      <c r="G1958" t="str">
        <f>IF($J1958="","",SUMIFS('Hours Log'!$E:$E,'Hours Log'!$A:$A,"&gt;="&amp;$J1958,'Hours Log'!$A:$A,"&lt;"&amp;$J1958+7))</f>
        <v/>
      </c>
      <c r="J1958" t="str">
        <f>IF(COUNT('Hours Log'!$A$4:$A$5000)=0,"",IF(MIN('Hours Log'!$A$4:$A$5000)+7*(ROW()-10)&gt;MAX('Hours Log'!$A$4:$A$5000),"",MIN('Hours Log'!$A$4:$A$5000)+7*(ROW()-10)))</f>
        <v/>
      </c>
    </row>
    <row r="1959" spans="1:10" x14ac:dyDescent="0.25">
      <c r="A1959" t="str">
        <f>IF($J1959="","",YEAR($J1959-WEEKDAY($J1959,2)+4)&amp;"-W"&amp;TEXT(_xludf.ISOWEEKNUM($J1959),"00"))</f>
        <v/>
      </c>
      <c r="B1959"/>
      <c r="C1959" t="str">
        <f>IF($J1959="","",SUMIFS('Hours Log'!$C:$C,'Hours Log'!$A:$A,"&gt;="&amp;$J1959,'Hours Log'!$A:$A,"&lt;"&amp;$J1959+7)+SUMIFS('Hours Log'!$D:$D,'Hours Log'!$A:$A,"&gt;="&amp;$J1959,'Hours Log'!$A:$A,"&lt;"&amp;$J1959+7))</f>
        <v/>
      </c>
      <c r="D1959" t="str">
        <f>IF($J1959="","",SUMIFS('Hours Log'!$D:$D,'Hours Log'!$A:$A,"&gt;="&amp;$J1959,'Hours Log'!$A:$A,"&lt;"&amp;$J1959+7))</f>
        <v/>
      </c>
      <c r="E1959" t="str">
        <f t="shared" si="60"/>
        <v/>
      </c>
      <c r="F1959" t="str">
        <f t="shared" si="61"/>
        <v/>
      </c>
      <c r="G1959" t="str">
        <f>IF($J1959="","",SUMIFS('Hours Log'!$E:$E,'Hours Log'!$A:$A,"&gt;="&amp;$J1959,'Hours Log'!$A:$A,"&lt;"&amp;$J1959+7))</f>
        <v/>
      </c>
      <c r="J1959" t="str">
        <f>IF(COUNT('Hours Log'!$A$4:$A$5000)=0,"",IF(MIN('Hours Log'!$A$4:$A$5000)+7*(ROW()-10)&gt;MAX('Hours Log'!$A$4:$A$5000),"",MIN('Hours Log'!$A$4:$A$5000)+7*(ROW()-10)))</f>
        <v/>
      </c>
    </row>
    <row r="1960" spans="1:10" x14ac:dyDescent="0.25">
      <c r="A1960" t="str">
        <f>IF($J1960="","",YEAR($J1960-WEEKDAY($J1960,2)+4)&amp;"-W"&amp;TEXT(_xludf.ISOWEEKNUM($J1960),"00"))</f>
        <v/>
      </c>
      <c r="B1960"/>
      <c r="C1960" t="str">
        <f>IF($J1960="","",SUMIFS('Hours Log'!$C:$C,'Hours Log'!$A:$A,"&gt;="&amp;$J1960,'Hours Log'!$A:$A,"&lt;"&amp;$J1960+7)+SUMIFS('Hours Log'!$D:$D,'Hours Log'!$A:$A,"&gt;="&amp;$J1960,'Hours Log'!$A:$A,"&lt;"&amp;$J1960+7))</f>
        <v/>
      </c>
      <c r="D1960" t="str">
        <f>IF($J1960="","",SUMIFS('Hours Log'!$D:$D,'Hours Log'!$A:$A,"&gt;="&amp;$J1960,'Hours Log'!$A:$A,"&lt;"&amp;$J1960+7))</f>
        <v/>
      </c>
      <c r="E1960" t="str">
        <f t="shared" si="60"/>
        <v/>
      </c>
      <c r="F1960" t="str">
        <f t="shared" si="61"/>
        <v/>
      </c>
      <c r="G1960" t="str">
        <f>IF($J1960="","",SUMIFS('Hours Log'!$E:$E,'Hours Log'!$A:$A,"&gt;="&amp;$J1960,'Hours Log'!$A:$A,"&lt;"&amp;$J1960+7))</f>
        <v/>
      </c>
      <c r="J1960" t="str">
        <f>IF(COUNT('Hours Log'!$A$4:$A$5000)=0,"",IF(MIN('Hours Log'!$A$4:$A$5000)+7*(ROW()-10)&gt;MAX('Hours Log'!$A$4:$A$5000),"",MIN('Hours Log'!$A$4:$A$5000)+7*(ROW()-10)))</f>
        <v/>
      </c>
    </row>
    <row r="1961" spans="1:10" x14ac:dyDescent="0.25">
      <c r="A1961" t="str">
        <f>IF($J1961="","",YEAR($J1961-WEEKDAY($J1961,2)+4)&amp;"-W"&amp;TEXT(_xludf.ISOWEEKNUM($J1961),"00"))</f>
        <v/>
      </c>
      <c r="B1961"/>
      <c r="C1961" t="str">
        <f>IF($J1961="","",SUMIFS('Hours Log'!$C:$C,'Hours Log'!$A:$A,"&gt;="&amp;$J1961,'Hours Log'!$A:$A,"&lt;"&amp;$J1961+7)+SUMIFS('Hours Log'!$D:$D,'Hours Log'!$A:$A,"&gt;="&amp;$J1961,'Hours Log'!$A:$A,"&lt;"&amp;$J1961+7))</f>
        <v/>
      </c>
      <c r="D1961" t="str">
        <f>IF($J1961="","",SUMIFS('Hours Log'!$D:$D,'Hours Log'!$A:$A,"&gt;="&amp;$J1961,'Hours Log'!$A:$A,"&lt;"&amp;$J1961+7))</f>
        <v/>
      </c>
      <c r="E1961" t="str">
        <f t="shared" si="60"/>
        <v/>
      </c>
      <c r="F1961" t="str">
        <f t="shared" si="61"/>
        <v/>
      </c>
      <c r="G1961" t="str">
        <f>IF($J1961="","",SUMIFS('Hours Log'!$E:$E,'Hours Log'!$A:$A,"&gt;="&amp;$J1961,'Hours Log'!$A:$A,"&lt;"&amp;$J1961+7))</f>
        <v/>
      </c>
      <c r="J1961" t="str">
        <f>IF(COUNT('Hours Log'!$A$4:$A$5000)=0,"",IF(MIN('Hours Log'!$A$4:$A$5000)+7*(ROW()-10)&gt;MAX('Hours Log'!$A$4:$A$5000),"",MIN('Hours Log'!$A$4:$A$5000)+7*(ROW()-10)))</f>
        <v/>
      </c>
    </row>
    <row r="1962" spans="1:10" x14ac:dyDescent="0.25">
      <c r="A1962" t="str">
        <f>IF($J1962="","",YEAR($J1962-WEEKDAY($J1962,2)+4)&amp;"-W"&amp;TEXT(_xludf.ISOWEEKNUM($J1962),"00"))</f>
        <v/>
      </c>
      <c r="B1962"/>
      <c r="C1962" t="str">
        <f>IF($J1962="","",SUMIFS('Hours Log'!$C:$C,'Hours Log'!$A:$A,"&gt;="&amp;$J1962,'Hours Log'!$A:$A,"&lt;"&amp;$J1962+7)+SUMIFS('Hours Log'!$D:$D,'Hours Log'!$A:$A,"&gt;="&amp;$J1962,'Hours Log'!$A:$A,"&lt;"&amp;$J1962+7))</f>
        <v/>
      </c>
      <c r="D1962" t="str">
        <f>IF($J1962="","",SUMIFS('Hours Log'!$D:$D,'Hours Log'!$A:$A,"&gt;="&amp;$J1962,'Hours Log'!$A:$A,"&lt;"&amp;$J1962+7))</f>
        <v/>
      </c>
      <c r="E1962" t="str">
        <f t="shared" si="60"/>
        <v/>
      </c>
      <c r="F1962" t="str">
        <f t="shared" si="61"/>
        <v/>
      </c>
      <c r="G1962" t="str">
        <f>IF($J1962="","",SUMIFS('Hours Log'!$E:$E,'Hours Log'!$A:$A,"&gt;="&amp;$J1962,'Hours Log'!$A:$A,"&lt;"&amp;$J1962+7))</f>
        <v/>
      </c>
      <c r="J1962" t="str">
        <f>IF(COUNT('Hours Log'!$A$4:$A$5000)=0,"",IF(MIN('Hours Log'!$A$4:$A$5000)+7*(ROW()-10)&gt;MAX('Hours Log'!$A$4:$A$5000),"",MIN('Hours Log'!$A$4:$A$5000)+7*(ROW()-10)))</f>
        <v/>
      </c>
    </row>
    <row r="1963" spans="1:10" x14ac:dyDescent="0.25">
      <c r="A1963" t="str">
        <f>IF($J1963="","",YEAR($J1963-WEEKDAY($J1963,2)+4)&amp;"-W"&amp;TEXT(_xludf.ISOWEEKNUM($J1963),"00"))</f>
        <v/>
      </c>
      <c r="B1963"/>
      <c r="C1963" t="str">
        <f>IF($J1963="","",SUMIFS('Hours Log'!$C:$C,'Hours Log'!$A:$A,"&gt;="&amp;$J1963,'Hours Log'!$A:$A,"&lt;"&amp;$J1963+7)+SUMIFS('Hours Log'!$D:$D,'Hours Log'!$A:$A,"&gt;="&amp;$J1963,'Hours Log'!$A:$A,"&lt;"&amp;$J1963+7))</f>
        <v/>
      </c>
      <c r="D1963" t="str">
        <f>IF($J1963="","",SUMIFS('Hours Log'!$D:$D,'Hours Log'!$A:$A,"&gt;="&amp;$J1963,'Hours Log'!$A:$A,"&lt;"&amp;$J1963+7))</f>
        <v/>
      </c>
      <c r="E1963" t="str">
        <f t="shared" si="60"/>
        <v/>
      </c>
      <c r="F1963" t="str">
        <f t="shared" si="61"/>
        <v/>
      </c>
      <c r="G1963" t="str">
        <f>IF($J1963="","",SUMIFS('Hours Log'!$E:$E,'Hours Log'!$A:$A,"&gt;="&amp;$J1963,'Hours Log'!$A:$A,"&lt;"&amp;$J1963+7))</f>
        <v/>
      </c>
      <c r="J1963" t="str">
        <f>IF(COUNT('Hours Log'!$A$4:$A$5000)=0,"",IF(MIN('Hours Log'!$A$4:$A$5000)+7*(ROW()-10)&gt;MAX('Hours Log'!$A$4:$A$5000),"",MIN('Hours Log'!$A$4:$A$5000)+7*(ROW()-10)))</f>
        <v/>
      </c>
    </row>
    <row r="1964" spans="1:10" x14ac:dyDescent="0.25">
      <c r="A1964" t="str">
        <f>IF($J1964="","",YEAR($J1964-WEEKDAY($J1964,2)+4)&amp;"-W"&amp;TEXT(_xludf.ISOWEEKNUM($J1964),"00"))</f>
        <v/>
      </c>
      <c r="B1964"/>
      <c r="C1964" t="str">
        <f>IF($J1964="","",SUMIFS('Hours Log'!$C:$C,'Hours Log'!$A:$A,"&gt;="&amp;$J1964,'Hours Log'!$A:$A,"&lt;"&amp;$J1964+7)+SUMIFS('Hours Log'!$D:$D,'Hours Log'!$A:$A,"&gt;="&amp;$J1964,'Hours Log'!$A:$A,"&lt;"&amp;$J1964+7))</f>
        <v/>
      </c>
      <c r="D1964" t="str">
        <f>IF($J1964="","",SUMIFS('Hours Log'!$D:$D,'Hours Log'!$A:$A,"&gt;="&amp;$J1964,'Hours Log'!$A:$A,"&lt;"&amp;$J1964+7))</f>
        <v/>
      </c>
      <c r="E1964" t="str">
        <f t="shared" si="60"/>
        <v/>
      </c>
      <c r="F1964" t="str">
        <f t="shared" si="61"/>
        <v/>
      </c>
      <c r="G1964" t="str">
        <f>IF($J1964="","",SUMIFS('Hours Log'!$E:$E,'Hours Log'!$A:$A,"&gt;="&amp;$J1964,'Hours Log'!$A:$A,"&lt;"&amp;$J1964+7))</f>
        <v/>
      </c>
      <c r="J1964" t="str">
        <f>IF(COUNT('Hours Log'!$A$4:$A$5000)=0,"",IF(MIN('Hours Log'!$A$4:$A$5000)+7*(ROW()-10)&gt;MAX('Hours Log'!$A$4:$A$5000),"",MIN('Hours Log'!$A$4:$A$5000)+7*(ROW()-10)))</f>
        <v/>
      </c>
    </row>
    <row r="1965" spans="1:10" x14ac:dyDescent="0.25">
      <c r="A1965" t="str">
        <f>IF($J1965="","",YEAR($J1965-WEEKDAY($J1965,2)+4)&amp;"-W"&amp;TEXT(_xludf.ISOWEEKNUM($J1965),"00"))</f>
        <v/>
      </c>
      <c r="B1965"/>
      <c r="C1965" t="str">
        <f>IF($J1965="","",SUMIFS('Hours Log'!$C:$C,'Hours Log'!$A:$A,"&gt;="&amp;$J1965,'Hours Log'!$A:$A,"&lt;"&amp;$J1965+7)+SUMIFS('Hours Log'!$D:$D,'Hours Log'!$A:$A,"&gt;="&amp;$J1965,'Hours Log'!$A:$A,"&lt;"&amp;$J1965+7))</f>
        <v/>
      </c>
      <c r="D1965" t="str">
        <f>IF($J1965="","",SUMIFS('Hours Log'!$D:$D,'Hours Log'!$A:$A,"&gt;="&amp;$J1965,'Hours Log'!$A:$A,"&lt;"&amp;$J1965+7))</f>
        <v/>
      </c>
      <c r="E1965" t="str">
        <f t="shared" si="60"/>
        <v/>
      </c>
      <c r="F1965" t="str">
        <f t="shared" si="61"/>
        <v/>
      </c>
      <c r="G1965" t="str">
        <f>IF($J1965="","",SUMIFS('Hours Log'!$E:$E,'Hours Log'!$A:$A,"&gt;="&amp;$J1965,'Hours Log'!$A:$A,"&lt;"&amp;$J1965+7))</f>
        <v/>
      </c>
      <c r="J1965" t="str">
        <f>IF(COUNT('Hours Log'!$A$4:$A$5000)=0,"",IF(MIN('Hours Log'!$A$4:$A$5000)+7*(ROW()-10)&gt;MAX('Hours Log'!$A$4:$A$5000),"",MIN('Hours Log'!$A$4:$A$5000)+7*(ROW()-10)))</f>
        <v/>
      </c>
    </row>
    <row r="1966" spans="1:10" x14ac:dyDescent="0.25">
      <c r="A1966" t="str">
        <f>IF($J1966="","",YEAR($J1966-WEEKDAY($J1966,2)+4)&amp;"-W"&amp;TEXT(_xludf.ISOWEEKNUM($J1966),"00"))</f>
        <v/>
      </c>
      <c r="B1966"/>
      <c r="C1966" t="str">
        <f>IF($J1966="","",SUMIFS('Hours Log'!$C:$C,'Hours Log'!$A:$A,"&gt;="&amp;$J1966,'Hours Log'!$A:$A,"&lt;"&amp;$J1966+7)+SUMIFS('Hours Log'!$D:$D,'Hours Log'!$A:$A,"&gt;="&amp;$J1966,'Hours Log'!$A:$A,"&lt;"&amp;$J1966+7))</f>
        <v/>
      </c>
      <c r="D1966" t="str">
        <f>IF($J1966="","",SUMIFS('Hours Log'!$D:$D,'Hours Log'!$A:$A,"&gt;="&amp;$J1966,'Hours Log'!$A:$A,"&lt;"&amp;$J1966+7))</f>
        <v/>
      </c>
      <c r="E1966" t="str">
        <f t="shared" si="60"/>
        <v/>
      </c>
      <c r="F1966" t="str">
        <f t="shared" si="61"/>
        <v/>
      </c>
      <c r="G1966" t="str">
        <f>IF($J1966="","",SUMIFS('Hours Log'!$E:$E,'Hours Log'!$A:$A,"&gt;="&amp;$J1966,'Hours Log'!$A:$A,"&lt;"&amp;$J1966+7))</f>
        <v/>
      </c>
      <c r="J1966" t="str">
        <f>IF(COUNT('Hours Log'!$A$4:$A$5000)=0,"",IF(MIN('Hours Log'!$A$4:$A$5000)+7*(ROW()-10)&gt;MAX('Hours Log'!$A$4:$A$5000),"",MIN('Hours Log'!$A$4:$A$5000)+7*(ROW()-10)))</f>
        <v/>
      </c>
    </row>
    <row r="1967" spans="1:10" x14ac:dyDescent="0.25">
      <c r="A1967" t="str">
        <f>IF($J1967="","",YEAR($J1967-WEEKDAY($J1967,2)+4)&amp;"-W"&amp;TEXT(_xludf.ISOWEEKNUM($J1967),"00"))</f>
        <v/>
      </c>
      <c r="B1967"/>
      <c r="C1967" t="str">
        <f>IF($J1967="","",SUMIFS('Hours Log'!$C:$C,'Hours Log'!$A:$A,"&gt;="&amp;$J1967,'Hours Log'!$A:$A,"&lt;"&amp;$J1967+7)+SUMIFS('Hours Log'!$D:$D,'Hours Log'!$A:$A,"&gt;="&amp;$J1967,'Hours Log'!$A:$A,"&lt;"&amp;$J1967+7))</f>
        <v/>
      </c>
      <c r="D1967" t="str">
        <f>IF($J1967="","",SUMIFS('Hours Log'!$D:$D,'Hours Log'!$A:$A,"&gt;="&amp;$J1967,'Hours Log'!$A:$A,"&lt;"&amp;$J1967+7))</f>
        <v/>
      </c>
      <c r="E1967" t="str">
        <f t="shared" si="60"/>
        <v/>
      </c>
      <c r="F1967" t="str">
        <f t="shared" si="61"/>
        <v/>
      </c>
      <c r="G1967" t="str">
        <f>IF($J1967="","",SUMIFS('Hours Log'!$E:$E,'Hours Log'!$A:$A,"&gt;="&amp;$J1967,'Hours Log'!$A:$A,"&lt;"&amp;$J1967+7))</f>
        <v/>
      </c>
      <c r="J1967" t="str">
        <f>IF(COUNT('Hours Log'!$A$4:$A$5000)=0,"",IF(MIN('Hours Log'!$A$4:$A$5000)+7*(ROW()-10)&gt;MAX('Hours Log'!$A$4:$A$5000),"",MIN('Hours Log'!$A$4:$A$5000)+7*(ROW()-10)))</f>
        <v/>
      </c>
    </row>
    <row r="1968" spans="1:10" x14ac:dyDescent="0.25">
      <c r="A1968" t="str">
        <f>IF($J1968="","",YEAR($J1968-WEEKDAY($J1968,2)+4)&amp;"-W"&amp;TEXT(_xludf.ISOWEEKNUM($J1968),"00"))</f>
        <v/>
      </c>
      <c r="B1968"/>
      <c r="C1968" t="str">
        <f>IF($J1968="","",SUMIFS('Hours Log'!$C:$C,'Hours Log'!$A:$A,"&gt;="&amp;$J1968,'Hours Log'!$A:$A,"&lt;"&amp;$J1968+7)+SUMIFS('Hours Log'!$D:$D,'Hours Log'!$A:$A,"&gt;="&amp;$J1968,'Hours Log'!$A:$A,"&lt;"&amp;$J1968+7))</f>
        <v/>
      </c>
      <c r="D1968" t="str">
        <f>IF($J1968="","",SUMIFS('Hours Log'!$D:$D,'Hours Log'!$A:$A,"&gt;="&amp;$J1968,'Hours Log'!$A:$A,"&lt;"&amp;$J1968+7))</f>
        <v/>
      </c>
      <c r="E1968" t="str">
        <f t="shared" si="60"/>
        <v/>
      </c>
      <c r="F1968" t="str">
        <f t="shared" si="61"/>
        <v/>
      </c>
      <c r="G1968" t="str">
        <f>IF($J1968="","",SUMIFS('Hours Log'!$E:$E,'Hours Log'!$A:$A,"&gt;="&amp;$J1968,'Hours Log'!$A:$A,"&lt;"&amp;$J1968+7))</f>
        <v/>
      </c>
      <c r="J1968" t="str">
        <f>IF(COUNT('Hours Log'!$A$4:$A$5000)=0,"",IF(MIN('Hours Log'!$A$4:$A$5000)+7*(ROW()-10)&gt;MAX('Hours Log'!$A$4:$A$5000),"",MIN('Hours Log'!$A$4:$A$5000)+7*(ROW()-10)))</f>
        <v/>
      </c>
    </row>
    <row r="1969" spans="1:10" x14ac:dyDescent="0.25">
      <c r="A1969" t="str">
        <f>IF($J1969="","",YEAR($J1969-WEEKDAY($J1969,2)+4)&amp;"-W"&amp;TEXT(_xludf.ISOWEEKNUM($J1969),"00"))</f>
        <v/>
      </c>
      <c r="B1969"/>
      <c r="C1969" t="str">
        <f>IF($J1969="","",SUMIFS('Hours Log'!$C:$C,'Hours Log'!$A:$A,"&gt;="&amp;$J1969,'Hours Log'!$A:$A,"&lt;"&amp;$J1969+7)+SUMIFS('Hours Log'!$D:$D,'Hours Log'!$A:$A,"&gt;="&amp;$J1969,'Hours Log'!$A:$A,"&lt;"&amp;$J1969+7))</f>
        <v/>
      </c>
      <c r="D1969" t="str">
        <f>IF($J1969="","",SUMIFS('Hours Log'!$D:$D,'Hours Log'!$A:$A,"&gt;="&amp;$J1969,'Hours Log'!$A:$A,"&lt;"&amp;$J1969+7))</f>
        <v/>
      </c>
      <c r="E1969" t="str">
        <f t="shared" si="60"/>
        <v/>
      </c>
      <c r="F1969" t="str">
        <f t="shared" si="61"/>
        <v/>
      </c>
      <c r="G1969" t="str">
        <f>IF($J1969="","",SUMIFS('Hours Log'!$E:$E,'Hours Log'!$A:$A,"&gt;="&amp;$J1969,'Hours Log'!$A:$A,"&lt;"&amp;$J1969+7))</f>
        <v/>
      </c>
      <c r="J1969" t="str">
        <f>IF(COUNT('Hours Log'!$A$4:$A$5000)=0,"",IF(MIN('Hours Log'!$A$4:$A$5000)+7*(ROW()-10)&gt;MAX('Hours Log'!$A$4:$A$5000),"",MIN('Hours Log'!$A$4:$A$5000)+7*(ROW()-10)))</f>
        <v/>
      </c>
    </row>
    <row r="1970" spans="1:10" x14ac:dyDescent="0.25">
      <c r="A1970" t="str">
        <f>IF($J1970="","",YEAR($J1970-WEEKDAY($J1970,2)+4)&amp;"-W"&amp;TEXT(_xludf.ISOWEEKNUM($J1970),"00"))</f>
        <v/>
      </c>
      <c r="B1970"/>
      <c r="C1970" t="str">
        <f>IF($J1970="","",SUMIFS('Hours Log'!$C:$C,'Hours Log'!$A:$A,"&gt;="&amp;$J1970,'Hours Log'!$A:$A,"&lt;"&amp;$J1970+7)+SUMIFS('Hours Log'!$D:$D,'Hours Log'!$A:$A,"&gt;="&amp;$J1970,'Hours Log'!$A:$A,"&lt;"&amp;$J1970+7))</f>
        <v/>
      </c>
      <c r="D1970" t="str">
        <f>IF($J1970="","",SUMIFS('Hours Log'!$D:$D,'Hours Log'!$A:$A,"&gt;="&amp;$J1970,'Hours Log'!$A:$A,"&lt;"&amp;$J1970+7))</f>
        <v/>
      </c>
      <c r="E1970" t="str">
        <f t="shared" si="60"/>
        <v/>
      </c>
      <c r="F1970" t="str">
        <f t="shared" si="61"/>
        <v/>
      </c>
      <c r="G1970" t="str">
        <f>IF($J1970="","",SUMIFS('Hours Log'!$E:$E,'Hours Log'!$A:$A,"&gt;="&amp;$J1970,'Hours Log'!$A:$A,"&lt;"&amp;$J1970+7))</f>
        <v/>
      </c>
      <c r="J1970" t="str">
        <f>IF(COUNT('Hours Log'!$A$4:$A$5000)=0,"",IF(MIN('Hours Log'!$A$4:$A$5000)+7*(ROW()-10)&gt;MAX('Hours Log'!$A$4:$A$5000),"",MIN('Hours Log'!$A$4:$A$5000)+7*(ROW()-10)))</f>
        <v/>
      </c>
    </row>
    <row r="1971" spans="1:10" x14ac:dyDescent="0.25">
      <c r="A1971" t="str">
        <f>IF($J1971="","",YEAR($J1971-WEEKDAY($J1971,2)+4)&amp;"-W"&amp;TEXT(_xludf.ISOWEEKNUM($J1971),"00"))</f>
        <v/>
      </c>
      <c r="B1971"/>
      <c r="C1971" t="str">
        <f>IF($J1971="","",SUMIFS('Hours Log'!$C:$C,'Hours Log'!$A:$A,"&gt;="&amp;$J1971,'Hours Log'!$A:$A,"&lt;"&amp;$J1971+7)+SUMIFS('Hours Log'!$D:$D,'Hours Log'!$A:$A,"&gt;="&amp;$J1971,'Hours Log'!$A:$A,"&lt;"&amp;$J1971+7))</f>
        <v/>
      </c>
      <c r="D1971" t="str">
        <f>IF($J1971="","",SUMIFS('Hours Log'!$D:$D,'Hours Log'!$A:$A,"&gt;="&amp;$J1971,'Hours Log'!$A:$A,"&lt;"&amp;$J1971+7))</f>
        <v/>
      </c>
      <c r="E1971" t="str">
        <f t="shared" si="60"/>
        <v/>
      </c>
      <c r="F1971" t="str">
        <f t="shared" si="61"/>
        <v/>
      </c>
      <c r="G1971" t="str">
        <f>IF($J1971="","",SUMIFS('Hours Log'!$E:$E,'Hours Log'!$A:$A,"&gt;="&amp;$J1971,'Hours Log'!$A:$A,"&lt;"&amp;$J1971+7))</f>
        <v/>
      </c>
      <c r="J1971" t="str">
        <f>IF(COUNT('Hours Log'!$A$4:$A$5000)=0,"",IF(MIN('Hours Log'!$A$4:$A$5000)+7*(ROW()-10)&gt;MAX('Hours Log'!$A$4:$A$5000),"",MIN('Hours Log'!$A$4:$A$5000)+7*(ROW()-10)))</f>
        <v/>
      </c>
    </row>
    <row r="1972" spans="1:10" x14ac:dyDescent="0.25">
      <c r="A1972" t="str">
        <f>IF($J1972="","",YEAR($J1972-WEEKDAY($J1972,2)+4)&amp;"-W"&amp;TEXT(_xludf.ISOWEEKNUM($J1972),"00"))</f>
        <v/>
      </c>
      <c r="B1972"/>
      <c r="C1972" t="str">
        <f>IF($J1972="","",SUMIFS('Hours Log'!$C:$C,'Hours Log'!$A:$A,"&gt;="&amp;$J1972,'Hours Log'!$A:$A,"&lt;"&amp;$J1972+7)+SUMIFS('Hours Log'!$D:$D,'Hours Log'!$A:$A,"&gt;="&amp;$J1972,'Hours Log'!$A:$A,"&lt;"&amp;$J1972+7))</f>
        <v/>
      </c>
      <c r="D1972" t="str">
        <f>IF($J1972="","",SUMIFS('Hours Log'!$D:$D,'Hours Log'!$A:$A,"&gt;="&amp;$J1972,'Hours Log'!$A:$A,"&lt;"&amp;$J1972+7))</f>
        <v/>
      </c>
      <c r="E1972" t="str">
        <f t="shared" si="60"/>
        <v/>
      </c>
      <c r="F1972" t="str">
        <f t="shared" si="61"/>
        <v/>
      </c>
      <c r="G1972" t="str">
        <f>IF($J1972="","",SUMIFS('Hours Log'!$E:$E,'Hours Log'!$A:$A,"&gt;="&amp;$J1972,'Hours Log'!$A:$A,"&lt;"&amp;$J1972+7))</f>
        <v/>
      </c>
      <c r="J1972" t="str">
        <f>IF(COUNT('Hours Log'!$A$4:$A$5000)=0,"",IF(MIN('Hours Log'!$A$4:$A$5000)+7*(ROW()-10)&gt;MAX('Hours Log'!$A$4:$A$5000),"",MIN('Hours Log'!$A$4:$A$5000)+7*(ROW()-10)))</f>
        <v/>
      </c>
    </row>
    <row r="1973" spans="1:10" x14ac:dyDescent="0.25">
      <c r="A1973" t="str">
        <f>IF($J1973="","",YEAR($J1973-WEEKDAY($J1973,2)+4)&amp;"-W"&amp;TEXT(_xludf.ISOWEEKNUM($J1973),"00"))</f>
        <v/>
      </c>
      <c r="B1973"/>
      <c r="C1973" t="str">
        <f>IF($J1973="","",SUMIFS('Hours Log'!$C:$C,'Hours Log'!$A:$A,"&gt;="&amp;$J1973,'Hours Log'!$A:$A,"&lt;"&amp;$J1973+7)+SUMIFS('Hours Log'!$D:$D,'Hours Log'!$A:$A,"&gt;="&amp;$J1973,'Hours Log'!$A:$A,"&lt;"&amp;$J1973+7))</f>
        <v/>
      </c>
      <c r="D1973" t="str">
        <f>IF($J1973="","",SUMIFS('Hours Log'!$D:$D,'Hours Log'!$A:$A,"&gt;="&amp;$J1973,'Hours Log'!$A:$A,"&lt;"&amp;$J1973+7))</f>
        <v/>
      </c>
      <c r="E1973" t="str">
        <f t="shared" si="60"/>
        <v/>
      </c>
      <c r="F1973" t="str">
        <f t="shared" si="61"/>
        <v/>
      </c>
      <c r="G1973" t="str">
        <f>IF($J1973="","",SUMIFS('Hours Log'!$E:$E,'Hours Log'!$A:$A,"&gt;="&amp;$J1973,'Hours Log'!$A:$A,"&lt;"&amp;$J1973+7))</f>
        <v/>
      </c>
      <c r="J1973" t="str">
        <f>IF(COUNT('Hours Log'!$A$4:$A$5000)=0,"",IF(MIN('Hours Log'!$A$4:$A$5000)+7*(ROW()-10)&gt;MAX('Hours Log'!$A$4:$A$5000),"",MIN('Hours Log'!$A$4:$A$5000)+7*(ROW()-10)))</f>
        <v/>
      </c>
    </row>
    <row r="1974" spans="1:10" x14ac:dyDescent="0.25">
      <c r="A1974" t="str">
        <f>IF($J1974="","",YEAR($J1974-WEEKDAY($J1974,2)+4)&amp;"-W"&amp;TEXT(_xludf.ISOWEEKNUM($J1974),"00"))</f>
        <v/>
      </c>
      <c r="B1974"/>
      <c r="C1974" t="str">
        <f>IF($J1974="","",SUMIFS('Hours Log'!$C:$C,'Hours Log'!$A:$A,"&gt;="&amp;$J1974,'Hours Log'!$A:$A,"&lt;"&amp;$J1974+7)+SUMIFS('Hours Log'!$D:$D,'Hours Log'!$A:$A,"&gt;="&amp;$J1974,'Hours Log'!$A:$A,"&lt;"&amp;$J1974+7))</f>
        <v/>
      </c>
      <c r="D1974" t="str">
        <f>IF($J1974="","",SUMIFS('Hours Log'!$D:$D,'Hours Log'!$A:$A,"&gt;="&amp;$J1974,'Hours Log'!$A:$A,"&lt;"&amp;$J1974+7))</f>
        <v/>
      </c>
      <c r="E1974" t="str">
        <f t="shared" si="60"/>
        <v/>
      </c>
      <c r="F1974" t="str">
        <f t="shared" si="61"/>
        <v/>
      </c>
      <c r="G1974" t="str">
        <f>IF($J1974="","",SUMIFS('Hours Log'!$E:$E,'Hours Log'!$A:$A,"&gt;="&amp;$J1974,'Hours Log'!$A:$A,"&lt;"&amp;$J1974+7))</f>
        <v/>
      </c>
      <c r="J1974" t="str">
        <f>IF(COUNT('Hours Log'!$A$4:$A$5000)=0,"",IF(MIN('Hours Log'!$A$4:$A$5000)+7*(ROW()-10)&gt;MAX('Hours Log'!$A$4:$A$5000),"",MIN('Hours Log'!$A$4:$A$5000)+7*(ROW()-10)))</f>
        <v/>
      </c>
    </row>
    <row r="1975" spans="1:10" x14ac:dyDescent="0.25">
      <c r="A1975" t="str">
        <f>IF($J1975="","",YEAR($J1975-WEEKDAY($J1975,2)+4)&amp;"-W"&amp;TEXT(_xludf.ISOWEEKNUM($J1975),"00"))</f>
        <v/>
      </c>
      <c r="B1975"/>
      <c r="C1975" t="str">
        <f>IF($J1975="","",SUMIFS('Hours Log'!$C:$C,'Hours Log'!$A:$A,"&gt;="&amp;$J1975,'Hours Log'!$A:$A,"&lt;"&amp;$J1975+7)+SUMIFS('Hours Log'!$D:$D,'Hours Log'!$A:$A,"&gt;="&amp;$J1975,'Hours Log'!$A:$A,"&lt;"&amp;$J1975+7))</f>
        <v/>
      </c>
      <c r="D1975" t="str">
        <f>IF($J1975="","",SUMIFS('Hours Log'!$D:$D,'Hours Log'!$A:$A,"&gt;="&amp;$J1975,'Hours Log'!$A:$A,"&lt;"&amp;$J1975+7))</f>
        <v/>
      </c>
      <c r="E1975" t="str">
        <f t="shared" si="60"/>
        <v/>
      </c>
      <c r="F1975" t="str">
        <f t="shared" si="61"/>
        <v/>
      </c>
      <c r="G1975" t="str">
        <f>IF($J1975="","",SUMIFS('Hours Log'!$E:$E,'Hours Log'!$A:$A,"&gt;="&amp;$J1975,'Hours Log'!$A:$A,"&lt;"&amp;$J1975+7))</f>
        <v/>
      </c>
      <c r="J1975" t="str">
        <f>IF(COUNT('Hours Log'!$A$4:$A$5000)=0,"",IF(MIN('Hours Log'!$A$4:$A$5000)+7*(ROW()-10)&gt;MAX('Hours Log'!$A$4:$A$5000),"",MIN('Hours Log'!$A$4:$A$5000)+7*(ROW()-10)))</f>
        <v/>
      </c>
    </row>
    <row r="1976" spans="1:10" x14ac:dyDescent="0.25">
      <c r="A1976" t="str">
        <f>IF($J1976="","",YEAR($J1976-WEEKDAY($J1976,2)+4)&amp;"-W"&amp;TEXT(_xludf.ISOWEEKNUM($J1976),"00"))</f>
        <v/>
      </c>
      <c r="B1976"/>
      <c r="C1976" t="str">
        <f>IF($J1976="","",SUMIFS('Hours Log'!$C:$C,'Hours Log'!$A:$A,"&gt;="&amp;$J1976,'Hours Log'!$A:$A,"&lt;"&amp;$J1976+7)+SUMIFS('Hours Log'!$D:$D,'Hours Log'!$A:$A,"&gt;="&amp;$J1976,'Hours Log'!$A:$A,"&lt;"&amp;$J1976+7))</f>
        <v/>
      </c>
      <c r="D1976" t="str">
        <f>IF($J1976="","",SUMIFS('Hours Log'!$D:$D,'Hours Log'!$A:$A,"&gt;="&amp;$J1976,'Hours Log'!$A:$A,"&lt;"&amp;$J1976+7))</f>
        <v/>
      </c>
      <c r="E1976" t="str">
        <f t="shared" si="60"/>
        <v/>
      </c>
      <c r="F1976" t="str">
        <f t="shared" si="61"/>
        <v/>
      </c>
      <c r="G1976" t="str">
        <f>IF($J1976="","",SUMIFS('Hours Log'!$E:$E,'Hours Log'!$A:$A,"&gt;="&amp;$J1976,'Hours Log'!$A:$A,"&lt;"&amp;$J1976+7))</f>
        <v/>
      </c>
      <c r="J1976" t="str">
        <f>IF(COUNT('Hours Log'!$A$4:$A$5000)=0,"",IF(MIN('Hours Log'!$A$4:$A$5000)+7*(ROW()-10)&gt;MAX('Hours Log'!$A$4:$A$5000),"",MIN('Hours Log'!$A$4:$A$5000)+7*(ROW()-10)))</f>
        <v/>
      </c>
    </row>
    <row r="1977" spans="1:10" x14ac:dyDescent="0.25">
      <c r="A1977" t="str">
        <f>IF($J1977="","",YEAR($J1977-WEEKDAY($J1977,2)+4)&amp;"-W"&amp;TEXT(_xludf.ISOWEEKNUM($J1977),"00"))</f>
        <v/>
      </c>
      <c r="B1977"/>
      <c r="C1977" t="str">
        <f>IF($J1977="","",SUMIFS('Hours Log'!$C:$C,'Hours Log'!$A:$A,"&gt;="&amp;$J1977,'Hours Log'!$A:$A,"&lt;"&amp;$J1977+7)+SUMIFS('Hours Log'!$D:$D,'Hours Log'!$A:$A,"&gt;="&amp;$J1977,'Hours Log'!$A:$A,"&lt;"&amp;$J1977+7))</f>
        <v/>
      </c>
      <c r="D1977" t="str">
        <f>IF($J1977="","",SUMIFS('Hours Log'!$D:$D,'Hours Log'!$A:$A,"&gt;="&amp;$J1977,'Hours Log'!$A:$A,"&lt;"&amp;$J1977+7))</f>
        <v/>
      </c>
      <c r="E1977" t="str">
        <f t="shared" si="60"/>
        <v/>
      </c>
      <c r="F1977" t="str">
        <f t="shared" si="61"/>
        <v/>
      </c>
      <c r="G1977" t="str">
        <f>IF($J1977="","",SUMIFS('Hours Log'!$E:$E,'Hours Log'!$A:$A,"&gt;="&amp;$J1977,'Hours Log'!$A:$A,"&lt;"&amp;$J1977+7))</f>
        <v/>
      </c>
      <c r="J1977" t="str">
        <f>IF(COUNT('Hours Log'!$A$4:$A$5000)=0,"",IF(MIN('Hours Log'!$A$4:$A$5000)+7*(ROW()-10)&gt;MAX('Hours Log'!$A$4:$A$5000),"",MIN('Hours Log'!$A$4:$A$5000)+7*(ROW()-10)))</f>
        <v/>
      </c>
    </row>
    <row r="1978" spans="1:10" x14ac:dyDescent="0.25">
      <c r="A1978" t="str">
        <f>IF($J1978="","",YEAR($J1978-WEEKDAY($J1978,2)+4)&amp;"-W"&amp;TEXT(_xludf.ISOWEEKNUM($J1978),"00"))</f>
        <v/>
      </c>
      <c r="B1978"/>
      <c r="C1978" t="str">
        <f>IF($J1978="","",SUMIFS('Hours Log'!$C:$C,'Hours Log'!$A:$A,"&gt;="&amp;$J1978,'Hours Log'!$A:$A,"&lt;"&amp;$J1978+7)+SUMIFS('Hours Log'!$D:$D,'Hours Log'!$A:$A,"&gt;="&amp;$J1978,'Hours Log'!$A:$A,"&lt;"&amp;$J1978+7))</f>
        <v/>
      </c>
      <c r="D1978" t="str">
        <f>IF($J1978="","",SUMIFS('Hours Log'!$D:$D,'Hours Log'!$A:$A,"&gt;="&amp;$J1978,'Hours Log'!$A:$A,"&lt;"&amp;$J1978+7))</f>
        <v/>
      </c>
      <c r="E1978" t="str">
        <f t="shared" si="60"/>
        <v/>
      </c>
      <c r="F1978" t="str">
        <f t="shared" si="61"/>
        <v/>
      </c>
      <c r="G1978" t="str">
        <f>IF($J1978="","",SUMIFS('Hours Log'!$E:$E,'Hours Log'!$A:$A,"&gt;="&amp;$J1978,'Hours Log'!$A:$A,"&lt;"&amp;$J1978+7))</f>
        <v/>
      </c>
      <c r="J1978" t="str">
        <f>IF(COUNT('Hours Log'!$A$4:$A$5000)=0,"",IF(MIN('Hours Log'!$A$4:$A$5000)+7*(ROW()-10)&gt;MAX('Hours Log'!$A$4:$A$5000),"",MIN('Hours Log'!$A$4:$A$5000)+7*(ROW()-10)))</f>
        <v/>
      </c>
    </row>
    <row r="1979" spans="1:10" x14ac:dyDescent="0.25">
      <c r="A1979" t="str">
        <f>IF($J1979="","",YEAR($J1979-WEEKDAY($J1979,2)+4)&amp;"-W"&amp;TEXT(_xludf.ISOWEEKNUM($J1979),"00"))</f>
        <v/>
      </c>
      <c r="B1979"/>
      <c r="C1979" t="str">
        <f>IF($J1979="","",SUMIFS('Hours Log'!$C:$C,'Hours Log'!$A:$A,"&gt;="&amp;$J1979,'Hours Log'!$A:$A,"&lt;"&amp;$J1979+7)+SUMIFS('Hours Log'!$D:$D,'Hours Log'!$A:$A,"&gt;="&amp;$J1979,'Hours Log'!$A:$A,"&lt;"&amp;$J1979+7))</f>
        <v/>
      </c>
      <c r="D1979" t="str">
        <f>IF($J1979="","",SUMIFS('Hours Log'!$D:$D,'Hours Log'!$A:$A,"&gt;="&amp;$J1979,'Hours Log'!$A:$A,"&lt;"&amp;$J1979+7))</f>
        <v/>
      </c>
      <c r="E1979" t="str">
        <f t="shared" si="60"/>
        <v/>
      </c>
      <c r="F1979" t="str">
        <f t="shared" si="61"/>
        <v/>
      </c>
      <c r="G1979" t="str">
        <f>IF($J1979="","",SUMIFS('Hours Log'!$E:$E,'Hours Log'!$A:$A,"&gt;="&amp;$J1979,'Hours Log'!$A:$A,"&lt;"&amp;$J1979+7))</f>
        <v/>
      </c>
      <c r="J1979" t="str">
        <f>IF(COUNT('Hours Log'!$A$4:$A$5000)=0,"",IF(MIN('Hours Log'!$A$4:$A$5000)+7*(ROW()-10)&gt;MAX('Hours Log'!$A$4:$A$5000),"",MIN('Hours Log'!$A$4:$A$5000)+7*(ROW()-10)))</f>
        <v/>
      </c>
    </row>
    <row r="1980" spans="1:10" x14ac:dyDescent="0.25">
      <c r="A1980" t="str">
        <f>IF($J1980="","",YEAR($J1980-WEEKDAY($J1980,2)+4)&amp;"-W"&amp;TEXT(_xludf.ISOWEEKNUM($J1980),"00"))</f>
        <v/>
      </c>
      <c r="B1980"/>
      <c r="C1980" t="str">
        <f>IF($J1980="","",SUMIFS('Hours Log'!$C:$C,'Hours Log'!$A:$A,"&gt;="&amp;$J1980,'Hours Log'!$A:$A,"&lt;"&amp;$J1980+7)+SUMIFS('Hours Log'!$D:$D,'Hours Log'!$A:$A,"&gt;="&amp;$J1980,'Hours Log'!$A:$A,"&lt;"&amp;$J1980+7))</f>
        <v/>
      </c>
      <c r="D1980" t="str">
        <f>IF($J1980="","",SUMIFS('Hours Log'!$D:$D,'Hours Log'!$A:$A,"&gt;="&amp;$J1980,'Hours Log'!$A:$A,"&lt;"&amp;$J1980+7))</f>
        <v/>
      </c>
      <c r="E1980" t="str">
        <f t="shared" si="60"/>
        <v/>
      </c>
      <c r="F1980" t="str">
        <f t="shared" si="61"/>
        <v/>
      </c>
      <c r="G1980" t="str">
        <f>IF($J1980="","",SUMIFS('Hours Log'!$E:$E,'Hours Log'!$A:$A,"&gt;="&amp;$J1980,'Hours Log'!$A:$A,"&lt;"&amp;$J1980+7))</f>
        <v/>
      </c>
      <c r="J1980" t="str">
        <f>IF(COUNT('Hours Log'!$A$4:$A$5000)=0,"",IF(MIN('Hours Log'!$A$4:$A$5000)+7*(ROW()-10)&gt;MAX('Hours Log'!$A$4:$A$5000),"",MIN('Hours Log'!$A$4:$A$5000)+7*(ROW()-10)))</f>
        <v/>
      </c>
    </row>
    <row r="1981" spans="1:10" x14ac:dyDescent="0.25">
      <c r="A1981" t="str">
        <f>IF($J1981="","",YEAR($J1981-WEEKDAY($J1981,2)+4)&amp;"-W"&amp;TEXT(_xludf.ISOWEEKNUM($J1981),"00"))</f>
        <v/>
      </c>
      <c r="B1981"/>
      <c r="C1981" t="str">
        <f>IF($J1981="","",SUMIFS('Hours Log'!$C:$C,'Hours Log'!$A:$A,"&gt;="&amp;$J1981,'Hours Log'!$A:$A,"&lt;"&amp;$J1981+7)+SUMIFS('Hours Log'!$D:$D,'Hours Log'!$A:$A,"&gt;="&amp;$J1981,'Hours Log'!$A:$A,"&lt;"&amp;$J1981+7))</f>
        <v/>
      </c>
      <c r="D1981" t="str">
        <f>IF($J1981="","",SUMIFS('Hours Log'!$D:$D,'Hours Log'!$A:$A,"&gt;="&amp;$J1981,'Hours Log'!$A:$A,"&lt;"&amp;$J1981+7))</f>
        <v/>
      </c>
      <c r="E1981" t="str">
        <f t="shared" si="60"/>
        <v/>
      </c>
      <c r="F1981" t="str">
        <f t="shared" si="61"/>
        <v/>
      </c>
      <c r="G1981" t="str">
        <f>IF($J1981="","",SUMIFS('Hours Log'!$E:$E,'Hours Log'!$A:$A,"&gt;="&amp;$J1981,'Hours Log'!$A:$A,"&lt;"&amp;$J1981+7))</f>
        <v/>
      </c>
      <c r="J1981" t="str">
        <f>IF(COUNT('Hours Log'!$A$4:$A$5000)=0,"",IF(MIN('Hours Log'!$A$4:$A$5000)+7*(ROW()-10)&gt;MAX('Hours Log'!$A$4:$A$5000),"",MIN('Hours Log'!$A$4:$A$5000)+7*(ROW()-10)))</f>
        <v/>
      </c>
    </row>
    <row r="1982" spans="1:10" x14ac:dyDescent="0.25">
      <c r="A1982" t="str">
        <f>IF($J1982="","",YEAR($J1982-WEEKDAY($J1982,2)+4)&amp;"-W"&amp;TEXT(_xludf.ISOWEEKNUM($J1982),"00"))</f>
        <v/>
      </c>
      <c r="B1982"/>
      <c r="C1982" t="str">
        <f>IF($J1982="","",SUMIFS('Hours Log'!$C:$C,'Hours Log'!$A:$A,"&gt;="&amp;$J1982,'Hours Log'!$A:$A,"&lt;"&amp;$J1982+7)+SUMIFS('Hours Log'!$D:$D,'Hours Log'!$A:$A,"&gt;="&amp;$J1982,'Hours Log'!$A:$A,"&lt;"&amp;$J1982+7))</f>
        <v/>
      </c>
      <c r="D1982" t="str">
        <f>IF($J1982="","",SUMIFS('Hours Log'!$D:$D,'Hours Log'!$A:$A,"&gt;="&amp;$J1982,'Hours Log'!$A:$A,"&lt;"&amp;$J1982+7))</f>
        <v/>
      </c>
      <c r="E1982" t="str">
        <f t="shared" si="60"/>
        <v/>
      </c>
      <c r="F1982" t="str">
        <f t="shared" si="61"/>
        <v/>
      </c>
      <c r="G1982" t="str">
        <f>IF($J1982="","",SUMIFS('Hours Log'!$E:$E,'Hours Log'!$A:$A,"&gt;="&amp;$J1982,'Hours Log'!$A:$A,"&lt;"&amp;$J1982+7))</f>
        <v/>
      </c>
      <c r="J1982" t="str">
        <f>IF(COUNT('Hours Log'!$A$4:$A$5000)=0,"",IF(MIN('Hours Log'!$A$4:$A$5000)+7*(ROW()-10)&gt;MAX('Hours Log'!$A$4:$A$5000),"",MIN('Hours Log'!$A$4:$A$5000)+7*(ROW()-10)))</f>
        <v/>
      </c>
    </row>
    <row r="1983" spans="1:10" x14ac:dyDescent="0.25">
      <c r="A1983" t="str">
        <f>IF($J1983="","",YEAR($J1983-WEEKDAY($J1983,2)+4)&amp;"-W"&amp;TEXT(_xludf.ISOWEEKNUM($J1983),"00"))</f>
        <v/>
      </c>
      <c r="B1983"/>
      <c r="C1983" t="str">
        <f>IF($J1983="","",SUMIFS('Hours Log'!$C:$C,'Hours Log'!$A:$A,"&gt;="&amp;$J1983,'Hours Log'!$A:$A,"&lt;"&amp;$J1983+7)+SUMIFS('Hours Log'!$D:$D,'Hours Log'!$A:$A,"&gt;="&amp;$J1983,'Hours Log'!$A:$A,"&lt;"&amp;$J1983+7))</f>
        <v/>
      </c>
      <c r="D1983" t="str">
        <f>IF($J1983="","",SUMIFS('Hours Log'!$D:$D,'Hours Log'!$A:$A,"&gt;="&amp;$J1983,'Hours Log'!$A:$A,"&lt;"&amp;$J1983+7))</f>
        <v/>
      </c>
      <c r="E1983" t="str">
        <f t="shared" si="60"/>
        <v/>
      </c>
      <c r="F1983" t="str">
        <f t="shared" si="61"/>
        <v/>
      </c>
      <c r="G1983" t="str">
        <f>IF($J1983="","",SUMIFS('Hours Log'!$E:$E,'Hours Log'!$A:$A,"&gt;="&amp;$J1983,'Hours Log'!$A:$A,"&lt;"&amp;$J1983+7))</f>
        <v/>
      </c>
      <c r="J1983" t="str">
        <f>IF(COUNT('Hours Log'!$A$4:$A$5000)=0,"",IF(MIN('Hours Log'!$A$4:$A$5000)+7*(ROW()-10)&gt;MAX('Hours Log'!$A$4:$A$5000),"",MIN('Hours Log'!$A$4:$A$5000)+7*(ROW()-10)))</f>
        <v/>
      </c>
    </row>
    <row r="1984" spans="1:10" x14ac:dyDescent="0.25">
      <c r="A1984" t="str">
        <f>IF($J1984="","",YEAR($J1984-WEEKDAY($J1984,2)+4)&amp;"-W"&amp;TEXT(_xludf.ISOWEEKNUM($J1984),"00"))</f>
        <v/>
      </c>
      <c r="B1984"/>
      <c r="C1984" t="str">
        <f>IF($J1984="","",SUMIFS('Hours Log'!$C:$C,'Hours Log'!$A:$A,"&gt;="&amp;$J1984,'Hours Log'!$A:$A,"&lt;"&amp;$J1984+7)+SUMIFS('Hours Log'!$D:$D,'Hours Log'!$A:$A,"&gt;="&amp;$J1984,'Hours Log'!$A:$A,"&lt;"&amp;$J1984+7))</f>
        <v/>
      </c>
      <c r="D1984" t="str">
        <f>IF($J1984="","",SUMIFS('Hours Log'!$D:$D,'Hours Log'!$A:$A,"&gt;="&amp;$J1984,'Hours Log'!$A:$A,"&lt;"&amp;$J1984+7))</f>
        <v/>
      </c>
      <c r="E1984" t="str">
        <f t="shared" si="60"/>
        <v/>
      </c>
      <c r="F1984" t="str">
        <f t="shared" si="61"/>
        <v/>
      </c>
      <c r="G1984" t="str">
        <f>IF($J1984="","",SUMIFS('Hours Log'!$E:$E,'Hours Log'!$A:$A,"&gt;="&amp;$J1984,'Hours Log'!$A:$A,"&lt;"&amp;$J1984+7))</f>
        <v/>
      </c>
      <c r="J1984" t="str">
        <f>IF(COUNT('Hours Log'!$A$4:$A$5000)=0,"",IF(MIN('Hours Log'!$A$4:$A$5000)+7*(ROW()-10)&gt;MAX('Hours Log'!$A$4:$A$5000),"",MIN('Hours Log'!$A$4:$A$5000)+7*(ROW()-10)))</f>
        <v/>
      </c>
    </row>
    <row r="1985" spans="1:10" x14ac:dyDescent="0.25">
      <c r="A1985" t="str">
        <f>IF($J1985="","",YEAR($J1985-WEEKDAY($J1985,2)+4)&amp;"-W"&amp;TEXT(_xludf.ISOWEEKNUM($J1985),"00"))</f>
        <v/>
      </c>
      <c r="B1985"/>
      <c r="C1985" t="str">
        <f>IF($J1985="","",SUMIFS('Hours Log'!$C:$C,'Hours Log'!$A:$A,"&gt;="&amp;$J1985,'Hours Log'!$A:$A,"&lt;"&amp;$J1985+7)+SUMIFS('Hours Log'!$D:$D,'Hours Log'!$A:$A,"&gt;="&amp;$J1985,'Hours Log'!$A:$A,"&lt;"&amp;$J1985+7))</f>
        <v/>
      </c>
      <c r="D1985" t="str">
        <f>IF($J1985="","",SUMIFS('Hours Log'!$D:$D,'Hours Log'!$A:$A,"&gt;="&amp;$J1985,'Hours Log'!$A:$A,"&lt;"&amp;$J1985+7))</f>
        <v/>
      </c>
      <c r="E1985" t="str">
        <f t="shared" si="60"/>
        <v/>
      </c>
      <c r="F1985" t="str">
        <f t="shared" si="61"/>
        <v/>
      </c>
      <c r="G1985" t="str">
        <f>IF($J1985="","",SUMIFS('Hours Log'!$E:$E,'Hours Log'!$A:$A,"&gt;="&amp;$J1985,'Hours Log'!$A:$A,"&lt;"&amp;$J1985+7))</f>
        <v/>
      </c>
      <c r="J1985" t="str">
        <f>IF(COUNT('Hours Log'!$A$4:$A$5000)=0,"",IF(MIN('Hours Log'!$A$4:$A$5000)+7*(ROW()-10)&gt;MAX('Hours Log'!$A$4:$A$5000),"",MIN('Hours Log'!$A$4:$A$5000)+7*(ROW()-10)))</f>
        <v/>
      </c>
    </row>
    <row r="1986" spans="1:10" x14ac:dyDescent="0.25">
      <c r="A1986" t="str">
        <f>IF($J1986="","",YEAR($J1986-WEEKDAY($J1986,2)+4)&amp;"-W"&amp;TEXT(_xludf.ISOWEEKNUM($J1986),"00"))</f>
        <v/>
      </c>
      <c r="B1986"/>
      <c r="C1986" t="str">
        <f>IF($J1986="","",SUMIFS('Hours Log'!$C:$C,'Hours Log'!$A:$A,"&gt;="&amp;$J1986,'Hours Log'!$A:$A,"&lt;"&amp;$J1986+7)+SUMIFS('Hours Log'!$D:$D,'Hours Log'!$A:$A,"&gt;="&amp;$J1986,'Hours Log'!$A:$A,"&lt;"&amp;$J1986+7))</f>
        <v/>
      </c>
      <c r="D1986" t="str">
        <f>IF($J1986="","",SUMIFS('Hours Log'!$D:$D,'Hours Log'!$A:$A,"&gt;="&amp;$J1986,'Hours Log'!$A:$A,"&lt;"&amp;$J1986+7))</f>
        <v/>
      </c>
      <c r="E1986" t="str">
        <f t="shared" si="60"/>
        <v/>
      </c>
      <c r="F1986" t="str">
        <f t="shared" si="61"/>
        <v/>
      </c>
      <c r="G1986" t="str">
        <f>IF($J1986="","",SUMIFS('Hours Log'!$E:$E,'Hours Log'!$A:$A,"&gt;="&amp;$J1986,'Hours Log'!$A:$A,"&lt;"&amp;$J1986+7))</f>
        <v/>
      </c>
      <c r="J1986" t="str">
        <f>IF(COUNT('Hours Log'!$A$4:$A$5000)=0,"",IF(MIN('Hours Log'!$A$4:$A$5000)+7*(ROW()-10)&gt;MAX('Hours Log'!$A$4:$A$5000),"",MIN('Hours Log'!$A$4:$A$5000)+7*(ROW()-10)))</f>
        <v/>
      </c>
    </row>
    <row r="1987" spans="1:10" x14ac:dyDescent="0.25">
      <c r="A1987" t="str">
        <f>IF($J1987="","",YEAR($J1987-WEEKDAY($J1987,2)+4)&amp;"-W"&amp;TEXT(_xludf.ISOWEEKNUM($J1987),"00"))</f>
        <v/>
      </c>
      <c r="B1987"/>
      <c r="C1987" t="str">
        <f>IF($J1987="","",SUMIFS('Hours Log'!$C:$C,'Hours Log'!$A:$A,"&gt;="&amp;$J1987,'Hours Log'!$A:$A,"&lt;"&amp;$J1987+7)+SUMIFS('Hours Log'!$D:$D,'Hours Log'!$A:$A,"&gt;="&amp;$J1987,'Hours Log'!$A:$A,"&lt;"&amp;$J1987+7))</f>
        <v/>
      </c>
      <c r="D1987" t="str">
        <f>IF($J1987="","",SUMIFS('Hours Log'!$D:$D,'Hours Log'!$A:$A,"&gt;="&amp;$J1987,'Hours Log'!$A:$A,"&lt;"&amp;$J1987+7))</f>
        <v/>
      </c>
      <c r="E1987" t="str">
        <f t="shared" si="60"/>
        <v/>
      </c>
      <c r="F1987" t="str">
        <f t="shared" si="61"/>
        <v/>
      </c>
      <c r="G1987" t="str">
        <f>IF($J1987="","",SUMIFS('Hours Log'!$E:$E,'Hours Log'!$A:$A,"&gt;="&amp;$J1987,'Hours Log'!$A:$A,"&lt;"&amp;$J1987+7))</f>
        <v/>
      </c>
      <c r="J1987" t="str">
        <f>IF(COUNT('Hours Log'!$A$4:$A$5000)=0,"",IF(MIN('Hours Log'!$A$4:$A$5000)+7*(ROW()-10)&gt;MAX('Hours Log'!$A$4:$A$5000),"",MIN('Hours Log'!$A$4:$A$5000)+7*(ROW()-10)))</f>
        <v/>
      </c>
    </row>
    <row r="1988" spans="1:10" x14ac:dyDescent="0.25">
      <c r="A1988" t="str">
        <f>IF($J1988="","",YEAR($J1988-WEEKDAY($J1988,2)+4)&amp;"-W"&amp;TEXT(_xludf.ISOWEEKNUM($J1988),"00"))</f>
        <v/>
      </c>
      <c r="B1988"/>
      <c r="C1988" t="str">
        <f>IF($J1988="","",SUMIFS('Hours Log'!$C:$C,'Hours Log'!$A:$A,"&gt;="&amp;$J1988,'Hours Log'!$A:$A,"&lt;"&amp;$J1988+7)+SUMIFS('Hours Log'!$D:$D,'Hours Log'!$A:$A,"&gt;="&amp;$J1988,'Hours Log'!$A:$A,"&lt;"&amp;$J1988+7))</f>
        <v/>
      </c>
      <c r="D1988" t="str">
        <f>IF($J1988="","",SUMIFS('Hours Log'!$D:$D,'Hours Log'!$A:$A,"&gt;="&amp;$J1988,'Hours Log'!$A:$A,"&lt;"&amp;$J1988+7))</f>
        <v/>
      </c>
      <c r="E1988" t="str">
        <f t="shared" si="60"/>
        <v/>
      </c>
      <c r="F1988" t="str">
        <f t="shared" si="61"/>
        <v/>
      </c>
      <c r="G1988" t="str">
        <f>IF($J1988="","",SUMIFS('Hours Log'!$E:$E,'Hours Log'!$A:$A,"&gt;="&amp;$J1988,'Hours Log'!$A:$A,"&lt;"&amp;$J1988+7))</f>
        <v/>
      </c>
      <c r="J1988" t="str">
        <f>IF(COUNT('Hours Log'!$A$4:$A$5000)=0,"",IF(MIN('Hours Log'!$A$4:$A$5000)+7*(ROW()-10)&gt;MAX('Hours Log'!$A$4:$A$5000),"",MIN('Hours Log'!$A$4:$A$5000)+7*(ROW()-10)))</f>
        <v/>
      </c>
    </row>
    <row r="1989" spans="1:10" x14ac:dyDescent="0.25">
      <c r="A1989" t="str">
        <f>IF($J1989="","",YEAR($J1989-WEEKDAY($J1989,2)+4)&amp;"-W"&amp;TEXT(_xludf.ISOWEEKNUM($J1989),"00"))</f>
        <v/>
      </c>
      <c r="B1989"/>
      <c r="C1989" t="str">
        <f>IF($J1989="","",SUMIFS('Hours Log'!$C:$C,'Hours Log'!$A:$A,"&gt;="&amp;$J1989,'Hours Log'!$A:$A,"&lt;"&amp;$J1989+7)+SUMIFS('Hours Log'!$D:$D,'Hours Log'!$A:$A,"&gt;="&amp;$J1989,'Hours Log'!$A:$A,"&lt;"&amp;$J1989+7))</f>
        <v/>
      </c>
      <c r="D1989" t="str">
        <f>IF($J1989="","",SUMIFS('Hours Log'!$D:$D,'Hours Log'!$A:$A,"&gt;="&amp;$J1989,'Hours Log'!$A:$A,"&lt;"&amp;$J1989+7))</f>
        <v/>
      </c>
      <c r="E1989" t="str">
        <f t="shared" si="60"/>
        <v/>
      </c>
      <c r="F1989" t="str">
        <f t="shared" si="61"/>
        <v/>
      </c>
      <c r="G1989" t="str">
        <f>IF($J1989="","",SUMIFS('Hours Log'!$E:$E,'Hours Log'!$A:$A,"&gt;="&amp;$J1989,'Hours Log'!$A:$A,"&lt;"&amp;$J1989+7))</f>
        <v/>
      </c>
      <c r="J1989" t="str">
        <f>IF(COUNT('Hours Log'!$A$4:$A$5000)=0,"",IF(MIN('Hours Log'!$A$4:$A$5000)+7*(ROW()-10)&gt;MAX('Hours Log'!$A$4:$A$5000),"",MIN('Hours Log'!$A$4:$A$5000)+7*(ROW()-10)))</f>
        <v/>
      </c>
    </row>
    <row r="1990" spans="1:10" x14ac:dyDescent="0.25">
      <c r="A1990" t="str">
        <f>IF($J1990="","",YEAR($J1990-WEEKDAY($J1990,2)+4)&amp;"-W"&amp;TEXT(_xludf.ISOWEEKNUM($J1990),"00"))</f>
        <v/>
      </c>
      <c r="B1990"/>
      <c r="C1990" t="str">
        <f>IF($J1990="","",SUMIFS('Hours Log'!$C:$C,'Hours Log'!$A:$A,"&gt;="&amp;$J1990,'Hours Log'!$A:$A,"&lt;"&amp;$J1990+7)+SUMIFS('Hours Log'!$D:$D,'Hours Log'!$A:$A,"&gt;="&amp;$J1990,'Hours Log'!$A:$A,"&lt;"&amp;$J1990+7))</f>
        <v/>
      </c>
      <c r="D1990" t="str">
        <f>IF($J1990="","",SUMIFS('Hours Log'!$D:$D,'Hours Log'!$A:$A,"&gt;="&amp;$J1990,'Hours Log'!$A:$A,"&lt;"&amp;$J1990+7))</f>
        <v/>
      </c>
      <c r="E1990" t="str">
        <f t="shared" si="60"/>
        <v/>
      </c>
      <c r="F1990" t="str">
        <f t="shared" si="61"/>
        <v/>
      </c>
      <c r="G1990" t="str">
        <f>IF($J1990="","",SUMIFS('Hours Log'!$E:$E,'Hours Log'!$A:$A,"&gt;="&amp;$J1990,'Hours Log'!$A:$A,"&lt;"&amp;$J1990+7))</f>
        <v/>
      </c>
      <c r="J1990" t="str">
        <f>IF(COUNT('Hours Log'!$A$4:$A$5000)=0,"",IF(MIN('Hours Log'!$A$4:$A$5000)+7*(ROW()-10)&gt;MAX('Hours Log'!$A$4:$A$5000),"",MIN('Hours Log'!$A$4:$A$5000)+7*(ROW()-10)))</f>
        <v/>
      </c>
    </row>
    <row r="1991" spans="1:10" x14ac:dyDescent="0.25">
      <c r="A1991" t="str">
        <f>IF($J1991="","",YEAR($J1991-WEEKDAY($J1991,2)+4)&amp;"-W"&amp;TEXT(_xludf.ISOWEEKNUM($J1991),"00"))</f>
        <v/>
      </c>
      <c r="B1991"/>
      <c r="C1991" t="str">
        <f>IF($J1991="","",SUMIFS('Hours Log'!$C:$C,'Hours Log'!$A:$A,"&gt;="&amp;$J1991,'Hours Log'!$A:$A,"&lt;"&amp;$J1991+7)+SUMIFS('Hours Log'!$D:$D,'Hours Log'!$A:$A,"&gt;="&amp;$J1991,'Hours Log'!$A:$A,"&lt;"&amp;$J1991+7))</f>
        <v/>
      </c>
      <c r="D1991" t="str">
        <f>IF($J1991="","",SUMIFS('Hours Log'!$D:$D,'Hours Log'!$A:$A,"&gt;="&amp;$J1991,'Hours Log'!$A:$A,"&lt;"&amp;$J1991+7))</f>
        <v/>
      </c>
      <c r="E1991" t="str">
        <f t="shared" si="60"/>
        <v/>
      </c>
      <c r="F1991" t="str">
        <f t="shared" si="61"/>
        <v/>
      </c>
      <c r="G1991" t="str">
        <f>IF($J1991="","",SUMIFS('Hours Log'!$E:$E,'Hours Log'!$A:$A,"&gt;="&amp;$J1991,'Hours Log'!$A:$A,"&lt;"&amp;$J1991+7))</f>
        <v/>
      </c>
      <c r="J1991" t="str">
        <f>IF(COUNT('Hours Log'!$A$4:$A$5000)=0,"",IF(MIN('Hours Log'!$A$4:$A$5000)+7*(ROW()-10)&gt;MAX('Hours Log'!$A$4:$A$5000),"",MIN('Hours Log'!$A$4:$A$5000)+7*(ROW()-10)))</f>
        <v/>
      </c>
    </row>
    <row r="1992" spans="1:10" x14ac:dyDescent="0.25">
      <c r="A1992" t="str">
        <f>IF($J1992="","",YEAR($J1992-WEEKDAY($J1992,2)+4)&amp;"-W"&amp;TEXT(_xludf.ISOWEEKNUM($J1992),"00"))</f>
        <v/>
      </c>
      <c r="B1992"/>
      <c r="C1992" t="str">
        <f>IF($J1992="","",SUMIFS('Hours Log'!$C:$C,'Hours Log'!$A:$A,"&gt;="&amp;$J1992,'Hours Log'!$A:$A,"&lt;"&amp;$J1992+7)+SUMIFS('Hours Log'!$D:$D,'Hours Log'!$A:$A,"&gt;="&amp;$J1992,'Hours Log'!$A:$A,"&lt;"&amp;$J1992+7))</f>
        <v/>
      </c>
      <c r="D1992" t="str">
        <f>IF($J1992="","",SUMIFS('Hours Log'!$D:$D,'Hours Log'!$A:$A,"&gt;="&amp;$J1992,'Hours Log'!$A:$A,"&lt;"&amp;$J1992+7))</f>
        <v/>
      </c>
      <c r="E1992" t="str">
        <f t="shared" si="60"/>
        <v/>
      </c>
      <c r="F1992" t="str">
        <f t="shared" si="61"/>
        <v/>
      </c>
      <c r="G1992" t="str">
        <f>IF($J1992="","",SUMIFS('Hours Log'!$E:$E,'Hours Log'!$A:$A,"&gt;="&amp;$J1992,'Hours Log'!$A:$A,"&lt;"&amp;$J1992+7))</f>
        <v/>
      </c>
      <c r="J1992" t="str">
        <f>IF(COUNT('Hours Log'!$A$4:$A$5000)=0,"",IF(MIN('Hours Log'!$A$4:$A$5000)+7*(ROW()-10)&gt;MAX('Hours Log'!$A$4:$A$5000),"",MIN('Hours Log'!$A$4:$A$5000)+7*(ROW()-10)))</f>
        <v/>
      </c>
    </row>
    <row r="1993" spans="1:10" x14ac:dyDescent="0.25">
      <c r="A1993" t="str">
        <f>IF($J1993="","",YEAR($J1993-WEEKDAY($J1993,2)+4)&amp;"-W"&amp;TEXT(_xludf.ISOWEEKNUM($J1993),"00"))</f>
        <v/>
      </c>
      <c r="B1993"/>
      <c r="C1993" t="str">
        <f>IF($J1993="","",SUMIFS('Hours Log'!$C:$C,'Hours Log'!$A:$A,"&gt;="&amp;$J1993,'Hours Log'!$A:$A,"&lt;"&amp;$J1993+7)+SUMIFS('Hours Log'!$D:$D,'Hours Log'!$A:$A,"&gt;="&amp;$J1993,'Hours Log'!$A:$A,"&lt;"&amp;$J1993+7))</f>
        <v/>
      </c>
      <c r="D1993" t="str">
        <f>IF($J1993="","",SUMIFS('Hours Log'!$D:$D,'Hours Log'!$A:$A,"&gt;="&amp;$J1993,'Hours Log'!$A:$A,"&lt;"&amp;$J1993+7))</f>
        <v/>
      </c>
      <c r="E1993" t="str">
        <f t="shared" si="60"/>
        <v/>
      </c>
      <c r="F1993" t="str">
        <f t="shared" si="61"/>
        <v/>
      </c>
      <c r="G1993" t="str">
        <f>IF($J1993="","",SUMIFS('Hours Log'!$E:$E,'Hours Log'!$A:$A,"&gt;="&amp;$J1993,'Hours Log'!$A:$A,"&lt;"&amp;$J1993+7))</f>
        <v/>
      </c>
      <c r="J1993" t="str">
        <f>IF(COUNT('Hours Log'!$A$4:$A$5000)=0,"",IF(MIN('Hours Log'!$A$4:$A$5000)+7*(ROW()-10)&gt;MAX('Hours Log'!$A$4:$A$5000),"",MIN('Hours Log'!$A$4:$A$5000)+7*(ROW()-10)))</f>
        <v/>
      </c>
    </row>
    <row r="1994" spans="1:10" x14ac:dyDescent="0.25">
      <c r="A1994" t="str">
        <f>IF($J1994="","",YEAR($J1994-WEEKDAY($J1994,2)+4)&amp;"-W"&amp;TEXT(_xludf.ISOWEEKNUM($J1994),"00"))</f>
        <v/>
      </c>
      <c r="B1994"/>
      <c r="C1994" t="str">
        <f>IF($J1994="","",SUMIFS('Hours Log'!$C:$C,'Hours Log'!$A:$A,"&gt;="&amp;$J1994,'Hours Log'!$A:$A,"&lt;"&amp;$J1994+7)+SUMIFS('Hours Log'!$D:$D,'Hours Log'!$A:$A,"&gt;="&amp;$J1994,'Hours Log'!$A:$A,"&lt;"&amp;$J1994+7))</f>
        <v/>
      </c>
      <c r="D1994" t="str">
        <f>IF($J1994="","",SUMIFS('Hours Log'!$D:$D,'Hours Log'!$A:$A,"&gt;="&amp;$J1994,'Hours Log'!$A:$A,"&lt;"&amp;$J1994+7))</f>
        <v/>
      </c>
      <c r="E1994" t="str">
        <f t="shared" ref="E1994:E2000" si="62">IF($J1994="","",IFERROR(C1994/(B1994*40),0))</f>
        <v/>
      </c>
      <c r="F1994" t="str">
        <f t="shared" ref="F1994:F2000" si="63">IF($J1994="","",0)</f>
        <v/>
      </c>
      <c r="G1994" t="str">
        <f>IF($J1994="","",SUMIFS('Hours Log'!$E:$E,'Hours Log'!$A:$A,"&gt;="&amp;$J1994,'Hours Log'!$A:$A,"&lt;"&amp;$J1994+7))</f>
        <v/>
      </c>
      <c r="J1994" t="str">
        <f>IF(COUNT('Hours Log'!$A$4:$A$5000)=0,"",IF(MIN('Hours Log'!$A$4:$A$5000)+7*(ROW()-10)&gt;MAX('Hours Log'!$A$4:$A$5000),"",MIN('Hours Log'!$A$4:$A$5000)+7*(ROW()-10)))</f>
        <v/>
      </c>
    </row>
    <row r="1995" spans="1:10" x14ac:dyDescent="0.25">
      <c r="A1995" t="str">
        <f>IF($J1995="","",YEAR($J1995-WEEKDAY($J1995,2)+4)&amp;"-W"&amp;TEXT(_xludf.ISOWEEKNUM($J1995),"00"))</f>
        <v/>
      </c>
      <c r="B1995"/>
      <c r="C1995" t="str">
        <f>IF($J1995="","",SUMIFS('Hours Log'!$C:$C,'Hours Log'!$A:$A,"&gt;="&amp;$J1995,'Hours Log'!$A:$A,"&lt;"&amp;$J1995+7)+SUMIFS('Hours Log'!$D:$D,'Hours Log'!$A:$A,"&gt;="&amp;$J1995,'Hours Log'!$A:$A,"&lt;"&amp;$J1995+7))</f>
        <v/>
      </c>
      <c r="D1995" t="str">
        <f>IF($J1995="","",SUMIFS('Hours Log'!$D:$D,'Hours Log'!$A:$A,"&gt;="&amp;$J1995,'Hours Log'!$A:$A,"&lt;"&amp;$J1995+7))</f>
        <v/>
      </c>
      <c r="E1995" t="str">
        <f t="shared" si="62"/>
        <v/>
      </c>
      <c r="F1995" t="str">
        <f t="shared" si="63"/>
        <v/>
      </c>
      <c r="G1995" t="str">
        <f>IF($J1995="","",SUMIFS('Hours Log'!$E:$E,'Hours Log'!$A:$A,"&gt;="&amp;$J1995,'Hours Log'!$A:$A,"&lt;"&amp;$J1995+7))</f>
        <v/>
      </c>
      <c r="J1995" t="str">
        <f>IF(COUNT('Hours Log'!$A$4:$A$5000)=0,"",IF(MIN('Hours Log'!$A$4:$A$5000)+7*(ROW()-10)&gt;MAX('Hours Log'!$A$4:$A$5000),"",MIN('Hours Log'!$A$4:$A$5000)+7*(ROW()-10)))</f>
        <v/>
      </c>
    </row>
    <row r="1996" spans="1:10" x14ac:dyDescent="0.25">
      <c r="A1996" t="str">
        <f>IF($J1996="","",YEAR($J1996-WEEKDAY($J1996,2)+4)&amp;"-W"&amp;TEXT(_xludf.ISOWEEKNUM($J1996),"00"))</f>
        <v/>
      </c>
      <c r="B1996"/>
      <c r="C1996" t="str">
        <f>IF($J1996="","",SUMIFS('Hours Log'!$C:$C,'Hours Log'!$A:$A,"&gt;="&amp;$J1996,'Hours Log'!$A:$A,"&lt;"&amp;$J1996+7)+SUMIFS('Hours Log'!$D:$D,'Hours Log'!$A:$A,"&gt;="&amp;$J1996,'Hours Log'!$A:$A,"&lt;"&amp;$J1996+7))</f>
        <v/>
      </c>
      <c r="D1996" t="str">
        <f>IF($J1996="","",SUMIFS('Hours Log'!$D:$D,'Hours Log'!$A:$A,"&gt;="&amp;$J1996,'Hours Log'!$A:$A,"&lt;"&amp;$J1996+7))</f>
        <v/>
      </c>
      <c r="E1996" t="str">
        <f t="shared" si="62"/>
        <v/>
      </c>
      <c r="F1996" t="str">
        <f t="shared" si="63"/>
        <v/>
      </c>
      <c r="G1996" t="str">
        <f>IF($J1996="","",SUMIFS('Hours Log'!$E:$E,'Hours Log'!$A:$A,"&gt;="&amp;$J1996,'Hours Log'!$A:$A,"&lt;"&amp;$J1996+7))</f>
        <v/>
      </c>
      <c r="J1996" t="str">
        <f>IF(COUNT('Hours Log'!$A$4:$A$5000)=0,"",IF(MIN('Hours Log'!$A$4:$A$5000)+7*(ROW()-10)&gt;MAX('Hours Log'!$A$4:$A$5000),"",MIN('Hours Log'!$A$4:$A$5000)+7*(ROW()-10)))</f>
        <v/>
      </c>
    </row>
    <row r="1997" spans="1:10" x14ac:dyDescent="0.25">
      <c r="A1997" t="str">
        <f>IF($J1997="","",YEAR($J1997-WEEKDAY($J1997,2)+4)&amp;"-W"&amp;TEXT(_xludf.ISOWEEKNUM($J1997),"00"))</f>
        <v/>
      </c>
      <c r="B1997"/>
      <c r="C1997" t="str">
        <f>IF($J1997="","",SUMIFS('Hours Log'!$C:$C,'Hours Log'!$A:$A,"&gt;="&amp;$J1997,'Hours Log'!$A:$A,"&lt;"&amp;$J1997+7)+SUMIFS('Hours Log'!$D:$D,'Hours Log'!$A:$A,"&gt;="&amp;$J1997,'Hours Log'!$A:$A,"&lt;"&amp;$J1997+7))</f>
        <v/>
      </c>
      <c r="D1997" t="str">
        <f>IF($J1997="","",SUMIFS('Hours Log'!$D:$D,'Hours Log'!$A:$A,"&gt;="&amp;$J1997,'Hours Log'!$A:$A,"&lt;"&amp;$J1997+7))</f>
        <v/>
      </c>
      <c r="E1997" t="str">
        <f t="shared" si="62"/>
        <v/>
      </c>
      <c r="F1997" t="str">
        <f t="shared" si="63"/>
        <v/>
      </c>
      <c r="G1997" t="str">
        <f>IF($J1997="","",SUMIFS('Hours Log'!$E:$E,'Hours Log'!$A:$A,"&gt;="&amp;$J1997,'Hours Log'!$A:$A,"&lt;"&amp;$J1997+7))</f>
        <v/>
      </c>
      <c r="J1997" t="str">
        <f>IF(COUNT('Hours Log'!$A$4:$A$5000)=0,"",IF(MIN('Hours Log'!$A$4:$A$5000)+7*(ROW()-10)&gt;MAX('Hours Log'!$A$4:$A$5000),"",MIN('Hours Log'!$A$4:$A$5000)+7*(ROW()-10)))</f>
        <v/>
      </c>
    </row>
    <row r="1998" spans="1:10" x14ac:dyDescent="0.25">
      <c r="A1998" t="str">
        <f>IF($J1998="","",YEAR($J1998-WEEKDAY($J1998,2)+4)&amp;"-W"&amp;TEXT(_xludf.ISOWEEKNUM($J1998),"00"))</f>
        <v/>
      </c>
      <c r="B1998"/>
      <c r="C1998" t="str">
        <f>IF($J1998="","",SUMIFS('Hours Log'!$C:$C,'Hours Log'!$A:$A,"&gt;="&amp;$J1998,'Hours Log'!$A:$A,"&lt;"&amp;$J1998+7)+SUMIFS('Hours Log'!$D:$D,'Hours Log'!$A:$A,"&gt;="&amp;$J1998,'Hours Log'!$A:$A,"&lt;"&amp;$J1998+7))</f>
        <v/>
      </c>
      <c r="D1998" t="str">
        <f>IF($J1998="","",SUMIFS('Hours Log'!$D:$D,'Hours Log'!$A:$A,"&gt;="&amp;$J1998,'Hours Log'!$A:$A,"&lt;"&amp;$J1998+7))</f>
        <v/>
      </c>
      <c r="E1998" t="str">
        <f t="shared" si="62"/>
        <v/>
      </c>
      <c r="F1998" t="str">
        <f t="shared" si="63"/>
        <v/>
      </c>
      <c r="G1998" t="str">
        <f>IF($J1998="","",SUMIFS('Hours Log'!$E:$E,'Hours Log'!$A:$A,"&gt;="&amp;$J1998,'Hours Log'!$A:$A,"&lt;"&amp;$J1998+7))</f>
        <v/>
      </c>
      <c r="J1998" t="str">
        <f>IF(COUNT('Hours Log'!$A$4:$A$5000)=0,"",IF(MIN('Hours Log'!$A$4:$A$5000)+7*(ROW()-10)&gt;MAX('Hours Log'!$A$4:$A$5000),"",MIN('Hours Log'!$A$4:$A$5000)+7*(ROW()-10)))</f>
        <v/>
      </c>
    </row>
    <row r="1999" spans="1:10" x14ac:dyDescent="0.25">
      <c r="A1999" t="str">
        <f>IF($J1999="","",YEAR($J1999-WEEKDAY($J1999,2)+4)&amp;"-W"&amp;TEXT(_xludf.ISOWEEKNUM($J1999),"00"))</f>
        <v/>
      </c>
      <c r="B1999"/>
      <c r="C1999" t="str">
        <f>IF($J1999="","",SUMIFS('Hours Log'!$C:$C,'Hours Log'!$A:$A,"&gt;="&amp;$J1999,'Hours Log'!$A:$A,"&lt;"&amp;$J1999+7)+SUMIFS('Hours Log'!$D:$D,'Hours Log'!$A:$A,"&gt;="&amp;$J1999,'Hours Log'!$A:$A,"&lt;"&amp;$J1999+7))</f>
        <v/>
      </c>
      <c r="D1999" t="str">
        <f>IF($J1999="","",SUMIFS('Hours Log'!$D:$D,'Hours Log'!$A:$A,"&gt;="&amp;$J1999,'Hours Log'!$A:$A,"&lt;"&amp;$J1999+7))</f>
        <v/>
      </c>
      <c r="E1999" t="str">
        <f t="shared" si="62"/>
        <v/>
      </c>
      <c r="F1999" t="str">
        <f t="shared" si="63"/>
        <v/>
      </c>
      <c r="G1999" t="str">
        <f>IF($J1999="","",SUMIFS('Hours Log'!$E:$E,'Hours Log'!$A:$A,"&gt;="&amp;$J1999,'Hours Log'!$A:$A,"&lt;"&amp;$J1999+7))</f>
        <v/>
      </c>
      <c r="J1999" t="str">
        <f>IF(COUNT('Hours Log'!$A$4:$A$5000)=0,"",IF(MIN('Hours Log'!$A$4:$A$5000)+7*(ROW()-10)&gt;MAX('Hours Log'!$A$4:$A$5000),"",MIN('Hours Log'!$A$4:$A$5000)+7*(ROW()-10)))</f>
        <v/>
      </c>
    </row>
    <row r="2000" spans="1:10" x14ac:dyDescent="0.25">
      <c r="A2000" t="str">
        <f>IF($J2000="","",YEAR($J2000-WEEKDAY($J2000,2)+4)&amp;"-W"&amp;TEXT(_xludf.ISOWEEKNUM($J2000),"00"))</f>
        <v/>
      </c>
      <c r="B2000"/>
      <c r="C2000" t="str">
        <f>IF($J2000="","",SUMIFS('Hours Log'!$C:$C,'Hours Log'!$A:$A,"&gt;="&amp;$J2000,'Hours Log'!$A:$A,"&lt;"&amp;$J2000+7)+SUMIFS('Hours Log'!$D:$D,'Hours Log'!$A:$A,"&gt;="&amp;$J2000,'Hours Log'!$A:$A,"&lt;"&amp;$J2000+7))</f>
        <v/>
      </c>
      <c r="D2000" t="str">
        <f>IF($J2000="","",SUMIFS('Hours Log'!$D:$D,'Hours Log'!$A:$A,"&gt;="&amp;$J2000,'Hours Log'!$A:$A,"&lt;"&amp;$J2000+7))</f>
        <v/>
      </c>
      <c r="E2000" t="str">
        <f t="shared" si="62"/>
        <v/>
      </c>
      <c r="F2000" t="str">
        <f t="shared" si="63"/>
        <v/>
      </c>
      <c r="G2000" t="str">
        <f>IF($J2000="","",SUMIFS('Hours Log'!$E:$E,'Hours Log'!$A:$A,"&gt;="&amp;$J2000,'Hours Log'!$A:$A,"&lt;"&amp;$J2000+7))</f>
        <v/>
      </c>
      <c r="J2000" t="str">
        <f>IF(COUNT('Hours Log'!$A$4:$A$5000)=0,"",IF(MIN('Hours Log'!$A$4:$A$5000)+7*(ROW()-10)&gt;MAX('Hours Log'!$A$4:$A$5000),"",MIN('Hours Log'!$A$4:$A$5000)+7*(ROW()-10)))</f>
        <v/>
      </c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zoomScaleNormal="100" workbookViewId="0">
      <pane ySplit="3" topLeftCell="A4" activePane="bottomLeft" state="frozen"/>
      <selection pane="bottomLeft" activeCell="D25" sqref="D25"/>
    </sheetView>
  </sheetViews>
  <sheetFormatPr defaultRowHeight="15" x14ac:dyDescent="0.25"/>
  <cols>
    <col min="1" max="2" width="20" style="23" customWidth="1"/>
    <col min="3" max="3" width="13" style="23" customWidth="1"/>
    <col min="4" max="4" width="10" style="23" customWidth="1"/>
    <col min="5" max="5" width="12" style="23" customWidth="1"/>
    <col min="6" max="6" width="10" style="23" customWidth="1"/>
    <col min="7" max="7" width="22" style="23" customWidth="1"/>
    <col min="8" max="8" width="14" style="23" customWidth="1"/>
    <col min="9" max="9" width="30" style="23" customWidth="1"/>
    <col min="10" max="10" width="9.140625" style="23" customWidth="1"/>
    <col min="11" max="16384" width="9.140625" style="23"/>
  </cols>
  <sheetData>
    <row r="1" spans="1:9" ht="30" customHeight="1" x14ac:dyDescent="0.25">
      <c r="A1" s="34" t="s">
        <v>42</v>
      </c>
      <c r="B1" s="33"/>
      <c r="C1" s="33"/>
      <c r="D1" s="33"/>
      <c r="E1" s="33"/>
      <c r="F1" s="33"/>
      <c r="G1" s="33"/>
      <c r="H1" s="33"/>
      <c r="I1" s="33"/>
    </row>
    <row r="2" spans="1:9" ht="15.95" customHeight="1" x14ac:dyDescent="0.25">
      <c r="A2" s="32" t="s">
        <v>43</v>
      </c>
      <c r="B2" s="33"/>
      <c r="C2" s="33"/>
      <c r="D2" s="33"/>
      <c r="E2" s="33"/>
      <c r="F2" s="33"/>
      <c r="G2" s="33"/>
      <c r="H2" s="33"/>
      <c r="I2" s="33"/>
    </row>
    <row r="3" spans="1:9" ht="33.950000000000003" customHeight="1" x14ac:dyDescent="0.25">
      <c r="A3" s="8" t="s">
        <v>3</v>
      </c>
      <c r="B3" s="8" t="s">
        <v>44</v>
      </c>
      <c r="C3" s="8" t="s">
        <v>45</v>
      </c>
      <c r="D3" s="8" t="s">
        <v>46</v>
      </c>
      <c r="E3" s="8" t="s">
        <v>47</v>
      </c>
      <c r="F3" s="8" t="s">
        <v>48</v>
      </c>
      <c r="G3" s="8" t="s">
        <v>49</v>
      </c>
      <c r="H3" s="8" t="s">
        <v>50</v>
      </c>
      <c r="I3" s="8" t="s">
        <v>32</v>
      </c>
    </row>
    <row r="4" spans="1:9" x14ac:dyDescent="0.25">
      <c r="A4" s="28" t="s">
        <v>9</v>
      </c>
      <c r="B4" s="25" t="s">
        <v>51</v>
      </c>
      <c r="C4" s="24" t="s">
        <v>52</v>
      </c>
      <c r="D4" s="9" t="s">
        <v>53</v>
      </c>
      <c r="E4" s="29">
        <v>32</v>
      </c>
      <c r="F4" s="25" t="s">
        <v>54</v>
      </c>
      <c r="G4" s="25" t="s">
        <v>55</v>
      </c>
      <c r="H4" s="24" t="s">
        <v>56</v>
      </c>
      <c r="I4" s="25"/>
    </row>
    <row r="5" spans="1:9" x14ac:dyDescent="0.25">
      <c r="A5" s="30" t="s">
        <v>10</v>
      </c>
      <c r="B5" s="27" t="s">
        <v>57</v>
      </c>
      <c r="C5" s="26" t="s">
        <v>58</v>
      </c>
      <c r="D5" s="9" t="s">
        <v>53</v>
      </c>
      <c r="E5" s="31">
        <v>28.5</v>
      </c>
      <c r="F5" s="27" t="s">
        <v>54</v>
      </c>
      <c r="G5" s="27" t="s">
        <v>59</v>
      </c>
      <c r="H5" s="26" t="s">
        <v>60</v>
      </c>
      <c r="I5" s="27"/>
    </row>
    <row r="6" spans="1:9" x14ac:dyDescent="0.25">
      <c r="A6" s="28" t="s">
        <v>11</v>
      </c>
      <c r="B6" s="25" t="s">
        <v>57</v>
      </c>
      <c r="C6" s="24" t="s">
        <v>61</v>
      </c>
      <c r="D6" s="9" t="s">
        <v>53</v>
      </c>
      <c r="E6" s="29">
        <v>27</v>
      </c>
      <c r="F6" s="25" t="s">
        <v>54</v>
      </c>
      <c r="G6" s="25"/>
      <c r="H6" s="24" t="s">
        <v>62</v>
      </c>
      <c r="I6" s="25" t="s">
        <v>63</v>
      </c>
    </row>
    <row r="7" spans="1:9" x14ac:dyDescent="0.25">
      <c r="A7" s="30" t="s">
        <v>12</v>
      </c>
      <c r="B7" s="27" t="s">
        <v>64</v>
      </c>
      <c r="C7" s="26" t="s">
        <v>65</v>
      </c>
      <c r="D7" s="9" t="s">
        <v>53</v>
      </c>
      <c r="E7" s="31">
        <v>30</v>
      </c>
      <c r="F7" s="27" t="s">
        <v>54</v>
      </c>
      <c r="G7" s="27" t="s">
        <v>66</v>
      </c>
      <c r="H7" s="26" t="s">
        <v>67</v>
      </c>
      <c r="I7" s="27"/>
    </row>
    <row r="8" spans="1:9" x14ac:dyDescent="0.25">
      <c r="A8" s="28" t="s">
        <v>13</v>
      </c>
      <c r="B8" s="25" t="s">
        <v>68</v>
      </c>
      <c r="C8" s="24" t="s">
        <v>69</v>
      </c>
      <c r="D8" s="9" t="s">
        <v>53</v>
      </c>
      <c r="E8" s="29">
        <v>22</v>
      </c>
      <c r="F8" s="25" t="s">
        <v>54</v>
      </c>
      <c r="G8" s="25"/>
      <c r="H8" s="24" t="s">
        <v>60</v>
      </c>
      <c r="I8" s="25"/>
    </row>
    <row r="9" spans="1:9" x14ac:dyDescent="0.25">
      <c r="A9" s="30" t="s">
        <v>14</v>
      </c>
      <c r="B9" s="27" t="s">
        <v>57</v>
      </c>
      <c r="C9" s="26" t="s">
        <v>70</v>
      </c>
      <c r="D9" s="9" t="s">
        <v>53</v>
      </c>
      <c r="E9" s="31">
        <v>26.5</v>
      </c>
      <c r="F9" s="27" t="s">
        <v>54</v>
      </c>
      <c r="G9" s="27" t="s">
        <v>59</v>
      </c>
      <c r="H9" s="26" t="s">
        <v>71</v>
      </c>
      <c r="I9" s="27"/>
    </row>
    <row r="10" spans="1:9" x14ac:dyDescent="0.25">
      <c r="A10" s="28" t="s">
        <v>15</v>
      </c>
      <c r="B10" s="25" t="s">
        <v>72</v>
      </c>
      <c r="C10" s="24" t="s">
        <v>73</v>
      </c>
      <c r="D10" s="9" t="s">
        <v>53</v>
      </c>
      <c r="E10" s="29">
        <v>24</v>
      </c>
      <c r="F10" s="25" t="s">
        <v>54</v>
      </c>
      <c r="G10" s="25"/>
      <c r="H10" s="24" t="s">
        <v>74</v>
      </c>
      <c r="I10" s="25"/>
    </row>
    <row r="11" spans="1:9" x14ac:dyDescent="0.25">
      <c r="A11" s="30" t="s">
        <v>16</v>
      </c>
      <c r="B11" s="27" t="s">
        <v>57</v>
      </c>
      <c r="C11" s="26" t="s">
        <v>75</v>
      </c>
      <c r="D11" s="9" t="s">
        <v>53</v>
      </c>
      <c r="E11" s="31">
        <v>25</v>
      </c>
      <c r="F11" s="27" t="s">
        <v>54</v>
      </c>
      <c r="G11" s="27"/>
      <c r="H11" s="26" t="s">
        <v>76</v>
      </c>
      <c r="I11" s="27" t="s">
        <v>77</v>
      </c>
    </row>
    <row r="12" spans="1:9" x14ac:dyDescent="0.25">
      <c r="A12" s="23" t="s">
        <v>17</v>
      </c>
      <c r="B12" s="23" t="s">
        <v>57</v>
      </c>
      <c r="C12" s="23" t="s">
        <v>78</v>
      </c>
      <c r="D12" s="23" t="s">
        <v>53</v>
      </c>
      <c r="E12" s="23">
        <v>26</v>
      </c>
      <c r="F12" s="23" t="s">
        <v>54</v>
      </c>
      <c r="G12" s="23" t="s">
        <v>59</v>
      </c>
      <c r="H12" s="23" t="s">
        <v>79</v>
      </c>
    </row>
    <row r="13" spans="1:9" x14ac:dyDescent="0.25">
      <c r="A13" s="23" t="s">
        <v>18</v>
      </c>
      <c r="B13" s="23" t="s">
        <v>57</v>
      </c>
      <c r="C13" s="23" t="s">
        <v>80</v>
      </c>
      <c r="D13" s="23" t="s">
        <v>53</v>
      </c>
      <c r="E13" s="23">
        <v>25.5</v>
      </c>
      <c r="F13" s="23" t="s">
        <v>54</v>
      </c>
      <c r="H13" s="23" t="s">
        <v>81</v>
      </c>
      <c r="I13" s="23" t="s">
        <v>82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86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1" style="41" customWidth="1"/>
    <col min="2" max="7" width="21" style="23" customWidth="1"/>
  </cols>
  <sheetData>
    <row r="1" spans="1:7" ht="30" customHeight="1" x14ac:dyDescent="0.25">
      <c r="A1" s="34" t="s">
        <v>0</v>
      </c>
      <c r="B1" s="33"/>
      <c r="C1" s="33"/>
      <c r="D1" s="33"/>
      <c r="E1" s="33"/>
      <c r="F1" s="33"/>
      <c r="G1" s="33"/>
    </row>
    <row r="2" spans="1:7" ht="15.95" customHeight="1" x14ac:dyDescent="0.25">
      <c r="A2" s="32" t="s">
        <v>1</v>
      </c>
      <c r="B2" s="33"/>
      <c r="C2" s="33"/>
      <c r="D2" s="33"/>
      <c r="E2" s="33"/>
      <c r="F2" s="33"/>
      <c r="G2" s="33"/>
    </row>
    <row r="3" spans="1:7" ht="33.950000000000003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</row>
    <row r="4" spans="1:7" x14ac:dyDescent="0.25">
      <c r="A4" s="39">
        <v>45614</v>
      </c>
      <c r="B4" s="25" t="s">
        <v>9</v>
      </c>
      <c r="C4" s="10">
        <v>36.799999999999997</v>
      </c>
      <c r="D4" s="11">
        <v>3.4</v>
      </c>
      <c r="E4" s="10">
        <v>0</v>
      </c>
      <c r="F4" s="10">
        <v>0</v>
      </c>
      <c r="G4" s="12">
        <f t="shared" ref="G4:G67" si="0">C4+D4+E4+F4</f>
        <v>40.199999999999996</v>
      </c>
    </row>
    <row r="5" spans="1:7" x14ac:dyDescent="0.25">
      <c r="A5" s="40">
        <v>45614</v>
      </c>
      <c r="B5" s="27" t="s">
        <v>10</v>
      </c>
      <c r="C5" s="13">
        <v>17</v>
      </c>
      <c r="D5" s="13">
        <v>0</v>
      </c>
      <c r="E5" s="13">
        <v>0.4</v>
      </c>
      <c r="F5" s="13">
        <v>0</v>
      </c>
      <c r="G5" s="14">
        <f t="shared" si="0"/>
        <v>17.399999999999999</v>
      </c>
    </row>
    <row r="6" spans="1:7" x14ac:dyDescent="0.25">
      <c r="A6" s="39">
        <v>45614</v>
      </c>
      <c r="B6" s="25" t="s">
        <v>11</v>
      </c>
      <c r="C6" s="10">
        <v>25</v>
      </c>
      <c r="D6" s="11">
        <v>0</v>
      </c>
      <c r="E6" s="10">
        <v>0</v>
      </c>
      <c r="F6" s="10">
        <v>0</v>
      </c>
      <c r="G6" s="12">
        <f t="shared" si="0"/>
        <v>25</v>
      </c>
    </row>
    <row r="7" spans="1:7" x14ac:dyDescent="0.25">
      <c r="A7" s="40">
        <v>45614</v>
      </c>
      <c r="B7" s="27" t="s">
        <v>12</v>
      </c>
      <c r="C7" s="13">
        <v>23.4</v>
      </c>
      <c r="D7" s="11">
        <v>0</v>
      </c>
      <c r="E7" s="13">
        <v>0.7</v>
      </c>
      <c r="F7" s="13">
        <v>0</v>
      </c>
      <c r="G7" s="14">
        <f t="shared" si="0"/>
        <v>24.099999999999998</v>
      </c>
    </row>
    <row r="8" spans="1:7" x14ac:dyDescent="0.25">
      <c r="A8" s="39">
        <v>45614</v>
      </c>
      <c r="B8" s="25" t="s">
        <v>13</v>
      </c>
      <c r="C8" s="10">
        <v>39.9</v>
      </c>
      <c r="D8" s="10">
        <v>0</v>
      </c>
      <c r="E8" s="10">
        <v>0.6</v>
      </c>
      <c r="F8" s="10">
        <v>0</v>
      </c>
      <c r="G8" s="12">
        <f t="shared" si="0"/>
        <v>40.5</v>
      </c>
    </row>
    <row r="9" spans="1:7" x14ac:dyDescent="0.25">
      <c r="A9" s="40">
        <v>45614</v>
      </c>
      <c r="B9" s="27" t="s">
        <v>14</v>
      </c>
      <c r="C9" s="13">
        <v>38</v>
      </c>
      <c r="D9" s="13">
        <v>4.8</v>
      </c>
      <c r="E9" s="13">
        <v>0</v>
      </c>
      <c r="F9" s="13">
        <v>0</v>
      </c>
      <c r="G9" s="14">
        <f t="shared" si="0"/>
        <v>42.8</v>
      </c>
    </row>
    <row r="10" spans="1:7" x14ac:dyDescent="0.25">
      <c r="A10" s="39">
        <v>45614</v>
      </c>
      <c r="B10" s="25" t="s">
        <v>15</v>
      </c>
      <c r="C10" s="10">
        <v>45</v>
      </c>
      <c r="D10" s="11">
        <v>2.5</v>
      </c>
      <c r="E10" s="10">
        <v>0.3</v>
      </c>
      <c r="F10" s="10">
        <v>0</v>
      </c>
      <c r="G10" s="12">
        <f t="shared" si="0"/>
        <v>47.8</v>
      </c>
    </row>
    <row r="11" spans="1:7" x14ac:dyDescent="0.25">
      <c r="A11" s="40">
        <v>45614</v>
      </c>
      <c r="B11" s="27" t="s">
        <v>16</v>
      </c>
      <c r="C11" s="13">
        <v>18.899999999999999</v>
      </c>
      <c r="D11" s="11">
        <v>3.3</v>
      </c>
      <c r="E11" s="13">
        <v>0</v>
      </c>
      <c r="F11" s="13">
        <v>0</v>
      </c>
      <c r="G11" s="14">
        <f t="shared" si="0"/>
        <v>22.2</v>
      </c>
    </row>
    <row r="12" spans="1:7" x14ac:dyDescent="0.25">
      <c r="A12" s="41">
        <v>45621</v>
      </c>
      <c r="B12" s="23" t="s">
        <v>9</v>
      </c>
      <c r="C12" s="23">
        <v>27.6</v>
      </c>
      <c r="D12" s="23">
        <v>3.1</v>
      </c>
      <c r="E12" s="23">
        <v>0.6</v>
      </c>
      <c r="F12" s="23">
        <v>0</v>
      </c>
      <c r="G12" s="23">
        <f t="shared" si="0"/>
        <v>31.300000000000004</v>
      </c>
    </row>
    <row r="13" spans="1:7" x14ac:dyDescent="0.25">
      <c r="A13" s="41">
        <v>45621</v>
      </c>
      <c r="B13" s="23" t="s">
        <v>10</v>
      </c>
      <c r="C13" s="23">
        <v>19.600000000000001</v>
      </c>
      <c r="D13" s="23">
        <v>4.0999999999999996</v>
      </c>
      <c r="E13" s="23">
        <v>0</v>
      </c>
      <c r="F13" s="23">
        <v>0</v>
      </c>
      <c r="G13" s="23">
        <f t="shared" si="0"/>
        <v>23.700000000000003</v>
      </c>
    </row>
    <row r="14" spans="1:7" x14ac:dyDescent="0.25">
      <c r="A14" s="41">
        <v>45621</v>
      </c>
      <c r="B14" s="23" t="s">
        <v>11</v>
      </c>
      <c r="C14" s="23">
        <v>34.6</v>
      </c>
      <c r="D14" s="23">
        <v>0</v>
      </c>
      <c r="E14" s="23">
        <v>0</v>
      </c>
      <c r="F14" s="23">
        <v>0</v>
      </c>
      <c r="G14" s="23">
        <f t="shared" si="0"/>
        <v>34.6</v>
      </c>
    </row>
    <row r="15" spans="1:7" x14ac:dyDescent="0.25">
      <c r="A15" s="41">
        <v>45621</v>
      </c>
      <c r="B15" s="23" t="s">
        <v>12</v>
      </c>
      <c r="C15" s="23">
        <v>22.6</v>
      </c>
      <c r="D15" s="23">
        <v>0</v>
      </c>
      <c r="E15" s="23">
        <v>0.9</v>
      </c>
      <c r="F15" s="23">
        <v>0</v>
      </c>
      <c r="G15" s="23">
        <f t="shared" si="0"/>
        <v>23.5</v>
      </c>
    </row>
    <row r="16" spans="1:7" x14ac:dyDescent="0.25">
      <c r="A16" s="41">
        <v>45621</v>
      </c>
      <c r="B16" s="23" t="s">
        <v>13</v>
      </c>
      <c r="C16" s="23">
        <v>51.3</v>
      </c>
      <c r="D16" s="23">
        <v>4.5</v>
      </c>
      <c r="E16" s="23">
        <v>0</v>
      </c>
      <c r="F16" s="23">
        <v>0</v>
      </c>
      <c r="G16" s="23">
        <f t="shared" si="0"/>
        <v>55.8</v>
      </c>
    </row>
    <row r="17" spans="1:7" x14ac:dyDescent="0.25">
      <c r="A17" s="41">
        <v>45621</v>
      </c>
      <c r="B17" s="23" t="s">
        <v>14</v>
      </c>
      <c r="C17" s="23">
        <v>20.9</v>
      </c>
      <c r="D17" s="23">
        <v>3.3</v>
      </c>
      <c r="E17" s="23">
        <v>0</v>
      </c>
      <c r="F17" s="23">
        <v>0</v>
      </c>
      <c r="G17" s="23">
        <f t="shared" si="0"/>
        <v>24.2</v>
      </c>
    </row>
    <row r="18" spans="1:7" x14ac:dyDescent="0.25">
      <c r="A18" s="41">
        <v>45621</v>
      </c>
      <c r="B18" s="23" t="s">
        <v>15</v>
      </c>
      <c r="C18" s="23">
        <v>28.6</v>
      </c>
      <c r="D18" s="23">
        <v>0</v>
      </c>
      <c r="E18" s="23">
        <v>0.7</v>
      </c>
      <c r="F18" s="23">
        <v>0</v>
      </c>
      <c r="G18" s="23">
        <f t="shared" si="0"/>
        <v>29.3</v>
      </c>
    </row>
    <row r="19" spans="1:7" x14ac:dyDescent="0.25">
      <c r="A19" s="41">
        <v>45621</v>
      </c>
      <c r="B19" s="23" t="s">
        <v>16</v>
      </c>
      <c r="C19" s="23">
        <v>40.799999999999997</v>
      </c>
      <c r="D19" s="23">
        <v>0</v>
      </c>
      <c r="E19" s="23">
        <v>0.8</v>
      </c>
      <c r="F19" s="23">
        <v>0</v>
      </c>
      <c r="G19" s="23">
        <f t="shared" si="0"/>
        <v>41.599999999999994</v>
      </c>
    </row>
    <row r="20" spans="1:7" x14ac:dyDescent="0.25">
      <c r="A20" s="41">
        <v>45628</v>
      </c>
      <c r="B20" s="23" t="s">
        <v>9</v>
      </c>
      <c r="C20" s="23">
        <v>23</v>
      </c>
      <c r="D20" s="23">
        <v>2</v>
      </c>
      <c r="E20" s="23">
        <v>0</v>
      </c>
      <c r="F20" s="23">
        <v>0</v>
      </c>
      <c r="G20" s="23">
        <f t="shared" si="0"/>
        <v>25</v>
      </c>
    </row>
    <row r="21" spans="1:7" x14ac:dyDescent="0.25">
      <c r="A21" s="41">
        <v>45628</v>
      </c>
      <c r="B21" s="23" t="s">
        <v>10</v>
      </c>
      <c r="C21" s="23">
        <v>39</v>
      </c>
      <c r="D21" s="23">
        <v>0</v>
      </c>
      <c r="E21" s="23">
        <v>1.3</v>
      </c>
      <c r="F21" s="23">
        <v>0</v>
      </c>
      <c r="G21" s="23">
        <f t="shared" si="0"/>
        <v>40.299999999999997</v>
      </c>
    </row>
    <row r="22" spans="1:7" x14ac:dyDescent="0.25">
      <c r="A22" s="41">
        <v>45628</v>
      </c>
      <c r="B22" s="23" t="s">
        <v>11</v>
      </c>
      <c r="C22" s="23">
        <v>29.8</v>
      </c>
      <c r="D22" s="23">
        <v>1.8</v>
      </c>
      <c r="E22" s="23">
        <v>0</v>
      </c>
      <c r="F22" s="23">
        <v>0</v>
      </c>
      <c r="G22" s="23">
        <f t="shared" si="0"/>
        <v>31.6</v>
      </c>
    </row>
    <row r="23" spans="1:7" x14ac:dyDescent="0.25">
      <c r="A23" s="41">
        <v>45628</v>
      </c>
      <c r="B23" s="23" t="s">
        <v>12</v>
      </c>
      <c r="C23" s="23">
        <v>27.6</v>
      </c>
      <c r="D23" s="23">
        <v>3.7</v>
      </c>
      <c r="E23" s="23">
        <v>2.1</v>
      </c>
      <c r="F23" s="23">
        <v>0</v>
      </c>
      <c r="G23" s="23">
        <f t="shared" si="0"/>
        <v>33.4</v>
      </c>
    </row>
    <row r="24" spans="1:7" x14ac:dyDescent="0.25">
      <c r="A24" s="41">
        <v>45628</v>
      </c>
      <c r="B24" s="23" t="s">
        <v>13</v>
      </c>
      <c r="C24" s="23">
        <v>31</v>
      </c>
      <c r="D24" s="23">
        <v>0</v>
      </c>
      <c r="E24" s="23">
        <v>0</v>
      </c>
      <c r="F24" s="23">
        <v>0</v>
      </c>
      <c r="G24" s="23">
        <f t="shared" si="0"/>
        <v>31</v>
      </c>
    </row>
    <row r="25" spans="1:7" x14ac:dyDescent="0.25">
      <c r="A25" s="41">
        <v>45628</v>
      </c>
      <c r="B25" s="23" t="s">
        <v>14</v>
      </c>
      <c r="C25" s="23">
        <v>35.1</v>
      </c>
      <c r="D25" s="23">
        <v>0</v>
      </c>
      <c r="E25" s="23">
        <v>1.4</v>
      </c>
      <c r="F25" s="23">
        <v>0</v>
      </c>
      <c r="G25" s="23">
        <f t="shared" si="0"/>
        <v>36.5</v>
      </c>
    </row>
    <row r="26" spans="1:7" x14ac:dyDescent="0.25">
      <c r="A26" s="41">
        <v>45628</v>
      </c>
      <c r="B26" s="23" t="s">
        <v>15</v>
      </c>
      <c r="C26" s="23">
        <v>33.4</v>
      </c>
      <c r="D26" s="23">
        <v>3.5</v>
      </c>
      <c r="E26" s="23">
        <v>0</v>
      </c>
      <c r="F26" s="23">
        <v>0</v>
      </c>
      <c r="G26" s="23">
        <f t="shared" si="0"/>
        <v>36.9</v>
      </c>
    </row>
    <row r="27" spans="1:7" x14ac:dyDescent="0.25">
      <c r="A27" s="41">
        <v>45628</v>
      </c>
      <c r="B27" s="23" t="s">
        <v>16</v>
      </c>
      <c r="C27" s="23">
        <v>19.100000000000001</v>
      </c>
      <c r="D27" s="23">
        <v>0</v>
      </c>
      <c r="E27" s="23">
        <v>1.2</v>
      </c>
      <c r="F27" s="23">
        <v>0</v>
      </c>
      <c r="G27" s="23">
        <f t="shared" si="0"/>
        <v>20.3</v>
      </c>
    </row>
    <row r="28" spans="1:7" x14ac:dyDescent="0.25">
      <c r="A28" s="41">
        <v>45635</v>
      </c>
      <c r="B28" s="23" t="s">
        <v>9</v>
      </c>
      <c r="C28" s="23">
        <v>34.9</v>
      </c>
      <c r="D28" s="23">
        <v>0</v>
      </c>
      <c r="E28" s="23">
        <v>0</v>
      </c>
      <c r="F28" s="23">
        <v>8</v>
      </c>
      <c r="G28" s="23">
        <f t="shared" si="0"/>
        <v>42.9</v>
      </c>
    </row>
    <row r="29" spans="1:7" x14ac:dyDescent="0.25">
      <c r="A29" s="41">
        <v>45635</v>
      </c>
      <c r="B29" s="23" t="s">
        <v>10</v>
      </c>
      <c r="C29" s="23">
        <v>20.399999999999999</v>
      </c>
      <c r="D29" s="23">
        <v>0</v>
      </c>
      <c r="E29" s="23">
        <v>0.7</v>
      </c>
      <c r="F29" s="23">
        <v>0</v>
      </c>
      <c r="G29" s="23">
        <f t="shared" si="0"/>
        <v>21.099999999999998</v>
      </c>
    </row>
    <row r="30" spans="1:7" x14ac:dyDescent="0.25">
      <c r="A30" s="41">
        <v>45635</v>
      </c>
      <c r="B30" s="23" t="s">
        <v>11</v>
      </c>
      <c r="C30" s="23">
        <v>18.899999999999999</v>
      </c>
      <c r="D30" s="23">
        <v>0</v>
      </c>
      <c r="E30" s="23">
        <v>0.5</v>
      </c>
      <c r="F30" s="23">
        <v>0</v>
      </c>
      <c r="G30" s="23">
        <f t="shared" si="0"/>
        <v>19.399999999999999</v>
      </c>
    </row>
    <row r="31" spans="1:7" x14ac:dyDescent="0.25">
      <c r="A31" s="41">
        <v>45635</v>
      </c>
      <c r="B31" s="23" t="s">
        <v>12</v>
      </c>
      <c r="C31" s="23">
        <v>21</v>
      </c>
      <c r="D31" s="23">
        <v>1.4</v>
      </c>
      <c r="E31" s="23">
        <v>0</v>
      </c>
      <c r="F31" s="23">
        <v>0</v>
      </c>
      <c r="G31" s="23">
        <f t="shared" si="0"/>
        <v>22.4</v>
      </c>
    </row>
    <row r="32" spans="1:7" x14ac:dyDescent="0.25">
      <c r="A32" s="41">
        <v>45635</v>
      </c>
      <c r="B32" s="23" t="s">
        <v>13</v>
      </c>
      <c r="C32" s="23">
        <v>38.9</v>
      </c>
      <c r="D32" s="23">
        <v>1.9</v>
      </c>
      <c r="E32" s="23">
        <v>0.4</v>
      </c>
      <c r="F32" s="23">
        <v>0</v>
      </c>
      <c r="G32" s="23">
        <f t="shared" si="0"/>
        <v>41.199999999999996</v>
      </c>
    </row>
    <row r="33" spans="1:7" x14ac:dyDescent="0.25">
      <c r="A33" s="41">
        <v>45635</v>
      </c>
      <c r="B33" s="23" t="s">
        <v>14</v>
      </c>
      <c r="C33" s="23">
        <v>44.6</v>
      </c>
      <c r="D33" s="23">
        <v>0</v>
      </c>
      <c r="E33" s="23">
        <v>0.4</v>
      </c>
      <c r="F33" s="23">
        <v>0</v>
      </c>
      <c r="G33" s="23">
        <f t="shared" si="0"/>
        <v>45</v>
      </c>
    </row>
    <row r="34" spans="1:7" x14ac:dyDescent="0.25">
      <c r="A34" s="41">
        <v>45635</v>
      </c>
      <c r="B34" s="23" t="s">
        <v>15</v>
      </c>
      <c r="C34" s="23">
        <v>31.8</v>
      </c>
      <c r="D34" s="23">
        <v>2.6</v>
      </c>
      <c r="E34" s="23">
        <v>0</v>
      </c>
      <c r="F34" s="23">
        <v>0</v>
      </c>
      <c r="G34" s="23">
        <f t="shared" si="0"/>
        <v>34.4</v>
      </c>
    </row>
    <row r="35" spans="1:7" x14ac:dyDescent="0.25">
      <c r="A35" s="41">
        <v>45635</v>
      </c>
      <c r="B35" s="23" t="s">
        <v>16</v>
      </c>
      <c r="C35" s="23">
        <v>19.5</v>
      </c>
      <c r="D35" s="23">
        <v>2.1</v>
      </c>
      <c r="E35" s="23">
        <v>0</v>
      </c>
      <c r="F35" s="23">
        <v>0</v>
      </c>
      <c r="G35" s="23">
        <f t="shared" si="0"/>
        <v>21.6</v>
      </c>
    </row>
    <row r="36" spans="1:7" x14ac:dyDescent="0.25">
      <c r="A36" s="41">
        <v>45642</v>
      </c>
      <c r="B36" s="23" t="s">
        <v>9</v>
      </c>
      <c r="C36" s="23">
        <v>17.8</v>
      </c>
      <c r="D36" s="23">
        <v>1.4</v>
      </c>
      <c r="E36" s="23">
        <v>0</v>
      </c>
      <c r="F36" s="23">
        <v>0</v>
      </c>
      <c r="G36" s="23">
        <f t="shared" si="0"/>
        <v>19.2</v>
      </c>
    </row>
    <row r="37" spans="1:7" x14ac:dyDescent="0.25">
      <c r="A37" s="41">
        <v>45642</v>
      </c>
      <c r="B37" s="23" t="s">
        <v>10</v>
      </c>
      <c r="C37" s="23">
        <v>22.2</v>
      </c>
      <c r="D37" s="23">
        <v>0</v>
      </c>
      <c r="E37" s="23">
        <v>0</v>
      </c>
      <c r="F37" s="23">
        <v>0</v>
      </c>
      <c r="G37" s="23">
        <f t="shared" si="0"/>
        <v>22.2</v>
      </c>
    </row>
    <row r="38" spans="1:7" x14ac:dyDescent="0.25">
      <c r="A38" s="41">
        <v>45642</v>
      </c>
      <c r="B38" s="23" t="s">
        <v>11</v>
      </c>
      <c r="C38" s="23">
        <v>16.8</v>
      </c>
      <c r="D38" s="23">
        <v>0</v>
      </c>
      <c r="E38" s="23">
        <v>0</v>
      </c>
      <c r="F38" s="23">
        <v>0</v>
      </c>
      <c r="G38" s="23">
        <f t="shared" si="0"/>
        <v>16.8</v>
      </c>
    </row>
    <row r="39" spans="1:7" x14ac:dyDescent="0.25">
      <c r="A39" s="41">
        <v>45642</v>
      </c>
      <c r="B39" s="23" t="s">
        <v>12</v>
      </c>
      <c r="C39" s="23">
        <v>37</v>
      </c>
      <c r="D39" s="23">
        <v>1.3</v>
      </c>
      <c r="E39" s="23">
        <v>0</v>
      </c>
      <c r="F39" s="23">
        <v>0</v>
      </c>
      <c r="G39" s="23">
        <f t="shared" si="0"/>
        <v>38.299999999999997</v>
      </c>
    </row>
    <row r="40" spans="1:7" x14ac:dyDescent="0.25">
      <c r="A40" s="41">
        <v>45642</v>
      </c>
      <c r="B40" s="23" t="s">
        <v>13</v>
      </c>
      <c r="C40" s="23">
        <v>36.200000000000003</v>
      </c>
      <c r="D40" s="23">
        <v>0</v>
      </c>
      <c r="E40" s="23">
        <v>0</v>
      </c>
      <c r="F40" s="23">
        <v>0</v>
      </c>
      <c r="G40" s="23">
        <f t="shared" si="0"/>
        <v>36.200000000000003</v>
      </c>
    </row>
    <row r="41" spans="1:7" x14ac:dyDescent="0.25">
      <c r="A41" s="41">
        <v>45642</v>
      </c>
      <c r="B41" s="23" t="s">
        <v>14</v>
      </c>
      <c r="C41" s="23">
        <v>36.1</v>
      </c>
      <c r="D41" s="23">
        <v>1.3</v>
      </c>
      <c r="E41" s="23">
        <v>0</v>
      </c>
      <c r="F41" s="23">
        <v>0</v>
      </c>
      <c r="G41" s="23">
        <f t="shared" si="0"/>
        <v>37.4</v>
      </c>
    </row>
    <row r="42" spans="1:7" x14ac:dyDescent="0.25">
      <c r="A42" s="41">
        <v>45642</v>
      </c>
      <c r="B42" s="23" t="s">
        <v>15</v>
      </c>
      <c r="C42" s="23">
        <v>27.9</v>
      </c>
      <c r="D42" s="23">
        <v>0</v>
      </c>
      <c r="E42" s="23">
        <v>0</v>
      </c>
      <c r="F42" s="23">
        <v>0</v>
      </c>
      <c r="G42" s="23">
        <f t="shared" si="0"/>
        <v>27.9</v>
      </c>
    </row>
    <row r="43" spans="1:7" x14ac:dyDescent="0.25">
      <c r="A43" s="41">
        <v>45649</v>
      </c>
      <c r="B43" s="23" t="s">
        <v>9</v>
      </c>
      <c r="C43" s="23">
        <v>29.3</v>
      </c>
      <c r="D43" s="23">
        <v>0</v>
      </c>
      <c r="E43" s="23">
        <v>0</v>
      </c>
      <c r="F43" s="23">
        <v>0</v>
      </c>
      <c r="G43" s="23">
        <f t="shared" si="0"/>
        <v>29.3</v>
      </c>
    </row>
    <row r="44" spans="1:7" x14ac:dyDescent="0.25">
      <c r="A44" s="41">
        <v>45649</v>
      </c>
      <c r="B44" s="23" t="s">
        <v>10</v>
      </c>
      <c r="C44" s="23">
        <v>29.4</v>
      </c>
      <c r="D44" s="23">
        <v>0.7</v>
      </c>
      <c r="E44" s="23">
        <v>0</v>
      </c>
      <c r="F44" s="23">
        <v>0</v>
      </c>
      <c r="G44" s="23">
        <f t="shared" si="0"/>
        <v>30.099999999999998</v>
      </c>
    </row>
    <row r="45" spans="1:7" x14ac:dyDescent="0.25">
      <c r="A45" s="41">
        <v>45649</v>
      </c>
      <c r="B45" s="23" t="s">
        <v>11</v>
      </c>
      <c r="C45" s="23">
        <v>15</v>
      </c>
      <c r="D45" s="23">
        <v>0</v>
      </c>
      <c r="E45" s="23">
        <v>0</v>
      </c>
      <c r="F45" s="23">
        <v>0</v>
      </c>
      <c r="G45" s="23">
        <f t="shared" si="0"/>
        <v>15</v>
      </c>
    </row>
    <row r="46" spans="1:7" x14ac:dyDescent="0.25">
      <c r="A46" s="41">
        <v>45649</v>
      </c>
      <c r="B46" s="23" t="s">
        <v>12</v>
      </c>
      <c r="C46" s="23">
        <v>22.7</v>
      </c>
      <c r="D46" s="23">
        <v>0.7</v>
      </c>
      <c r="E46" s="23">
        <v>0</v>
      </c>
      <c r="F46" s="23">
        <v>0</v>
      </c>
      <c r="G46" s="23">
        <f t="shared" si="0"/>
        <v>23.4</v>
      </c>
    </row>
    <row r="47" spans="1:7" x14ac:dyDescent="0.25">
      <c r="A47" s="41">
        <v>45649</v>
      </c>
      <c r="B47" s="23" t="s">
        <v>13</v>
      </c>
      <c r="C47" s="23">
        <v>24.4</v>
      </c>
      <c r="D47" s="23">
        <v>0.6</v>
      </c>
      <c r="E47" s="23">
        <v>0</v>
      </c>
      <c r="F47" s="23">
        <v>0</v>
      </c>
      <c r="G47" s="23">
        <f t="shared" si="0"/>
        <v>25</v>
      </c>
    </row>
    <row r="48" spans="1:7" x14ac:dyDescent="0.25">
      <c r="A48" s="41">
        <v>45649</v>
      </c>
      <c r="B48" s="23" t="s">
        <v>14</v>
      </c>
      <c r="C48" s="23">
        <v>17.8</v>
      </c>
      <c r="D48" s="23">
        <v>0</v>
      </c>
      <c r="E48" s="23">
        <v>0</v>
      </c>
      <c r="F48" s="23">
        <v>0</v>
      </c>
      <c r="G48" s="23">
        <f t="shared" si="0"/>
        <v>17.8</v>
      </c>
    </row>
    <row r="49" spans="1:7" x14ac:dyDescent="0.25">
      <c r="A49" s="41">
        <v>45649</v>
      </c>
      <c r="B49" s="23" t="s">
        <v>15</v>
      </c>
      <c r="C49" s="23">
        <v>31.4</v>
      </c>
      <c r="D49" s="23">
        <v>0</v>
      </c>
      <c r="E49" s="23">
        <v>0</v>
      </c>
      <c r="F49" s="23">
        <v>0</v>
      </c>
      <c r="G49" s="23">
        <f t="shared" si="0"/>
        <v>31.4</v>
      </c>
    </row>
    <row r="50" spans="1:7" x14ac:dyDescent="0.25">
      <c r="A50" s="41">
        <v>45656</v>
      </c>
      <c r="B50" s="23" t="s">
        <v>9</v>
      </c>
      <c r="C50" s="23">
        <v>21</v>
      </c>
      <c r="D50" s="23">
        <v>2.2999999999999998</v>
      </c>
      <c r="E50" s="23">
        <v>0</v>
      </c>
      <c r="F50" s="23">
        <v>0</v>
      </c>
      <c r="G50" s="23">
        <f t="shared" si="0"/>
        <v>23.3</v>
      </c>
    </row>
    <row r="51" spans="1:7" x14ac:dyDescent="0.25">
      <c r="A51" s="41">
        <v>45656</v>
      </c>
      <c r="B51" s="23" t="s">
        <v>10</v>
      </c>
      <c r="C51" s="23">
        <v>42.4</v>
      </c>
      <c r="D51" s="23">
        <v>2.9</v>
      </c>
      <c r="E51" s="23">
        <v>0.9</v>
      </c>
      <c r="F51" s="23">
        <v>0</v>
      </c>
      <c r="G51" s="23">
        <f t="shared" si="0"/>
        <v>46.199999999999996</v>
      </c>
    </row>
    <row r="52" spans="1:7" x14ac:dyDescent="0.25">
      <c r="A52" s="41">
        <v>45656</v>
      </c>
      <c r="B52" s="23" t="s">
        <v>11</v>
      </c>
      <c r="C52" s="23">
        <v>43.8</v>
      </c>
      <c r="D52" s="23">
        <v>0</v>
      </c>
      <c r="E52" s="23">
        <v>0</v>
      </c>
      <c r="F52" s="23">
        <v>0</v>
      </c>
      <c r="G52" s="23">
        <f t="shared" si="0"/>
        <v>43.8</v>
      </c>
    </row>
    <row r="53" spans="1:7" x14ac:dyDescent="0.25">
      <c r="A53" s="41">
        <v>45656</v>
      </c>
      <c r="B53" s="23" t="s">
        <v>12</v>
      </c>
      <c r="C53" s="23">
        <v>20.399999999999999</v>
      </c>
      <c r="D53" s="23">
        <v>0</v>
      </c>
      <c r="E53" s="23">
        <v>0.8</v>
      </c>
      <c r="F53" s="23">
        <v>0</v>
      </c>
      <c r="G53" s="23">
        <f t="shared" si="0"/>
        <v>21.2</v>
      </c>
    </row>
    <row r="54" spans="1:7" x14ac:dyDescent="0.25">
      <c r="A54" s="41">
        <v>45656</v>
      </c>
      <c r="B54" s="23" t="s">
        <v>13</v>
      </c>
      <c r="C54" s="23">
        <v>48.6</v>
      </c>
      <c r="D54" s="23">
        <v>3.1</v>
      </c>
      <c r="E54" s="23">
        <v>0</v>
      </c>
      <c r="F54" s="23">
        <v>0</v>
      </c>
      <c r="G54" s="23">
        <f t="shared" si="0"/>
        <v>51.7</v>
      </c>
    </row>
    <row r="55" spans="1:7" x14ac:dyDescent="0.25">
      <c r="A55" s="41">
        <v>45656</v>
      </c>
      <c r="B55" s="23" t="s">
        <v>14</v>
      </c>
      <c r="C55" s="23">
        <v>22.5</v>
      </c>
      <c r="D55" s="23">
        <v>3.7</v>
      </c>
      <c r="E55" s="23">
        <v>1.2</v>
      </c>
      <c r="F55" s="23">
        <v>0</v>
      </c>
      <c r="G55" s="23">
        <f t="shared" si="0"/>
        <v>27.4</v>
      </c>
    </row>
    <row r="56" spans="1:7" x14ac:dyDescent="0.25">
      <c r="A56" s="41">
        <v>45656</v>
      </c>
      <c r="B56" s="23" t="s">
        <v>15</v>
      </c>
      <c r="C56" s="23">
        <v>22.8</v>
      </c>
      <c r="D56" s="23">
        <v>0</v>
      </c>
      <c r="E56" s="23">
        <v>0</v>
      </c>
      <c r="F56" s="23">
        <v>0</v>
      </c>
      <c r="G56" s="23">
        <f t="shared" si="0"/>
        <v>22.8</v>
      </c>
    </row>
    <row r="57" spans="1:7" x14ac:dyDescent="0.25">
      <c r="A57" s="41">
        <v>45656</v>
      </c>
      <c r="B57" s="23" t="s">
        <v>16</v>
      </c>
      <c r="C57" s="23">
        <v>21.5</v>
      </c>
      <c r="D57" s="23">
        <v>0</v>
      </c>
      <c r="E57" s="23">
        <v>1.1000000000000001</v>
      </c>
      <c r="F57" s="23">
        <v>0</v>
      </c>
      <c r="G57" s="23">
        <f t="shared" si="0"/>
        <v>22.6</v>
      </c>
    </row>
    <row r="58" spans="1:7" x14ac:dyDescent="0.25">
      <c r="A58" s="41">
        <v>45663</v>
      </c>
      <c r="B58" s="23" t="s">
        <v>9</v>
      </c>
      <c r="C58" s="23">
        <v>25.6</v>
      </c>
      <c r="D58" s="23">
        <v>3.8</v>
      </c>
      <c r="E58" s="23">
        <v>0</v>
      </c>
      <c r="F58" s="23">
        <v>0</v>
      </c>
      <c r="G58" s="23">
        <f t="shared" si="0"/>
        <v>29.400000000000002</v>
      </c>
    </row>
    <row r="59" spans="1:7" x14ac:dyDescent="0.25">
      <c r="A59" s="41">
        <v>45663</v>
      </c>
      <c r="B59" s="23" t="s">
        <v>10</v>
      </c>
      <c r="C59" s="23">
        <v>23.6</v>
      </c>
      <c r="D59" s="23">
        <v>4.2</v>
      </c>
      <c r="E59" s="23">
        <v>0</v>
      </c>
      <c r="F59" s="23">
        <v>0</v>
      </c>
      <c r="G59" s="23">
        <f t="shared" si="0"/>
        <v>27.8</v>
      </c>
    </row>
    <row r="60" spans="1:7" x14ac:dyDescent="0.25">
      <c r="A60" s="41">
        <v>45663</v>
      </c>
      <c r="B60" s="23" t="s">
        <v>11</v>
      </c>
      <c r="C60" s="23">
        <v>32.4</v>
      </c>
      <c r="D60" s="23">
        <v>0</v>
      </c>
      <c r="E60" s="23">
        <v>0.5</v>
      </c>
      <c r="F60" s="23">
        <v>0</v>
      </c>
      <c r="G60" s="23">
        <f t="shared" si="0"/>
        <v>32.9</v>
      </c>
    </row>
    <row r="61" spans="1:7" x14ac:dyDescent="0.25">
      <c r="A61" s="41">
        <v>45663</v>
      </c>
      <c r="B61" s="23" t="s">
        <v>12</v>
      </c>
      <c r="C61" s="23">
        <v>31.5</v>
      </c>
      <c r="D61" s="23">
        <v>0</v>
      </c>
      <c r="E61" s="23">
        <v>0.6</v>
      </c>
      <c r="F61" s="23">
        <v>0</v>
      </c>
      <c r="G61" s="23">
        <f t="shared" si="0"/>
        <v>32.1</v>
      </c>
    </row>
    <row r="62" spans="1:7" x14ac:dyDescent="0.25">
      <c r="A62" s="41">
        <v>45663</v>
      </c>
      <c r="B62" s="23" t="s">
        <v>13</v>
      </c>
      <c r="C62" s="23">
        <v>26.6</v>
      </c>
      <c r="D62" s="23">
        <v>4.0999999999999996</v>
      </c>
      <c r="E62" s="23">
        <v>0</v>
      </c>
      <c r="F62" s="23">
        <v>0</v>
      </c>
      <c r="G62" s="23">
        <f t="shared" si="0"/>
        <v>30.700000000000003</v>
      </c>
    </row>
    <row r="63" spans="1:7" x14ac:dyDescent="0.25">
      <c r="A63" s="41">
        <v>45663</v>
      </c>
      <c r="B63" s="23" t="s">
        <v>14</v>
      </c>
      <c r="C63" s="23">
        <v>25.6</v>
      </c>
      <c r="D63" s="23">
        <v>3.9</v>
      </c>
      <c r="E63" s="23">
        <v>0.4</v>
      </c>
      <c r="F63" s="23">
        <v>0</v>
      </c>
      <c r="G63" s="23">
        <f t="shared" si="0"/>
        <v>29.9</v>
      </c>
    </row>
    <row r="64" spans="1:7" x14ac:dyDescent="0.25">
      <c r="A64" s="41">
        <v>45663</v>
      </c>
      <c r="B64" s="23" t="s">
        <v>15</v>
      </c>
      <c r="C64" s="23">
        <v>48.6</v>
      </c>
      <c r="D64" s="23">
        <v>0</v>
      </c>
      <c r="E64" s="23">
        <v>0.5</v>
      </c>
      <c r="F64" s="23">
        <v>0</v>
      </c>
      <c r="G64" s="23">
        <f t="shared" si="0"/>
        <v>49.1</v>
      </c>
    </row>
    <row r="65" spans="1:7" x14ac:dyDescent="0.25">
      <c r="A65" s="41">
        <v>45663</v>
      </c>
      <c r="B65" s="23" t="s">
        <v>16</v>
      </c>
      <c r="C65" s="23">
        <v>32.1</v>
      </c>
      <c r="D65" s="23">
        <v>0</v>
      </c>
      <c r="E65" s="23">
        <v>0</v>
      </c>
      <c r="F65" s="23">
        <v>0</v>
      </c>
      <c r="G65" s="23">
        <f t="shared" si="0"/>
        <v>32.1</v>
      </c>
    </row>
    <row r="66" spans="1:7" x14ac:dyDescent="0.25">
      <c r="A66" s="41">
        <v>45670</v>
      </c>
      <c r="B66" s="23" t="s">
        <v>9</v>
      </c>
      <c r="C66" s="23">
        <v>37.9</v>
      </c>
      <c r="D66" s="23">
        <v>0</v>
      </c>
      <c r="E66" s="23">
        <v>0</v>
      </c>
      <c r="F66" s="23">
        <v>0</v>
      </c>
      <c r="G66" s="23">
        <f t="shared" si="0"/>
        <v>37.9</v>
      </c>
    </row>
    <row r="67" spans="1:7" x14ac:dyDescent="0.25">
      <c r="A67" s="41">
        <v>45670</v>
      </c>
      <c r="B67" s="23" t="s">
        <v>10</v>
      </c>
      <c r="C67" s="23">
        <v>20.399999999999999</v>
      </c>
      <c r="D67" s="23">
        <v>2.7</v>
      </c>
      <c r="E67" s="23">
        <v>0.5</v>
      </c>
      <c r="F67" s="23">
        <v>0</v>
      </c>
      <c r="G67" s="23">
        <f t="shared" si="0"/>
        <v>23.599999999999998</v>
      </c>
    </row>
    <row r="68" spans="1:7" x14ac:dyDescent="0.25">
      <c r="A68" s="41">
        <v>45670</v>
      </c>
      <c r="B68" s="23" t="s">
        <v>11</v>
      </c>
      <c r="C68" s="23">
        <v>24.8</v>
      </c>
      <c r="D68" s="23">
        <v>0</v>
      </c>
      <c r="E68" s="23">
        <v>0</v>
      </c>
      <c r="F68" s="23">
        <v>0</v>
      </c>
      <c r="G68" s="23">
        <f t="shared" ref="G68:G131" si="1">C68+D68+E68+F68</f>
        <v>24.8</v>
      </c>
    </row>
    <row r="69" spans="1:7" x14ac:dyDescent="0.25">
      <c r="A69" s="41">
        <v>45670</v>
      </c>
      <c r="B69" s="23" t="s">
        <v>12</v>
      </c>
      <c r="C69" s="23">
        <v>45.7</v>
      </c>
      <c r="D69" s="23">
        <v>0</v>
      </c>
      <c r="E69" s="23">
        <v>1.1000000000000001</v>
      </c>
      <c r="F69" s="23">
        <v>0</v>
      </c>
      <c r="G69" s="23">
        <f t="shared" si="1"/>
        <v>46.800000000000004</v>
      </c>
    </row>
    <row r="70" spans="1:7" x14ac:dyDescent="0.25">
      <c r="A70" s="41">
        <v>45670</v>
      </c>
      <c r="B70" s="23" t="s">
        <v>13</v>
      </c>
      <c r="C70" s="23">
        <v>33.6</v>
      </c>
      <c r="D70" s="23">
        <v>4.9000000000000004</v>
      </c>
      <c r="E70" s="23">
        <v>0</v>
      </c>
      <c r="F70" s="23">
        <v>0</v>
      </c>
      <c r="G70" s="23">
        <f t="shared" si="1"/>
        <v>38.5</v>
      </c>
    </row>
    <row r="71" spans="1:7" x14ac:dyDescent="0.25">
      <c r="A71" s="41">
        <v>45670</v>
      </c>
      <c r="B71" s="23" t="s">
        <v>14</v>
      </c>
      <c r="C71" s="23">
        <v>32.4</v>
      </c>
      <c r="D71" s="23">
        <v>0</v>
      </c>
      <c r="E71" s="23">
        <v>0.6</v>
      </c>
      <c r="F71" s="23">
        <v>0</v>
      </c>
      <c r="G71" s="23">
        <f t="shared" si="1"/>
        <v>33</v>
      </c>
    </row>
    <row r="72" spans="1:7" x14ac:dyDescent="0.25">
      <c r="A72" s="41">
        <v>45670</v>
      </c>
      <c r="B72" s="23" t="s">
        <v>15</v>
      </c>
      <c r="C72" s="23">
        <v>38.799999999999997</v>
      </c>
      <c r="D72" s="23">
        <v>6.6</v>
      </c>
      <c r="E72" s="23">
        <v>0</v>
      </c>
      <c r="F72" s="23">
        <v>0</v>
      </c>
      <c r="G72" s="23">
        <f t="shared" si="1"/>
        <v>45.4</v>
      </c>
    </row>
    <row r="73" spans="1:7" x14ac:dyDescent="0.25">
      <c r="A73" s="41">
        <v>45670</v>
      </c>
      <c r="B73" s="23" t="s">
        <v>16</v>
      </c>
      <c r="C73" s="23">
        <v>17.399999999999999</v>
      </c>
      <c r="D73" s="23">
        <v>2.8</v>
      </c>
      <c r="E73" s="23">
        <v>0.8</v>
      </c>
      <c r="F73" s="23">
        <v>0</v>
      </c>
      <c r="G73" s="23">
        <f t="shared" si="1"/>
        <v>21</v>
      </c>
    </row>
    <row r="74" spans="1:7" x14ac:dyDescent="0.25">
      <c r="A74" s="41">
        <v>45677</v>
      </c>
      <c r="B74" s="23" t="s">
        <v>9</v>
      </c>
      <c r="C74" s="23">
        <v>28</v>
      </c>
      <c r="D74" s="23">
        <v>4.9000000000000004</v>
      </c>
      <c r="E74" s="23">
        <v>0</v>
      </c>
      <c r="F74" s="23">
        <v>0</v>
      </c>
      <c r="G74" s="23">
        <f t="shared" si="1"/>
        <v>32.9</v>
      </c>
    </row>
    <row r="75" spans="1:7" x14ac:dyDescent="0.25">
      <c r="A75" s="41">
        <v>45677</v>
      </c>
      <c r="B75" s="23" t="s">
        <v>10</v>
      </c>
      <c r="C75" s="23">
        <v>36.6</v>
      </c>
      <c r="D75" s="23">
        <v>3.1</v>
      </c>
      <c r="E75" s="23">
        <v>0.4</v>
      </c>
      <c r="F75" s="23">
        <v>0</v>
      </c>
      <c r="G75" s="23">
        <f t="shared" si="1"/>
        <v>40.1</v>
      </c>
    </row>
    <row r="76" spans="1:7" x14ac:dyDescent="0.25">
      <c r="A76" s="41">
        <v>45677</v>
      </c>
      <c r="B76" s="23" t="s">
        <v>11</v>
      </c>
      <c r="C76" s="23">
        <v>25</v>
      </c>
      <c r="D76" s="23">
        <v>0</v>
      </c>
      <c r="E76" s="23">
        <v>0.5</v>
      </c>
      <c r="F76" s="23">
        <v>0</v>
      </c>
      <c r="G76" s="23">
        <f t="shared" si="1"/>
        <v>25.5</v>
      </c>
    </row>
    <row r="77" spans="1:7" x14ac:dyDescent="0.25">
      <c r="A77" s="41">
        <v>45677</v>
      </c>
      <c r="B77" s="23" t="s">
        <v>12</v>
      </c>
      <c r="C77" s="23">
        <v>25.5</v>
      </c>
      <c r="D77" s="23">
        <v>0</v>
      </c>
      <c r="E77" s="23">
        <v>0.4</v>
      </c>
      <c r="F77" s="23">
        <v>0</v>
      </c>
      <c r="G77" s="23">
        <f t="shared" si="1"/>
        <v>25.9</v>
      </c>
    </row>
    <row r="78" spans="1:7" x14ac:dyDescent="0.25">
      <c r="A78" s="41">
        <v>45677</v>
      </c>
      <c r="B78" s="23" t="s">
        <v>13</v>
      </c>
      <c r="C78" s="23">
        <v>39.1</v>
      </c>
      <c r="D78" s="23">
        <v>4.2</v>
      </c>
      <c r="E78" s="23">
        <v>0</v>
      </c>
      <c r="F78" s="23">
        <v>0</v>
      </c>
      <c r="G78" s="23">
        <f t="shared" si="1"/>
        <v>43.300000000000004</v>
      </c>
    </row>
    <row r="79" spans="1:7" x14ac:dyDescent="0.25">
      <c r="A79" s="41">
        <v>45677</v>
      </c>
      <c r="B79" s="23" t="s">
        <v>14</v>
      </c>
      <c r="C79" s="23">
        <v>17.899999999999999</v>
      </c>
      <c r="D79" s="23">
        <v>0</v>
      </c>
      <c r="E79" s="23">
        <v>0</v>
      </c>
      <c r="F79" s="23">
        <v>0</v>
      </c>
      <c r="G79" s="23">
        <f t="shared" si="1"/>
        <v>17.899999999999999</v>
      </c>
    </row>
    <row r="80" spans="1:7" x14ac:dyDescent="0.25">
      <c r="A80" s="41">
        <v>45677</v>
      </c>
      <c r="B80" s="23" t="s">
        <v>15</v>
      </c>
      <c r="C80" s="23">
        <v>30</v>
      </c>
      <c r="D80" s="23">
        <v>0</v>
      </c>
      <c r="E80" s="23">
        <v>0.7</v>
      </c>
      <c r="F80" s="23">
        <v>0</v>
      </c>
      <c r="G80" s="23">
        <f t="shared" si="1"/>
        <v>30.7</v>
      </c>
    </row>
    <row r="81" spans="1:7" x14ac:dyDescent="0.25">
      <c r="A81" s="41">
        <v>45677</v>
      </c>
      <c r="B81" s="23" t="s">
        <v>16</v>
      </c>
      <c r="C81" s="23">
        <v>46.9</v>
      </c>
      <c r="D81" s="23">
        <v>2.8</v>
      </c>
      <c r="E81" s="23">
        <v>0</v>
      </c>
      <c r="F81" s="23">
        <v>0</v>
      </c>
      <c r="G81" s="23">
        <f t="shared" si="1"/>
        <v>49.699999999999996</v>
      </c>
    </row>
    <row r="82" spans="1:7" x14ac:dyDescent="0.25">
      <c r="A82" s="41">
        <v>45684</v>
      </c>
      <c r="B82" s="23" t="s">
        <v>9</v>
      </c>
      <c r="C82" s="23">
        <v>43.1</v>
      </c>
      <c r="D82" s="23">
        <v>5.3</v>
      </c>
      <c r="E82" s="23">
        <v>0</v>
      </c>
      <c r="F82" s="23">
        <v>0</v>
      </c>
      <c r="G82" s="23">
        <f t="shared" si="1"/>
        <v>48.4</v>
      </c>
    </row>
    <row r="83" spans="1:7" x14ac:dyDescent="0.25">
      <c r="A83" s="41">
        <v>45684</v>
      </c>
      <c r="B83" s="23" t="s">
        <v>10</v>
      </c>
      <c r="C83" s="23">
        <v>38.5</v>
      </c>
      <c r="D83" s="23">
        <v>0</v>
      </c>
      <c r="E83" s="23">
        <v>1.3</v>
      </c>
      <c r="F83" s="23">
        <v>0</v>
      </c>
      <c r="G83" s="23">
        <f t="shared" si="1"/>
        <v>39.799999999999997</v>
      </c>
    </row>
    <row r="84" spans="1:7" x14ac:dyDescent="0.25">
      <c r="A84" s="41">
        <v>45684</v>
      </c>
      <c r="B84" s="23" t="s">
        <v>11</v>
      </c>
      <c r="C84" s="23">
        <v>20.3</v>
      </c>
      <c r="D84" s="23">
        <v>6.2</v>
      </c>
      <c r="E84" s="23">
        <v>1.1000000000000001</v>
      </c>
      <c r="F84" s="23">
        <v>0</v>
      </c>
      <c r="G84" s="23">
        <f t="shared" si="1"/>
        <v>27.6</v>
      </c>
    </row>
    <row r="85" spans="1:7" x14ac:dyDescent="0.25">
      <c r="A85" s="41">
        <v>45684</v>
      </c>
      <c r="B85" s="23" t="s">
        <v>12</v>
      </c>
      <c r="C85" s="23">
        <v>24.2</v>
      </c>
      <c r="D85" s="23">
        <v>0</v>
      </c>
      <c r="E85" s="23">
        <v>0</v>
      </c>
      <c r="F85" s="23">
        <v>0</v>
      </c>
      <c r="G85" s="23">
        <f t="shared" si="1"/>
        <v>24.2</v>
      </c>
    </row>
    <row r="86" spans="1:7" x14ac:dyDescent="0.25">
      <c r="A86" s="41">
        <v>45684</v>
      </c>
      <c r="B86" s="23" t="s">
        <v>13</v>
      </c>
      <c r="C86" s="23">
        <v>22</v>
      </c>
      <c r="D86" s="23">
        <v>0</v>
      </c>
      <c r="E86" s="23">
        <v>0</v>
      </c>
      <c r="F86" s="23">
        <v>0</v>
      </c>
      <c r="G86" s="23">
        <f t="shared" si="1"/>
        <v>22</v>
      </c>
    </row>
    <row r="87" spans="1:7" x14ac:dyDescent="0.25">
      <c r="A87" s="41">
        <v>45684</v>
      </c>
      <c r="B87" s="23" t="s">
        <v>14</v>
      </c>
      <c r="C87" s="23">
        <v>26.1</v>
      </c>
      <c r="D87" s="23">
        <v>2.5</v>
      </c>
      <c r="E87" s="23">
        <v>1</v>
      </c>
      <c r="F87" s="23">
        <v>0</v>
      </c>
      <c r="G87" s="23">
        <f t="shared" si="1"/>
        <v>29.6</v>
      </c>
    </row>
    <row r="88" spans="1:7" x14ac:dyDescent="0.25">
      <c r="A88" s="41">
        <v>45684</v>
      </c>
      <c r="B88" s="23" t="s">
        <v>15</v>
      </c>
      <c r="C88" s="23">
        <v>36.799999999999997</v>
      </c>
      <c r="D88" s="23">
        <v>0</v>
      </c>
      <c r="E88" s="23">
        <v>0</v>
      </c>
      <c r="F88" s="23">
        <v>0</v>
      </c>
      <c r="G88" s="23">
        <f t="shared" si="1"/>
        <v>36.799999999999997</v>
      </c>
    </row>
    <row r="89" spans="1:7" x14ac:dyDescent="0.25">
      <c r="A89" s="41">
        <v>45684</v>
      </c>
      <c r="B89" s="23" t="s">
        <v>16</v>
      </c>
      <c r="C89" s="23">
        <v>42</v>
      </c>
      <c r="D89" s="23">
        <v>4</v>
      </c>
      <c r="E89" s="23">
        <v>0.6</v>
      </c>
      <c r="F89" s="23">
        <v>0</v>
      </c>
      <c r="G89" s="23">
        <f t="shared" si="1"/>
        <v>46.6</v>
      </c>
    </row>
    <row r="90" spans="1:7" x14ac:dyDescent="0.25">
      <c r="A90" s="41">
        <v>45691</v>
      </c>
      <c r="B90" s="23" t="s">
        <v>9</v>
      </c>
      <c r="C90" s="23">
        <v>24.5</v>
      </c>
      <c r="D90" s="23">
        <v>0</v>
      </c>
      <c r="E90" s="23">
        <v>0.5</v>
      </c>
      <c r="F90" s="23">
        <v>0</v>
      </c>
      <c r="G90" s="23">
        <f t="shared" si="1"/>
        <v>25</v>
      </c>
    </row>
    <row r="91" spans="1:7" x14ac:dyDescent="0.25">
      <c r="A91" s="41">
        <v>45691</v>
      </c>
      <c r="B91" s="23" t="s">
        <v>10</v>
      </c>
      <c r="C91" s="23">
        <v>42.3</v>
      </c>
      <c r="D91" s="23">
        <v>5.9</v>
      </c>
      <c r="E91" s="23">
        <v>0.3</v>
      </c>
      <c r="F91" s="23">
        <v>0</v>
      </c>
      <c r="G91" s="23">
        <f t="shared" si="1"/>
        <v>48.499999999999993</v>
      </c>
    </row>
    <row r="92" spans="1:7" x14ac:dyDescent="0.25">
      <c r="A92" s="41">
        <v>45691</v>
      </c>
      <c r="B92" s="23" t="s">
        <v>11</v>
      </c>
      <c r="C92" s="23">
        <v>39.200000000000003</v>
      </c>
      <c r="D92" s="23">
        <v>0</v>
      </c>
      <c r="E92" s="23">
        <v>0.6</v>
      </c>
      <c r="F92" s="23">
        <v>0</v>
      </c>
      <c r="G92" s="23">
        <f t="shared" si="1"/>
        <v>39.800000000000004</v>
      </c>
    </row>
    <row r="93" spans="1:7" x14ac:dyDescent="0.25">
      <c r="A93" s="41">
        <v>45691</v>
      </c>
      <c r="B93" s="23" t="s">
        <v>12</v>
      </c>
      <c r="C93" s="23">
        <v>41.2</v>
      </c>
      <c r="D93" s="23">
        <v>0</v>
      </c>
      <c r="E93" s="23">
        <v>0.6</v>
      </c>
      <c r="F93" s="23">
        <v>0</v>
      </c>
      <c r="G93" s="23">
        <f t="shared" si="1"/>
        <v>41.800000000000004</v>
      </c>
    </row>
    <row r="94" spans="1:7" x14ac:dyDescent="0.25">
      <c r="A94" s="41">
        <v>45691</v>
      </c>
      <c r="B94" s="23" t="s">
        <v>13</v>
      </c>
      <c r="C94" s="23">
        <v>42.3</v>
      </c>
      <c r="D94" s="23">
        <v>3</v>
      </c>
      <c r="E94" s="23">
        <v>0</v>
      </c>
      <c r="F94" s="23">
        <v>0</v>
      </c>
      <c r="G94" s="23">
        <f t="shared" si="1"/>
        <v>45.3</v>
      </c>
    </row>
    <row r="95" spans="1:7" x14ac:dyDescent="0.25">
      <c r="A95" s="41">
        <v>45691</v>
      </c>
      <c r="B95" s="23" t="s">
        <v>14</v>
      </c>
      <c r="C95" s="23">
        <v>21.5</v>
      </c>
      <c r="D95" s="23">
        <v>2.7</v>
      </c>
      <c r="E95" s="23">
        <v>0</v>
      </c>
      <c r="F95" s="23">
        <v>0</v>
      </c>
      <c r="G95" s="23">
        <f t="shared" si="1"/>
        <v>24.2</v>
      </c>
    </row>
    <row r="96" spans="1:7" x14ac:dyDescent="0.25">
      <c r="A96" s="41">
        <v>45691</v>
      </c>
      <c r="B96" s="23" t="s">
        <v>15</v>
      </c>
      <c r="C96" s="23">
        <v>22.7</v>
      </c>
      <c r="D96" s="23">
        <v>5.4</v>
      </c>
      <c r="E96" s="23">
        <v>0</v>
      </c>
      <c r="F96" s="23">
        <v>0</v>
      </c>
      <c r="G96" s="23">
        <f t="shared" si="1"/>
        <v>28.1</v>
      </c>
    </row>
    <row r="97" spans="1:7" x14ac:dyDescent="0.25">
      <c r="A97" s="41">
        <v>45691</v>
      </c>
      <c r="B97" s="23" t="s">
        <v>16</v>
      </c>
      <c r="C97" s="23">
        <v>18.3</v>
      </c>
      <c r="D97" s="23">
        <v>0</v>
      </c>
      <c r="E97" s="23">
        <v>0</v>
      </c>
      <c r="F97" s="23">
        <v>0</v>
      </c>
      <c r="G97" s="23">
        <f t="shared" si="1"/>
        <v>18.3</v>
      </c>
    </row>
    <row r="98" spans="1:7" x14ac:dyDescent="0.25">
      <c r="A98" s="41">
        <v>45698</v>
      </c>
      <c r="B98" s="23" t="s">
        <v>9</v>
      </c>
      <c r="C98" s="23">
        <v>47</v>
      </c>
      <c r="D98" s="23">
        <v>0</v>
      </c>
      <c r="E98" s="23">
        <v>0.8</v>
      </c>
      <c r="F98" s="23">
        <v>0</v>
      </c>
      <c r="G98" s="23">
        <f t="shared" si="1"/>
        <v>47.8</v>
      </c>
    </row>
    <row r="99" spans="1:7" x14ac:dyDescent="0.25">
      <c r="A99" s="41">
        <v>45698</v>
      </c>
      <c r="B99" s="23" t="s">
        <v>10</v>
      </c>
      <c r="C99" s="23">
        <v>34.200000000000003</v>
      </c>
      <c r="D99" s="23">
        <v>4.8</v>
      </c>
      <c r="E99" s="23">
        <v>1.1000000000000001</v>
      </c>
      <c r="F99" s="23">
        <v>0</v>
      </c>
      <c r="G99" s="23">
        <f t="shared" si="1"/>
        <v>40.1</v>
      </c>
    </row>
    <row r="100" spans="1:7" x14ac:dyDescent="0.25">
      <c r="A100" s="41">
        <v>45698</v>
      </c>
      <c r="B100" s="23" t="s">
        <v>11</v>
      </c>
      <c r="C100" s="23">
        <v>28.7</v>
      </c>
      <c r="D100" s="23">
        <v>3.7</v>
      </c>
      <c r="E100" s="23">
        <v>0.4</v>
      </c>
      <c r="F100" s="23">
        <v>0</v>
      </c>
      <c r="G100" s="23">
        <f t="shared" si="1"/>
        <v>32.799999999999997</v>
      </c>
    </row>
    <row r="101" spans="1:7" x14ac:dyDescent="0.25">
      <c r="A101" s="41">
        <v>45698</v>
      </c>
      <c r="B101" s="23" t="s">
        <v>12</v>
      </c>
      <c r="C101" s="23">
        <v>46.2</v>
      </c>
      <c r="D101" s="23">
        <v>0</v>
      </c>
      <c r="E101" s="23">
        <v>0</v>
      </c>
      <c r="F101" s="23">
        <v>0</v>
      </c>
      <c r="G101" s="23">
        <f t="shared" si="1"/>
        <v>46.2</v>
      </c>
    </row>
    <row r="102" spans="1:7" x14ac:dyDescent="0.25">
      <c r="A102" s="41">
        <v>45698</v>
      </c>
      <c r="B102" s="23" t="s">
        <v>13</v>
      </c>
      <c r="C102" s="23">
        <v>25.9</v>
      </c>
      <c r="D102" s="23">
        <v>0</v>
      </c>
      <c r="E102" s="23">
        <v>0</v>
      </c>
      <c r="F102" s="23">
        <v>0</v>
      </c>
      <c r="G102" s="23">
        <f t="shared" si="1"/>
        <v>25.9</v>
      </c>
    </row>
    <row r="103" spans="1:7" x14ac:dyDescent="0.25">
      <c r="A103" s="41">
        <v>45698</v>
      </c>
      <c r="B103" s="23" t="s">
        <v>14</v>
      </c>
      <c r="C103" s="23">
        <v>18.7</v>
      </c>
      <c r="D103" s="23">
        <v>6.2</v>
      </c>
      <c r="E103" s="23">
        <v>0</v>
      </c>
      <c r="F103" s="23">
        <v>0</v>
      </c>
      <c r="G103" s="23">
        <f t="shared" si="1"/>
        <v>24.9</v>
      </c>
    </row>
    <row r="104" spans="1:7" x14ac:dyDescent="0.25">
      <c r="A104" s="41">
        <v>45698</v>
      </c>
      <c r="B104" s="23" t="s">
        <v>15</v>
      </c>
      <c r="C104" s="23">
        <v>24.7</v>
      </c>
      <c r="D104" s="23">
        <v>4.3</v>
      </c>
      <c r="E104" s="23">
        <v>0</v>
      </c>
      <c r="F104" s="23">
        <v>0</v>
      </c>
      <c r="G104" s="23">
        <f t="shared" si="1"/>
        <v>29</v>
      </c>
    </row>
    <row r="105" spans="1:7" x14ac:dyDescent="0.25">
      <c r="A105" s="41">
        <v>45698</v>
      </c>
      <c r="B105" s="23" t="s">
        <v>16</v>
      </c>
      <c r="C105" s="23">
        <v>29.6</v>
      </c>
      <c r="D105" s="23">
        <v>0</v>
      </c>
      <c r="E105" s="23">
        <v>0.7</v>
      </c>
      <c r="F105" s="23">
        <v>0</v>
      </c>
      <c r="G105" s="23">
        <f t="shared" si="1"/>
        <v>30.3</v>
      </c>
    </row>
    <row r="106" spans="1:7" x14ac:dyDescent="0.25">
      <c r="A106" s="41">
        <v>45705</v>
      </c>
      <c r="B106" s="23" t="s">
        <v>9</v>
      </c>
      <c r="C106" s="23">
        <v>27.4</v>
      </c>
      <c r="D106" s="23">
        <v>6.5</v>
      </c>
      <c r="E106" s="23">
        <v>0</v>
      </c>
      <c r="F106" s="23">
        <v>0</v>
      </c>
      <c r="G106" s="23">
        <f t="shared" si="1"/>
        <v>33.9</v>
      </c>
    </row>
    <row r="107" spans="1:7" x14ac:dyDescent="0.25">
      <c r="A107" s="41">
        <v>45705</v>
      </c>
      <c r="B107" s="23" t="s">
        <v>10</v>
      </c>
      <c r="C107" s="23">
        <v>29.8</v>
      </c>
      <c r="D107" s="23">
        <v>0</v>
      </c>
      <c r="E107" s="23">
        <v>0</v>
      </c>
      <c r="F107" s="23">
        <v>0</v>
      </c>
      <c r="G107" s="23">
        <f t="shared" si="1"/>
        <v>29.8</v>
      </c>
    </row>
    <row r="108" spans="1:7" x14ac:dyDescent="0.25">
      <c r="A108" s="41">
        <v>45705</v>
      </c>
      <c r="B108" s="23" t="s">
        <v>11</v>
      </c>
      <c r="C108" s="23">
        <v>38.200000000000003</v>
      </c>
      <c r="D108" s="23">
        <v>4.3</v>
      </c>
      <c r="E108" s="23">
        <v>0.3</v>
      </c>
      <c r="F108" s="23">
        <v>0</v>
      </c>
      <c r="G108" s="23">
        <f t="shared" si="1"/>
        <v>42.8</v>
      </c>
    </row>
    <row r="109" spans="1:7" x14ac:dyDescent="0.25">
      <c r="A109" s="41">
        <v>45705</v>
      </c>
      <c r="B109" s="23" t="s">
        <v>12</v>
      </c>
      <c r="C109" s="23">
        <v>34.700000000000003</v>
      </c>
      <c r="D109" s="23">
        <v>0</v>
      </c>
      <c r="E109" s="23">
        <v>0</v>
      </c>
      <c r="F109" s="23">
        <v>0</v>
      </c>
      <c r="G109" s="23">
        <f t="shared" si="1"/>
        <v>34.700000000000003</v>
      </c>
    </row>
    <row r="110" spans="1:7" x14ac:dyDescent="0.25">
      <c r="A110" s="41">
        <v>45705</v>
      </c>
      <c r="B110" s="23" t="s">
        <v>13</v>
      </c>
      <c r="C110" s="23">
        <v>42.1</v>
      </c>
      <c r="D110" s="23">
        <v>4.3</v>
      </c>
      <c r="E110" s="23">
        <v>0.4</v>
      </c>
      <c r="F110" s="23">
        <v>8</v>
      </c>
      <c r="G110" s="23">
        <f t="shared" si="1"/>
        <v>54.8</v>
      </c>
    </row>
    <row r="111" spans="1:7" x14ac:dyDescent="0.25">
      <c r="A111" s="41">
        <v>45705</v>
      </c>
      <c r="B111" s="23" t="s">
        <v>14</v>
      </c>
      <c r="C111" s="23">
        <v>36.200000000000003</v>
      </c>
      <c r="D111" s="23">
        <v>4.9000000000000004</v>
      </c>
      <c r="E111" s="23">
        <v>0.7</v>
      </c>
      <c r="F111" s="23">
        <v>0</v>
      </c>
      <c r="G111" s="23">
        <f t="shared" si="1"/>
        <v>41.800000000000004</v>
      </c>
    </row>
    <row r="112" spans="1:7" x14ac:dyDescent="0.25">
      <c r="A112" s="41">
        <v>45705</v>
      </c>
      <c r="B112" s="23" t="s">
        <v>15</v>
      </c>
      <c r="C112" s="23">
        <v>20.399999999999999</v>
      </c>
      <c r="D112" s="23">
        <v>0</v>
      </c>
      <c r="E112" s="23">
        <v>0.6</v>
      </c>
      <c r="F112" s="23">
        <v>0</v>
      </c>
      <c r="G112" s="23">
        <f t="shared" si="1"/>
        <v>21</v>
      </c>
    </row>
    <row r="113" spans="1:7" x14ac:dyDescent="0.25">
      <c r="A113" s="41">
        <v>45705</v>
      </c>
      <c r="B113" s="23" t="s">
        <v>16</v>
      </c>
      <c r="C113" s="23">
        <v>27.2</v>
      </c>
      <c r="D113" s="23">
        <v>0</v>
      </c>
      <c r="E113" s="23">
        <v>0</v>
      </c>
      <c r="F113" s="23">
        <v>0</v>
      </c>
      <c r="G113" s="23">
        <f t="shared" si="1"/>
        <v>27.2</v>
      </c>
    </row>
    <row r="114" spans="1:7" x14ac:dyDescent="0.25">
      <c r="A114" s="41">
        <v>45712</v>
      </c>
      <c r="B114" s="23" t="s">
        <v>9</v>
      </c>
      <c r="C114" s="23">
        <v>22.9</v>
      </c>
      <c r="D114" s="23">
        <v>0</v>
      </c>
      <c r="E114" s="23">
        <v>0</v>
      </c>
      <c r="F114" s="23">
        <v>0</v>
      </c>
      <c r="G114" s="23">
        <f t="shared" si="1"/>
        <v>22.9</v>
      </c>
    </row>
    <row r="115" spans="1:7" x14ac:dyDescent="0.25">
      <c r="A115" s="41">
        <v>45712</v>
      </c>
      <c r="B115" s="23" t="s">
        <v>10</v>
      </c>
      <c r="C115" s="23">
        <v>26.2</v>
      </c>
      <c r="D115" s="23">
        <v>0</v>
      </c>
      <c r="E115" s="23">
        <v>0.6</v>
      </c>
      <c r="F115" s="23">
        <v>0</v>
      </c>
      <c r="G115" s="23">
        <f t="shared" si="1"/>
        <v>26.8</v>
      </c>
    </row>
    <row r="116" spans="1:7" x14ac:dyDescent="0.25">
      <c r="A116" s="41">
        <v>45712</v>
      </c>
      <c r="B116" s="23" t="s">
        <v>11</v>
      </c>
      <c r="C116" s="23">
        <v>32.700000000000003</v>
      </c>
      <c r="D116" s="23">
        <v>0</v>
      </c>
      <c r="E116" s="23">
        <v>0</v>
      </c>
      <c r="F116" s="23">
        <v>0</v>
      </c>
      <c r="G116" s="23">
        <f t="shared" si="1"/>
        <v>32.700000000000003</v>
      </c>
    </row>
    <row r="117" spans="1:7" x14ac:dyDescent="0.25">
      <c r="A117" s="41">
        <v>45712</v>
      </c>
      <c r="B117" s="23" t="s">
        <v>12</v>
      </c>
      <c r="C117" s="23">
        <v>28.1</v>
      </c>
      <c r="D117" s="23">
        <v>0</v>
      </c>
      <c r="E117" s="23">
        <v>0.8</v>
      </c>
      <c r="F117" s="23">
        <v>0</v>
      </c>
      <c r="G117" s="23">
        <f t="shared" si="1"/>
        <v>28.900000000000002</v>
      </c>
    </row>
    <row r="118" spans="1:7" x14ac:dyDescent="0.25">
      <c r="A118" s="41">
        <v>45712</v>
      </c>
      <c r="B118" s="23" t="s">
        <v>13</v>
      </c>
      <c r="C118" s="23">
        <v>36</v>
      </c>
      <c r="D118" s="23">
        <v>3.3</v>
      </c>
      <c r="E118" s="23">
        <v>0</v>
      </c>
      <c r="F118" s="23">
        <v>0</v>
      </c>
      <c r="G118" s="23">
        <f t="shared" si="1"/>
        <v>39.299999999999997</v>
      </c>
    </row>
    <row r="119" spans="1:7" x14ac:dyDescent="0.25">
      <c r="A119" s="41">
        <v>45712</v>
      </c>
      <c r="B119" s="23" t="s">
        <v>14</v>
      </c>
      <c r="C119" s="23">
        <v>40.6</v>
      </c>
      <c r="D119" s="23">
        <v>5.2</v>
      </c>
      <c r="E119" s="23">
        <v>1.1000000000000001</v>
      </c>
      <c r="F119" s="23">
        <v>0</v>
      </c>
      <c r="G119" s="23">
        <f t="shared" si="1"/>
        <v>46.900000000000006</v>
      </c>
    </row>
    <row r="120" spans="1:7" x14ac:dyDescent="0.25">
      <c r="A120" s="41">
        <v>45712</v>
      </c>
      <c r="B120" s="23" t="s">
        <v>15</v>
      </c>
      <c r="C120" s="23">
        <v>34.4</v>
      </c>
      <c r="D120" s="23">
        <v>4.9000000000000004</v>
      </c>
      <c r="E120" s="23">
        <v>1.5</v>
      </c>
      <c r="F120" s="23">
        <v>0</v>
      </c>
      <c r="G120" s="23">
        <f t="shared" si="1"/>
        <v>40.799999999999997</v>
      </c>
    </row>
    <row r="121" spans="1:7" x14ac:dyDescent="0.25">
      <c r="A121" s="41">
        <v>45712</v>
      </c>
      <c r="B121" s="23" t="s">
        <v>16</v>
      </c>
      <c r="C121" s="23">
        <v>32.1</v>
      </c>
      <c r="D121" s="23">
        <v>4.5999999999999996</v>
      </c>
      <c r="E121" s="23">
        <v>0</v>
      </c>
      <c r="F121" s="23">
        <v>0</v>
      </c>
      <c r="G121" s="23">
        <f t="shared" si="1"/>
        <v>36.700000000000003</v>
      </c>
    </row>
    <row r="122" spans="1:7" x14ac:dyDescent="0.25">
      <c r="A122" s="41">
        <v>45719</v>
      </c>
      <c r="B122" s="23" t="s">
        <v>9</v>
      </c>
      <c r="C122" s="23">
        <v>16.899999999999999</v>
      </c>
      <c r="D122" s="23">
        <v>3.9</v>
      </c>
      <c r="E122" s="23">
        <v>0</v>
      </c>
      <c r="F122" s="23">
        <v>0</v>
      </c>
      <c r="G122" s="23">
        <f t="shared" si="1"/>
        <v>20.799999999999997</v>
      </c>
    </row>
    <row r="123" spans="1:7" x14ac:dyDescent="0.25">
      <c r="A123" s="41">
        <v>45719</v>
      </c>
      <c r="B123" s="23" t="s">
        <v>10</v>
      </c>
      <c r="C123" s="23">
        <v>41.9</v>
      </c>
      <c r="D123" s="23">
        <v>5.3</v>
      </c>
      <c r="E123" s="23">
        <v>0</v>
      </c>
      <c r="F123" s="23">
        <v>0</v>
      </c>
      <c r="G123" s="23">
        <f t="shared" si="1"/>
        <v>47.199999999999996</v>
      </c>
    </row>
    <row r="124" spans="1:7" x14ac:dyDescent="0.25">
      <c r="A124" s="41">
        <v>45719</v>
      </c>
      <c r="B124" s="23" t="s">
        <v>11</v>
      </c>
      <c r="C124" s="23">
        <v>42.5</v>
      </c>
      <c r="D124" s="23">
        <v>0</v>
      </c>
      <c r="E124" s="23">
        <v>0</v>
      </c>
      <c r="F124" s="23">
        <v>0</v>
      </c>
      <c r="G124" s="23">
        <f t="shared" si="1"/>
        <v>42.5</v>
      </c>
    </row>
    <row r="125" spans="1:7" x14ac:dyDescent="0.25">
      <c r="A125" s="41">
        <v>45719</v>
      </c>
      <c r="B125" s="23" t="s">
        <v>12</v>
      </c>
      <c r="C125" s="23">
        <v>20.3</v>
      </c>
      <c r="D125" s="23">
        <v>0</v>
      </c>
      <c r="E125" s="23">
        <v>0.5</v>
      </c>
      <c r="F125" s="23">
        <v>0</v>
      </c>
      <c r="G125" s="23">
        <f t="shared" si="1"/>
        <v>20.8</v>
      </c>
    </row>
    <row r="126" spans="1:7" x14ac:dyDescent="0.25">
      <c r="A126" s="41">
        <v>45719</v>
      </c>
      <c r="B126" s="23" t="s">
        <v>13</v>
      </c>
      <c r="C126" s="23">
        <v>31</v>
      </c>
      <c r="D126" s="23">
        <v>4.8</v>
      </c>
      <c r="E126" s="23">
        <v>0.6</v>
      </c>
      <c r="F126" s="23">
        <v>0</v>
      </c>
      <c r="G126" s="23">
        <f t="shared" si="1"/>
        <v>36.4</v>
      </c>
    </row>
    <row r="127" spans="1:7" x14ac:dyDescent="0.25">
      <c r="A127" s="41">
        <v>45719</v>
      </c>
      <c r="B127" s="23" t="s">
        <v>14</v>
      </c>
      <c r="C127" s="23">
        <v>22.6</v>
      </c>
      <c r="D127" s="23">
        <v>0</v>
      </c>
      <c r="E127" s="23">
        <v>0.4</v>
      </c>
      <c r="F127" s="23">
        <v>0</v>
      </c>
      <c r="G127" s="23">
        <f t="shared" si="1"/>
        <v>23</v>
      </c>
    </row>
    <row r="128" spans="1:7" x14ac:dyDescent="0.25">
      <c r="A128" s="41">
        <v>45719</v>
      </c>
      <c r="B128" s="23" t="s">
        <v>15</v>
      </c>
      <c r="C128" s="23">
        <v>48.8</v>
      </c>
      <c r="D128" s="23">
        <v>0</v>
      </c>
      <c r="E128" s="23">
        <v>0.5</v>
      </c>
      <c r="F128" s="23">
        <v>0</v>
      </c>
      <c r="G128" s="23">
        <f t="shared" si="1"/>
        <v>49.3</v>
      </c>
    </row>
    <row r="129" spans="1:7" x14ac:dyDescent="0.25">
      <c r="A129" s="41">
        <v>45719</v>
      </c>
      <c r="B129" s="23" t="s">
        <v>16</v>
      </c>
      <c r="C129" s="23">
        <v>34</v>
      </c>
      <c r="D129" s="23">
        <v>6</v>
      </c>
      <c r="E129" s="23">
        <v>0</v>
      </c>
      <c r="F129" s="23">
        <v>0</v>
      </c>
      <c r="G129" s="23">
        <f t="shared" si="1"/>
        <v>40</v>
      </c>
    </row>
    <row r="130" spans="1:7" x14ac:dyDescent="0.25">
      <c r="A130" s="41">
        <v>45726</v>
      </c>
      <c r="B130" s="23" t="s">
        <v>9</v>
      </c>
      <c r="C130" s="23">
        <v>33.200000000000003</v>
      </c>
      <c r="D130" s="23">
        <v>0</v>
      </c>
      <c r="E130" s="23">
        <v>1.3</v>
      </c>
      <c r="F130" s="23">
        <v>0</v>
      </c>
      <c r="G130" s="23">
        <f t="shared" si="1"/>
        <v>34.5</v>
      </c>
    </row>
    <row r="131" spans="1:7" x14ac:dyDescent="0.25">
      <c r="A131" s="41">
        <v>45726</v>
      </c>
      <c r="B131" s="23" t="s">
        <v>10</v>
      </c>
      <c r="C131" s="23">
        <v>24.9</v>
      </c>
      <c r="D131" s="23">
        <v>4.9000000000000004</v>
      </c>
      <c r="E131" s="23">
        <v>1.8</v>
      </c>
      <c r="F131" s="23">
        <v>0</v>
      </c>
      <c r="G131" s="23">
        <f t="shared" si="1"/>
        <v>31.599999999999998</v>
      </c>
    </row>
    <row r="132" spans="1:7" x14ac:dyDescent="0.25">
      <c r="A132" s="41">
        <v>45726</v>
      </c>
      <c r="B132" s="23" t="s">
        <v>11</v>
      </c>
      <c r="C132" s="23">
        <v>31.7</v>
      </c>
      <c r="D132" s="23">
        <v>2.2999999999999998</v>
      </c>
      <c r="E132" s="23">
        <v>0</v>
      </c>
      <c r="F132" s="23">
        <v>0</v>
      </c>
      <c r="G132" s="23">
        <f t="shared" ref="G132:G195" si="2">C132+D132+E132+F132</f>
        <v>34</v>
      </c>
    </row>
    <row r="133" spans="1:7" x14ac:dyDescent="0.25">
      <c r="A133" s="41">
        <v>45726</v>
      </c>
      <c r="B133" s="23" t="s">
        <v>12</v>
      </c>
      <c r="C133" s="23">
        <v>40.9</v>
      </c>
      <c r="D133" s="23">
        <v>3.7</v>
      </c>
      <c r="E133" s="23">
        <v>2.1</v>
      </c>
      <c r="F133" s="23">
        <v>0</v>
      </c>
      <c r="G133" s="23">
        <f t="shared" si="2"/>
        <v>46.7</v>
      </c>
    </row>
    <row r="134" spans="1:7" x14ac:dyDescent="0.25">
      <c r="A134" s="41">
        <v>45726</v>
      </c>
      <c r="B134" s="23" t="s">
        <v>13</v>
      </c>
      <c r="C134" s="23">
        <v>24.7</v>
      </c>
      <c r="D134" s="23">
        <v>0</v>
      </c>
      <c r="E134" s="23">
        <v>0</v>
      </c>
      <c r="F134" s="23">
        <v>0</v>
      </c>
      <c r="G134" s="23">
        <f t="shared" si="2"/>
        <v>24.7</v>
      </c>
    </row>
    <row r="135" spans="1:7" x14ac:dyDescent="0.25">
      <c r="A135" s="41">
        <v>45726</v>
      </c>
      <c r="B135" s="23" t="s">
        <v>14</v>
      </c>
      <c r="C135" s="23">
        <v>28.2</v>
      </c>
      <c r="D135" s="23">
        <v>0</v>
      </c>
      <c r="E135" s="23">
        <v>0</v>
      </c>
      <c r="F135" s="23">
        <v>0</v>
      </c>
      <c r="G135" s="23">
        <f t="shared" si="2"/>
        <v>28.2</v>
      </c>
    </row>
    <row r="136" spans="1:7" x14ac:dyDescent="0.25">
      <c r="A136" s="41">
        <v>45726</v>
      </c>
      <c r="B136" s="23" t="s">
        <v>15</v>
      </c>
      <c r="C136" s="23">
        <v>46.9</v>
      </c>
      <c r="D136" s="23">
        <v>4.0999999999999996</v>
      </c>
      <c r="E136" s="23">
        <v>0.8</v>
      </c>
      <c r="F136" s="23">
        <v>0</v>
      </c>
      <c r="G136" s="23">
        <f t="shared" si="2"/>
        <v>51.8</v>
      </c>
    </row>
    <row r="137" spans="1:7" x14ac:dyDescent="0.25">
      <c r="A137" s="41">
        <v>45726</v>
      </c>
      <c r="B137" s="23" t="s">
        <v>16</v>
      </c>
      <c r="C137" s="23">
        <v>19.5</v>
      </c>
      <c r="D137" s="23">
        <v>0</v>
      </c>
      <c r="E137" s="23">
        <v>0</v>
      </c>
      <c r="F137" s="23">
        <v>0</v>
      </c>
      <c r="G137" s="23">
        <f t="shared" si="2"/>
        <v>19.5</v>
      </c>
    </row>
    <row r="138" spans="1:7" x14ac:dyDescent="0.25">
      <c r="A138" s="41">
        <v>45733</v>
      </c>
      <c r="B138" s="23" t="s">
        <v>9</v>
      </c>
      <c r="C138" s="23">
        <v>31.2</v>
      </c>
      <c r="D138" s="23">
        <v>0</v>
      </c>
      <c r="E138" s="23">
        <v>0.4</v>
      </c>
      <c r="F138" s="23">
        <v>0</v>
      </c>
      <c r="G138" s="23">
        <f t="shared" si="2"/>
        <v>31.599999999999998</v>
      </c>
    </row>
    <row r="139" spans="1:7" x14ac:dyDescent="0.25">
      <c r="A139" s="41">
        <v>45733</v>
      </c>
      <c r="B139" s="23" t="s">
        <v>10</v>
      </c>
      <c r="C139" s="23">
        <v>37.200000000000003</v>
      </c>
      <c r="D139" s="23">
        <v>5.6</v>
      </c>
      <c r="E139" s="23">
        <v>0</v>
      </c>
      <c r="F139" s="23">
        <v>0</v>
      </c>
      <c r="G139" s="23">
        <f t="shared" si="2"/>
        <v>42.800000000000004</v>
      </c>
    </row>
    <row r="140" spans="1:7" x14ac:dyDescent="0.25">
      <c r="A140" s="41">
        <v>45733</v>
      </c>
      <c r="B140" s="23" t="s">
        <v>11</v>
      </c>
      <c r="C140" s="23">
        <v>39.1</v>
      </c>
      <c r="D140" s="23">
        <v>0</v>
      </c>
      <c r="E140" s="23">
        <v>0</v>
      </c>
      <c r="F140" s="23">
        <v>0</v>
      </c>
      <c r="G140" s="23">
        <f t="shared" si="2"/>
        <v>39.1</v>
      </c>
    </row>
    <row r="141" spans="1:7" x14ac:dyDescent="0.25">
      <c r="A141" s="41">
        <v>45733</v>
      </c>
      <c r="B141" s="23" t="s">
        <v>12</v>
      </c>
      <c r="C141" s="23">
        <v>42.1</v>
      </c>
      <c r="D141" s="23">
        <v>5.8</v>
      </c>
      <c r="E141" s="23">
        <v>0.6</v>
      </c>
      <c r="F141" s="23">
        <v>0</v>
      </c>
      <c r="G141" s="23">
        <f t="shared" si="2"/>
        <v>48.5</v>
      </c>
    </row>
    <row r="142" spans="1:7" x14ac:dyDescent="0.25">
      <c r="A142" s="41">
        <v>45733</v>
      </c>
      <c r="B142" s="23" t="s">
        <v>13</v>
      </c>
      <c r="C142" s="23">
        <v>29.7</v>
      </c>
      <c r="D142" s="23">
        <v>0</v>
      </c>
      <c r="E142" s="23">
        <v>0</v>
      </c>
      <c r="F142" s="23">
        <v>0</v>
      </c>
      <c r="G142" s="23">
        <f t="shared" si="2"/>
        <v>29.7</v>
      </c>
    </row>
    <row r="143" spans="1:7" x14ac:dyDescent="0.25">
      <c r="A143" s="41">
        <v>45733</v>
      </c>
      <c r="B143" s="23" t="s">
        <v>14</v>
      </c>
      <c r="C143" s="23">
        <v>23.3</v>
      </c>
      <c r="D143" s="23">
        <v>4.0999999999999996</v>
      </c>
      <c r="E143" s="23">
        <v>0.4</v>
      </c>
      <c r="F143" s="23">
        <v>0</v>
      </c>
      <c r="G143" s="23">
        <f t="shared" si="2"/>
        <v>27.799999999999997</v>
      </c>
    </row>
    <row r="144" spans="1:7" x14ac:dyDescent="0.25">
      <c r="A144" s="41">
        <v>45733</v>
      </c>
      <c r="B144" s="23" t="s">
        <v>15</v>
      </c>
      <c r="C144" s="23">
        <v>29.7</v>
      </c>
      <c r="D144" s="23">
        <v>5.5</v>
      </c>
      <c r="E144" s="23">
        <v>0</v>
      </c>
      <c r="F144" s="23">
        <v>0</v>
      </c>
      <c r="G144" s="23">
        <f t="shared" si="2"/>
        <v>35.200000000000003</v>
      </c>
    </row>
    <row r="145" spans="1:7" x14ac:dyDescent="0.25">
      <c r="A145" s="41">
        <v>45733</v>
      </c>
      <c r="B145" s="23" t="s">
        <v>16</v>
      </c>
      <c r="C145" s="23">
        <v>26.7</v>
      </c>
      <c r="D145" s="23">
        <v>0</v>
      </c>
      <c r="E145" s="23">
        <v>0.6</v>
      </c>
      <c r="F145" s="23">
        <v>0</v>
      </c>
      <c r="G145" s="23">
        <f t="shared" si="2"/>
        <v>27.3</v>
      </c>
    </row>
    <row r="146" spans="1:7" x14ac:dyDescent="0.25">
      <c r="A146" s="41">
        <v>45740</v>
      </c>
      <c r="B146" s="23" t="s">
        <v>9</v>
      </c>
      <c r="C146" s="23">
        <v>15</v>
      </c>
      <c r="D146" s="23">
        <v>4.7</v>
      </c>
      <c r="E146" s="23">
        <v>0</v>
      </c>
      <c r="F146" s="23">
        <v>0</v>
      </c>
      <c r="G146" s="23">
        <f t="shared" si="2"/>
        <v>19.7</v>
      </c>
    </row>
    <row r="147" spans="1:7" x14ac:dyDescent="0.25">
      <c r="A147" s="41">
        <v>45740</v>
      </c>
      <c r="B147" s="23" t="s">
        <v>10</v>
      </c>
      <c r="C147" s="23">
        <v>27.7</v>
      </c>
      <c r="D147" s="23">
        <v>6.2</v>
      </c>
      <c r="E147" s="23">
        <v>0</v>
      </c>
      <c r="F147" s="23">
        <v>0</v>
      </c>
      <c r="G147" s="23">
        <f t="shared" si="2"/>
        <v>33.9</v>
      </c>
    </row>
    <row r="148" spans="1:7" x14ac:dyDescent="0.25">
      <c r="A148" s="41">
        <v>45740</v>
      </c>
      <c r="B148" s="23" t="s">
        <v>11</v>
      </c>
      <c r="C148" s="23">
        <v>38.9</v>
      </c>
      <c r="D148" s="23">
        <v>0</v>
      </c>
      <c r="E148" s="23">
        <v>0.6</v>
      </c>
      <c r="F148" s="23">
        <v>0</v>
      </c>
      <c r="G148" s="23">
        <f t="shared" si="2"/>
        <v>39.5</v>
      </c>
    </row>
    <row r="149" spans="1:7" x14ac:dyDescent="0.25">
      <c r="A149" s="41">
        <v>45740</v>
      </c>
      <c r="B149" s="23" t="s">
        <v>12</v>
      </c>
      <c r="C149" s="23">
        <v>22.7</v>
      </c>
      <c r="D149" s="23">
        <v>3.9</v>
      </c>
      <c r="E149" s="23">
        <v>0</v>
      </c>
      <c r="F149" s="23">
        <v>8</v>
      </c>
      <c r="G149" s="23">
        <f t="shared" si="2"/>
        <v>34.599999999999994</v>
      </c>
    </row>
    <row r="150" spans="1:7" x14ac:dyDescent="0.25">
      <c r="A150" s="41">
        <v>45740</v>
      </c>
      <c r="B150" s="23" t="s">
        <v>13</v>
      </c>
      <c r="C150" s="23">
        <v>30.7</v>
      </c>
      <c r="D150" s="23">
        <v>9.1999999999999993</v>
      </c>
      <c r="E150" s="23">
        <v>0.9</v>
      </c>
      <c r="F150" s="23">
        <v>0</v>
      </c>
      <c r="G150" s="23">
        <f t="shared" si="2"/>
        <v>40.799999999999997</v>
      </c>
    </row>
    <row r="151" spans="1:7" x14ac:dyDescent="0.25">
      <c r="A151" s="41">
        <v>45740</v>
      </c>
      <c r="B151" s="23" t="s">
        <v>14</v>
      </c>
      <c r="C151" s="23">
        <v>34.200000000000003</v>
      </c>
      <c r="D151" s="23">
        <v>0</v>
      </c>
      <c r="E151" s="23">
        <v>0</v>
      </c>
      <c r="F151" s="23">
        <v>0</v>
      </c>
      <c r="G151" s="23">
        <f t="shared" si="2"/>
        <v>34.200000000000003</v>
      </c>
    </row>
    <row r="152" spans="1:7" x14ac:dyDescent="0.25">
      <c r="A152" s="41">
        <v>45740</v>
      </c>
      <c r="B152" s="23" t="s">
        <v>15</v>
      </c>
      <c r="C152" s="23">
        <v>30.7</v>
      </c>
      <c r="D152" s="23">
        <v>0</v>
      </c>
      <c r="E152" s="23">
        <v>1</v>
      </c>
      <c r="F152" s="23">
        <v>0</v>
      </c>
      <c r="G152" s="23">
        <f t="shared" si="2"/>
        <v>31.7</v>
      </c>
    </row>
    <row r="153" spans="1:7" x14ac:dyDescent="0.25">
      <c r="A153" s="41">
        <v>45740</v>
      </c>
      <c r="B153" s="23" t="s">
        <v>16</v>
      </c>
      <c r="C153" s="23">
        <v>33.5</v>
      </c>
      <c r="D153" s="23">
        <v>0</v>
      </c>
      <c r="E153" s="23">
        <v>0.5</v>
      </c>
      <c r="F153" s="23">
        <v>0</v>
      </c>
      <c r="G153" s="23">
        <f t="shared" si="2"/>
        <v>34</v>
      </c>
    </row>
    <row r="154" spans="1:7" x14ac:dyDescent="0.25">
      <c r="A154" s="41">
        <v>45740</v>
      </c>
      <c r="B154" s="23" t="s">
        <v>17</v>
      </c>
      <c r="C154" s="23">
        <v>38.6</v>
      </c>
      <c r="D154" s="23">
        <v>0</v>
      </c>
      <c r="E154" s="23">
        <v>0</v>
      </c>
      <c r="F154" s="23">
        <v>0</v>
      </c>
      <c r="G154" s="23">
        <f t="shared" si="2"/>
        <v>38.6</v>
      </c>
    </row>
    <row r="155" spans="1:7" x14ac:dyDescent="0.25">
      <c r="A155" s="41">
        <v>45747</v>
      </c>
      <c r="B155" s="23" t="s">
        <v>9</v>
      </c>
      <c r="C155" s="23">
        <v>30.2</v>
      </c>
      <c r="D155" s="23">
        <v>8.9</v>
      </c>
      <c r="E155" s="23">
        <v>0.6</v>
      </c>
      <c r="F155" s="23">
        <v>0</v>
      </c>
      <c r="G155" s="23">
        <f t="shared" si="2"/>
        <v>39.700000000000003</v>
      </c>
    </row>
    <row r="156" spans="1:7" x14ac:dyDescent="0.25">
      <c r="A156" s="41">
        <v>45747</v>
      </c>
      <c r="B156" s="23" t="s">
        <v>10</v>
      </c>
      <c r="C156" s="23">
        <v>36.799999999999997</v>
      </c>
      <c r="D156" s="23">
        <v>0</v>
      </c>
      <c r="E156" s="23">
        <v>0</v>
      </c>
      <c r="F156" s="23">
        <v>0</v>
      </c>
      <c r="G156" s="23">
        <f t="shared" si="2"/>
        <v>36.799999999999997</v>
      </c>
    </row>
    <row r="157" spans="1:7" x14ac:dyDescent="0.25">
      <c r="A157" s="41">
        <v>45747</v>
      </c>
      <c r="B157" s="23" t="s">
        <v>11</v>
      </c>
      <c r="C157" s="23">
        <v>20.5</v>
      </c>
      <c r="D157" s="23">
        <v>0</v>
      </c>
      <c r="E157" s="23">
        <v>0</v>
      </c>
      <c r="F157" s="23">
        <v>0</v>
      </c>
      <c r="G157" s="23">
        <f t="shared" si="2"/>
        <v>20.5</v>
      </c>
    </row>
    <row r="158" spans="1:7" x14ac:dyDescent="0.25">
      <c r="A158" s="41">
        <v>45747</v>
      </c>
      <c r="B158" s="23" t="s">
        <v>12</v>
      </c>
      <c r="C158" s="23">
        <v>33.1</v>
      </c>
      <c r="D158" s="23">
        <v>4.4000000000000004</v>
      </c>
      <c r="E158" s="23">
        <v>0.4</v>
      </c>
      <c r="F158" s="23">
        <v>0</v>
      </c>
      <c r="G158" s="23">
        <f t="shared" si="2"/>
        <v>37.9</v>
      </c>
    </row>
    <row r="159" spans="1:7" x14ac:dyDescent="0.25">
      <c r="A159" s="41">
        <v>45747</v>
      </c>
      <c r="B159" s="23" t="s">
        <v>13</v>
      </c>
      <c r="C159" s="23">
        <v>22.2</v>
      </c>
      <c r="D159" s="23">
        <v>8.8000000000000007</v>
      </c>
      <c r="E159" s="23">
        <v>0</v>
      </c>
      <c r="F159" s="23">
        <v>0</v>
      </c>
      <c r="G159" s="23">
        <f t="shared" si="2"/>
        <v>31</v>
      </c>
    </row>
    <row r="160" spans="1:7" x14ac:dyDescent="0.25">
      <c r="A160" s="41">
        <v>45747</v>
      </c>
      <c r="B160" s="23" t="s">
        <v>14</v>
      </c>
      <c r="C160" s="23">
        <v>32.799999999999997</v>
      </c>
      <c r="D160" s="23">
        <v>3.9</v>
      </c>
      <c r="E160" s="23">
        <v>0</v>
      </c>
      <c r="F160" s="23">
        <v>0</v>
      </c>
      <c r="G160" s="23">
        <f t="shared" si="2"/>
        <v>36.699999999999996</v>
      </c>
    </row>
    <row r="161" spans="1:7" x14ac:dyDescent="0.25">
      <c r="A161" s="41">
        <v>45747</v>
      </c>
      <c r="B161" s="23" t="s">
        <v>15</v>
      </c>
      <c r="C161" s="23">
        <v>36.1</v>
      </c>
      <c r="D161" s="23">
        <v>0</v>
      </c>
      <c r="E161" s="23">
        <v>0.5</v>
      </c>
      <c r="F161" s="23">
        <v>0</v>
      </c>
      <c r="G161" s="23">
        <f t="shared" si="2"/>
        <v>36.6</v>
      </c>
    </row>
    <row r="162" spans="1:7" x14ac:dyDescent="0.25">
      <c r="A162" s="41">
        <v>45747</v>
      </c>
      <c r="B162" s="23" t="s">
        <v>16</v>
      </c>
      <c r="C162" s="23">
        <v>35.799999999999997</v>
      </c>
      <c r="D162" s="23">
        <v>0</v>
      </c>
      <c r="E162" s="23">
        <v>0.5</v>
      </c>
      <c r="F162" s="23">
        <v>0</v>
      </c>
      <c r="G162" s="23">
        <f t="shared" si="2"/>
        <v>36.299999999999997</v>
      </c>
    </row>
    <row r="163" spans="1:7" x14ac:dyDescent="0.25">
      <c r="A163" s="41">
        <v>45747</v>
      </c>
      <c r="B163" s="23" t="s">
        <v>17</v>
      </c>
      <c r="C163" s="23">
        <v>29.5</v>
      </c>
      <c r="D163" s="23">
        <v>0</v>
      </c>
      <c r="E163" s="23">
        <v>0</v>
      </c>
      <c r="F163" s="23">
        <v>0</v>
      </c>
      <c r="G163" s="23">
        <f t="shared" si="2"/>
        <v>29.5</v>
      </c>
    </row>
    <row r="164" spans="1:7" x14ac:dyDescent="0.25">
      <c r="A164" s="41">
        <v>45754</v>
      </c>
      <c r="B164" s="23" t="s">
        <v>9</v>
      </c>
      <c r="C164" s="23">
        <v>28.2</v>
      </c>
      <c r="D164" s="23">
        <v>0</v>
      </c>
      <c r="E164" s="23">
        <v>0</v>
      </c>
      <c r="F164" s="23">
        <v>0</v>
      </c>
      <c r="G164" s="23">
        <f t="shared" si="2"/>
        <v>28.2</v>
      </c>
    </row>
    <row r="165" spans="1:7" x14ac:dyDescent="0.25">
      <c r="A165" s="41">
        <v>45754</v>
      </c>
      <c r="B165" s="23" t="s">
        <v>10</v>
      </c>
      <c r="C165" s="23">
        <v>49.7</v>
      </c>
      <c r="D165" s="23">
        <v>0</v>
      </c>
      <c r="E165" s="23">
        <v>1.1000000000000001</v>
      </c>
      <c r="F165" s="23">
        <v>0</v>
      </c>
      <c r="G165" s="23">
        <f t="shared" si="2"/>
        <v>50.800000000000004</v>
      </c>
    </row>
    <row r="166" spans="1:7" x14ac:dyDescent="0.25">
      <c r="A166" s="41">
        <v>45754</v>
      </c>
      <c r="B166" s="23" t="s">
        <v>11</v>
      </c>
      <c r="C166" s="23">
        <v>48.9</v>
      </c>
      <c r="D166" s="23">
        <v>0</v>
      </c>
      <c r="E166" s="23">
        <v>0.7</v>
      </c>
      <c r="F166" s="23">
        <v>4</v>
      </c>
      <c r="G166" s="23">
        <f t="shared" si="2"/>
        <v>53.6</v>
      </c>
    </row>
    <row r="167" spans="1:7" x14ac:dyDescent="0.25">
      <c r="A167" s="41">
        <v>45754</v>
      </c>
      <c r="B167" s="23" t="s">
        <v>12</v>
      </c>
      <c r="C167" s="23">
        <v>21.6</v>
      </c>
      <c r="D167" s="23">
        <v>7.6</v>
      </c>
      <c r="E167" s="23">
        <v>1.2</v>
      </c>
      <c r="F167" s="23">
        <v>0</v>
      </c>
      <c r="G167" s="23">
        <f t="shared" si="2"/>
        <v>30.400000000000002</v>
      </c>
    </row>
    <row r="168" spans="1:7" x14ac:dyDescent="0.25">
      <c r="A168" s="41">
        <v>45754</v>
      </c>
      <c r="B168" s="23" t="s">
        <v>13</v>
      </c>
      <c r="C168" s="23">
        <v>50.8</v>
      </c>
      <c r="D168" s="23">
        <v>9</v>
      </c>
      <c r="E168" s="23">
        <v>0</v>
      </c>
      <c r="F168" s="23">
        <v>0</v>
      </c>
      <c r="G168" s="23">
        <f t="shared" si="2"/>
        <v>59.8</v>
      </c>
    </row>
    <row r="169" spans="1:7" x14ac:dyDescent="0.25">
      <c r="A169" s="41">
        <v>45754</v>
      </c>
      <c r="B169" s="23" t="s">
        <v>14</v>
      </c>
      <c r="C169" s="23">
        <v>27.3</v>
      </c>
      <c r="D169" s="23">
        <v>7.4</v>
      </c>
      <c r="E169" s="23">
        <v>0</v>
      </c>
      <c r="F169" s="23">
        <v>0</v>
      </c>
      <c r="G169" s="23">
        <f t="shared" si="2"/>
        <v>34.700000000000003</v>
      </c>
    </row>
    <row r="170" spans="1:7" x14ac:dyDescent="0.25">
      <c r="A170" s="41">
        <v>45754</v>
      </c>
      <c r="B170" s="23" t="s">
        <v>15</v>
      </c>
      <c r="C170" s="23">
        <v>35.5</v>
      </c>
      <c r="D170" s="23">
        <v>0</v>
      </c>
      <c r="E170" s="23">
        <v>0</v>
      </c>
      <c r="F170" s="23">
        <v>0</v>
      </c>
      <c r="G170" s="23">
        <f t="shared" si="2"/>
        <v>35.5</v>
      </c>
    </row>
    <row r="171" spans="1:7" x14ac:dyDescent="0.25">
      <c r="A171" s="41">
        <v>45761</v>
      </c>
      <c r="B171" s="23" t="s">
        <v>9</v>
      </c>
      <c r="C171" s="23">
        <v>39.9</v>
      </c>
      <c r="D171" s="23">
        <v>0</v>
      </c>
      <c r="E171" s="23">
        <v>0</v>
      </c>
      <c r="F171" s="23">
        <v>0</v>
      </c>
      <c r="G171" s="23">
        <f t="shared" si="2"/>
        <v>39.9</v>
      </c>
    </row>
    <row r="172" spans="1:7" x14ac:dyDescent="0.25">
      <c r="A172" s="41">
        <v>45761</v>
      </c>
      <c r="B172" s="23" t="s">
        <v>10</v>
      </c>
      <c r="C172" s="23">
        <v>38.4</v>
      </c>
      <c r="D172" s="23">
        <v>0</v>
      </c>
      <c r="E172" s="23">
        <v>0</v>
      </c>
      <c r="F172" s="23">
        <v>0</v>
      </c>
      <c r="G172" s="23">
        <f t="shared" si="2"/>
        <v>38.4</v>
      </c>
    </row>
    <row r="173" spans="1:7" x14ac:dyDescent="0.25">
      <c r="A173" s="41">
        <v>45761</v>
      </c>
      <c r="B173" s="23" t="s">
        <v>11</v>
      </c>
      <c r="C173" s="23">
        <v>33.200000000000003</v>
      </c>
      <c r="D173" s="23">
        <v>0</v>
      </c>
      <c r="E173" s="23">
        <v>0.7</v>
      </c>
      <c r="F173" s="23">
        <v>0</v>
      </c>
      <c r="G173" s="23">
        <f t="shared" si="2"/>
        <v>33.900000000000006</v>
      </c>
    </row>
    <row r="174" spans="1:7" x14ac:dyDescent="0.25">
      <c r="A174" s="41">
        <v>45761</v>
      </c>
      <c r="B174" s="23" t="s">
        <v>12</v>
      </c>
      <c r="C174" s="23">
        <v>43.4</v>
      </c>
      <c r="D174" s="23">
        <v>4</v>
      </c>
      <c r="E174" s="23">
        <v>0</v>
      </c>
      <c r="F174" s="23">
        <v>0</v>
      </c>
      <c r="G174" s="23">
        <f t="shared" si="2"/>
        <v>47.4</v>
      </c>
    </row>
    <row r="175" spans="1:7" x14ac:dyDescent="0.25">
      <c r="A175" s="41">
        <v>45761</v>
      </c>
      <c r="B175" s="23" t="s">
        <v>13</v>
      </c>
      <c r="C175" s="23">
        <v>19.899999999999999</v>
      </c>
      <c r="D175" s="23">
        <v>7.1</v>
      </c>
      <c r="E175" s="23">
        <v>0</v>
      </c>
      <c r="F175" s="23">
        <v>0</v>
      </c>
      <c r="G175" s="23">
        <f t="shared" si="2"/>
        <v>27</v>
      </c>
    </row>
    <row r="176" spans="1:7" x14ac:dyDescent="0.25">
      <c r="A176" s="41">
        <v>45761</v>
      </c>
      <c r="B176" s="23" t="s">
        <v>14</v>
      </c>
      <c r="C176" s="23">
        <v>24.2</v>
      </c>
      <c r="D176" s="23">
        <v>5</v>
      </c>
      <c r="E176" s="23">
        <v>1.2</v>
      </c>
      <c r="F176" s="23">
        <v>0</v>
      </c>
      <c r="G176" s="23">
        <f t="shared" si="2"/>
        <v>30.4</v>
      </c>
    </row>
    <row r="177" spans="1:7" x14ac:dyDescent="0.25">
      <c r="A177" s="41">
        <v>45761</v>
      </c>
      <c r="B177" s="23" t="s">
        <v>15</v>
      </c>
      <c r="C177" s="23">
        <v>40</v>
      </c>
      <c r="D177" s="23">
        <v>0</v>
      </c>
      <c r="E177" s="23">
        <v>0.8</v>
      </c>
      <c r="F177" s="23">
        <v>0</v>
      </c>
      <c r="G177" s="23">
        <f t="shared" si="2"/>
        <v>40.799999999999997</v>
      </c>
    </row>
    <row r="178" spans="1:7" x14ac:dyDescent="0.25">
      <c r="A178" s="41">
        <v>45761</v>
      </c>
      <c r="B178" s="23" t="s">
        <v>16</v>
      </c>
      <c r="C178" s="23">
        <v>27</v>
      </c>
      <c r="D178" s="23">
        <v>3.9</v>
      </c>
      <c r="E178" s="23">
        <v>1.3</v>
      </c>
      <c r="F178" s="23">
        <v>0</v>
      </c>
      <c r="G178" s="23">
        <f t="shared" si="2"/>
        <v>32.199999999999996</v>
      </c>
    </row>
    <row r="179" spans="1:7" x14ac:dyDescent="0.25">
      <c r="A179" s="41">
        <v>45768</v>
      </c>
      <c r="B179" s="23" t="s">
        <v>9</v>
      </c>
      <c r="C179" s="23">
        <v>49.9</v>
      </c>
      <c r="D179" s="23">
        <v>6.2</v>
      </c>
      <c r="E179" s="23">
        <v>0</v>
      </c>
      <c r="F179" s="23">
        <v>0</v>
      </c>
      <c r="G179" s="23">
        <f t="shared" si="2"/>
        <v>56.1</v>
      </c>
    </row>
    <row r="180" spans="1:7" x14ac:dyDescent="0.25">
      <c r="A180" s="41">
        <v>45768</v>
      </c>
      <c r="B180" s="23" t="s">
        <v>10</v>
      </c>
      <c r="C180" s="23">
        <v>44.9</v>
      </c>
      <c r="D180" s="23">
        <v>6.8</v>
      </c>
      <c r="E180" s="23">
        <v>0</v>
      </c>
      <c r="F180" s="23">
        <v>0</v>
      </c>
      <c r="G180" s="23">
        <f t="shared" si="2"/>
        <v>51.699999999999996</v>
      </c>
    </row>
    <row r="181" spans="1:7" x14ac:dyDescent="0.25">
      <c r="A181" s="41">
        <v>45768</v>
      </c>
      <c r="B181" s="23" t="s">
        <v>11</v>
      </c>
      <c r="C181" s="23">
        <v>26.8</v>
      </c>
      <c r="D181" s="23">
        <v>3.3</v>
      </c>
      <c r="E181" s="23">
        <v>0</v>
      </c>
      <c r="F181" s="23">
        <v>0</v>
      </c>
      <c r="G181" s="23">
        <f t="shared" si="2"/>
        <v>30.1</v>
      </c>
    </row>
    <row r="182" spans="1:7" x14ac:dyDescent="0.25">
      <c r="A182" s="41">
        <v>45768</v>
      </c>
      <c r="B182" s="23" t="s">
        <v>12</v>
      </c>
      <c r="C182" s="23">
        <v>29</v>
      </c>
      <c r="D182" s="23">
        <v>0</v>
      </c>
      <c r="E182" s="23">
        <v>0.6</v>
      </c>
      <c r="F182" s="23">
        <v>0</v>
      </c>
      <c r="G182" s="23">
        <f t="shared" si="2"/>
        <v>29.6</v>
      </c>
    </row>
    <row r="183" spans="1:7" x14ac:dyDescent="0.25">
      <c r="A183" s="41">
        <v>45768</v>
      </c>
      <c r="B183" s="23" t="s">
        <v>13</v>
      </c>
      <c r="C183" s="23">
        <v>27</v>
      </c>
      <c r="D183" s="23">
        <v>2.7</v>
      </c>
      <c r="E183" s="23">
        <v>1</v>
      </c>
      <c r="F183" s="23">
        <v>0</v>
      </c>
      <c r="G183" s="23">
        <f t="shared" si="2"/>
        <v>30.7</v>
      </c>
    </row>
    <row r="184" spans="1:7" x14ac:dyDescent="0.25">
      <c r="A184" s="41">
        <v>45768</v>
      </c>
      <c r="B184" s="23" t="s">
        <v>14</v>
      </c>
      <c r="C184" s="23">
        <v>40.700000000000003</v>
      </c>
      <c r="D184" s="23">
        <v>0</v>
      </c>
      <c r="E184" s="23">
        <v>0.5</v>
      </c>
      <c r="F184" s="23">
        <v>0</v>
      </c>
      <c r="G184" s="23">
        <f t="shared" si="2"/>
        <v>41.2</v>
      </c>
    </row>
    <row r="185" spans="1:7" x14ac:dyDescent="0.25">
      <c r="A185" s="41">
        <v>45768</v>
      </c>
      <c r="B185" s="23" t="s">
        <v>15</v>
      </c>
      <c r="C185" s="23">
        <v>21.1</v>
      </c>
      <c r="D185" s="23">
        <v>0</v>
      </c>
      <c r="E185" s="23">
        <v>0.9</v>
      </c>
      <c r="F185" s="23">
        <v>0</v>
      </c>
      <c r="G185" s="23">
        <f t="shared" si="2"/>
        <v>22</v>
      </c>
    </row>
    <row r="186" spans="1:7" x14ac:dyDescent="0.25">
      <c r="A186" s="41">
        <v>45768</v>
      </c>
      <c r="B186" s="23" t="s">
        <v>16</v>
      </c>
      <c r="C186" s="23">
        <v>18.600000000000001</v>
      </c>
      <c r="D186" s="23">
        <v>0</v>
      </c>
      <c r="E186" s="23">
        <v>0</v>
      </c>
      <c r="F186" s="23">
        <v>0</v>
      </c>
      <c r="G186" s="23">
        <f t="shared" si="2"/>
        <v>18.600000000000001</v>
      </c>
    </row>
    <row r="187" spans="1:7" x14ac:dyDescent="0.25">
      <c r="A187" s="41">
        <v>45775</v>
      </c>
      <c r="B187" s="23" t="s">
        <v>9</v>
      </c>
      <c r="C187" s="23">
        <v>22.7</v>
      </c>
      <c r="D187" s="23">
        <v>0</v>
      </c>
      <c r="E187" s="23">
        <v>0.6</v>
      </c>
      <c r="F187" s="23">
        <v>0</v>
      </c>
      <c r="G187" s="23">
        <f t="shared" si="2"/>
        <v>23.3</v>
      </c>
    </row>
    <row r="188" spans="1:7" x14ac:dyDescent="0.25">
      <c r="A188" s="41">
        <v>45775</v>
      </c>
      <c r="B188" s="23" t="s">
        <v>10</v>
      </c>
      <c r="C188" s="23">
        <v>29.1</v>
      </c>
      <c r="D188" s="23">
        <v>0</v>
      </c>
      <c r="E188" s="23">
        <v>0</v>
      </c>
      <c r="F188" s="23">
        <v>0</v>
      </c>
      <c r="G188" s="23">
        <f t="shared" si="2"/>
        <v>29.1</v>
      </c>
    </row>
    <row r="189" spans="1:7" x14ac:dyDescent="0.25">
      <c r="A189" s="41">
        <v>45775</v>
      </c>
      <c r="B189" s="23" t="s">
        <v>11</v>
      </c>
      <c r="C189" s="23">
        <v>41.1</v>
      </c>
      <c r="D189" s="23">
        <v>0</v>
      </c>
      <c r="E189" s="23">
        <v>0</v>
      </c>
      <c r="F189" s="23">
        <v>0</v>
      </c>
      <c r="G189" s="23">
        <f t="shared" si="2"/>
        <v>41.1</v>
      </c>
    </row>
    <row r="190" spans="1:7" x14ac:dyDescent="0.25">
      <c r="A190" s="41">
        <v>45775</v>
      </c>
      <c r="B190" s="23" t="s">
        <v>12</v>
      </c>
      <c r="C190" s="23">
        <v>35.6</v>
      </c>
      <c r="D190" s="23">
        <v>6.2</v>
      </c>
      <c r="E190" s="23">
        <v>0</v>
      </c>
      <c r="F190" s="23">
        <v>0</v>
      </c>
      <c r="G190" s="23">
        <f t="shared" si="2"/>
        <v>41.800000000000004</v>
      </c>
    </row>
    <row r="191" spans="1:7" x14ac:dyDescent="0.25">
      <c r="A191" s="41">
        <v>45775</v>
      </c>
      <c r="B191" s="23" t="s">
        <v>13</v>
      </c>
      <c r="C191" s="23">
        <v>42.6</v>
      </c>
      <c r="D191" s="23">
        <v>0</v>
      </c>
      <c r="E191" s="23">
        <v>0.7</v>
      </c>
      <c r="F191" s="23">
        <v>0</v>
      </c>
      <c r="G191" s="23">
        <f t="shared" si="2"/>
        <v>43.300000000000004</v>
      </c>
    </row>
    <row r="192" spans="1:7" x14ac:dyDescent="0.25">
      <c r="A192" s="41">
        <v>45775</v>
      </c>
      <c r="B192" s="23" t="s">
        <v>14</v>
      </c>
      <c r="C192" s="23">
        <v>43.4</v>
      </c>
      <c r="D192" s="23">
        <v>8.5</v>
      </c>
      <c r="E192" s="23">
        <v>0</v>
      </c>
      <c r="F192" s="23">
        <v>0</v>
      </c>
      <c r="G192" s="23">
        <f t="shared" si="2"/>
        <v>51.9</v>
      </c>
    </row>
    <row r="193" spans="1:7" x14ac:dyDescent="0.25">
      <c r="A193" s="41">
        <v>45775</v>
      </c>
      <c r="B193" s="23" t="s">
        <v>15</v>
      </c>
      <c r="C193" s="23">
        <v>49.5</v>
      </c>
      <c r="D193" s="23">
        <v>7.3</v>
      </c>
      <c r="E193" s="23">
        <v>0.7</v>
      </c>
      <c r="F193" s="23">
        <v>8</v>
      </c>
      <c r="G193" s="23">
        <f t="shared" si="2"/>
        <v>65.5</v>
      </c>
    </row>
    <row r="194" spans="1:7" x14ac:dyDescent="0.25">
      <c r="A194" s="41">
        <v>45782</v>
      </c>
      <c r="B194" s="23" t="s">
        <v>9</v>
      </c>
      <c r="C194" s="23">
        <v>45</v>
      </c>
      <c r="D194" s="23">
        <v>0</v>
      </c>
      <c r="E194" s="23">
        <v>1</v>
      </c>
      <c r="F194" s="23">
        <v>0</v>
      </c>
      <c r="G194" s="23">
        <f t="shared" si="2"/>
        <v>46</v>
      </c>
    </row>
    <row r="195" spans="1:7" x14ac:dyDescent="0.25">
      <c r="A195" s="41">
        <v>45782</v>
      </c>
      <c r="B195" s="23" t="s">
        <v>10</v>
      </c>
      <c r="C195" s="23">
        <v>36.700000000000003</v>
      </c>
      <c r="D195" s="23">
        <v>0</v>
      </c>
      <c r="E195" s="23">
        <v>2.4</v>
      </c>
      <c r="F195" s="23">
        <v>0</v>
      </c>
      <c r="G195" s="23">
        <f t="shared" si="2"/>
        <v>39.1</v>
      </c>
    </row>
    <row r="196" spans="1:7" x14ac:dyDescent="0.25">
      <c r="A196" s="41">
        <v>45782</v>
      </c>
      <c r="B196" s="23" t="s">
        <v>11</v>
      </c>
      <c r="C196" s="23">
        <v>20.100000000000001</v>
      </c>
      <c r="D196" s="23">
        <v>0</v>
      </c>
      <c r="E196" s="23">
        <v>2.1</v>
      </c>
      <c r="F196" s="23">
        <v>0</v>
      </c>
      <c r="G196" s="23">
        <f t="shared" ref="G196:G259" si="3">C196+D196+E196+F196</f>
        <v>22.200000000000003</v>
      </c>
    </row>
    <row r="197" spans="1:7" x14ac:dyDescent="0.25">
      <c r="A197" s="41">
        <v>45782</v>
      </c>
      <c r="B197" s="23" t="s">
        <v>12</v>
      </c>
      <c r="C197" s="23">
        <v>29.8</v>
      </c>
      <c r="D197" s="23">
        <v>0</v>
      </c>
      <c r="E197" s="23">
        <v>0</v>
      </c>
      <c r="F197" s="23">
        <v>0</v>
      </c>
      <c r="G197" s="23">
        <f t="shared" si="3"/>
        <v>29.8</v>
      </c>
    </row>
    <row r="198" spans="1:7" x14ac:dyDescent="0.25">
      <c r="A198" s="41">
        <v>45782</v>
      </c>
      <c r="B198" s="23" t="s">
        <v>13</v>
      </c>
      <c r="C198" s="23">
        <v>29.6</v>
      </c>
      <c r="D198" s="23">
        <v>3.6</v>
      </c>
      <c r="E198" s="23">
        <v>0</v>
      </c>
      <c r="F198" s="23">
        <v>0</v>
      </c>
      <c r="G198" s="23">
        <f t="shared" si="3"/>
        <v>33.200000000000003</v>
      </c>
    </row>
    <row r="199" spans="1:7" x14ac:dyDescent="0.25">
      <c r="A199" s="41">
        <v>45782</v>
      </c>
      <c r="B199" s="23" t="s">
        <v>14</v>
      </c>
      <c r="C199" s="23">
        <v>51.4</v>
      </c>
      <c r="D199" s="23">
        <v>4.4000000000000004</v>
      </c>
      <c r="E199" s="23">
        <v>0</v>
      </c>
      <c r="F199" s="23">
        <v>0</v>
      </c>
      <c r="G199" s="23">
        <f t="shared" si="3"/>
        <v>55.8</v>
      </c>
    </row>
    <row r="200" spans="1:7" x14ac:dyDescent="0.25">
      <c r="A200" s="41">
        <v>45782</v>
      </c>
      <c r="B200" s="23" t="s">
        <v>15</v>
      </c>
      <c r="C200" s="23">
        <v>21.6</v>
      </c>
      <c r="D200" s="23">
        <v>2.8</v>
      </c>
      <c r="E200" s="23">
        <v>0</v>
      </c>
      <c r="F200" s="23">
        <v>0</v>
      </c>
      <c r="G200" s="23">
        <f t="shared" si="3"/>
        <v>24.400000000000002</v>
      </c>
    </row>
    <row r="201" spans="1:7" x14ac:dyDescent="0.25">
      <c r="A201" s="41">
        <v>45782</v>
      </c>
      <c r="B201" s="23" t="s">
        <v>16</v>
      </c>
      <c r="C201" s="23">
        <v>27.8</v>
      </c>
      <c r="D201" s="23">
        <v>3.2</v>
      </c>
      <c r="E201" s="23">
        <v>2.5</v>
      </c>
      <c r="F201" s="23">
        <v>0</v>
      </c>
      <c r="G201" s="23">
        <f t="shared" si="3"/>
        <v>33.5</v>
      </c>
    </row>
    <row r="202" spans="1:7" x14ac:dyDescent="0.25">
      <c r="A202" s="41">
        <v>45789</v>
      </c>
      <c r="B202" s="23" t="s">
        <v>9</v>
      </c>
      <c r="C202" s="23">
        <v>33.799999999999997</v>
      </c>
      <c r="D202" s="23">
        <v>5.9</v>
      </c>
      <c r="E202" s="23">
        <v>0</v>
      </c>
      <c r="F202" s="23">
        <v>0</v>
      </c>
      <c r="G202" s="23">
        <f t="shared" si="3"/>
        <v>39.699999999999996</v>
      </c>
    </row>
    <row r="203" spans="1:7" x14ac:dyDescent="0.25">
      <c r="A203" s="41">
        <v>45789</v>
      </c>
      <c r="B203" s="23" t="s">
        <v>10</v>
      </c>
      <c r="C203" s="23">
        <v>42.7</v>
      </c>
      <c r="D203" s="23">
        <v>0</v>
      </c>
      <c r="E203" s="23">
        <v>0.8</v>
      </c>
      <c r="F203" s="23">
        <v>0</v>
      </c>
      <c r="G203" s="23">
        <f t="shared" si="3"/>
        <v>43.5</v>
      </c>
    </row>
    <row r="204" spans="1:7" x14ac:dyDescent="0.25">
      <c r="A204" s="41">
        <v>45789</v>
      </c>
      <c r="B204" s="23" t="s">
        <v>11</v>
      </c>
      <c r="C204" s="23">
        <v>38</v>
      </c>
      <c r="D204" s="23">
        <v>6.9</v>
      </c>
      <c r="E204" s="23">
        <v>1.1000000000000001</v>
      </c>
      <c r="F204" s="23">
        <v>0</v>
      </c>
      <c r="G204" s="23">
        <f t="shared" si="3"/>
        <v>46</v>
      </c>
    </row>
    <row r="205" spans="1:7" x14ac:dyDescent="0.25">
      <c r="A205" s="41">
        <v>45789</v>
      </c>
      <c r="B205" s="23" t="s">
        <v>12</v>
      </c>
      <c r="C205" s="23">
        <v>33.9</v>
      </c>
      <c r="D205" s="23">
        <v>0</v>
      </c>
      <c r="E205" s="23">
        <v>0</v>
      </c>
      <c r="F205" s="23">
        <v>0</v>
      </c>
      <c r="G205" s="23">
        <f t="shared" si="3"/>
        <v>33.9</v>
      </c>
    </row>
    <row r="206" spans="1:7" x14ac:dyDescent="0.25">
      <c r="A206" s="41">
        <v>45789</v>
      </c>
      <c r="B206" s="23" t="s">
        <v>13</v>
      </c>
      <c r="C206" s="23">
        <v>16.2</v>
      </c>
      <c r="D206" s="23">
        <v>0</v>
      </c>
      <c r="E206" s="23">
        <v>1.3</v>
      </c>
      <c r="F206" s="23">
        <v>0</v>
      </c>
      <c r="G206" s="23">
        <f t="shared" si="3"/>
        <v>17.5</v>
      </c>
    </row>
    <row r="207" spans="1:7" x14ac:dyDescent="0.25">
      <c r="A207" s="41">
        <v>45789</v>
      </c>
      <c r="B207" s="23" t="s">
        <v>14</v>
      </c>
      <c r="C207" s="23">
        <v>22.4</v>
      </c>
      <c r="D207" s="23">
        <v>3.7</v>
      </c>
      <c r="E207" s="23">
        <v>0</v>
      </c>
      <c r="F207" s="23">
        <v>0</v>
      </c>
      <c r="G207" s="23">
        <f t="shared" si="3"/>
        <v>26.099999999999998</v>
      </c>
    </row>
    <row r="208" spans="1:7" x14ac:dyDescent="0.25">
      <c r="A208" s="41">
        <v>45789</v>
      </c>
      <c r="B208" s="23" t="s">
        <v>15</v>
      </c>
      <c r="C208" s="23">
        <v>36.1</v>
      </c>
      <c r="D208" s="23">
        <v>5.5</v>
      </c>
      <c r="E208" s="23">
        <v>0</v>
      </c>
      <c r="F208" s="23">
        <v>0</v>
      </c>
      <c r="G208" s="23">
        <f t="shared" si="3"/>
        <v>41.6</v>
      </c>
    </row>
    <row r="209" spans="1:7" x14ac:dyDescent="0.25">
      <c r="A209" s="41">
        <v>45789</v>
      </c>
      <c r="B209" s="23" t="s">
        <v>16</v>
      </c>
      <c r="C209" s="23">
        <v>41.9</v>
      </c>
      <c r="D209" s="23">
        <v>0</v>
      </c>
      <c r="E209" s="23">
        <v>0.8</v>
      </c>
      <c r="F209" s="23">
        <v>0</v>
      </c>
      <c r="G209" s="23">
        <f t="shared" si="3"/>
        <v>42.699999999999996</v>
      </c>
    </row>
    <row r="210" spans="1:7" x14ac:dyDescent="0.25">
      <c r="A210" s="41">
        <v>45796</v>
      </c>
      <c r="B210" s="23" t="s">
        <v>9</v>
      </c>
      <c r="C210" s="23">
        <v>43.9</v>
      </c>
      <c r="D210" s="23">
        <v>5.4</v>
      </c>
      <c r="E210" s="23">
        <v>0.6</v>
      </c>
      <c r="F210" s="23">
        <v>0</v>
      </c>
      <c r="G210" s="23">
        <f t="shared" si="3"/>
        <v>49.9</v>
      </c>
    </row>
    <row r="211" spans="1:7" x14ac:dyDescent="0.25">
      <c r="A211" s="41">
        <v>45796</v>
      </c>
      <c r="B211" s="23" t="s">
        <v>10</v>
      </c>
      <c r="C211" s="23">
        <v>18.7</v>
      </c>
      <c r="D211" s="23">
        <v>0</v>
      </c>
      <c r="E211" s="23">
        <v>0.5</v>
      </c>
      <c r="F211" s="23">
        <v>4</v>
      </c>
      <c r="G211" s="23">
        <f t="shared" si="3"/>
        <v>23.2</v>
      </c>
    </row>
    <row r="212" spans="1:7" x14ac:dyDescent="0.25">
      <c r="A212" s="41">
        <v>45796</v>
      </c>
      <c r="B212" s="23" t="s">
        <v>11</v>
      </c>
      <c r="C212" s="23">
        <v>20.5</v>
      </c>
      <c r="D212" s="23">
        <v>0</v>
      </c>
      <c r="E212" s="23">
        <v>0</v>
      </c>
      <c r="F212" s="23">
        <v>0</v>
      </c>
      <c r="G212" s="23">
        <f t="shared" si="3"/>
        <v>20.5</v>
      </c>
    </row>
    <row r="213" spans="1:7" x14ac:dyDescent="0.25">
      <c r="A213" s="41">
        <v>45796</v>
      </c>
      <c r="B213" s="23" t="s">
        <v>12</v>
      </c>
      <c r="C213" s="23">
        <v>26.2</v>
      </c>
      <c r="D213" s="23">
        <v>4.0999999999999996</v>
      </c>
      <c r="E213" s="23">
        <v>0</v>
      </c>
      <c r="F213" s="23">
        <v>0</v>
      </c>
      <c r="G213" s="23">
        <f t="shared" si="3"/>
        <v>30.299999999999997</v>
      </c>
    </row>
    <row r="214" spans="1:7" x14ac:dyDescent="0.25">
      <c r="A214" s="41">
        <v>45796</v>
      </c>
      <c r="B214" s="23" t="s">
        <v>13</v>
      </c>
      <c r="C214" s="23">
        <v>21.5</v>
      </c>
      <c r="D214" s="23">
        <v>5.0999999999999996</v>
      </c>
      <c r="E214" s="23">
        <v>0</v>
      </c>
      <c r="F214" s="23">
        <v>8</v>
      </c>
      <c r="G214" s="23">
        <f t="shared" si="3"/>
        <v>34.6</v>
      </c>
    </row>
    <row r="215" spans="1:7" x14ac:dyDescent="0.25">
      <c r="A215" s="41">
        <v>45796</v>
      </c>
      <c r="B215" s="23" t="s">
        <v>14</v>
      </c>
      <c r="C215" s="23">
        <v>44.4</v>
      </c>
      <c r="D215" s="23">
        <v>7.4</v>
      </c>
      <c r="E215" s="23">
        <v>0</v>
      </c>
      <c r="F215" s="23">
        <v>0</v>
      </c>
      <c r="G215" s="23">
        <f t="shared" si="3"/>
        <v>51.8</v>
      </c>
    </row>
    <row r="216" spans="1:7" x14ac:dyDescent="0.25">
      <c r="A216" s="41">
        <v>45796</v>
      </c>
      <c r="B216" s="23" t="s">
        <v>15</v>
      </c>
      <c r="C216" s="23">
        <v>47.6</v>
      </c>
      <c r="D216" s="23">
        <v>0</v>
      </c>
      <c r="E216" s="23">
        <v>0.7</v>
      </c>
      <c r="F216" s="23">
        <v>0</v>
      </c>
      <c r="G216" s="23">
        <f t="shared" si="3"/>
        <v>48.300000000000004</v>
      </c>
    </row>
    <row r="217" spans="1:7" x14ac:dyDescent="0.25">
      <c r="A217" s="41">
        <v>45796</v>
      </c>
      <c r="B217" s="23" t="s">
        <v>16</v>
      </c>
      <c r="C217" s="23">
        <v>46.2</v>
      </c>
      <c r="D217" s="23">
        <v>0</v>
      </c>
      <c r="E217" s="23">
        <v>1.2</v>
      </c>
      <c r="F217" s="23">
        <v>0</v>
      </c>
      <c r="G217" s="23">
        <f t="shared" si="3"/>
        <v>47.400000000000006</v>
      </c>
    </row>
    <row r="218" spans="1:7" x14ac:dyDescent="0.25">
      <c r="A218" s="41">
        <v>45803</v>
      </c>
      <c r="B218" s="23" t="s">
        <v>9</v>
      </c>
      <c r="C218" s="23">
        <v>26.2</v>
      </c>
      <c r="D218" s="23">
        <v>0</v>
      </c>
      <c r="E218" s="23">
        <v>0</v>
      </c>
      <c r="F218" s="23">
        <v>0</v>
      </c>
      <c r="G218" s="23">
        <f t="shared" si="3"/>
        <v>26.2</v>
      </c>
    </row>
    <row r="219" spans="1:7" x14ac:dyDescent="0.25">
      <c r="A219" s="41">
        <v>45803</v>
      </c>
      <c r="B219" s="23" t="s">
        <v>10</v>
      </c>
      <c r="C219" s="23">
        <v>16.8</v>
      </c>
      <c r="D219" s="23">
        <v>5.0999999999999996</v>
      </c>
      <c r="E219" s="23">
        <v>0.2</v>
      </c>
      <c r="F219" s="23">
        <v>0</v>
      </c>
      <c r="G219" s="23">
        <f t="shared" si="3"/>
        <v>22.099999999999998</v>
      </c>
    </row>
    <row r="220" spans="1:7" x14ac:dyDescent="0.25">
      <c r="A220" s="41">
        <v>45803</v>
      </c>
      <c r="B220" s="23" t="s">
        <v>11</v>
      </c>
      <c r="C220" s="23">
        <v>36.299999999999997</v>
      </c>
      <c r="D220" s="23">
        <v>0</v>
      </c>
      <c r="E220" s="23">
        <v>0</v>
      </c>
      <c r="F220" s="23">
        <v>0</v>
      </c>
      <c r="G220" s="23">
        <f t="shared" si="3"/>
        <v>36.299999999999997</v>
      </c>
    </row>
    <row r="221" spans="1:7" x14ac:dyDescent="0.25">
      <c r="A221" s="41">
        <v>45803</v>
      </c>
      <c r="B221" s="23" t="s">
        <v>12</v>
      </c>
      <c r="C221" s="23">
        <v>27.2</v>
      </c>
      <c r="D221" s="23">
        <v>8.1999999999999993</v>
      </c>
      <c r="E221" s="23">
        <v>0.4</v>
      </c>
      <c r="F221" s="23">
        <v>0</v>
      </c>
      <c r="G221" s="23">
        <f t="shared" si="3"/>
        <v>35.799999999999997</v>
      </c>
    </row>
    <row r="222" spans="1:7" x14ac:dyDescent="0.25">
      <c r="A222" s="41">
        <v>45803</v>
      </c>
      <c r="B222" s="23" t="s">
        <v>13</v>
      </c>
      <c r="C222" s="23">
        <v>33.200000000000003</v>
      </c>
      <c r="D222" s="23">
        <v>5.8</v>
      </c>
      <c r="E222" s="23">
        <v>0.2</v>
      </c>
      <c r="F222" s="23">
        <v>0</v>
      </c>
      <c r="G222" s="23">
        <f t="shared" si="3"/>
        <v>39.200000000000003</v>
      </c>
    </row>
    <row r="223" spans="1:7" x14ac:dyDescent="0.25">
      <c r="A223" s="41">
        <v>45803</v>
      </c>
      <c r="B223" s="23" t="s">
        <v>14</v>
      </c>
      <c r="C223" s="23">
        <v>27.5</v>
      </c>
      <c r="D223" s="23">
        <v>0</v>
      </c>
      <c r="E223" s="23">
        <v>0</v>
      </c>
      <c r="F223" s="23">
        <v>0</v>
      </c>
      <c r="G223" s="23">
        <f t="shared" si="3"/>
        <v>27.5</v>
      </c>
    </row>
    <row r="224" spans="1:7" x14ac:dyDescent="0.25">
      <c r="A224" s="41">
        <v>45803</v>
      </c>
      <c r="B224" s="23" t="s">
        <v>15</v>
      </c>
      <c r="C224" s="23">
        <v>21.1</v>
      </c>
      <c r="D224" s="23">
        <v>0</v>
      </c>
      <c r="E224" s="23">
        <v>0.2</v>
      </c>
      <c r="F224" s="23">
        <v>0</v>
      </c>
      <c r="G224" s="23">
        <f t="shared" si="3"/>
        <v>21.3</v>
      </c>
    </row>
    <row r="225" spans="1:7" x14ac:dyDescent="0.25">
      <c r="A225" s="41">
        <v>45803</v>
      </c>
      <c r="B225" s="23" t="s">
        <v>16</v>
      </c>
      <c r="C225" s="23">
        <v>36.4</v>
      </c>
      <c r="D225" s="23">
        <v>7.9</v>
      </c>
      <c r="E225" s="23">
        <v>0</v>
      </c>
      <c r="F225" s="23">
        <v>0</v>
      </c>
      <c r="G225" s="23">
        <f t="shared" si="3"/>
        <v>44.3</v>
      </c>
    </row>
    <row r="226" spans="1:7" x14ac:dyDescent="0.25">
      <c r="A226" s="41">
        <v>45803</v>
      </c>
      <c r="B226" s="23" t="s">
        <v>17</v>
      </c>
      <c r="C226" s="23">
        <v>40.299999999999997</v>
      </c>
      <c r="D226" s="23">
        <v>0</v>
      </c>
      <c r="E226" s="23">
        <v>0</v>
      </c>
      <c r="F226" s="23">
        <v>0</v>
      </c>
      <c r="G226" s="23">
        <f t="shared" si="3"/>
        <v>40.299999999999997</v>
      </c>
    </row>
    <row r="227" spans="1:7" x14ac:dyDescent="0.25">
      <c r="A227" s="41">
        <v>45810</v>
      </c>
      <c r="B227" s="23" t="s">
        <v>9</v>
      </c>
      <c r="C227" s="23">
        <v>29</v>
      </c>
      <c r="D227" s="23">
        <v>6</v>
      </c>
      <c r="E227" s="23">
        <v>0</v>
      </c>
      <c r="F227" s="23">
        <v>0</v>
      </c>
      <c r="G227" s="23">
        <f t="shared" si="3"/>
        <v>35</v>
      </c>
    </row>
    <row r="228" spans="1:7" x14ac:dyDescent="0.25">
      <c r="A228" s="41">
        <v>45810</v>
      </c>
      <c r="B228" s="23" t="s">
        <v>10</v>
      </c>
      <c r="C228" s="23">
        <v>47.4</v>
      </c>
      <c r="D228" s="23">
        <v>0</v>
      </c>
      <c r="E228" s="23">
        <v>1.2</v>
      </c>
      <c r="F228" s="23">
        <v>0</v>
      </c>
      <c r="G228" s="23">
        <f t="shared" si="3"/>
        <v>48.6</v>
      </c>
    </row>
    <row r="229" spans="1:7" x14ac:dyDescent="0.25">
      <c r="A229" s="41">
        <v>45810</v>
      </c>
      <c r="B229" s="23" t="s">
        <v>11</v>
      </c>
      <c r="C229" s="23">
        <v>45.3</v>
      </c>
      <c r="D229" s="23">
        <v>5.8</v>
      </c>
      <c r="E229" s="23">
        <v>0</v>
      </c>
      <c r="F229" s="23">
        <v>0</v>
      </c>
      <c r="G229" s="23">
        <f t="shared" si="3"/>
        <v>51.099999999999994</v>
      </c>
    </row>
    <row r="230" spans="1:7" x14ac:dyDescent="0.25">
      <c r="A230" s="41">
        <v>45810</v>
      </c>
      <c r="B230" s="23" t="s">
        <v>12</v>
      </c>
      <c r="C230" s="23">
        <v>48.9</v>
      </c>
      <c r="D230" s="23">
        <v>6.2</v>
      </c>
      <c r="E230" s="23">
        <v>0.6</v>
      </c>
      <c r="F230" s="23">
        <v>0</v>
      </c>
      <c r="G230" s="23">
        <f t="shared" si="3"/>
        <v>55.7</v>
      </c>
    </row>
    <row r="231" spans="1:7" x14ac:dyDescent="0.25">
      <c r="A231" s="41">
        <v>45810</v>
      </c>
      <c r="B231" s="23" t="s">
        <v>13</v>
      </c>
      <c r="C231" s="23">
        <v>24.4</v>
      </c>
      <c r="D231" s="23">
        <v>0</v>
      </c>
      <c r="E231" s="23">
        <v>0</v>
      </c>
      <c r="F231" s="23">
        <v>0</v>
      </c>
      <c r="G231" s="23">
        <f t="shared" si="3"/>
        <v>24.4</v>
      </c>
    </row>
    <row r="232" spans="1:7" x14ac:dyDescent="0.25">
      <c r="A232" s="41">
        <v>45810</v>
      </c>
      <c r="B232" s="23" t="s">
        <v>14</v>
      </c>
      <c r="C232" s="23">
        <v>29.2</v>
      </c>
      <c r="D232" s="23">
        <v>0</v>
      </c>
      <c r="E232" s="23">
        <v>1.2</v>
      </c>
      <c r="F232" s="23">
        <v>0</v>
      </c>
      <c r="G232" s="23">
        <f t="shared" si="3"/>
        <v>30.4</v>
      </c>
    </row>
    <row r="233" spans="1:7" x14ac:dyDescent="0.25">
      <c r="A233" s="41">
        <v>45810</v>
      </c>
      <c r="B233" s="23" t="s">
        <v>15</v>
      </c>
      <c r="C233" s="23">
        <v>44.8</v>
      </c>
      <c r="D233" s="23">
        <v>0</v>
      </c>
      <c r="E233" s="23">
        <v>0</v>
      </c>
      <c r="F233" s="23">
        <v>0</v>
      </c>
      <c r="G233" s="23">
        <f t="shared" si="3"/>
        <v>44.8</v>
      </c>
    </row>
    <row r="234" spans="1:7" x14ac:dyDescent="0.25">
      <c r="A234" s="41">
        <v>45817</v>
      </c>
      <c r="B234" s="23" t="s">
        <v>9</v>
      </c>
      <c r="C234" s="23">
        <v>28.5</v>
      </c>
      <c r="D234" s="23">
        <v>0</v>
      </c>
      <c r="E234" s="23">
        <v>0.6</v>
      </c>
      <c r="F234" s="23">
        <v>0</v>
      </c>
      <c r="G234" s="23">
        <f t="shared" si="3"/>
        <v>29.1</v>
      </c>
    </row>
    <row r="235" spans="1:7" x14ac:dyDescent="0.25">
      <c r="A235" s="41">
        <v>45817</v>
      </c>
      <c r="B235" s="23" t="s">
        <v>10</v>
      </c>
      <c r="C235" s="23">
        <v>36.1</v>
      </c>
      <c r="D235" s="23">
        <v>0</v>
      </c>
      <c r="E235" s="23">
        <v>0.8</v>
      </c>
      <c r="F235" s="23">
        <v>0</v>
      </c>
      <c r="G235" s="23">
        <f t="shared" si="3"/>
        <v>36.9</v>
      </c>
    </row>
    <row r="236" spans="1:7" x14ac:dyDescent="0.25">
      <c r="A236" s="41">
        <v>45817</v>
      </c>
      <c r="B236" s="23" t="s">
        <v>11</v>
      </c>
      <c r="C236" s="23">
        <v>20.5</v>
      </c>
      <c r="D236" s="23">
        <v>0</v>
      </c>
      <c r="E236" s="23">
        <v>0</v>
      </c>
      <c r="F236" s="23">
        <v>0</v>
      </c>
      <c r="G236" s="23">
        <f t="shared" si="3"/>
        <v>20.5</v>
      </c>
    </row>
    <row r="237" spans="1:7" x14ac:dyDescent="0.25">
      <c r="A237" s="41">
        <v>45817</v>
      </c>
      <c r="B237" s="23" t="s">
        <v>12</v>
      </c>
      <c r="C237" s="23">
        <v>30.3</v>
      </c>
      <c r="D237" s="23">
        <v>0</v>
      </c>
      <c r="E237" s="23">
        <v>0</v>
      </c>
      <c r="F237" s="23">
        <v>0</v>
      </c>
      <c r="G237" s="23">
        <f t="shared" si="3"/>
        <v>30.3</v>
      </c>
    </row>
    <row r="238" spans="1:7" x14ac:dyDescent="0.25">
      <c r="A238" s="41">
        <v>45817</v>
      </c>
      <c r="B238" s="23" t="s">
        <v>13</v>
      </c>
      <c r="C238" s="23">
        <v>46</v>
      </c>
      <c r="D238" s="23">
        <v>4.4000000000000004</v>
      </c>
      <c r="E238" s="23">
        <v>0.8</v>
      </c>
      <c r="F238" s="23">
        <v>0</v>
      </c>
      <c r="G238" s="23">
        <f t="shared" si="3"/>
        <v>51.199999999999996</v>
      </c>
    </row>
    <row r="239" spans="1:7" x14ac:dyDescent="0.25">
      <c r="A239" s="41">
        <v>45817</v>
      </c>
      <c r="B239" s="23" t="s">
        <v>14</v>
      </c>
      <c r="C239" s="23">
        <v>26.2</v>
      </c>
      <c r="D239" s="23">
        <v>4.0999999999999996</v>
      </c>
      <c r="E239" s="23">
        <v>0</v>
      </c>
      <c r="F239" s="23">
        <v>0</v>
      </c>
      <c r="G239" s="23">
        <f t="shared" si="3"/>
        <v>30.299999999999997</v>
      </c>
    </row>
    <row r="240" spans="1:7" x14ac:dyDescent="0.25">
      <c r="A240" s="41">
        <v>45817</v>
      </c>
      <c r="B240" s="23" t="s">
        <v>15</v>
      </c>
      <c r="C240" s="23">
        <v>37.299999999999997</v>
      </c>
      <c r="D240" s="23">
        <v>6.1</v>
      </c>
      <c r="E240" s="23">
        <v>0</v>
      </c>
      <c r="F240" s="23">
        <v>0</v>
      </c>
      <c r="G240" s="23">
        <f t="shared" si="3"/>
        <v>43.4</v>
      </c>
    </row>
    <row r="241" spans="1:7" x14ac:dyDescent="0.25">
      <c r="A241" s="41">
        <v>45817</v>
      </c>
      <c r="B241" s="23" t="s">
        <v>16</v>
      </c>
      <c r="C241" s="23">
        <v>36.1</v>
      </c>
      <c r="D241" s="23">
        <v>6.4</v>
      </c>
      <c r="E241" s="23">
        <v>0.8</v>
      </c>
      <c r="F241" s="23">
        <v>0</v>
      </c>
      <c r="G241" s="23">
        <f t="shared" si="3"/>
        <v>43.3</v>
      </c>
    </row>
    <row r="242" spans="1:7" x14ac:dyDescent="0.25">
      <c r="A242" s="41">
        <v>45824</v>
      </c>
      <c r="B242" s="23" t="s">
        <v>9</v>
      </c>
      <c r="C242" s="23">
        <v>42.2</v>
      </c>
      <c r="D242" s="23">
        <v>0</v>
      </c>
      <c r="E242" s="23">
        <v>1.3</v>
      </c>
      <c r="F242" s="23">
        <v>0</v>
      </c>
      <c r="G242" s="23">
        <f t="shared" si="3"/>
        <v>43.5</v>
      </c>
    </row>
    <row r="243" spans="1:7" x14ac:dyDescent="0.25">
      <c r="A243" s="41">
        <v>45824</v>
      </c>
      <c r="B243" s="23" t="s">
        <v>10</v>
      </c>
      <c r="C243" s="23">
        <v>25.9</v>
      </c>
      <c r="D243" s="23">
        <v>6.5</v>
      </c>
      <c r="E243" s="23">
        <v>0</v>
      </c>
      <c r="F243" s="23">
        <v>0</v>
      </c>
      <c r="G243" s="23">
        <f t="shared" si="3"/>
        <v>32.4</v>
      </c>
    </row>
    <row r="244" spans="1:7" x14ac:dyDescent="0.25">
      <c r="A244" s="41">
        <v>45824</v>
      </c>
      <c r="B244" s="23" t="s">
        <v>11</v>
      </c>
      <c r="C244" s="23">
        <v>28.5</v>
      </c>
      <c r="D244" s="23">
        <v>0</v>
      </c>
      <c r="E244" s="23">
        <v>0.9</v>
      </c>
      <c r="F244" s="23">
        <v>0</v>
      </c>
      <c r="G244" s="23">
        <f t="shared" si="3"/>
        <v>29.4</v>
      </c>
    </row>
    <row r="245" spans="1:7" x14ac:dyDescent="0.25">
      <c r="A245" s="41">
        <v>45824</v>
      </c>
      <c r="B245" s="23" t="s">
        <v>12</v>
      </c>
      <c r="C245" s="23">
        <v>21</v>
      </c>
      <c r="D245" s="23">
        <v>5.5</v>
      </c>
      <c r="E245" s="23">
        <v>0.8</v>
      </c>
      <c r="F245" s="23">
        <v>0</v>
      </c>
      <c r="G245" s="23">
        <f t="shared" si="3"/>
        <v>27.3</v>
      </c>
    </row>
    <row r="246" spans="1:7" x14ac:dyDescent="0.25">
      <c r="A246" s="41">
        <v>45824</v>
      </c>
      <c r="B246" s="23" t="s">
        <v>13</v>
      </c>
      <c r="C246" s="23">
        <v>33.6</v>
      </c>
      <c r="D246" s="23">
        <v>6</v>
      </c>
      <c r="E246" s="23">
        <v>1</v>
      </c>
      <c r="F246" s="23">
        <v>0</v>
      </c>
      <c r="G246" s="23">
        <f t="shared" si="3"/>
        <v>40.6</v>
      </c>
    </row>
    <row r="247" spans="1:7" x14ac:dyDescent="0.25">
      <c r="A247" s="41">
        <v>45824</v>
      </c>
      <c r="B247" s="23" t="s">
        <v>14</v>
      </c>
      <c r="C247" s="23">
        <v>34.700000000000003</v>
      </c>
      <c r="D247" s="23">
        <v>0</v>
      </c>
      <c r="E247" s="23">
        <v>0</v>
      </c>
      <c r="F247" s="23">
        <v>0</v>
      </c>
      <c r="G247" s="23">
        <f t="shared" si="3"/>
        <v>34.700000000000003</v>
      </c>
    </row>
    <row r="248" spans="1:7" x14ac:dyDescent="0.25">
      <c r="A248" s="41">
        <v>45824</v>
      </c>
      <c r="B248" s="23" t="s">
        <v>15</v>
      </c>
      <c r="C248" s="23">
        <v>42.1</v>
      </c>
      <c r="D248" s="23">
        <v>4</v>
      </c>
      <c r="E248" s="23">
        <v>0</v>
      </c>
      <c r="F248" s="23">
        <v>0</v>
      </c>
      <c r="G248" s="23">
        <f t="shared" si="3"/>
        <v>46.1</v>
      </c>
    </row>
    <row r="249" spans="1:7" x14ac:dyDescent="0.25">
      <c r="A249" s="41">
        <v>45824</v>
      </c>
      <c r="B249" s="23" t="s">
        <v>16</v>
      </c>
      <c r="C249" s="23">
        <v>22</v>
      </c>
      <c r="D249" s="23">
        <v>0</v>
      </c>
      <c r="E249" s="23">
        <v>0</v>
      </c>
      <c r="F249" s="23">
        <v>0</v>
      </c>
      <c r="G249" s="23">
        <f t="shared" si="3"/>
        <v>22</v>
      </c>
    </row>
    <row r="250" spans="1:7" x14ac:dyDescent="0.25">
      <c r="A250" s="41">
        <v>45831</v>
      </c>
      <c r="B250" s="23" t="s">
        <v>9</v>
      </c>
      <c r="C250" s="23">
        <v>50.1</v>
      </c>
      <c r="D250" s="23">
        <v>4.7</v>
      </c>
      <c r="E250" s="23">
        <v>0</v>
      </c>
      <c r="F250" s="23">
        <v>0</v>
      </c>
      <c r="G250" s="23">
        <f t="shared" si="3"/>
        <v>54.800000000000004</v>
      </c>
    </row>
    <row r="251" spans="1:7" x14ac:dyDescent="0.25">
      <c r="A251" s="41">
        <v>45831</v>
      </c>
      <c r="B251" s="23" t="s">
        <v>10</v>
      </c>
      <c r="C251" s="23">
        <v>45.2</v>
      </c>
      <c r="D251" s="23">
        <v>0</v>
      </c>
      <c r="E251" s="23">
        <v>0.8</v>
      </c>
      <c r="F251" s="23">
        <v>0</v>
      </c>
      <c r="G251" s="23">
        <f t="shared" si="3"/>
        <v>46</v>
      </c>
    </row>
    <row r="252" spans="1:7" x14ac:dyDescent="0.25">
      <c r="A252" s="41">
        <v>45831</v>
      </c>
      <c r="B252" s="23" t="s">
        <v>11</v>
      </c>
      <c r="C252" s="23">
        <v>20.3</v>
      </c>
      <c r="D252" s="23">
        <v>4.4000000000000004</v>
      </c>
      <c r="E252" s="23">
        <v>0.6</v>
      </c>
      <c r="F252" s="23">
        <v>0</v>
      </c>
      <c r="G252" s="23">
        <f t="shared" si="3"/>
        <v>25.300000000000004</v>
      </c>
    </row>
    <row r="253" spans="1:7" x14ac:dyDescent="0.25">
      <c r="A253" s="41">
        <v>45831</v>
      </c>
      <c r="B253" s="23" t="s">
        <v>12</v>
      </c>
      <c r="C253" s="23">
        <v>29.5</v>
      </c>
      <c r="D253" s="23">
        <v>0</v>
      </c>
      <c r="E253" s="23">
        <v>0</v>
      </c>
      <c r="F253" s="23">
        <v>0</v>
      </c>
      <c r="G253" s="23">
        <f t="shared" si="3"/>
        <v>29.5</v>
      </c>
    </row>
    <row r="254" spans="1:7" x14ac:dyDescent="0.25">
      <c r="A254" s="41">
        <v>45831</v>
      </c>
      <c r="B254" s="23" t="s">
        <v>13</v>
      </c>
      <c r="C254" s="23">
        <v>28.7</v>
      </c>
      <c r="D254" s="23">
        <v>5.0999999999999996</v>
      </c>
      <c r="E254" s="23">
        <v>0</v>
      </c>
      <c r="F254" s="23">
        <v>0</v>
      </c>
      <c r="G254" s="23">
        <f t="shared" si="3"/>
        <v>33.799999999999997</v>
      </c>
    </row>
    <row r="255" spans="1:7" x14ac:dyDescent="0.25">
      <c r="A255" s="41">
        <v>45831</v>
      </c>
      <c r="B255" s="23" t="s">
        <v>14</v>
      </c>
      <c r="C255" s="23">
        <v>26.6</v>
      </c>
      <c r="D255" s="23">
        <v>0</v>
      </c>
      <c r="E255" s="23">
        <v>0</v>
      </c>
      <c r="F255" s="23">
        <v>0</v>
      </c>
      <c r="G255" s="23">
        <f t="shared" si="3"/>
        <v>26.6</v>
      </c>
    </row>
    <row r="256" spans="1:7" x14ac:dyDescent="0.25">
      <c r="A256" s="41">
        <v>45831</v>
      </c>
      <c r="B256" s="23" t="s">
        <v>15</v>
      </c>
      <c r="C256" s="23">
        <v>40.1</v>
      </c>
      <c r="D256" s="23">
        <v>4.8</v>
      </c>
      <c r="E256" s="23">
        <v>0.8</v>
      </c>
      <c r="F256" s="23">
        <v>0</v>
      </c>
      <c r="G256" s="23">
        <f t="shared" si="3"/>
        <v>45.699999999999996</v>
      </c>
    </row>
    <row r="257" spans="1:7" x14ac:dyDescent="0.25">
      <c r="A257" s="41">
        <v>45831</v>
      </c>
      <c r="B257" s="23" t="s">
        <v>16</v>
      </c>
      <c r="C257" s="23">
        <v>17.5</v>
      </c>
      <c r="D257" s="23">
        <v>0</v>
      </c>
      <c r="E257" s="23">
        <v>0.8</v>
      </c>
      <c r="F257" s="23">
        <v>0</v>
      </c>
      <c r="G257" s="23">
        <f t="shared" si="3"/>
        <v>18.3</v>
      </c>
    </row>
    <row r="258" spans="1:7" x14ac:dyDescent="0.25">
      <c r="A258" s="41">
        <v>45838</v>
      </c>
      <c r="B258" s="23" t="s">
        <v>9</v>
      </c>
      <c r="C258" s="23">
        <v>33.200000000000003</v>
      </c>
      <c r="D258" s="23">
        <v>0</v>
      </c>
      <c r="E258" s="23">
        <v>2.2000000000000002</v>
      </c>
      <c r="F258" s="23">
        <v>0</v>
      </c>
      <c r="G258" s="23">
        <f t="shared" si="3"/>
        <v>35.400000000000006</v>
      </c>
    </row>
    <row r="259" spans="1:7" x14ac:dyDescent="0.25">
      <c r="A259" s="41">
        <v>45838</v>
      </c>
      <c r="B259" s="23" t="s">
        <v>10</v>
      </c>
      <c r="C259" s="23">
        <v>38.1</v>
      </c>
      <c r="D259" s="23">
        <v>0</v>
      </c>
      <c r="E259" s="23">
        <v>0</v>
      </c>
      <c r="F259" s="23">
        <v>0</v>
      </c>
      <c r="G259" s="23">
        <f t="shared" si="3"/>
        <v>38.1</v>
      </c>
    </row>
    <row r="260" spans="1:7" x14ac:dyDescent="0.25">
      <c r="A260" s="41">
        <v>45838</v>
      </c>
      <c r="B260" s="23" t="s">
        <v>11</v>
      </c>
      <c r="C260" s="23">
        <v>43.5</v>
      </c>
      <c r="D260" s="23">
        <v>5.0999999999999996</v>
      </c>
      <c r="E260" s="23">
        <v>1.3</v>
      </c>
      <c r="F260" s="23">
        <v>0</v>
      </c>
      <c r="G260" s="23">
        <f t="shared" ref="G260:G323" si="4">C260+D260+E260+F260</f>
        <v>49.9</v>
      </c>
    </row>
    <row r="261" spans="1:7" x14ac:dyDescent="0.25">
      <c r="A261" s="41">
        <v>45838</v>
      </c>
      <c r="B261" s="23" t="s">
        <v>12</v>
      </c>
      <c r="C261" s="23">
        <v>20.8</v>
      </c>
      <c r="D261" s="23">
        <v>0</v>
      </c>
      <c r="E261" s="23">
        <v>0</v>
      </c>
      <c r="F261" s="23">
        <v>0</v>
      </c>
      <c r="G261" s="23">
        <f t="shared" si="4"/>
        <v>20.8</v>
      </c>
    </row>
    <row r="262" spans="1:7" x14ac:dyDescent="0.25">
      <c r="A262" s="41">
        <v>45838</v>
      </c>
      <c r="B262" s="23" t="s">
        <v>13</v>
      </c>
      <c r="C262" s="23">
        <v>28.1</v>
      </c>
      <c r="D262" s="23">
        <v>2.9</v>
      </c>
      <c r="E262" s="23">
        <v>2.8</v>
      </c>
      <c r="F262" s="23">
        <v>0</v>
      </c>
      <c r="G262" s="23">
        <f t="shared" si="4"/>
        <v>33.799999999999997</v>
      </c>
    </row>
    <row r="263" spans="1:7" x14ac:dyDescent="0.25">
      <c r="A263" s="41">
        <v>45838</v>
      </c>
      <c r="B263" s="23" t="s">
        <v>14</v>
      </c>
      <c r="C263" s="23">
        <v>44</v>
      </c>
      <c r="D263" s="23">
        <v>5.0999999999999996</v>
      </c>
      <c r="E263" s="23">
        <v>1.7</v>
      </c>
      <c r="F263" s="23">
        <v>0</v>
      </c>
      <c r="G263" s="23">
        <f t="shared" si="4"/>
        <v>50.800000000000004</v>
      </c>
    </row>
    <row r="264" spans="1:7" x14ac:dyDescent="0.25">
      <c r="A264" s="41">
        <v>45838</v>
      </c>
      <c r="B264" s="23" t="s">
        <v>15</v>
      </c>
      <c r="C264" s="23">
        <v>23.9</v>
      </c>
      <c r="D264" s="23">
        <v>3.9</v>
      </c>
      <c r="E264" s="23">
        <v>0</v>
      </c>
      <c r="F264" s="23">
        <v>0</v>
      </c>
      <c r="G264" s="23">
        <f t="shared" si="4"/>
        <v>27.799999999999997</v>
      </c>
    </row>
    <row r="265" spans="1:7" x14ac:dyDescent="0.25">
      <c r="A265" s="41">
        <v>45838</v>
      </c>
      <c r="B265" s="23" t="s">
        <v>16</v>
      </c>
      <c r="C265" s="23">
        <v>22.4</v>
      </c>
      <c r="D265" s="23">
        <v>0</v>
      </c>
      <c r="E265" s="23">
        <v>0</v>
      </c>
      <c r="F265" s="23">
        <v>0</v>
      </c>
      <c r="G265" s="23">
        <f t="shared" si="4"/>
        <v>22.4</v>
      </c>
    </row>
    <row r="266" spans="1:7" x14ac:dyDescent="0.25">
      <c r="A266" s="41">
        <v>45845</v>
      </c>
      <c r="B266" s="23" t="s">
        <v>9</v>
      </c>
      <c r="C266" s="23">
        <v>21.1</v>
      </c>
      <c r="D266" s="23">
        <v>3.7</v>
      </c>
      <c r="E266" s="23">
        <v>0</v>
      </c>
      <c r="F266" s="23">
        <v>0</v>
      </c>
      <c r="G266" s="23">
        <f t="shared" si="4"/>
        <v>24.8</v>
      </c>
    </row>
    <row r="267" spans="1:7" x14ac:dyDescent="0.25">
      <c r="A267" s="41">
        <v>45845</v>
      </c>
      <c r="B267" s="23" t="s">
        <v>10</v>
      </c>
      <c r="C267" s="23">
        <v>29.4</v>
      </c>
      <c r="D267" s="23">
        <v>0</v>
      </c>
      <c r="E267" s="23">
        <v>0</v>
      </c>
      <c r="F267" s="23">
        <v>0</v>
      </c>
      <c r="G267" s="23">
        <f t="shared" si="4"/>
        <v>29.4</v>
      </c>
    </row>
    <row r="268" spans="1:7" x14ac:dyDescent="0.25">
      <c r="A268" s="41">
        <v>45845</v>
      </c>
      <c r="B268" s="23" t="s">
        <v>11</v>
      </c>
      <c r="C268" s="23">
        <v>42.2</v>
      </c>
      <c r="D268" s="23">
        <v>0</v>
      </c>
      <c r="E268" s="23">
        <v>0.4</v>
      </c>
      <c r="F268" s="23">
        <v>0</v>
      </c>
      <c r="G268" s="23">
        <f t="shared" si="4"/>
        <v>42.6</v>
      </c>
    </row>
    <row r="269" spans="1:7" x14ac:dyDescent="0.25">
      <c r="A269" s="41">
        <v>45845</v>
      </c>
      <c r="B269" s="23" t="s">
        <v>12</v>
      </c>
      <c r="C269" s="23">
        <v>25.8</v>
      </c>
      <c r="D269" s="23">
        <v>0</v>
      </c>
      <c r="E269" s="23">
        <v>0.3</v>
      </c>
      <c r="F269" s="23">
        <v>0</v>
      </c>
      <c r="G269" s="23">
        <f t="shared" si="4"/>
        <v>26.1</v>
      </c>
    </row>
    <row r="270" spans="1:7" x14ac:dyDescent="0.25">
      <c r="A270" s="41">
        <v>45845</v>
      </c>
      <c r="B270" s="23" t="s">
        <v>13</v>
      </c>
      <c r="C270" s="23">
        <v>29.8</v>
      </c>
      <c r="D270" s="23">
        <v>5</v>
      </c>
      <c r="E270" s="23">
        <v>0</v>
      </c>
      <c r="F270" s="23">
        <v>0</v>
      </c>
      <c r="G270" s="23">
        <f t="shared" si="4"/>
        <v>34.799999999999997</v>
      </c>
    </row>
    <row r="271" spans="1:7" x14ac:dyDescent="0.25">
      <c r="A271" s="41">
        <v>45845</v>
      </c>
      <c r="B271" s="23" t="s">
        <v>14</v>
      </c>
      <c r="C271" s="23">
        <v>38.5</v>
      </c>
      <c r="D271" s="23">
        <v>5.2</v>
      </c>
      <c r="E271" s="23">
        <v>0.3</v>
      </c>
      <c r="F271" s="23">
        <v>0</v>
      </c>
      <c r="G271" s="23">
        <f t="shared" si="4"/>
        <v>44</v>
      </c>
    </row>
    <row r="272" spans="1:7" x14ac:dyDescent="0.25">
      <c r="A272" s="41">
        <v>45845</v>
      </c>
      <c r="B272" s="23" t="s">
        <v>15</v>
      </c>
      <c r="C272" s="23">
        <v>29.5</v>
      </c>
      <c r="D272" s="23">
        <v>0</v>
      </c>
      <c r="E272" s="23">
        <v>0</v>
      </c>
      <c r="F272" s="23">
        <v>0</v>
      </c>
      <c r="G272" s="23">
        <f t="shared" si="4"/>
        <v>29.5</v>
      </c>
    </row>
    <row r="273" spans="1:7" x14ac:dyDescent="0.25">
      <c r="A273" s="41">
        <v>45845</v>
      </c>
      <c r="B273" s="23" t="s">
        <v>16</v>
      </c>
      <c r="C273" s="23">
        <v>39.700000000000003</v>
      </c>
      <c r="D273" s="23">
        <v>5.0999999999999996</v>
      </c>
      <c r="E273" s="23">
        <v>1</v>
      </c>
      <c r="F273" s="23">
        <v>0</v>
      </c>
      <c r="G273" s="23">
        <f t="shared" si="4"/>
        <v>45.800000000000004</v>
      </c>
    </row>
    <row r="274" spans="1:7" x14ac:dyDescent="0.25">
      <c r="A274" s="41">
        <v>45852</v>
      </c>
      <c r="B274" s="23" t="s">
        <v>9</v>
      </c>
      <c r="C274" s="23">
        <v>29.8</v>
      </c>
      <c r="D274" s="23">
        <v>0</v>
      </c>
      <c r="E274" s="23">
        <v>0.4</v>
      </c>
      <c r="F274" s="23">
        <v>0</v>
      </c>
      <c r="G274" s="23">
        <f t="shared" si="4"/>
        <v>30.2</v>
      </c>
    </row>
    <row r="275" spans="1:7" x14ac:dyDescent="0.25">
      <c r="A275" s="41">
        <v>45852</v>
      </c>
      <c r="B275" s="23" t="s">
        <v>10</v>
      </c>
      <c r="C275" s="23">
        <v>33.6</v>
      </c>
      <c r="D275" s="23">
        <v>5.0999999999999996</v>
      </c>
      <c r="E275" s="23">
        <v>0</v>
      </c>
      <c r="F275" s="23">
        <v>0</v>
      </c>
      <c r="G275" s="23">
        <f t="shared" si="4"/>
        <v>38.700000000000003</v>
      </c>
    </row>
    <row r="276" spans="1:7" x14ac:dyDescent="0.25">
      <c r="A276" s="41">
        <v>45852</v>
      </c>
      <c r="B276" s="23" t="s">
        <v>11</v>
      </c>
      <c r="C276" s="23">
        <v>38</v>
      </c>
      <c r="D276" s="23">
        <v>0</v>
      </c>
      <c r="E276" s="23">
        <v>0.3</v>
      </c>
      <c r="F276" s="23">
        <v>0</v>
      </c>
      <c r="G276" s="23">
        <f t="shared" si="4"/>
        <v>38.299999999999997</v>
      </c>
    </row>
    <row r="277" spans="1:7" x14ac:dyDescent="0.25">
      <c r="A277" s="41">
        <v>45852</v>
      </c>
      <c r="B277" s="23" t="s">
        <v>12</v>
      </c>
      <c r="C277" s="23">
        <v>31.7</v>
      </c>
      <c r="D277" s="23">
        <v>4.7</v>
      </c>
      <c r="E277" s="23">
        <v>0.7</v>
      </c>
      <c r="F277" s="23">
        <v>8</v>
      </c>
      <c r="G277" s="23">
        <f t="shared" si="4"/>
        <v>45.1</v>
      </c>
    </row>
    <row r="278" spans="1:7" x14ac:dyDescent="0.25">
      <c r="A278" s="41">
        <v>45852</v>
      </c>
      <c r="B278" s="23" t="s">
        <v>13</v>
      </c>
      <c r="C278" s="23">
        <v>36.6</v>
      </c>
      <c r="D278" s="23">
        <v>0</v>
      </c>
      <c r="E278" s="23">
        <v>0</v>
      </c>
      <c r="F278" s="23">
        <v>0</v>
      </c>
      <c r="G278" s="23">
        <f t="shared" si="4"/>
        <v>36.6</v>
      </c>
    </row>
    <row r="279" spans="1:7" x14ac:dyDescent="0.25">
      <c r="A279" s="41">
        <v>45852</v>
      </c>
      <c r="B279" s="23" t="s">
        <v>14</v>
      </c>
      <c r="C279" s="23">
        <v>30.6</v>
      </c>
      <c r="D279" s="23">
        <v>2.1</v>
      </c>
      <c r="E279" s="23">
        <v>0.6</v>
      </c>
      <c r="F279" s="23">
        <v>0</v>
      </c>
      <c r="G279" s="23">
        <f t="shared" si="4"/>
        <v>33.300000000000004</v>
      </c>
    </row>
    <row r="280" spans="1:7" x14ac:dyDescent="0.25">
      <c r="A280" s="41">
        <v>45852</v>
      </c>
      <c r="B280" s="23" t="s">
        <v>15</v>
      </c>
      <c r="C280" s="23">
        <v>39.4</v>
      </c>
      <c r="D280" s="23">
        <v>0</v>
      </c>
      <c r="E280" s="23">
        <v>0</v>
      </c>
      <c r="F280" s="23">
        <v>0</v>
      </c>
      <c r="G280" s="23">
        <f t="shared" si="4"/>
        <v>39.4</v>
      </c>
    </row>
    <row r="281" spans="1:7" x14ac:dyDescent="0.25">
      <c r="A281" s="41">
        <v>45852</v>
      </c>
      <c r="B281" s="23" t="s">
        <v>16</v>
      </c>
      <c r="C281" s="23">
        <v>21.3</v>
      </c>
      <c r="D281" s="23">
        <v>4.0999999999999996</v>
      </c>
      <c r="E281" s="23">
        <v>0</v>
      </c>
      <c r="F281" s="23">
        <v>0</v>
      </c>
      <c r="G281" s="23">
        <f t="shared" si="4"/>
        <v>25.4</v>
      </c>
    </row>
    <row r="282" spans="1:7" x14ac:dyDescent="0.25">
      <c r="A282" s="41">
        <v>45859</v>
      </c>
      <c r="B282" s="23" t="s">
        <v>9</v>
      </c>
      <c r="C282" s="23">
        <v>43.4</v>
      </c>
      <c r="D282" s="23">
        <v>0</v>
      </c>
      <c r="E282" s="23">
        <v>0</v>
      </c>
      <c r="F282" s="23">
        <v>0</v>
      </c>
      <c r="G282" s="23">
        <f t="shared" si="4"/>
        <v>43.4</v>
      </c>
    </row>
    <row r="283" spans="1:7" x14ac:dyDescent="0.25">
      <c r="A283" s="41">
        <v>45859</v>
      </c>
      <c r="B283" s="23" t="s">
        <v>10</v>
      </c>
      <c r="C283" s="23">
        <v>24.2</v>
      </c>
      <c r="D283" s="23">
        <v>9</v>
      </c>
      <c r="E283" s="23">
        <v>0.3</v>
      </c>
      <c r="F283" s="23">
        <v>0</v>
      </c>
      <c r="G283" s="23">
        <f t="shared" si="4"/>
        <v>33.5</v>
      </c>
    </row>
    <row r="284" spans="1:7" x14ac:dyDescent="0.25">
      <c r="A284" s="41">
        <v>45859</v>
      </c>
      <c r="B284" s="23" t="s">
        <v>11</v>
      </c>
      <c r="C284" s="23">
        <v>24.5</v>
      </c>
      <c r="D284" s="23">
        <v>4.2</v>
      </c>
      <c r="E284" s="23">
        <v>0</v>
      </c>
      <c r="F284" s="23">
        <v>0</v>
      </c>
      <c r="G284" s="23">
        <f t="shared" si="4"/>
        <v>28.7</v>
      </c>
    </row>
    <row r="285" spans="1:7" x14ac:dyDescent="0.25">
      <c r="A285" s="41">
        <v>45859</v>
      </c>
      <c r="B285" s="23" t="s">
        <v>12</v>
      </c>
      <c r="C285" s="23">
        <v>47</v>
      </c>
      <c r="D285" s="23">
        <v>0</v>
      </c>
      <c r="E285" s="23">
        <v>0</v>
      </c>
      <c r="F285" s="23">
        <v>0</v>
      </c>
      <c r="G285" s="23">
        <f t="shared" si="4"/>
        <v>47</v>
      </c>
    </row>
    <row r="286" spans="1:7" x14ac:dyDescent="0.25">
      <c r="A286" s="41">
        <v>45859</v>
      </c>
      <c r="B286" s="23" t="s">
        <v>13</v>
      </c>
      <c r="C286" s="23">
        <v>28.4</v>
      </c>
      <c r="D286" s="23">
        <v>9.4</v>
      </c>
      <c r="E286" s="23">
        <v>0.2</v>
      </c>
      <c r="F286" s="23">
        <v>0</v>
      </c>
      <c r="G286" s="23">
        <f t="shared" si="4"/>
        <v>38</v>
      </c>
    </row>
    <row r="287" spans="1:7" x14ac:dyDescent="0.25">
      <c r="A287" s="41">
        <v>45859</v>
      </c>
      <c r="B287" s="23" t="s">
        <v>14</v>
      </c>
      <c r="C287" s="23">
        <v>22.2</v>
      </c>
      <c r="D287" s="23">
        <v>0</v>
      </c>
      <c r="E287" s="23">
        <v>0.2</v>
      </c>
      <c r="F287" s="23">
        <v>0</v>
      </c>
      <c r="G287" s="23">
        <f t="shared" si="4"/>
        <v>22.4</v>
      </c>
    </row>
    <row r="288" spans="1:7" x14ac:dyDescent="0.25">
      <c r="A288" s="41">
        <v>45859</v>
      </c>
      <c r="B288" s="23" t="s">
        <v>15</v>
      </c>
      <c r="C288" s="23">
        <v>48</v>
      </c>
      <c r="D288" s="23">
        <v>0</v>
      </c>
      <c r="E288" s="23">
        <v>0.3</v>
      </c>
      <c r="F288" s="23">
        <v>0</v>
      </c>
      <c r="G288" s="23">
        <f t="shared" si="4"/>
        <v>48.3</v>
      </c>
    </row>
    <row r="289" spans="1:7" x14ac:dyDescent="0.25">
      <c r="A289" s="41">
        <v>45859</v>
      </c>
      <c r="B289" s="23" t="s">
        <v>16</v>
      </c>
      <c r="C289" s="23">
        <v>17.3</v>
      </c>
      <c r="D289" s="23">
        <v>4.4000000000000004</v>
      </c>
      <c r="E289" s="23">
        <v>0</v>
      </c>
      <c r="F289" s="23">
        <v>0</v>
      </c>
      <c r="G289" s="23">
        <f t="shared" si="4"/>
        <v>21.700000000000003</v>
      </c>
    </row>
    <row r="290" spans="1:7" x14ac:dyDescent="0.25">
      <c r="A290" s="41">
        <v>45866</v>
      </c>
      <c r="B290" s="23" t="s">
        <v>9</v>
      </c>
      <c r="C290" s="23">
        <v>16.2</v>
      </c>
      <c r="D290" s="23">
        <v>0</v>
      </c>
      <c r="E290" s="23">
        <v>0</v>
      </c>
      <c r="F290" s="23">
        <v>0</v>
      </c>
      <c r="G290" s="23">
        <f t="shared" si="4"/>
        <v>16.2</v>
      </c>
    </row>
    <row r="291" spans="1:7" x14ac:dyDescent="0.25">
      <c r="A291" s="41">
        <v>45866</v>
      </c>
      <c r="B291" s="23" t="s">
        <v>10</v>
      </c>
      <c r="C291" s="23">
        <v>38.299999999999997</v>
      </c>
      <c r="D291" s="23">
        <v>2.2000000000000002</v>
      </c>
      <c r="E291" s="23">
        <v>0</v>
      </c>
      <c r="F291" s="23">
        <v>0</v>
      </c>
      <c r="G291" s="23">
        <f t="shared" si="4"/>
        <v>40.5</v>
      </c>
    </row>
    <row r="292" spans="1:7" x14ac:dyDescent="0.25">
      <c r="A292" s="41">
        <v>45866</v>
      </c>
      <c r="B292" s="23" t="s">
        <v>11</v>
      </c>
      <c r="C292" s="23">
        <v>40.799999999999997</v>
      </c>
      <c r="D292" s="23">
        <v>0</v>
      </c>
      <c r="E292" s="23">
        <v>0</v>
      </c>
      <c r="F292" s="23">
        <v>0</v>
      </c>
      <c r="G292" s="23">
        <f t="shared" si="4"/>
        <v>40.799999999999997</v>
      </c>
    </row>
    <row r="293" spans="1:7" x14ac:dyDescent="0.25">
      <c r="A293" s="41">
        <v>45866</v>
      </c>
      <c r="B293" s="23" t="s">
        <v>12</v>
      </c>
      <c r="C293" s="23">
        <v>30.5</v>
      </c>
      <c r="D293" s="23">
        <v>2.2999999999999998</v>
      </c>
      <c r="E293" s="23">
        <v>2</v>
      </c>
      <c r="F293" s="23">
        <v>0</v>
      </c>
      <c r="G293" s="23">
        <f t="shared" si="4"/>
        <v>34.799999999999997</v>
      </c>
    </row>
    <row r="294" spans="1:7" x14ac:dyDescent="0.25">
      <c r="A294" s="41">
        <v>45866</v>
      </c>
      <c r="B294" s="23" t="s">
        <v>13</v>
      </c>
      <c r="C294" s="23">
        <v>28.6</v>
      </c>
      <c r="D294" s="23">
        <v>0</v>
      </c>
      <c r="E294" s="23">
        <v>1.8</v>
      </c>
      <c r="F294" s="23">
        <v>0</v>
      </c>
      <c r="G294" s="23">
        <f t="shared" si="4"/>
        <v>30.400000000000002</v>
      </c>
    </row>
    <row r="295" spans="1:7" x14ac:dyDescent="0.25">
      <c r="A295" s="41">
        <v>45866</v>
      </c>
      <c r="B295" s="23" t="s">
        <v>14</v>
      </c>
      <c r="C295" s="23">
        <v>43.7</v>
      </c>
      <c r="D295" s="23">
        <v>4.3</v>
      </c>
      <c r="E295" s="23">
        <v>2.1</v>
      </c>
      <c r="F295" s="23">
        <v>0</v>
      </c>
      <c r="G295" s="23">
        <f t="shared" si="4"/>
        <v>50.1</v>
      </c>
    </row>
    <row r="296" spans="1:7" x14ac:dyDescent="0.25">
      <c r="A296" s="41">
        <v>45866</v>
      </c>
      <c r="B296" s="23" t="s">
        <v>15</v>
      </c>
      <c r="C296" s="23">
        <v>16.7</v>
      </c>
      <c r="D296" s="23">
        <v>0</v>
      </c>
      <c r="E296" s="23">
        <v>0</v>
      </c>
      <c r="F296" s="23">
        <v>0</v>
      </c>
      <c r="G296" s="23">
        <f t="shared" si="4"/>
        <v>16.7</v>
      </c>
    </row>
    <row r="297" spans="1:7" x14ac:dyDescent="0.25">
      <c r="A297" s="41">
        <v>45866</v>
      </c>
      <c r="B297" s="23" t="s">
        <v>16</v>
      </c>
      <c r="C297" s="23">
        <v>29.2</v>
      </c>
      <c r="D297" s="23">
        <v>2.2000000000000002</v>
      </c>
      <c r="E297" s="23">
        <v>0</v>
      </c>
      <c r="F297" s="23">
        <v>0</v>
      </c>
      <c r="G297" s="23">
        <f t="shared" si="4"/>
        <v>31.4</v>
      </c>
    </row>
    <row r="298" spans="1:7" x14ac:dyDescent="0.25">
      <c r="A298" s="41">
        <v>45866</v>
      </c>
      <c r="B298" s="23" t="s">
        <v>17</v>
      </c>
      <c r="C298" s="23">
        <v>27</v>
      </c>
      <c r="D298" s="23">
        <v>0</v>
      </c>
      <c r="E298" s="23">
        <v>1.1000000000000001</v>
      </c>
      <c r="F298" s="23">
        <v>0</v>
      </c>
      <c r="G298" s="23">
        <f t="shared" si="4"/>
        <v>28.1</v>
      </c>
    </row>
    <row r="299" spans="1:7" x14ac:dyDescent="0.25">
      <c r="A299" s="41">
        <v>45873</v>
      </c>
      <c r="B299" s="23" t="s">
        <v>9</v>
      </c>
      <c r="C299" s="23">
        <v>32.6</v>
      </c>
      <c r="D299" s="23">
        <v>5.0999999999999996</v>
      </c>
      <c r="E299" s="23">
        <v>0.5</v>
      </c>
      <c r="F299" s="23">
        <v>0</v>
      </c>
      <c r="G299" s="23">
        <f t="shared" si="4"/>
        <v>38.200000000000003</v>
      </c>
    </row>
    <row r="300" spans="1:7" x14ac:dyDescent="0.25">
      <c r="A300" s="41">
        <v>45873</v>
      </c>
      <c r="B300" s="23" t="s">
        <v>10</v>
      </c>
      <c r="C300" s="23">
        <v>31.4</v>
      </c>
      <c r="D300" s="23">
        <v>6.8</v>
      </c>
      <c r="E300" s="23">
        <v>0</v>
      </c>
      <c r="F300" s="23">
        <v>0</v>
      </c>
      <c r="G300" s="23">
        <f t="shared" si="4"/>
        <v>38.199999999999996</v>
      </c>
    </row>
    <row r="301" spans="1:7" x14ac:dyDescent="0.25">
      <c r="A301" s="41">
        <v>45873</v>
      </c>
      <c r="B301" s="23" t="s">
        <v>11</v>
      </c>
      <c r="C301" s="23">
        <v>20.399999999999999</v>
      </c>
      <c r="D301" s="23">
        <v>0</v>
      </c>
      <c r="E301" s="23">
        <v>0</v>
      </c>
      <c r="F301" s="23">
        <v>0</v>
      </c>
      <c r="G301" s="23">
        <f t="shared" si="4"/>
        <v>20.399999999999999</v>
      </c>
    </row>
    <row r="302" spans="1:7" x14ac:dyDescent="0.25">
      <c r="A302" s="41">
        <v>45873</v>
      </c>
      <c r="B302" s="23" t="s">
        <v>12</v>
      </c>
      <c r="C302" s="23">
        <v>31.7</v>
      </c>
      <c r="D302" s="23">
        <v>0</v>
      </c>
      <c r="E302" s="23">
        <v>0</v>
      </c>
      <c r="F302" s="23">
        <v>0</v>
      </c>
      <c r="G302" s="23">
        <f t="shared" si="4"/>
        <v>31.7</v>
      </c>
    </row>
    <row r="303" spans="1:7" x14ac:dyDescent="0.25">
      <c r="A303" s="41">
        <v>45873</v>
      </c>
      <c r="B303" s="23" t="s">
        <v>13</v>
      </c>
      <c r="C303" s="23">
        <v>39.9</v>
      </c>
      <c r="D303" s="23">
        <v>0</v>
      </c>
      <c r="E303" s="23">
        <v>0.4</v>
      </c>
      <c r="F303" s="23">
        <v>0</v>
      </c>
      <c r="G303" s="23">
        <f t="shared" si="4"/>
        <v>40.299999999999997</v>
      </c>
    </row>
    <row r="304" spans="1:7" x14ac:dyDescent="0.25">
      <c r="A304" s="41">
        <v>45873</v>
      </c>
      <c r="B304" s="23" t="s">
        <v>14</v>
      </c>
      <c r="C304" s="23">
        <v>29.9</v>
      </c>
      <c r="D304" s="23">
        <v>4.7</v>
      </c>
      <c r="E304" s="23">
        <v>0.5</v>
      </c>
      <c r="F304" s="23">
        <v>0</v>
      </c>
      <c r="G304" s="23">
        <f t="shared" si="4"/>
        <v>35.1</v>
      </c>
    </row>
    <row r="305" spans="1:7" x14ac:dyDescent="0.25">
      <c r="A305" s="41">
        <v>45873</v>
      </c>
      <c r="B305" s="23" t="s">
        <v>15</v>
      </c>
      <c r="C305" s="23">
        <v>22.3</v>
      </c>
      <c r="D305" s="23">
        <v>3.4</v>
      </c>
      <c r="E305" s="23">
        <v>0.6</v>
      </c>
      <c r="F305" s="23">
        <v>0</v>
      </c>
      <c r="G305" s="23">
        <f t="shared" si="4"/>
        <v>26.3</v>
      </c>
    </row>
    <row r="306" spans="1:7" x14ac:dyDescent="0.25">
      <c r="A306" s="41">
        <v>45873</v>
      </c>
      <c r="B306" s="23" t="s">
        <v>16</v>
      </c>
      <c r="C306" s="23">
        <v>48.8</v>
      </c>
      <c r="D306" s="23">
        <v>0</v>
      </c>
      <c r="E306" s="23">
        <v>0</v>
      </c>
      <c r="F306" s="23">
        <v>0</v>
      </c>
      <c r="G306" s="23">
        <f t="shared" si="4"/>
        <v>48.8</v>
      </c>
    </row>
    <row r="307" spans="1:7" x14ac:dyDescent="0.25">
      <c r="A307" s="41">
        <v>45880</v>
      </c>
      <c r="B307" s="23" t="s">
        <v>9</v>
      </c>
      <c r="C307" s="23">
        <v>37.799999999999997</v>
      </c>
      <c r="D307" s="23">
        <v>2.8</v>
      </c>
      <c r="E307" s="23">
        <v>1.1000000000000001</v>
      </c>
      <c r="F307" s="23">
        <v>4</v>
      </c>
      <c r="G307" s="23">
        <f t="shared" si="4"/>
        <v>45.699999999999996</v>
      </c>
    </row>
    <row r="308" spans="1:7" x14ac:dyDescent="0.25">
      <c r="A308" s="41">
        <v>45880</v>
      </c>
      <c r="B308" s="23" t="s">
        <v>10</v>
      </c>
      <c r="C308" s="23">
        <v>23.7</v>
      </c>
      <c r="D308" s="23">
        <v>0</v>
      </c>
      <c r="E308" s="23">
        <v>1</v>
      </c>
      <c r="F308" s="23">
        <v>0</v>
      </c>
      <c r="G308" s="23">
        <f t="shared" si="4"/>
        <v>24.7</v>
      </c>
    </row>
    <row r="309" spans="1:7" x14ac:dyDescent="0.25">
      <c r="A309" s="41">
        <v>45880</v>
      </c>
      <c r="B309" s="23" t="s">
        <v>11</v>
      </c>
      <c r="C309" s="23">
        <v>19.899999999999999</v>
      </c>
      <c r="D309" s="23">
        <v>4.0999999999999996</v>
      </c>
      <c r="E309" s="23">
        <v>0</v>
      </c>
      <c r="F309" s="23">
        <v>0</v>
      </c>
      <c r="G309" s="23">
        <f t="shared" si="4"/>
        <v>24</v>
      </c>
    </row>
    <row r="310" spans="1:7" x14ac:dyDescent="0.25">
      <c r="A310" s="41">
        <v>45880</v>
      </c>
      <c r="B310" s="23" t="s">
        <v>12</v>
      </c>
      <c r="C310" s="23">
        <v>44</v>
      </c>
      <c r="D310" s="23">
        <v>0</v>
      </c>
      <c r="E310" s="23">
        <v>0</v>
      </c>
      <c r="F310" s="23">
        <v>0</v>
      </c>
      <c r="G310" s="23">
        <f t="shared" si="4"/>
        <v>44</v>
      </c>
    </row>
    <row r="311" spans="1:7" x14ac:dyDescent="0.25">
      <c r="A311" s="41">
        <v>45880</v>
      </c>
      <c r="B311" s="23" t="s">
        <v>13</v>
      </c>
      <c r="C311" s="23">
        <v>28.4</v>
      </c>
      <c r="D311" s="23">
        <v>6.7</v>
      </c>
      <c r="E311" s="23">
        <v>0</v>
      </c>
      <c r="F311" s="23">
        <v>0</v>
      </c>
      <c r="G311" s="23">
        <f t="shared" si="4"/>
        <v>35.1</v>
      </c>
    </row>
    <row r="312" spans="1:7" x14ac:dyDescent="0.25">
      <c r="A312" s="41">
        <v>45880</v>
      </c>
      <c r="B312" s="23" t="s">
        <v>14</v>
      </c>
      <c r="C312" s="23">
        <v>41.3</v>
      </c>
      <c r="D312" s="23">
        <v>7.4</v>
      </c>
      <c r="E312" s="23">
        <v>0.7</v>
      </c>
      <c r="F312" s="23">
        <v>0</v>
      </c>
      <c r="G312" s="23">
        <f t="shared" si="4"/>
        <v>49.4</v>
      </c>
    </row>
    <row r="313" spans="1:7" x14ac:dyDescent="0.25">
      <c r="A313" s="41">
        <v>45880</v>
      </c>
      <c r="B313" s="23" t="s">
        <v>15</v>
      </c>
      <c r="C313" s="23">
        <v>35.1</v>
      </c>
      <c r="D313" s="23">
        <v>0</v>
      </c>
      <c r="E313" s="23">
        <v>0</v>
      </c>
      <c r="F313" s="23">
        <v>0</v>
      </c>
      <c r="G313" s="23">
        <f t="shared" si="4"/>
        <v>35.1</v>
      </c>
    </row>
    <row r="314" spans="1:7" x14ac:dyDescent="0.25">
      <c r="A314" s="41">
        <v>45880</v>
      </c>
      <c r="B314" s="23" t="s">
        <v>16</v>
      </c>
      <c r="C314" s="23">
        <v>42.8</v>
      </c>
      <c r="D314" s="23">
        <v>0</v>
      </c>
      <c r="E314" s="23">
        <v>1.2</v>
      </c>
      <c r="F314" s="23">
        <v>0</v>
      </c>
      <c r="G314" s="23">
        <f t="shared" si="4"/>
        <v>44</v>
      </c>
    </row>
    <row r="315" spans="1:7" x14ac:dyDescent="0.25">
      <c r="A315" s="41">
        <v>45887</v>
      </c>
      <c r="B315" s="23" t="s">
        <v>9</v>
      </c>
      <c r="C315" s="23">
        <v>43.9</v>
      </c>
      <c r="D315" s="23">
        <v>0</v>
      </c>
      <c r="E315" s="23">
        <v>0</v>
      </c>
      <c r="F315" s="23">
        <v>0</v>
      </c>
      <c r="G315" s="23">
        <f t="shared" si="4"/>
        <v>43.9</v>
      </c>
    </row>
    <row r="316" spans="1:7" x14ac:dyDescent="0.25">
      <c r="A316" s="41">
        <v>45887</v>
      </c>
      <c r="B316" s="23" t="s">
        <v>10</v>
      </c>
      <c r="C316" s="23">
        <v>20.8</v>
      </c>
      <c r="D316" s="23">
        <v>5</v>
      </c>
      <c r="E316" s="23">
        <v>0</v>
      </c>
      <c r="F316" s="23">
        <v>0</v>
      </c>
      <c r="G316" s="23">
        <f t="shared" si="4"/>
        <v>25.8</v>
      </c>
    </row>
    <row r="317" spans="1:7" x14ac:dyDescent="0.25">
      <c r="A317" s="41">
        <v>45887</v>
      </c>
      <c r="B317" s="23" t="s">
        <v>11</v>
      </c>
      <c r="C317" s="23">
        <v>39.799999999999997</v>
      </c>
      <c r="D317" s="23">
        <v>9.6</v>
      </c>
      <c r="E317" s="23">
        <v>0</v>
      </c>
      <c r="F317" s="23">
        <v>0</v>
      </c>
      <c r="G317" s="23">
        <f t="shared" si="4"/>
        <v>49.4</v>
      </c>
    </row>
    <row r="318" spans="1:7" x14ac:dyDescent="0.25">
      <c r="A318" s="41">
        <v>45887</v>
      </c>
      <c r="B318" s="23" t="s">
        <v>12</v>
      </c>
      <c r="C318" s="23">
        <v>17.5</v>
      </c>
      <c r="D318" s="23">
        <v>8.9</v>
      </c>
      <c r="E318" s="23">
        <v>0</v>
      </c>
      <c r="F318" s="23">
        <v>0</v>
      </c>
      <c r="G318" s="23">
        <f t="shared" si="4"/>
        <v>26.4</v>
      </c>
    </row>
    <row r="319" spans="1:7" x14ac:dyDescent="0.25">
      <c r="A319" s="41">
        <v>45887</v>
      </c>
      <c r="B319" s="23" t="s">
        <v>13</v>
      </c>
      <c r="C319" s="23">
        <v>18.5</v>
      </c>
      <c r="D319" s="23">
        <v>0</v>
      </c>
      <c r="E319" s="23">
        <v>0</v>
      </c>
      <c r="F319" s="23">
        <v>0</v>
      </c>
      <c r="G319" s="23">
        <f t="shared" si="4"/>
        <v>18.5</v>
      </c>
    </row>
    <row r="320" spans="1:7" x14ac:dyDescent="0.25">
      <c r="A320" s="41">
        <v>45887</v>
      </c>
      <c r="B320" s="23" t="s">
        <v>14</v>
      </c>
      <c r="C320" s="23">
        <v>30</v>
      </c>
      <c r="D320" s="23">
        <v>0</v>
      </c>
      <c r="E320" s="23">
        <v>0</v>
      </c>
      <c r="F320" s="23">
        <v>0</v>
      </c>
      <c r="G320" s="23">
        <f t="shared" si="4"/>
        <v>30</v>
      </c>
    </row>
    <row r="321" spans="1:7" x14ac:dyDescent="0.25">
      <c r="A321" s="41">
        <v>45887</v>
      </c>
      <c r="B321" s="23" t="s">
        <v>15</v>
      </c>
      <c r="C321" s="23">
        <v>29.3</v>
      </c>
      <c r="D321" s="23">
        <v>0</v>
      </c>
      <c r="E321" s="23">
        <v>0</v>
      </c>
      <c r="F321" s="23">
        <v>0</v>
      </c>
      <c r="G321" s="23">
        <f t="shared" si="4"/>
        <v>29.3</v>
      </c>
    </row>
    <row r="322" spans="1:7" x14ac:dyDescent="0.25">
      <c r="A322" s="41">
        <v>45887</v>
      </c>
      <c r="B322" s="23" t="s">
        <v>16</v>
      </c>
      <c r="C322" s="23">
        <v>35.200000000000003</v>
      </c>
      <c r="D322" s="23">
        <v>0</v>
      </c>
      <c r="E322" s="23">
        <v>0</v>
      </c>
      <c r="F322" s="23">
        <v>0</v>
      </c>
      <c r="G322" s="23">
        <f t="shared" si="4"/>
        <v>35.200000000000003</v>
      </c>
    </row>
    <row r="323" spans="1:7" x14ac:dyDescent="0.25">
      <c r="A323" s="41">
        <v>45887</v>
      </c>
      <c r="B323" s="23" t="s">
        <v>17</v>
      </c>
      <c r="C323" s="23">
        <v>29</v>
      </c>
      <c r="D323" s="23">
        <v>8.5</v>
      </c>
      <c r="E323" s="23">
        <v>0</v>
      </c>
      <c r="F323" s="23">
        <v>0</v>
      </c>
      <c r="G323" s="23">
        <f t="shared" si="4"/>
        <v>37.5</v>
      </c>
    </row>
    <row r="324" spans="1:7" x14ac:dyDescent="0.25">
      <c r="A324" s="41">
        <v>45894</v>
      </c>
      <c r="B324" s="23" t="s">
        <v>9</v>
      </c>
      <c r="C324" s="23">
        <v>26.7</v>
      </c>
      <c r="D324" s="23">
        <v>4.7</v>
      </c>
      <c r="E324" s="23">
        <v>1.3</v>
      </c>
      <c r="F324" s="23">
        <v>0</v>
      </c>
      <c r="G324" s="23">
        <f t="shared" ref="G324:G387" si="5">C324+D324+E324+F324</f>
        <v>32.699999999999996</v>
      </c>
    </row>
    <row r="325" spans="1:7" x14ac:dyDescent="0.25">
      <c r="A325" s="41">
        <v>45894</v>
      </c>
      <c r="B325" s="23" t="s">
        <v>10</v>
      </c>
      <c r="C325" s="23">
        <v>42.9</v>
      </c>
      <c r="D325" s="23">
        <v>0</v>
      </c>
      <c r="E325" s="23">
        <v>0</v>
      </c>
      <c r="F325" s="23">
        <v>0</v>
      </c>
      <c r="G325" s="23">
        <f t="shared" si="5"/>
        <v>42.9</v>
      </c>
    </row>
    <row r="326" spans="1:7" x14ac:dyDescent="0.25">
      <c r="A326" s="41">
        <v>45894</v>
      </c>
      <c r="B326" s="23" t="s">
        <v>11</v>
      </c>
      <c r="C326" s="23">
        <v>40</v>
      </c>
      <c r="D326" s="23">
        <v>6.5</v>
      </c>
      <c r="E326" s="23">
        <v>1.3</v>
      </c>
      <c r="F326" s="23">
        <v>8</v>
      </c>
      <c r="G326" s="23">
        <f t="shared" si="5"/>
        <v>55.8</v>
      </c>
    </row>
    <row r="327" spans="1:7" x14ac:dyDescent="0.25">
      <c r="A327" s="41">
        <v>45894</v>
      </c>
      <c r="B327" s="23" t="s">
        <v>12</v>
      </c>
      <c r="C327" s="23">
        <v>27.1</v>
      </c>
      <c r="D327" s="23">
        <v>0</v>
      </c>
      <c r="E327" s="23">
        <v>1.4</v>
      </c>
      <c r="F327" s="23">
        <v>0</v>
      </c>
      <c r="G327" s="23">
        <f t="shared" si="5"/>
        <v>28.5</v>
      </c>
    </row>
    <row r="328" spans="1:7" x14ac:dyDescent="0.25">
      <c r="A328" s="41">
        <v>45894</v>
      </c>
      <c r="B328" s="23" t="s">
        <v>13</v>
      </c>
      <c r="C328" s="23">
        <v>44.4</v>
      </c>
      <c r="D328" s="23">
        <v>0</v>
      </c>
      <c r="E328" s="23">
        <v>0</v>
      </c>
      <c r="F328" s="23">
        <v>0</v>
      </c>
      <c r="G328" s="23">
        <f t="shared" si="5"/>
        <v>44.4</v>
      </c>
    </row>
    <row r="329" spans="1:7" x14ac:dyDescent="0.25">
      <c r="A329" s="41">
        <v>45894</v>
      </c>
      <c r="B329" s="23" t="s">
        <v>14</v>
      </c>
      <c r="C329" s="23">
        <v>31.4</v>
      </c>
      <c r="D329" s="23">
        <v>4.8</v>
      </c>
      <c r="E329" s="23">
        <v>0</v>
      </c>
      <c r="F329" s="23">
        <v>0</v>
      </c>
      <c r="G329" s="23">
        <f t="shared" si="5"/>
        <v>36.199999999999996</v>
      </c>
    </row>
    <row r="330" spans="1:7" x14ac:dyDescent="0.25">
      <c r="A330" s="41">
        <v>45894</v>
      </c>
      <c r="B330" s="23" t="s">
        <v>15</v>
      </c>
      <c r="C330" s="23">
        <v>45.5</v>
      </c>
      <c r="D330" s="23">
        <v>0</v>
      </c>
      <c r="E330" s="23">
        <v>0</v>
      </c>
      <c r="F330" s="23">
        <v>0</v>
      </c>
      <c r="G330" s="23">
        <f t="shared" si="5"/>
        <v>45.5</v>
      </c>
    </row>
    <row r="331" spans="1:7" x14ac:dyDescent="0.25">
      <c r="A331" s="41">
        <v>45901</v>
      </c>
      <c r="B331" s="23" t="s">
        <v>9</v>
      </c>
      <c r="C331" s="23">
        <v>25.7</v>
      </c>
      <c r="D331" s="23">
        <v>0</v>
      </c>
      <c r="E331" s="23">
        <v>1.1000000000000001</v>
      </c>
      <c r="F331" s="23">
        <v>0</v>
      </c>
      <c r="G331" s="23">
        <f t="shared" si="5"/>
        <v>26.8</v>
      </c>
    </row>
    <row r="332" spans="1:7" x14ac:dyDescent="0.25">
      <c r="A332" s="41">
        <v>45901</v>
      </c>
      <c r="B332" s="23" t="s">
        <v>10</v>
      </c>
      <c r="C332" s="23">
        <v>27.9</v>
      </c>
      <c r="D332" s="23">
        <v>4</v>
      </c>
      <c r="E332" s="23">
        <v>1</v>
      </c>
      <c r="F332" s="23">
        <v>0</v>
      </c>
      <c r="G332" s="23">
        <f t="shared" si="5"/>
        <v>32.9</v>
      </c>
    </row>
    <row r="333" spans="1:7" x14ac:dyDescent="0.25">
      <c r="A333" s="41">
        <v>45901</v>
      </c>
      <c r="B333" s="23" t="s">
        <v>11</v>
      </c>
      <c r="C333" s="23">
        <v>18</v>
      </c>
      <c r="D333" s="23">
        <v>6.5</v>
      </c>
      <c r="E333" s="23">
        <v>1</v>
      </c>
      <c r="F333" s="23">
        <v>0</v>
      </c>
      <c r="G333" s="23">
        <f t="shared" si="5"/>
        <v>25.5</v>
      </c>
    </row>
    <row r="334" spans="1:7" x14ac:dyDescent="0.25">
      <c r="A334" s="41">
        <v>45901</v>
      </c>
      <c r="B334" s="23" t="s">
        <v>12</v>
      </c>
      <c r="C334" s="23">
        <v>27.9</v>
      </c>
      <c r="D334" s="23">
        <v>0</v>
      </c>
      <c r="E334" s="23">
        <v>1.9</v>
      </c>
      <c r="F334" s="23">
        <v>0</v>
      </c>
      <c r="G334" s="23">
        <f t="shared" si="5"/>
        <v>29.799999999999997</v>
      </c>
    </row>
    <row r="335" spans="1:7" x14ac:dyDescent="0.25">
      <c r="A335" s="41">
        <v>45901</v>
      </c>
      <c r="B335" s="23" t="s">
        <v>13</v>
      </c>
      <c r="C335" s="23">
        <v>26.8</v>
      </c>
      <c r="D335" s="23">
        <v>9.1</v>
      </c>
      <c r="E335" s="23">
        <v>0</v>
      </c>
      <c r="F335" s="23">
        <v>0</v>
      </c>
      <c r="G335" s="23">
        <f t="shared" si="5"/>
        <v>35.9</v>
      </c>
    </row>
    <row r="336" spans="1:7" x14ac:dyDescent="0.25">
      <c r="A336" s="41">
        <v>45901</v>
      </c>
      <c r="B336" s="23" t="s">
        <v>14</v>
      </c>
      <c r="C336" s="23">
        <v>17.2</v>
      </c>
      <c r="D336" s="23">
        <v>5.4</v>
      </c>
      <c r="E336" s="23">
        <v>0</v>
      </c>
      <c r="F336" s="23">
        <v>0</v>
      </c>
      <c r="G336" s="23">
        <f t="shared" si="5"/>
        <v>22.6</v>
      </c>
    </row>
    <row r="337" spans="1:7" x14ac:dyDescent="0.25">
      <c r="A337" s="41">
        <v>45901</v>
      </c>
      <c r="B337" s="23" t="s">
        <v>15</v>
      </c>
      <c r="C337" s="23">
        <v>40.799999999999997</v>
      </c>
      <c r="D337" s="23">
        <v>0</v>
      </c>
      <c r="E337" s="23">
        <v>0</v>
      </c>
      <c r="F337" s="23">
        <v>0</v>
      </c>
      <c r="G337" s="23">
        <f t="shared" si="5"/>
        <v>40.799999999999997</v>
      </c>
    </row>
    <row r="338" spans="1:7" x14ac:dyDescent="0.25">
      <c r="A338" s="41">
        <v>45901</v>
      </c>
      <c r="B338" s="23" t="s">
        <v>16</v>
      </c>
      <c r="C338" s="23">
        <v>37.1</v>
      </c>
      <c r="D338" s="23">
        <v>0</v>
      </c>
      <c r="E338" s="23">
        <v>0</v>
      </c>
      <c r="F338" s="23">
        <v>0</v>
      </c>
      <c r="G338" s="23">
        <f t="shared" si="5"/>
        <v>37.1</v>
      </c>
    </row>
    <row r="339" spans="1:7" x14ac:dyDescent="0.25">
      <c r="A339" s="41">
        <v>45901</v>
      </c>
      <c r="B339" s="23" t="s">
        <v>17</v>
      </c>
      <c r="C339" s="23">
        <v>21.6</v>
      </c>
      <c r="D339" s="23">
        <v>0</v>
      </c>
      <c r="E339" s="23">
        <v>0</v>
      </c>
      <c r="F339" s="23">
        <v>0</v>
      </c>
      <c r="G339" s="23">
        <f t="shared" si="5"/>
        <v>21.6</v>
      </c>
    </row>
    <row r="340" spans="1:7" x14ac:dyDescent="0.25">
      <c r="A340" s="41">
        <v>45908</v>
      </c>
      <c r="B340" s="23" t="s">
        <v>9</v>
      </c>
      <c r="C340" s="23">
        <v>43.6</v>
      </c>
      <c r="D340" s="23">
        <v>3.6</v>
      </c>
      <c r="E340" s="23">
        <v>1</v>
      </c>
      <c r="F340" s="23">
        <v>0</v>
      </c>
      <c r="G340" s="23">
        <f t="shared" si="5"/>
        <v>48.2</v>
      </c>
    </row>
    <row r="341" spans="1:7" x14ac:dyDescent="0.25">
      <c r="A341" s="41">
        <v>45908</v>
      </c>
      <c r="B341" s="23" t="s">
        <v>10</v>
      </c>
      <c r="C341" s="23">
        <v>24.1</v>
      </c>
      <c r="D341" s="23">
        <v>0</v>
      </c>
      <c r="E341" s="23">
        <v>0.8</v>
      </c>
      <c r="F341" s="23">
        <v>0</v>
      </c>
      <c r="G341" s="23">
        <f t="shared" si="5"/>
        <v>24.900000000000002</v>
      </c>
    </row>
    <row r="342" spans="1:7" x14ac:dyDescent="0.25">
      <c r="A342" s="41">
        <v>45908</v>
      </c>
      <c r="B342" s="23" t="s">
        <v>11</v>
      </c>
      <c r="C342" s="23">
        <v>43.1</v>
      </c>
      <c r="D342" s="23">
        <v>4.2</v>
      </c>
      <c r="E342" s="23">
        <v>0</v>
      </c>
      <c r="F342" s="23">
        <v>0</v>
      </c>
      <c r="G342" s="23">
        <f t="shared" si="5"/>
        <v>47.300000000000004</v>
      </c>
    </row>
    <row r="343" spans="1:7" x14ac:dyDescent="0.25">
      <c r="A343" s="41">
        <v>45908</v>
      </c>
      <c r="B343" s="23" t="s">
        <v>12</v>
      </c>
      <c r="C343" s="23">
        <v>23.9</v>
      </c>
      <c r="D343" s="23">
        <v>0</v>
      </c>
      <c r="E343" s="23">
        <v>0</v>
      </c>
      <c r="F343" s="23">
        <v>0</v>
      </c>
      <c r="G343" s="23">
        <f t="shared" si="5"/>
        <v>23.9</v>
      </c>
    </row>
    <row r="344" spans="1:7" x14ac:dyDescent="0.25">
      <c r="A344" s="41">
        <v>45908</v>
      </c>
      <c r="B344" s="23" t="s">
        <v>13</v>
      </c>
      <c r="C344" s="23">
        <v>27.6</v>
      </c>
      <c r="D344" s="23">
        <v>2.4</v>
      </c>
      <c r="E344" s="23">
        <v>1</v>
      </c>
      <c r="F344" s="23">
        <v>0</v>
      </c>
      <c r="G344" s="23">
        <f t="shared" si="5"/>
        <v>31</v>
      </c>
    </row>
    <row r="345" spans="1:7" x14ac:dyDescent="0.25">
      <c r="A345" s="41">
        <v>45908</v>
      </c>
      <c r="B345" s="23" t="s">
        <v>14</v>
      </c>
      <c r="C345" s="23">
        <v>28.4</v>
      </c>
      <c r="D345" s="23">
        <v>0</v>
      </c>
      <c r="E345" s="23">
        <v>1.2</v>
      </c>
      <c r="F345" s="23">
        <v>0</v>
      </c>
      <c r="G345" s="23">
        <f t="shared" si="5"/>
        <v>29.599999999999998</v>
      </c>
    </row>
    <row r="346" spans="1:7" x14ac:dyDescent="0.25">
      <c r="A346" s="41">
        <v>45908</v>
      </c>
      <c r="B346" s="23" t="s">
        <v>15</v>
      </c>
      <c r="C346" s="23">
        <v>33.200000000000003</v>
      </c>
      <c r="D346" s="23">
        <v>0</v>
      </c>
      <c r="E346" s="23">
        <v>0</v>
      </c>
      <c r="F346" s="23">
        <v>0</v>
      </c>
      <c r="G346" s="23">
        <f t="shared" si="5"/>
        <v>33.200000000000003</v>
      </c>
    </row>
    <row r="347" spans="1:7" x14ac:dyDescent="0.25">
      <c r="A347" s="41">
        <v>45908</v>
      </c>
      <c r="B347" s="23" t="s">
        <v>16</v>
      </c>
      <c r="C347" s="23">
        <v>38.1</v>
      </c>
      <c r="D347" s="23">
        <v>5.8</v>
      </c>
      <c r="E347" s="23">
        <v>0</v>
      </c>
      <c r="F347" s="23">
        <v>0</v>
      </c>
      <c r="G347" s="23">
        <f t="shared" si="5"/>
        <v>43.9</v>
      </c>
    </row>
    <row r="348" spans="1:7" x14ac:dyDescent="0.25">
      <c r="A348" s="41">
        <v>45915</v>
      </c>
      <c r="B348" s="23" t="s">
        <v>9</v>
      </c>
      <c r="C348" s="23">
        <v>29.4</v>
      </c>
      <c r="D348" s="23">
        <v>0</v>
      </c>
      <c r="E348" s="23">
        <v>0.4</v>
      </c>
      <c r="F348" s="23">
        <v>0</v>
      </c>
      <c r="G348" s="23">
        <f t="shared" si="5"/>
        <v>29.799999999999997</v>
      </c>
    </row>
    <row r="349" spans="1:7" x14ac:dyDescent="0.25">
      <c r="A349" s="41">
        <v>45915</v>
      </c>
      <c r="B349" s="23" t="s">
        <v>10</v>
      </c>
      <c r="C349" s="23">
        <v>40.6</v>
      </c>
      <c r="D349" s="23">
        <v>0</v>
      </c>
      <c r="E349" s="23">
        <v>0</v>
      </c>
      <c r="F349" s="23">
        <v>0</v>
      </c>
      <c r="G349" s="23">
        <f t="shared" si="5"/>
        <v>40.6</v>
      </c>
    </row>
    <row r="350" spans="1:7" x14ac:dyDescent="0.25">
      <c r="A350" s="41">
        <v>45915</v>
      </c>
      <c r="B350" s="23" t="s">
        <v>11</v>
      </c>
      <c r="C350" s="23">
        <v>41.4</v>
      </c>
      <c r="D350" s="23">
        <v>0</v>
      </c>
      <c r="E350" s="23">
        <v>0</v>
      </c>
      <c r="F350" s="23">
        <v>0</v>
      </c>
      <c r="G350" s="23">
        <f t="shared" si="5"/>
        <v>41.4</v>
      </c>
    </row>
    <row r="351" spans="1:7" x14ac:dyDescent="0.25">
      <c r="A351" s="41">
        <v>45915</v>
      </c>
      <c r="B351" s="23" t="s">
        <v>12</v>
      </c>
      <c r="C351" s="23">
        <v>45.9</v>
      </c>
      <c r="D351" s="23">
        <v>0</v>
      </c>
      <c r="E351" s="23">
        <v>0</v>
      </c>
      <c r="F351" s="23">
        <v>0</v>
      </c>
      <c r="G351" s="23">
        <f t="shared" si="5"/>
        <v>45.9</v>
      </c>
    </row>
    <row r="352" spans="1:7" x14ac:dyDescent="0.25">
      <c r="A352" s="41">
        <v>45915</v>
      </c>
      <c r="B352" s="23" t="s">
        <v>13</v>
      </c>
      <c r="C352" s="23">
        <v>18.100000000000001</v>
      </c>
      <c r="D352" s="23">
        <v>3.7</v>
      </c>
      <c r="E352" s="23">
        <v>0.3</v>
      </c>
      <c r="F352" s="23">
        <v>0</v>
      </c>
      <c r="G352" s="23">
        <f t="shared" si="5"/>
        <v>22.1</v>
      </c>
    </row>
    <row r="353" spans="1:7" x14ac:dyDescent="0.25">
      <c r="A353" s="41">
        <v>45915</v>
      </c>
      <c r="B353" s="23" t="s">
        <v>14</v>
      </c>
      <c r="C353" s="23">
        <v>35.5</v>
      </c>
      <c r="D353" s="23">
        <v>4.9000000000000004</v>
      </c>
      <c r="E353" s="23">
        <v>0.2</v>
      </c>
      <c r="F353" s="23">
        <v>0</v>
      </c>
      <c r="G353" s="23">
        <f t="shared" si="5"/>
        <v>40.6</v>
      </c>
    </row>
    <row r="354" spans="1:7" x14ac:dyDescent="0.25">
      <c r="A354" s="41">
        <v>45915</v>
      </c>
      <c r="B354" s="23" t="s">
        <v>15</v>
      </c>
      <c r="C354" s="23">
        <v>16.7</v>
      </c>
      <c r="D354" s="23">
        <v>4.4000000000000004</v>
      </c>
      <c r="E354" s="23">
        <v>0</v>
      </c>
      <c r="F354" s="23">
        <v>0</v>
      </c>
      <c r="G354" s="23">
        <f t="shared" si="5"/>
        <v>21.1</v>
      </c>
    </row>
    <row r="355" spans="1:7" x14ac:dyDescent="0.25">
      <c r="A355" s="41">
        <v>45915</v>
      </c>
      <c r="B355" s="23" t="s">
        <v>16</v>
      </c>
      <c r="C355" s="23">
        <v>37.4</v>
      </c>
      <c r="D355" s="23">
        <v>5</v>
      </c>
      <c r="E355" s="23">
        <v>0.1</v>
      </c>
      <c r="F355" s="23">
        <v>0</v>
      </c>
      <c r="G355" s="23">
        <f t="shared" si="5"/>
        <v>42.5</v>
      </c>
    </row>
    <row r="356" spans="1:7" x14ac:dyDescent="0.25">
      <c r="A356" s="41">
        <v>45922</v>
      </c>
      <c r="B356" s="23" t="s">
        <v>9</v>
      </c>
      <c r="C356" s="23">
        <v>21.9</v>
      </c>
      <c r="D356" s="23">
        <v>0</v>
      </c>
      <c r="E356" s="23">
        <v>0</v>
      </c>
      <c r="F356" s="23">
        <v>8</v>
      </c>
      <c r="G356" s="23">
        <f t="shared" si="5"/>
        <v>29.9</v>
      </c>
    </row>
    <row r="357" spans="1:7" x14ac:dyDescent="0.25">
      <c r="A357" s="41">
        <v>45922</v>
      </c>
      <c r="B357" s="23" t="s">
        <v>10</v>
      </c>
      <c r="C357" s="23">
        <v>29</v>
      </c>
      <c r="D357" s="23">
        <v>0</v>
      </c>
      <c r="E357" s="23">
        <v>0</v>
      </c>
      <c r="F357" s="23">
        <v>0</v>
      </c>
      <c r="G357" s="23">
        <f t="shared" si="5"/>
        <v>29</v>
      </c>
    </row>
    <row r="358" spans="1:7" x14ac:dyDescent="0.25">
      <c r="A358" s="41">
        <v>45922</v>
      </c>
      <c r="B358" s="23" t="s">
        <v>11</v>
      </c>
      <c r="C358" s="23">
        <v>50.1</v>
      </c>
      <c r="D358" s="23">
        <v>5.3</v>
      </c>
      <c r="E358" s="23">
        <v>0</v>
      </c>
      <c r="F358" s="23">
        <v>0</v>
      </c>
      <c r="G358" s="23">
        <f t="shared" si="5"/>
        <v>55.4</v>
      </c>
    </row>
    <row r="359" spans="1:7" x14ac:dyDescent="0.25">
      <c r="A359" s="41">
        <v>45922</v>
      </c>
      <c r="B359" s="23" t="s">
        <v>12</v>
      </c>
      <c r="C359" s="23">
        <v>40.9</v>
      </c>
      <c r="D359" s="23">
        <v>3.8</v>
      </c>
      <c r="E359" s="23">
        <v>0</v>
      </c>
      <c r="F359" s="23">
        <v>0</v>
      </c>
      <c r="G359" s="23">
        <f t="shared" si="5"/>
        <v>44.699999999999996</v>
      </c>
    </row>
    <row r="360" spans="1:7" x14ac:dyDescent="0.25">
      <c r="A360" s="41">
        <v>45922</v>
      </c>
      <c r="B360" s="23" t="s">
        <v>13</v>
      </c>
      <c r="C360" s="23">
        <v>30.5</v>
      </c>
      <c r="D360" s="23">
        <v>2.9</v>
      </c>
      <c r="E360" s="23">
        <v>1.5</v>
      </c>
      <c r="F360" s="23">
        <v>0</v>
      </c>
      <c r="G360" s="23">
        <f t="shared" si="5"/>
        <v>34.9</v>
      </c>
    </row>
    <row r="361" spans="1:7" x14ac:dyDescent="0.25">
      <c r="A361" s="41">
        <v>45922</v>
      </c>
      <c r="B361" s="23" t="s">
        <v>14</v>
      </c>
      <c r="C361" s="23">
        <v>37.4</v>
      </c>
      <c r="D361" s="23">
        <v>0</v>
      </c>
      <c r="E361" s="23">
        <v>3</v>
      </c>
      <c r="F361" s="23">
        <v>0</v>
      </c>
      <c r="G361" s="23">
        <f t="shared" si="5"/>
        <v>40.4</v>
      </c>
    </row>
    <row r="362" spans="1:7" x14ac:dyDescent="0.25">
      <c r="A362" s="41">
        <v>45922</v>
      </c>
      <c r="B362" s="23" t="s">
        <v>15</v>
      </c>
      <c r="C362" s="23">
        <v>49.2</v>
      </c>
      <c r="D362" s="23">
        <v>0</v>
      </c>
      <c r="E362" s="23">
        <v>2.5</v>
      </c>
      <c r="F362" s="23">
        <v>0</v>
      </c>
      <c r="G362" s="23">
        <f t="shared" si="5"/>
        <v>51.7</v>
      </c>
    </row>
    <row r="363" spans="1:7" x14ac:dyDescent="0.25">
      <c r="A363" s="41">
        <v>45929</v>
      </c>
      <c r="B363" s="23" t="s">
        <v>9</v>
      </c>
      <c r="C363" s="23">
        <v>18.7</v>
      </c>
      <c r="D363" s="23">
        <v>0</v>
      </c>
      <c r="E363" s="23">
        <v>1</v>
      </c>
      <c r="F363" s="23">
        <v>0</v>
      </c>
      <c r="G363" s="23">
        <f t="shared" si="5"/>
        <v>19.7</v>
      </c>
    </row>
    <row r="364" spans="1:7" x14ac:dyDescent="0.25">
      <c r="A364" s="41">
        <v>45929</v>
      </c>
      <c r="B364" s="23" t="s">
        <v>10</v>
      </c>
      <c r="C364" s="23">
        <v>43.5</v>
      </c>
      <c r="D364" s="23">
        <v>2.5</v>
      </c>
      <c r="E364" s="23">
        <v>0</v>
      </c>
      <c r="F364" s="23">
        <v>0</v>
      </c>
      <c r="G364" s="23">
        <f t="shared" si="5"/>
        <v>46</v>
      </c>
    </row>
    <row r="365" spans="1:7" x14ac:dyDescent="0.25">
      <c r="A365" s="41">
        <v>45929</v>
      </c>
      <c r="B365" s="23" t="s">
        <v>11</v>
      </c>
      <c r="C365" s="23">
        <v>19.399999999999999</v>
      </c>
      <c r="D365" s="23">
        <v>4.9000000000000004</v>
      </c>
      <c r="E365" s="23">
        <v>1.2</v>
      </c>
      <c r="F365" s="23">
        <v>0</v>
      </c>
      <c r="G365" s="23">
        <f t="shared" si="5"/>
        <v>25.499999999999996</v>
      </c>
    </row>
    <row r="366" spans="1:7" x14ac:dyDescent="0.25">
      <c r="A366" s="41">
        <v>45929</v>
      </c>
      <c r="B366" s="23" t="s">
        <v>12</v>
      </c>
      <c r="C366" s="23">
        <v>41.1</v>
      </c>
      <c r="D366" s="23">
        <v>4.7</v>
      </c>
      <c r="E366" s="23">
        <v>0.8</v>
      </c>
      <c r="F366" s="23">
        <v>0</v>
      </c>
      <c r="G366" s="23">
        <f t="shared" si="5"/>
        <v>46.6</v>
      </c>
    </row>
    <row r="367" spans="1:7" x14ac:dyDescent="0.25">
      <c r="A367" s="41">
        <v>45929</v>
      </c>
      <c r="B367" s="23" t="s">
        <v>13</v>
      </c>
      <c r="C367" s="23">
        <v>43.2</v>
      </c>
      <c r="D367" s="23">
        <v>4.9000000000000004</v>
      </c>
      <c r="E367" s="23">
        <v>0</v>
      </c>
      <c r="F367" s="23">
        <v>0</v>
      </c>
      <c r="G367" s="23">
        <f t="shared" si="5"/>
        <v>48.1</v>
      </c>
    </row>
    <row r="368" spans="1:7" x14ac:dyDescent="0.25">
      <c r="A368" s="41">
        <v>45929</v>
      </c>
      <c r="B368" s="23" t="s">
        <v>14</v>
      </c>
      <c r="C368" s="23">
        <v>44.7</v>
      </c>
      <c r="D368" s="23">
        <v>0</v>
      </c>
      <c r="E368" s="23">
        <v>1</v>
      </c>
      <c r="F368" s="23">
        <v>0</v>
      </c>
      <c r="G368" s="23">
        <f t="shared" si="5"/>
        <v>45.7</v>
      </c>
    </row>
    <row r="369" spans="1:7" x14ac:dyDescent="0.25">
      <c r="A369" s="41">
        <v>45929</v>
      </c>
      <c r="B369" s="23" t="s">
        <v>15</v>
      </c>
      <c r="C369" s="23">
        <v>17.399999999999999</v>
      </c>
      <c r="D369" s="23">
        <v>0</v>
      </c>
      <c r="E369" s="23">
        <v>0</v>
      </c>
      <c r="F369" s="23">
        <v>0</v>
      </c>
      <c r="G369" s="23">
        <f t="shared" si="5"/>
        <v>17.399999999999999</v>
      </c>
    </row>
    <row r="370" spans="1:7" x14ac:dyDescent="0.25">
      <c r="A370" s="41">
        <v>45929</v>
      </c>
      <c r="B370" s="23" t="s">
        <v>16</v>
      </c>
      <c r="C370" s="23">
        <v>27</v>
      </c>
      <c r="D370" s="23">
        <v>0</v>
      </c>
      <c r="E370" s="23">
        <v>0</v>
      </c>
      <c r="F370" s="23">
        <v>0</v>
      </c>
      <c r="G370" s="23">
        <f t="shared" si="5"/>
        <v>27</v>
      </c>
    </row>
    <row r="371" spans="1:7" x14ac:dyDescent="0.25">
      <c r="A371" s="41">
        <v>45936</v>
      </c>
      <c r="B371" s="23" t="s">
        <v>9</v>
      </c>
      <c r="C371" s="23">
        <v>31.9</v>
      </c>
      <c r="D371" s="23">
        <v>0</v>
      </c>
      <c r="E371" s="23">
        <v>0</v>
      </c>
      <c r="F371" s="23">
        <v>0</v>
      </c>
      <c r="G371" s="23">
        <f t="shared" si="5"/>
        <v>31.9</v>
      </c>
    </row>
    <row r="372" spans="1:7" x14ac:dyDescent="0.25">
      <c r="A372" s="41">
        <v>45936</v>
      </c>
      <c r="B372" s="23" t="s">
        <v>10</v>
      </c>
      <c r="C372" s="23">
        <v>53.2</v>
      </c>
      <c r="D372" s="23">
        <v>5.6</v>
      </c>
      <c r="E372" s="23">
        <v>0</v>
      </c>
      <c r="F372" s="23">
        <v>0</v>
      </c>
      <c r="G372" s="23">
        <f t="shared" si="5"/>
        <v>58.800000000000004</v>
      </c>
    </row>
    <row r="373" spans="1:7" x14ac:dyDescent="0.25">
      <c r="A373" s="41">
        <v>45936</v>
      </c>
      <c r="B373" s="23" t="s">
        <v>11</v>
      </c>
      <c r="C373" s="23">
        <v>54.6</v>
      </c>
      <c r="D373" s="23">
        <v>0</v>
      </c>
      <c r="E373" s="23">
        <v>2</v>
      </c>
      <c r="F373" s="23">
        <v>0</v>
      </c>
      <c r="G373" s="23">
        <f t="shared" si="5"/>
        <v>56.6</v>
      </c>
    </row>
    <row r="374" spans="1:7" x14ac:dyDescent="0.25">
      <c r="A374" s="41">
        <v>45936</v>
      </c>
      <c r="B374" s="23" t="s">
        <v>12</v>
      </c>
      <c r="C374" s="23">
        <v>35.4</v>
      </c>
      <c r="D374" s="23">
        <v>0</v>
      </c>
      <c r="E374" s="23">
        <v>0</v>
      </c>
      <c r="F374" s="23">
        <v>0</v>
      </c>
      <c r="G374" s="23">
        <f t="shared" si="5"/>
        <v>35.4</v>
      </c>
    </row>
    <row r="375" spans="1:7" x14ac:dyDescent="0.25">
      <c r="A375" s="41">
        <v>45936</v>
      </c>
      <c r="B375" s="23" t="s">
        <v>13</v>
      </c>
      <c r="C375" s="23">
        <v>28.7</v>
      </c>
      <c r="D375" s="23">
        <v>6.5</v>
      </c>
      <c r="E375" s="23">
        <v>1.7</v>
      </c>
      <c r="F375" s="23">
        <v>0</v>
      </c>
      <c r="G375" s="23">
        <f t="shared" si="5"/>
        <v>36.900000000000006</v>
      </c>
    </row>
    <row r="376" spans="1:7" x14ac:dyDescent="0.25">
      <c r="A376" s="41">
        <v>45936</v>
      </c>
      <c r="B376" s="23" t="s">
        <v>14</v>
      </c>
      <c r="C376" s="23">
        <v>32.4</v>
      </c>
      <c r="D376" s="23">
        <v>0</v>
      </c>
      <c r="E376" s="23">
        <v>0</v>
      </c>
      <c r="F376" s="23">
        <v>0</v>
      </c>
      <c r="G376" s="23">
        <f t="shared" si="5"/>
        <v>32.4</v>
      </c>
    </row>
    <row r="377" spans="1:7" x14ac:dyDescent="0.25">
      <c r="A377" s="41">
        <v>45936</v>
      </c>
      <c r="B377" s="23" t="s">
        <v>15</v>
      </c>
      <c r="C377" s="23">
        <v>37.799999999999997</v>
      </c>
      <c r="D377" s="23">
        <v>9.9</v>
      </c>
      <c r="E377" s="23">
        <v>1.3</v>
      </c>
      <c r="F377" s="23">
        <v>0</v>
      </c>
      <c r="G377" s="23">
        <f t="shared" si="5"/>
        <v>48.999999999999993</v>
      </c>
    </row>
    <row r="378" spans="1:7" x14ac:dyDescent="0.25">
      <c r="A378" s="41">
        <v>45943</v>
      </c>
      <c r="B378" s="23" t="s">
        <v>9</v>
      </c>
      <c r="C378" s="23">
        <v>44.4</v>
      </c>
      <c r="D378" s="23">
        <v>9.1</v>
      </c>
      <c r="E378" s="23">
        <v>0</v>
      </c>
      <c r="F378" s="23">
        <v>0</v>
      </c>
      <c r="G378" s="23">
        <f t="shared" si="5"/>
        <v>53.5</v>
      </c>
    </row>
    <row r="379" spans="1:7" x14ac:dyDescent="0.25">
      <c r="A379" s="41">
        <v>45943</v>
      </c>
      <c r="B379" s="23" t="s">
        <v>10</v>
      </c>
      <c r="C379" s="23">
        <v>41.4</v>
      </c>
      <c r="D379" s="23">
        <v>0</v>
      </c>
      <c r="E379" s="23">
        <v>0</v>
      </c>
      <c r="F379" s="23">
        <v>0</v>
      </c>
      <c r="G379" s="23">
        <f t="shared" si="5"/>
        <v>41.4</v>
      </c>
    </row>
    <row r="380" spans="1:7" x14ac:dyDescent="0.25">
      <c r="A380" s="41">
        <v>45943</v>
      </c>
      <c r="B380" s="23" t="s">
        <v>11</v>
      </c>
      <c r="C380" s="23">
        <v>43.6</v>
      </c>
      <c r="D380" s="23">
        <v>10.3</v>
      </c>
      <c r="E380" s="23">
        <v>0</v>
      </c>
      <c r="F380" s="23">
        <v>0</v>
      </c>
      <c r="G380" s="23">
        <f t="shared" si="5"/>
        <v>53.900000000000006</v>
      </c>
    </row>
    <row r="381" spans="1:7" x14ac:dyDescent="0.25">
      <c r="A381" s="41">
        <v>45943</v>
      </c>
      <c r="B381" s="23" t="s">
        <v>12</v>
      </c>
      <c r="C381" s="23">
        <v>45</v>
      </c>
      <c r="D381" s="23">
        <v>7.6</v>
      </c>
      <c r="E381" s="23">
        <v>0</v>
      </c>
      <c r="F381" s="23">
        <v>8</v>
      </c>
      <c r="G381" s="23">
        <f t="shared" si="5"/>
        <v>60.6</v>
      </c>
    </row>
    <row r="382" spans="1:7" x14ac:dyDescent="0.25">
      <c r="A382" s="41">
        <v>45943</v>
      </c>
      <c r="B382" s="23" t="s">
        <v>13</v>
      </c>
      <c r="C382" s="23">
        <v>28.8</v>
      </c>
      <c r="D382" s="23">
        <v>0</v>
      </c>
      <c r="E382" s="23">
        <v>0</v>
      </c>
      <c r="F382" s="23">
        <v>0</v>
      </c>
      <c r="G382" s="23">
        <f t="shared" si="5"/>
        <v>28.8</v>
      </c>
    </row>
    <row r="383" spans="1:7" x14ac:dyDescent="0.25">
      <c r="A383" s="41">
        <v>45943</v>
      </c>
      <c r="B383" s="23" t="s">
        <v>14</v>
      </c>
      <c r="C383" s="23">
        <v>28.2</v>
      </c>
      <c r="D383" s="23">
        <v>0</v>
      </c>
      <c r="E383" s="23">
        <v>0</v>
      </c>
      <c r="F383" s="23">
        <v>0</v>
      </c>
      <c r="G383" s="23">
        <f t="shared" si="5"/>
        <v>28.2</v>
      </c>
    </row>
    <row r="384" spans="1:7" x14ac:dyDescent="0.25">
      <c r="A384" s="41">
        <v>45943</v>
      </c>
      <c r="B384" s="23" t="s">
        <v>15</v>
      </c>
      <c r="C384" s="23">
        <v>27.6</v>
      </c>
      <c r="D384" s="23">
        <v>0</v>
      </c>
      <c r="E384" s="23">
        <v>0</v>
      </c>
      <c r="F384" s="23">
        <v>0</v>
      </c>
      <c r="G384" s="23">
        <f t="shared" si="5"/>
        <v>27.6</v>
      </c>
    </row>
    <row r="385" spans="1:7" x14ac:dyDescent="0.25">
      <c r="A385" s="41">
        <v>45950</v>
      </c>
      <c r="B385" s="23" t="s">
        <v>9</v>
      </c>
      <c r="C385" s="23">
        <v>33.200000000000003</v>
      </c>
      <c r="D385" s="23">
        <v>0</v>
      </c>
      <c r="E385" s="23">
        <v>3.3</v>
      </c>
      <c r="F385" s="23">
        <v>0</v>
      </c>
      <c r="G385" s="23">
        <f t="shared" si="5"/>
        <v>36.5</v>
      </c>
    </row>
    <row r="386" spans="1:7" x14ac:dyDescent="0.25">
      <c r="A386" s="41">
        <v>45950</v>
      </c>
      <c r="B386" s="23" t="s">
        <v>10</v>
      </c>
      <c r="C386" s="23">
        <v>17.7</v>
      </c>
      <c r="D386" s="23">
        <v>2.7</v>
      </c>
      <c r="E386" s="23">
        <v>0</v>
      </c>
      <c r="F386" s="23">
        <v>0</v>
      </c>
      <c r="G386" s="23">
        <f t="shared" si="5"/>
        <v>20.399999999999999</v>
      </c>
    </row>
    <row r="387" spans="1:7" x14ac:dyDescent="0.25">
      <c r="A387" s="41">
        <v>45950</v>
      </c>
      <c r="B387" s="23" t="s">
        <v>11</v>
      </c>
      <c r="C387" s="23">
        <v>20.3</v>
      </c>
      <c r="D387" s="23">
        <v>1.8</v>
      </c>
      <c r="E387" s="23">
        <v>0</v>
      </c>
      <c r="F387" s="23">
        <v>0</v>
      </c>
      <c r="G387" s="23">
        <f t="shared" si="5"/>
        <v>22.1</v>
      </c>
    </row>
    <row r="388" spans="1:7" x14ac:dyDescent="0.25">
      <c r="A388" s="41">
        <v>45950</v>
      </c>
      <c r="B388" s="23" t="s">
        <v>12</v>
      </c>
      <c r="C388" s="23">
        <v>26.5</v>
      </c>
      <c r="D388" s="23">
        <v>0</v>
      </c>
      <c r="E388" s="23">
        <v>1.5</v>
      </c>
      <c r="F388" s="23">
        <v>0</v>
      </c>
      <c r="G388" s="23">
        <f t="shared" ref="G388:G451" si="6">C388+D388+E388+F388</f>
        <v>28</v>
      </c>
    </row>
    <row r="389" spans="1:7" x14ac:dyDescent="0.25">
      <c r="A389" s="41">
        <v>45950</v>
      </c>
      <c r="B389" s="23" t="s">
        <v>13</v>
      </c>
      <c r="C389" s="23">
        <v>46.7</v>
      </c>
      <c r="D389" s="23">
        <v>0</v>
      </c>
      <c r="E389" s="23">
        <v>0</v>
      </c>
      <c r="F389" s="23">
        <v>0</v>
      </c>
      <c r="G389" s="23">
        <f t="shared" si="6"/>
        <v>46.7</v>
      </c>
    </row>
    <row r="390" spans="1:7" x14ac:dyDescent="0.25">
      <c r="A390" s="41">
        <v>45950</v>
      </c>
      <c r="B390" s="23" t="s">
        <v>14</v>
      </c>
      <c r="C390" s="23">
        <v>36.700000000000003</v>
      </c>
      <c r="D390" s="23">
        <v>0</v>
      </c>
      <c r="E390" s="23">
        <v>0</v>
      </c>
      <c r="F390" s="23">
        <v>0</v>
      </c>
      <c r="G390" s="23">
        <f t="shared" si="6"/>
        <v>36.700000000000003</v>
      </c>
    </row>
    <row r="391" spans="1:7" x14ac:dyDescent="0.25">
      <c r="A391" s="41">
        <v>45950</v>
      </c>
      <c r="B391" s="23" t="s">
        <v>15</v>
      </c>
      <c r="C391" s="23">
        <v>43</v>
      </c>
      <c r="D391" s="23">
        <v>3.1</v>
      </c>
      <c r="E391" s="23">
        <v>3</v>
      </c>
      <c r="F391" s="23">
        <v>0</v>
      </c>
      <c r="G391" s="23">
        <f t="shared" si="6"/>
        <v>49.1</v>
      </c>
    </row>
    <row r="392" spans="1:7" x14ac:dyDescent="0.25">
      <c r="A392" s="41">
        <v>45950</v>
      </c>
      <c r="B392" s="23" t="s">
        <v>16</v>
      </c>
      <c r="C392" s="23">
        <v>35.9</v>
      </c>
      <c r="D392" s="23">
        <v>4.4000000000000004</v>
      </c>
      <c r="E392" s="23">
        <v>2.2000000000000002</v>
      </c>
      <c r="F392" s="23">
        <v>0</v>
      </c>
      <c r="G392" s="23">
        <f t="shared" si="6"/>
        <v>42.5</v>
      </c>
    </row>
    <row r="393" spans="1:7" x14ac:dyDescent="0.25">
      <c r="A393" s="41">
        <v>45957</v>
      </c>
      <c r="B393" s="23" t="s">
        <v>9</v>
      </c>
      <c r="C393" s="23">
        <v>17.8</v>
      </c>
      <c r="D393" s="23">
        <v>5.7</v>
      </c>
      <c r="E393" s="23">
        <v>0</v>
      </c>
      <c r="F393" s="23">
        <v>0</v>
      </c>
      <c r="G393" s="23">
        <f t="shared" si="6"/>
        <v>23.5</v>
      </c>
    </row>
    <row r="394" spans="1:7" x14ac:dyDescent="0.25">
      <c r="A394" s="41">
        <v>45957</v>
      </c>
      <c r="B394" s="23" t="s">
        <v>10</v>
      </c>
      <c r="C394" s="23">
        <v>32.1</v>
      </c>
      <c r="D394" s="23">
        <v>0</v>
      </c>
      <c r="E394" s="23">
        <v>0.9</v>
      </c>
      <c r="F394" s="23">
        <v>0</v>
      </c>
      <c r="G394" s="23">
        <f t="shared" si="6"/>
        <v>33</v>
      </c>
    </row>
    <row r="395" spans="1:7" x14ac:dyDescent="0.25">
      <c r="A395" s="41">
        <v>45957</v>
      </c>
      <c r="B395" s="23" t="s">
        <v>11</v>
      </c>
      <c r="C395" s="23">
        <v>31.6</v>
      </c>
      <c r="D395" s="23">
        <v>3.8</v>
      </c>
      <c r="E395" s="23">
        <v>1.2</v>
      </c>
      <c r="F395" s="23">
        <v>0</v>
      </c>
      <c r="G395" s="23">
        <f t="shared" si="6"/>
        <v>36.6</v>
      </c>
    </row>
    <row r="396" spans="1:7" x14ac:dyDescent="0.25">
      <c r="A396" s="41">
        <v>45957</v>
      </c>
      <c r="B396" s="23" t="s">
        <v>12</v>
      </c>
      <c r="C396" s="23">
        <v>46.6</v>
      </c>
      <c r="D396" s="23">
        <v>0</v>
      </c>
      <c r="E396" s="23">
        <v>0</v>
      </c>
      <c r="F396" s="23">
        <v>0</v>
      </c>
      <c r="G396" s="23">
        <f t="shared" si="6"/>
        <v>46.6</v>
      </c>
    </row>
    <row r="397" spans="1:7" x14ac:dyDescent="0.25">
      <c r="A397" s="41">
        <v>45957</v>
      </c>
      <c r="B397" s="23" t="s">
        <v>13</v>
      </c>
      <c r="C397" s="23">
        <v>33</v>
      </c>
      <c r="D397" s="23">
        <v>0</v>
      </c>
      <c r="E397" s="23">
        <v>1.2</v>
      </c>
      <c r="F397" s="23">
        <v>0</v>
      </c>
      <c r="G397" s="23">
        <f t="shared" si="6"/>
        <v>34.200000000000003</v>
      </c>
    </row>
    <row r="398" spans="1:7" x14ac:dyDescent="0.25">
      <c r="A398" s="41">
        <v>45957</v>
      </c>
      <c r="B398" s="23" t="s">
        <v>14</v>
      </c>
      <c r="C398" s="23">
        <v>27.9</v>
      </c>
      <c r="D398" s="23">
        <v>4.9000000000000004</v>
      </c>
      <c r="E398" s="23">
        <v>0</v>
      </c>
      <c r="F398" s="23">
        <v>0</v>
      </c>
      <c r="G398" s="23">
        <f t="shared" si="6"/>
        <v>32.799999999999997</v>
      </c>
    </row>
    <row r="399" spans="1:7" x14ac:dyDescent="0.25">
      <c r="A399" s="41">
        <v>45957</v>
      </c>
      <c r="B399" s="23" t="s">
        <v>15</v>
      </c>
      <c r="C399" s="23">
        <v>30.4</v>
      </c>
      <c r="D399" s="23">
        <v>0</v>
      </c>
      <c r="E399" s="23">
        <v>1.7</v>
      </c>
      <c r="F399" s="23">
        <v>0</v>
      </c>
      <c r="G399" s="23">
        <f t="shared" si="6"/>
        <v>32.1</v>
      </c>
    </row>
    <row r="400" spans="1:7" x14ac:dyDescent="0.25">
      <c r="A400" s="41">
        <v>45957</v>
      </c>
      <c r="B400" s="23" t="s">
        <v>16</v>
      </c>
      <c r="C400" s="23">
        <v>35.6</v>
      </c>
      <c r="D400" s="23">
        <v>7.6</v>
      </c>
      <c r="E400" s="23">
        <v>0</v>
      </c>
      <c r="F400" s="23">
        <v>0</v>
      </c>
      <c r="G400" s="23">
        <f t="shared" si="6"/>
        <v>43.2</v>
      </c>
    </row>
    <row r="401" spans="1:7" x14ac:dyDescent="0.25">
      <c r="A401" s="41">
        <v>45964</v>
      </c>
      <c r="B401" s="23" t="s">
        <v>9</v>
      </c>
      <c r="C401" s="23">
        <v>16.2</v>
      </c>
      <c r="D401" s="23">
        <v>9.9</v>
      </c>
      <c r="E401" s="23">
        <v>0</v>
      </c>
      <c r="F401" s="23">
        <v>0</v>
      </c>
      <c r="G401" s="23">
        <f t="shared" si="6"/>
        <v>26.1</v>
      </c>
    </row>
    <row r="402" spans="1:7" x14ac:dyDescent="0.25">
      <c r="A402" s="41">
        <v>45964</v>
      </c>
      <c r="B402" s="23" t="s">
        <v>10</v>
      </c>
      <c r="C402" s="23">
        <v>21.1</v>
      </c>
      <c r="D402" s="23">
        <v>0</v>
      </c>
      <c r="E402" s="23">
        <v>0</v>
      </c>
      <c r="F402" s="23">
        <v>0</v>
      </c>
      <c r="G402" s="23">
        <f t="shared" si="6"/>
        <v>21.1</v>
      </c>
    </row>
    <row r="403" spans="1:7" x14ac:dyDescent="0.25">
      <c r="A403" s="41">
        <v>45964</v>
      </c>
      <c r="B403" s="23" t="s">
        <v>11</v>
      </c>
      <c r="C403" s="23">
        <v>38.9</v>
      </c>
      <c r="D403" s="23">
        <v>4</v>
      </c>
      <c r="E403" s="23">
        <v>0</v>
      </c>
      <c r="F403" s="23">
        <v>0</v>
      </c>
      <c r="G403" s="23">
        <f t="shared" si="6"/>
        <v>42.9</v>
      </c>
    </row>
    <row r="404" spans="1:7" x14ac:dyDescent="0.25">
      <c r="A404" s="41">
        <v>45964</v>
      </c>
      <c r="B404" s="23" t="s">
        <v>12</v>
      </c>
      <c r="C404" s="23">
        <v>41.8</v>
      </c>
      <c r="D404" s="23">
        <v>8.4</v>
      </c>
      <c r="E404" s="23">
        <v>0.7</v>
      </c>
      <c r="F404" s="23">
        <v>0</v>
      </c>
      <c r="G404" s="23">
        <f t="shared" si="6"/>
        <v>50.9</v>
      </c>
    </row>
    <row r="405" spans="1:7" x14ac:dyDescent="0.25">
      <c r="A405" s="41">
        <v>45964</v>
      </c>
      <c r="B405" s="23" t="s">
        <v>13</v>
      </c>
      <c r="C405" s="23">
        <v>24.6</v>
      </c>
      <c r="D405" s="23">
        <v>0</v>
      </c>
      <c r="E405" s="23">
        <v>0</v>
      </c>
      <c r="F405" s="23">
        <v>0</v>
      </c>
      <c r="G405" s="23">
        <f t="shared" si="6"/>
        <v>24.6</v>
      </c>
    </row>
    <row r="406" spans="1:7" x14ac:dyDescent="0.25">
      <c r="A406" s="41">
        <v>45964</v>
      </c>
      <c r="B406" s="23" t="s">
        <v>14</v>
      </c>
      <c r="C406" s="23">
        <v>24.4</v>
      </c>
      <c r="D406" s="23">
        <v>0</v>
      </c>
      <c r="E406" s="23">
        <v>1.1000000000000001</v>
      </c>
      <c r="F406" s="23">
        <v>0</v>
      </c>
      <c r="G406" s="23">
        <f t="shared" si="6"/>
        <v>25.5</v>
      </c>
    </row>
    <row r="407" spans="1:7" x14ac:dyDescent="0.25">
      <c r="A407" s="41">
        <v>45964</v>
      </c>
      <c r="B407" s="23" t="s">
        <v>15</v>
      </c>
      <c r="C407" s="23">
        <v>27.1</v>
      </c>
      <c r="D407" s="23">
        <v>5.7</v>
      </c>
      <c r="E407" s="23">
        <v>0.6</v>
      </c>
      <c r="F407" s="23">
        <v>0</v>
      </c>
      <c r="G407" s="23">
        <f t="shared" si="6"/>
        <v>33.400000000000006</v>
      </c>
    </row>
    <row r="408" spans="1:7" x14ac:dyDescent="0.25">
      <c r="A408" s="41">
        <v>45964</v>
      </c>
      <c r="B408" s="23" t="s">
        <v>16</v>
      </c>
      <c r="C408" s="23">
        <v>39.6</v>
      </c>
      <c r="D408" s="23">
        <v>0</v>
      </c>
      <c r="E408" s="23">
        <v>0</v>
      </c>
      <c r="F408" s="23">
        <v>0</v>
      </c>
      <c r="G408" s="23">
        <f t="shared" si="6"/>
        <v>39.6</v>
      </c>
    </row>
    <row r="409" spans="1:7" x14ac:dyDescent="0.25">
      <c r="A409" s="41">
        <v>45964</v>
      </c>
      <c r="B409" s="23" t="s">
        <v>17</v>
      </c>
      <c r="C409" s="23">
        <v>29.3</v>
      </c>
      <c r="D409" s="23">
        <v>0</v>
      </c>
      <c r="E409" s="23">
        <v>0.6</v>
      </c>
      <c r="F409" s="23">
        <v>0</v>
      </c>
      <c r="G409" s="23">
        <f t="shared" si="6"/>
        <v>29.900000000000002</v>
      </c>
    </row>
    <row r="410" spans="1:7" x14ac:dyDescent="0.25">
      <c r="A410" s="41">
        <v>45971</v>
      </c>
      <c r="B410" s="23" t="s">
        <v>9</v>
      </c>
      <c r="C410" s="23">
        <v>26.7</v>
      </c>
      <c r="D410" s="23">
        <v>0</v>
      </c>
      <c r="E410" s="23">
        <v>1</v>
      </c>
      <c r="F410" s="23">
        <v>0</v>
      </c>
      <c r="G410" s="23">
        <f t="shared" si="6"/>
        <v>27.7</v>
      </c>
    </row>
    <row r="411" spans="1:7" x14ac:dyDescent="0.25">
      <c r="A411" s="41">
        <v>45971</v>
      </c>
      <c r="B411" s="23" t="s">
        <v>10</v>
      </c>
      <c r="C411" s="23">
        <v>20.2</v>
      </c>
      <c r="D411" s="23">
        <v>0</v>
      </c>
      <c r="E411" s="23">
        <v>0.9</v>
      </c>
      <c r="F411" s="23">
        <v>0</v>
      </c>
      <c r="G411" s="23">
        <f t="shared" si="6"/>
        <v>21.099999999999998</v>
      </c>
    </row>
    <row r="412" spans="1:7" x14ac:dyDescent="0.25">
      <c r="A412" s="41">
        <v>45971</v>
      </c>
      <c r="B412" s="23" t="s">
        <v>11</v>
      </c>
      <c r="C412" s="23">
        <v>27.8</v>
      </c>
      <c r="D412" s="23">
        <v>9.1999999999999993</v>
      </c>
      <c r="E412" s="23">
        <v>0.7</v>
      </c>
      <c r="F412" s="23">
        <v>0</v>
      </c>
      <c r="G412" s="23">
        <f t="shared" si="6"/>
        <v>37.700000000000003</v>
      </c>
    </row>
    <row r="413" spans="1:7" x14ac:dyDescent="0.25">
      <c r="A413" s="41">
        <v>45971</v>
      </c>
      <c r="B413" s="23" t="s">
        <v>12</v>
      </c>
      <c r="C413" s="23">
        <v>26.7</v>
      </c>
      <c r="D413" s="23">
        <v>0</v>
      </c>
      <c r="E413" s="23">
        <v>0</v>
      </c>
      <c r="F413" s="23">
        <v>0</v>
      </c>
      <c r="G413" s="23">
        <f t="shared" si="6"/>
        <v>26.7</v>
      </c>
    </row>
    <row r="414" spans="1:7" x14ac:dyDescent="0.25">
      <c r="A414" s="41">
        <v>45971</v>
      </c>
      <c r="B414" s="23" t="s">
        <v>13</v>
      </c>
      <c r="C414" s="23">
        <v>31.8</v>
      </c>
      <c r="D414" s="23">
        <v>0</v>
      </c>
      <c r="E414" s="23">
        <v>0</v>
      </c>
      <c r="F414" s="23">
        <v>4</v>
      </c>
      <c r="G414" s="23">
        <f t="shared" si="6"/>
        <v>35.799999999999997</v>
      </c>
    </row>
    <row r="415" spans="1:7" x14ac:dyDescent="0.25">
      <c r="A415" s="41">
        <v>45971</v>
      </c>
      <c r="B415" s="23" t="s">
        <v>14</v>
      </c>
      <c r="C415" s="23">
        <v>40.9</v>
      </c>
      <c r="D415" s="23">
        <v>9</v>
      </c>
      <c r="E415" s="23">
        <v>0.4</v>
      </c>
      <c r="F415" s="23">
        <v>0</v>
      </c>
      <c r="G415" s="23">
        <f t="shared" si="6"/>
        <v>50.3</v>
      </c>
    </row>
    <row r="416" spans="1:7" x14ac:dyDescent="0.25">
      <c r="A416" s="41">
        <v>45971</v>
      </c>
      <c r="B416" s="23" t="s">
        <v>15</v>
      </c>
      <c r="C416" s="23">
        <v>22.4</v>
      </c>
      <c r="D416" s="23">
        <v>3.6</v>
      </c>
      <c r="E416" s="23">
        <v>0</v>
      </c>
      <c r="F416" s="23">
        <v>0</v>
      </c>
      <c r="G416" s="23">
        <f t="shared" si="6"/>
        <v>26</v>
      </c>
    </row>
    <row r="417" spans="1:7" x14ac:dyDescent="0.25">
      <c r="A417" s="41">
        <v>45971</v>
      </c>
      <c r="B417" s="23" t="s">
        <v>16</v>
      </c>
      <c r="C417" s="23">
        <v>31.7</v>
      </c>
      <c r="D417" s="23">
        <v>0</v>
      </c>
      <c r="E417" s="23">
        <v>0</v>
      </c>
      <c r="F417" s="23">
        <v>0</v>
      </c>
      <c r="G417" s="23">
        <f t="shared" si="6"/>
        <v>31.7</v>
      </c>
    </row>
    <row r="418" spans="1:7" x14ac:dyDescent="0.25">
      <c r="A418" s="41">
        <v>45971</v>
      </c>
      <c r="B418" s="23" t="s">
        <v>17</v>
      </c>
      <c r="C418" s="23">
        <v>31.8</v>
      </c>
      <c r="D418" s="23">
        <v>7.2</v>
      </c>
      <c r="E418" s="23">
        <v>0</v>
      </c>
      <c r="F418" s="23">
        <v>0</v>
      </c>
      <c r="G418" s="23">
        <f t="shared" si="6"/>
        <v>39</v>
      </c>
    </row>
    <row r="419" spans="1:7" x14ac:dyDescent="0.25">
      <c r="A419" s="41">
        <v>45978</v>
      </c>
      <c r="B419" s="23" t="s">
        <v>9</v>
      </c>
      <c r="C419" s="23">
        <v>35.6</v>
      </c>
      <c r="D419" s="23">
        <v>5.6</v>
      </c>
      <c r="E419" s="23">
        <v>0.6</v>
      </c>
      <c r="F419" s="23">
        <v>0</v>
      </c>
      <c r="G419" s="23">
        <f t="shared" si="6"/>
        <v>41.800000000000004</v>
      </c>
    </row>
    <row r="420" spans="1:7" x14ac:dyDescent="0.25">
      <c r="A420" s="41">
        <v>45978</v>
      </c>
      <c r="B420" s="23" t="s">
        <v>10</v>
      </c>
      <c r="C420" s="23">
        <v>34.1</v>
      </c>
      <c r="D420" s="23">
        <v>0</v>
      </c>
      <c r="E420" s="23">
        <v>0.4</v>
      </c>
      <c r="F420" s="23">
        <v>0</v>
      </c>
      <c r="G420" s="23">
        <f t="shared" si="6"/>
        <v>34.5</v>
      </c>
    </row>
    <row r="421" spans="1:7" x14ac:dyDescent="0.25">
      <c r="A421" s="41">
        <v>45978</v>
      </c>
      <c r="B421" s="23" t="s">
        <v>11</v>
      </c>
      <c r="C421" s="23">
        <v>29.8</v>
      </c>
      <c r="D421" s="23">
        <v>5.3</v>
      </c>
      <c r="E421" s="23">
        <v>0</v>
      </c>
      <c r="F421" s="23">
        <v>0</v>
      </c>
      <c r="G421" s="23">
        <f t="shared" si="6"/>
        <v>35.1</v>
      </c>
    </row>
    <row r="422" spans="1:7" x14ac:dyDescent="0.25">
      <c r="A422" s="41">
        <v>45978</v>
      </c>
      <c r="B422" s="23" t="s">
        <v>12</v>
      </c>
      <c r="C422" s="23">
        <v>38.1</v>
      </c>
      <c r="D422" s="23">
        <v>0</v>
      </c>
      <c r="E422" s="23">
        <v>0</v>
      </c>
      <c r="F422" s="23">
        <v>0</v>
      </c>
      <c r="G422" s="23">
        <f t="shared" si="6"/>
        <v>38.1</v>
      </c>
    </row>
    <row r="423" spans="1:7" x14ac:dyDescent="0.25">
      <c r="A423" s="41">
        <v>45978</v>
      </c>
      <c r="B423" s="23" t="s">
        <v>13</v>
      </c>
      <c r="C423" s="23">
        <v>24.9</v>
      </c>
      <c r="D423" s="23">
        <v>3.2</v>
      </c>
      <c r="E423" s="23">
        <v>0</v>
      </c>
      <c r="F423" s="23">
        <v>0</v>
      </c>
      <c r="G423" s="23">
        <f t="shared" si="6"/>
        <v>28.099999999999998</v>
      </c>
    </row>
    <row r="424" spans="1:7" x14ac:dyDescent="0.25">
      <c r="A424" s="41">
        <v>45978</v>
      </c>
      <c r="B424" s="23" t="s">
        <v>14</v>
      </c>
      <c r="C424" s="23">
        <v>20.3</v>
      </c>
      <c r="D424" s="23">
        <v>0</v>
      </c>
      <c r="E424" s="23">
        <v>0</v>
      </c>
      <c r="F424" s="23">
        <v>0</v>
      </c>
      <c r="G424" s="23">
        <f t="shared" si="6"/>
        <v>20.3</v>
      </c>
    </row>
    <row r="425" spans="1:7" x14ac:dyDescent="0.25">
      <c r="A425" s="41">
        <v>45978</v>
      </c>
      <c r="B425" s="23" t="s">
        <v>15</v>
      </c>
      <c r="C425" s="23">
        <v>41</v>
      </c>
      <c r="D425" s="23">
        <v>4.9000000000000004</v>
      </c>
      <c r="E425" s="23">
        <v>0.6</v>
      </c>
      <c r="F425" s="23">
        <v>0</v>
      </c>
      <c r="G425" s="23">
        <f t="shared" si="6"/>
        <v>46.5</v>
      </c>
    </row>
    <row r="426" spans="1:7" x14ac:dyDescent="0.25">
      <c r="A426" s="41">
        <v>45978</v>
      </c>
      <c r="B426" s="23" t="s">
        <v>16</v>
      </c>
      <c r="C426" s="23">
        <v>33.200000000000003</v>
      </c>
      <c r="D426" s="23">
        <v>0</v>
      </c>
      <c r="E426" s="23">
        <v>0.4</v>
      </c>
      <c r="F426" s="23">
        <v>0</v>
      </c>
      <c r="G426" s="23">
        <f t="shared" si="6"/>
        <v>33.6</v>
      </c>
    </row>
    <row r="427" spans="1:7" x14ac:dyDescent="0.25">
      <c r="A427" s="41">
        <v>45985</v>
      </c>
      <c r="B427" s="23" t="s">
        <v>9</v>
      </c>
      <c r="C427" s="23">
        <v>38</v>
      </c>
      <c r="D427" s="23">
        <v>4.0999999999999996</v>
      </c>
      <c r="E427" s="23">
        <v>0.7</v>
      </c>
      <c r="F427" s="23">
        <v>0</v>
      </c>
      <c r="G427" s="23">
        <f t="shared" si="6"/>
        <v>42.800000000000004</v>
      </c>
    </row>
    <row r="428" spans="1:7" x14ac:dyDescent="0.25">
      <c r="A428" s="41">
        <v>45985</v>
      </c>
      <c r="B428" s="23" t="s">
        <v>10</v>
      </c>
      <c r="C428" s="23">
        <v>34.1</v>
      </c>
      <c r="D428" s="23">
        <v>5.0999999999999996</v>
      </c>
      <c r="E428" s="23">
        <v>0</v>
      </c>
      <c r="F428" s="23">
        <v>0</v>
      </c>
      <c r="G428" s="23">
        <f t="shared" si="6"/>
        <v>39.200000000000003</v>
      </c>
    </row>
    <row r="429" spans="1:7" x14ac:dyDescent="0.25">
      <c r="A429" s="41">
        <v>45985</v>
      </c>
      <c r="B429" s="23" t="s">
        <v>11</v>
      </c>
      <c r="C429" s="23">
        <v>40.1</v>
      </c>
      <c r="D429" s="23">
        <v>4.5999999999999996</v>
      </c>
      <c r="E429" s="23">
        <v>1.3</v>
      </c>
      <c r="F429" s="23">
        <v>0</v>
      </c>
      <c r="G429" s="23">
        <f t="shared" si="6"/>
        <v>46</v>
      </c>
    </row>
    <row r="430" spans="1:7" x14ac:dyDescent="0.25">
      <c r="A430" s="41">
        <v>45985</v>
      </c>
      <c r="B430" s="23" t="s">
        <v>12</v>
      </c>
      <c r="C430" s="23">
        <v>32</v>
      </c>
      <c r="D430" s="23">
        <v>7.2</v>
      </c>
      <c r="E430" s="23">
        <v>0</v>
      </c>
      <c r="F430" s="23">
        <v>0</v>
      </c>
      <c r="G430" s="23">
        <f t="shared" si="6"/>
        <v>39.200000000000003</v>
      </c>
    </row>
    <row r="431" spans="1:7" x14ac:dyDescent="0.25">
      <c r="A431" s="41">
        <v>45985</v>
      </c>
      <c r="B431" s="23" t="s">
        <v>13</v>
      </c>
      <c r="C431" s="23">
        <v>36.4</v>
      </c>
      <c r="D431" s="23">
        <v>0</v>
      </c>
      <c r="E431" s="23">
        <v>1.1000000000000001</v>
      </c>
      <c r="F431" s="23">
        <v>0</v>
      </c>
      <c r="G431" s="23">
        <f t="shared" si="6"/>
        <v>37.5</v>
      </c>
    </row>
    <row r="432" spans="1:7" x14ac:dyDescent="0.25">
      <c r="A432" s="41">
        <v>45985</v>
      </c>
      <c r="B432" s="23" t="s">
        <v>14</v>
      </c>
      <c r="C432" s="23">
        <v>28.4</v>
      </c>
      <c r="D432" s="23">
        <v>0</v>
      </c>
      <c r="E432" s="23">
        <v>0.9</v>
      </c>
      <c r="F432" s="23">
        <v>0</v>
      </c>
      <c r="G432" s="23">
        <f t="shared" si="6"/>
        <v>29.299999999999997</v>
      </c>
    </row>
    <row r="433" spans="1:7" x14ac:dyDescent="0.25">
      <c r="A433" s="41">
        <v>45985</v>
      </c>
      <c r="B433" s="23" t="s">
        <v>15</v>
      </c>
      <c r="C433" s="23">
        <v>17.5</v>
      </c>
      <c r="D433" s="23">
        <v>0</v>
      </c>
      <c r="E433" s="23">
        <v>0</v>
      </c>
      <c r="F433" s="23">
        <v>0</v>
      </c>
      <c r="G433" s="23">
        <f t="shared" si="6"/>
        <v>17.5</v>
      </c>
    </row>
    <row r="434" spans="1:7" x14ac:dyDescent="0.25">
      <c r="A434" s="41">
        <v>45985</v>
      </c>
      <c r="B434" s="23" t="s">
        <v>16</v>
      </c>
      <c r="C434" s="23">
        <v>19.5</v>
      </c>
      <c r="D434" s="23">
        <v>0</v>
      </c>
      <c r="E434" s="23">
        <v>0</v>
      </c>
      <c r="F434" s="23">
        <v>0</v>
      </c>
      <c r="G434" s="23">
        <f t="shared" si="6"/>
        <v>19.5</v>
      </c>
    </row>
    <row r="435" spans="1:7" x14ac:dyDescent="0.25">
      <c r="A435" s="41">
        <v>45992</v>
      </c>
      <c r="B435" s="23" t="s">
        <v>9</v>
      </c>
      <c r="C435" s="23">
        <v>36.6</v>
      </c>
      <c r="D435" s="23">
        <v>0</v>
      </c>
      <c r="E435" s="23">
        <v>0.7</v>
      </c>
      <c r="F435" s="23">
        <v>0</v>
      </c>
      <c r="G435" s="23">
        <f t="shared" si="6"/>
        <v>37.300000000000004</v>
      </c>
    </row>
    <row r="436" spans="1:7" x14ac:dyDescent="0.25">
      <c r="A436" s="41">
        <v>45992</v>
      </c>
      <c r="B436" s="23" t="s">
        <v>10</v>
      </c>
      <c r="C436" s="23">
        <v>34</v>
      </c>
      <c r="D436" s="23">
        <v>4.0999999999999996</v>
      </c>
      <c r="E436" s="23">
        <v>0</v>
      </c>
      <c r="F436" s="23">
        <v>0</v>
      </c>
      <c r="G436" s="23">
        <f t="shared" si="6"/>
        <v>38.1</v>
      </c>
    </row>
    <row r="437" spans="1:7" x14ac:dyDescent="0.25">
      <c r="A437" s="41">
        <v>45992</v>
      </c>
      <c r="B437" s="23" t="s">
        <v>11</v>
      </c>
      <c r="C437" s="23">
        <v>30.3</v>
      </c>
      <c r="D437" s="23">
        <v>5.0999999999999996</v>
      </c>
      <c r="E437" s="23">
        <v>1.4</v>
      </c>
      <c r="F437" s="23">
        <v>0</v>
      </c>
      <c r="G437" s="23">
        <f t="shared" si="6"/>
        <v>36.799999999999997</v>
      </c>
    </row>
    <row r="438" spans="1:7" x14ac:dyDescent="0.25">
      <c r="A438" s="41">
        <v>45992</v>
      </c>
      <c r="B438" s="23" t="s">
        <v>12</v>
      </c>
      <c r="C438" s="23">
        <v>18.100000000000001</v>
      </c>
      <c r="D438" s="23">
        <v>0</v>
      </c>
      <c r="E438" s="23">
        <v>0</v>
      </c>
      <c r="F438" s="23">
        <v>0</v>
      </c>
      <c r="G438" s="23">
        <f t="shared" si="6"/>
        <v>18.100000000000001</v>
      </c>
    </row>
    <row r="439" spans="1:7" x14ac:dyDescent="0.25">
      <c r="A439" s="41">
        <v>45992</v>
      </c>
      <c r="B439" s="23" t="s">
        <v>13</v>
      </c>
      <c r="C439" s="23">
        <v>38.700000000000003</v>
      </c>
      <c r="D439" s="23">
        <v>7.5</v>
      </c>
      <c r="E439" s="23">
        <v>0.8</v>
      </c>
      <c r="F439" s="23">
        <v>0</v>
      </c>
      <c r="G439" s="23">
        <f t="shared" si="6"/>
        <v>47</v>
      </c>
    </row>
    <row r="440" spans="1:7" x14ac:dyDescent="0.25">
      <c r="A440" s="41">
        <v>45992</v>
      </c>
      <c r="B440" s="23" t="s">
        <v>14</v>
      </c>
      <c r="C440" s="23">
        <v>24.8</v>
      </c>
      <c r="D440" s="23">
        <v>0</v>
      </c>
      <c r="E440" s="23">
        <v>0</v>
      </c>
      <c r="F440" s="23">
        <v>0</v>
      </c>
      <c r="G440" s="23">
        <f t="shared" si="6"/>
        <v>24.8</v>
      </c>
    </row>
    <row r="441" spans="1:7" x14ac:dyDescent="0.25">
      <c r="A441" s="41">
        <v>45992</v>
      </c>
      <c r="B441" s="23" t="s">
        <v>15</v>
      </c>
      <c r="C441" s="23">
        <v>37.5</v>
      </c>
      <c r="D441" s="23">
        <v>0</v>
      </c>
      <c r="E441" s="23">
        <v>1.1000000000000001</v>
      </c>
      <c r="F441" s="23">
        <v>0</v>
      </c>
      <c r="G441" s="23">
        <f t="shared" si="6"/>
        <v>38.6</v>
      </c>
    </row>
    <row r="442" spans="1:7" x14ac:dyDescent="0.25">
      <c r="A442" s="41">
        <v>45992</v>
      </c>
      <c r="B442" s="23" t="s">
        <v>16</v>
      </c>
      <c r="C442" s="23">
        <v>15</v>
      </c>
      <c r="D442" s="23">
        <v>5.3</v>
      </c>
      <c r="E442" s="23">
        <v>0</v>
      </c>
      <c r="F442" s="23">
        <v>0</v>
      </c>
      <c r="G442" s="23">
        <f t="shared" si="6"/>
        <v>20.3</v>
      </c>
    </row>
    <row r="443" spans="1:7" x14ac:dyDescent="0.25">
      <c r="A443" s="41">
        <v>45999</v>
      </c>
      <c r="B443" s="23" t="s">
        <v>9</v>
      </c>
      <c r="C443" s="23">
        <v>30.7</v>
      </c>
      <c r="D443" s="23">
        <v>0</v>
      </c>
      <c r="E443" s="23">
        <v>0</v>
      </c>
      <c r="F443" s="23">
        <v>0</v>
      </c>
      <c r="G443" s="23">
        <f t="shared" si="6"/>
        <v>30.7</v>
      </c>
    </row>
    <row r="444" spans="1:7" x14ac:dyDescent="0.25">
      <c r="A444" s="41">
        <v>45999</v>
      </c>
      <c r="B444" s="23" t="s">
        <v>10</v>
      </c>
      <c r="C444" s="23">
        <v>52.2</v>
      </c>
      <c r="D444" s="23">
        <v>8.8000000000000007</v>
      </c>
      <c r="E444" s="23">
        <v>0</v>
      </c>
      <c r="F444" s="23">
        <v>0</v>
      </c>
      <c r="G444" s="23">
        <f t="shared" si="6"/>
        <v>61</v>
      </c>
    </row>
    <row r="445" spans="1:7" x14ac:dyDescent="0.25">
      <c r="A445" s="41">
        <v>45999</v>
      </c>
      <c r="B445" s="23" t="s">
        <v>11</v>
      </c>
      <c r="C445" s="23">
        <v>19.899999999999999</v>
      </c>
      <c r="D445" s="23">
        <v>6.3</v>
      </c>
      <c r="E445" s="23">
        <v>0</v>
      </c>
      <c r="F445" s="23">
        <v>0</v>
      </c>
      <c r="G445" s="23">
        <f t="shared" si="6"/>
        <v>26.2</v>
      </c>
    </row>
    <row r="446" spans="1:7" x14ac:dyDescent="0.25">
      <c r="A446" s="41">
        <v>45999</v>
      </c>
      <c r="B446" s="23" t="s">
        <v>12</v>
      </c>
      <c r="C446" s="23">
        <v>50</v>
      </c>
      <c r="D446" s="23">
        <v>0</v>
      </c>
      <c r="E446" s="23">
        <v>0</v>
      </c>
      <c r="F446" s="23">
        <v>0</v>
      </c>
      <c r="G446" s="23">
        <f t="shared" si="6"/>
        <v>50</v>
      </c>
    </row>
    <row r="447" spans="1:7" x14ac:dyDescent="0.25">
      <c r="A447" s="41">
        <v>45999</v>
      </c>
      <c r="B447" s="23" t="s">
        <v>13</v>
      </c>
      <c r="C447" s="23">
        <v>21.3</v>
      </c>
      <c r="D447" s="23">
        <v>0</v>
      </c>
      <c r="E447" s="23">
        <v>0</v>
      </c>
      <c r="F447" s="23">
        <v>0</v>
      </c>
      <c r="G447" s="23">
        <f t="shared" si="6"/>
        <v>21.3</v>
      </c>
    </row>
    <row r="448" spans="1:7" x14ac:dyDescent="0.25">
      <c r="A448" s="41">
        <v>45999</v>
      </c>
      <c r="B448" s="23" t="s">
        <v>14</v>
      </c>
      <c r="C448" s="23">
        <v>53.2</v>
      </c>
      <c r="D448" s="23">
        <v>7.9</v>
      </c>
      <c r="E448" s="23">
        <v>0</v>
      </c>
      <c r="F448" s="23">
        <v>0</v>
      </c>
      <c r="G448" s="23">
        <f t="shared" si="6"/>
        <v>61.1</v>
      </c>
    </row>
    <row r="449" spans="1:7" x14ac:dyDescent="0.25">
      <c r="A449" s="41">
        <v>45999</v>
      </c>
      <c r="B449" s="23" t="s">
        <v>15</v>
      </c>
      <c r="C449" s="23">
        <v>46.7</v>
      </c>
      <c r="D449" s="23">
        <v>0</v>
      </c>
      <c r="E449" s="23">
        <v>0</v>
      </c>
      <c r="F449" s="23">
        <v>0</v>
      </c>
      <c r="G449" s="23">
        <f t="shared" si="6"/>
        <v>46.7</v>
      </c>
    </row>
    <row r="450" spans="1:7" x14ac:dyDescent="0.25">
      <c r="A450" s="41">
        <v>46006</v>
      </c>
      <c r="B450" s="23" t="s">
        <v>9</v>
      </c>
      <c r="C450" s="23">
        <v>35.5</v>
      </c>
      <c r="D450" s="23">
        <v>0</v>
      </c>
      <c r="E450" s="23">
        <v>0</v>
      </c>
      <c r="F450" s="23">
        <v>0</v>
      </c>
      <c r="G450" s="23">
        <f t="shared" si="6"/>
        <v>35.5</v>
      </c>
    </row>
    <row r="451" spans="1:7" x14ac:dyDescent="0.25">
      <c r="A451" s="41">
        <v>46006</v>
      </c>
      <c r="B451" s="23" t="s">
        <v>10</v>
      </c>
      <c r="C451" s="23">
        <v>25.5</v>
      </c>
      <c r="D451" s="23">
        <v>0</v>
      </c>
      <c r="E451" s="23">
        <v>3</v>
      </c>
      <c r="F451" s="23">
        <v>0</v>
      </c>
      <c r="G451" s="23">
        <f t="shared" si="6"/>
        <v>28.5</v>
      </c>
    </row>
    <row r="452" spans="1:7" x14ac:dyDescent="0.25">
      <c r="A452" s="41">
        <v>46006</v>
      </c>
      <c r="B452" s="23" t="s">
        <v>11</v>
      </c>
      <c r="C452" s="23">
        <v>24.9</v>
      </c>
      <c r="D452" s="23">
        <v>5.5</v>
      </c>
      <c r="E452" s="23">
        <v>2.2999999999999998</v>
      </c>
      <c r="F452" s="23">
        <v>0</v>
      </c>
      <c r="G452" s="23">
        <f t="shared" ref="G452:G515" si="7">C452+D452+E452+F452</f>
        <v>32.699999999999996</v>
      </c>
    </row>
    <row r="453" spans="1:7" x14ac:dyDescent="0.25">
      <c r="A453" s="41">
        <v>46006</v>
      </c>
      <c r="B453" s="23" t="s">
        <v>12</v>
      </c>
      <c r="C453" s="23">
        <v>41.8</v>
      </c>
      <c r="D453" s="23">
        <v>0</v>
      </c>
      <c r="E453" s="23">
        <v>0</v>
      </c>
      <c r="F453" s="23">
        <v>0</v>
      </c>
      <c r="G453" s="23">
        <f t="shared" si="7"/>
        <v>41.8</v>
      </c>
    </row>
    <row r="454" spans="1:7" x14ac:dyDescent="0.25">
      <c r="A454" s="41">
        <v>46006</v>
      </c>
      <c r="B454" s="23" t="s">
        <v>13</v>
      </c>
      <c r="C454" s="23">
        <v>43.8</v>
      </c>
      <c r="D454" s="23">
        <v>0</v>
      </c>
      <c r="E454" s="23">
        <v>2.7</v>
      </c>
      <c r="F454" s="23">
        <v>0</v>
      </c>
      <c r="G454" s="23">
        <f t="shared" si="7"/>
        <v>46.5</v>
      </c>
    </row>
    <row r="455" spans="1:7" x14ac:dyDescent="0.25">
      <c r="A455" s="41">
        <v>46006</v>
      </c>
      <c r="B455" s="23" t="s">
        <v>14</v>
      </c>
      <c r="C455" s="23">
        <v>31.3</v>
      </c>
      <c r="D455" s="23">
        <v>6</v>
      </c>
      <c r="E455" s="23">
        <v>0</v>
      </c>
      <c r="F455" s="23">
        <v>0</v>
      </c>
      <c r="G455" s="23">
        <f t="shared" si="7"/>
        <v>37.299999999999997</v>
      </c>
    </row>
    <row r="456" spans="1:7" x14ac:dyDescent="0.25">
      <c r="A456" s="41">
        <v>46006</v>
      </c>
      <c r="B456" s="23" t="s">
        <v>15</v>
      </c>
      <c r="C456" s="23">
        <v>49.2</v>
      </c>
      <c r="D456" s="23">
        <v>6.5</v>
      </c>
      <c r="E456" s="23">
        <v>0</v>
      </c>
      <c r="F456" s="23">
        <v>0</v>
      </c>
      <c r="G456" s="23">
        <f t="shared" si="7"/>
        <v>55.7</v>
      </c>
    </row>
    <row r="457" spans="1:7" x14ac:dyDescent="0.25">
      <c r="A457" s="41">
        <v>46013</v>
      </c>
      <c r="B457" s="23" t="s">
        <v>9</v>
      </c>
      <c r="C457" s="23">
        <v>46.3</v>
      </c>
      <c r="D457" s="23">
        <v>4.5999999999999996</v>
      </c>
      <c r="E457" s="23">
        <v>0.4</v>
      </c>
      <c r="F457" s="23">
        <v>0</v>
      </c>
      <c r="G457" s="23">
        <f t="shared" si="7"/>
        <v>51.3</v>
      </c>
    </row>
    <row r="458" spans="1:7" x14ac:dyDescent="0.25">
      <c r="A458" s="41">
        <v>46013</v>
      </c>
      <c r="B458" s="23" t="s">
        <v>10</v>
      </c>
      <c r="C458" s="23">
        <v>22.4</v>
      </c>
      <c r="D458" s="23">
        <v>0</v>
      </c>
      <c r="E458" s="23">
        <v>0</v>
      </c>
      <c r="F458" s="23">
        <v>0</v>
      </c>
      <c r="G458" s="23">
        <f t="shared" si="7"/>
        <v>22.4</v>
      </c>
    </row>
    <row r="459" spans="1:7" x14ac:dyDescent="0.25">
      <c r="A459" s="41">
        <v>46013</v>
      </c>
      <c r="B459" s="23" t="s">
        <v>11</v>
      </c>
      <c r="C459" s="23">
        <v>28.1</v>
      </c>
      <c r="D459" s="23">
        <v>7</v>
      </c>
      <c r="E459" s="23">
        <v>0.6</v>
      </c>
      <c r="F459" s="23">
        <v>0</v>
      </c>
      <c r="G459" s="23">
        <f t="shared" si="7"/>
        <v>35.700000000000003</v>
      </c>
    </row>
    <row r="460" spans="1:7" x14ac:dyDescent="0.25">
      <c r="A460" s="41">
        <v>46013</v>
      </c>
      <c r="B460" s="23" t="s">
        <v>12</v>
      </c>
      <c r="C460" s="23">
        <v>36.6</v>
      </c>
      <c r="D460" s="23">
        <v>7.5</v>
      </c>
      <c r="E460" s="23">
        <v>0</v>
      </c>
      <c r="F460" s="23">
        <v>0</v>
      </c>
      <c r="G460" s="23">
        <f t="shared" si="7"/>
        <v>44.1</v>
      </c>
    </row>
    <row r="461" spans="1:7" x14ac:dyDescent="0.25">
      <c r="A461" s="41">
        <v>46013</v>
      </c>
      <c r="B461" s="23" t="s">
        <v>13</v>
      </c>
      <c r="C461" s="23">
        <v>27.6</v>
      </c>
      <c r="D461" s="23">
        <v>0</v>
      </c>
      <c r="E461" s="23">
        <v>0</v>
      </c>
      <c r="F461" s="23">
        <v>0</v>
      </c>
      <c r="G461" s="23">
        <f t="shared" si="7"/>
        <v>27.6</v>
      </c>
    </row>
    <row r="462" spans="1:7" x14ac:dyDescent="0.25">
      <c r="A462" s="41">
        <v>46013</v>
      </c>
      <c r="B462" s="23" t="s">
        <v>14</v>
      </c>
      <c r="C462" s="23">
        <v>42.8</v>
      </c>
      <c r="D462" s="23">
        <v>0</v>
      </c>
      <c r="E462" s="23">
        <v>0.5</v>
      </c>
      <c r="F462" s="23">
        <v>0</v>
      </c>
      <c r="G462" s="23">
        <f t="shared" si="7"/>
        <v>43.3</v>
      </c>
    </row>
    <row r="463" spans="1:7" x14ac:dyDescent="0.25">
      <c r="A463" s="41">
        <v>46013</v>
      </c>
      <c r="B463" s="23" t="s">
        <v>15</v>
      </c>
      <c r="C463" s="23">
        <v>33.9</v>
      </c>
      <c r="D463" s="23">
        <v>0</v>
      </c>
      <c r="E463" s="23">
        <v>0.5</v>
      </c>
      <c r="F463" s="23">
        <v>0</v>
      </c>
      <c r="G463" s="23">
        <f t="shared" si="7"/>
        <v>34.4</v>
      </c>
    </row>
    <row r="464" spans="1:7" x14ac:dyDescent="0.25">
      <c r="A464" s="41">
        <v>46013</v>
      </c>
      <c r="B464" s="23" t="s">
        <v>16</v>
      </c>
      <c r="C464" s="23">
        <v>34.299999999999997</v>
      </c>
      <c r="D464" s="23">
        <v>5.9</v>
      </c>
      <c r="E464" s="23">
        <v>0</v>
      </c>
      <c r="F464" s="23">
        <v>0</v>
      </c>
      <c r="G464" s="23">
        <f t="shared" si="7"/>
        <v>40.199999999999996</v>
      </c>
    </row>
    <row r="465" spans="1:7" x14ac:dyDescent="0.25">
      <c r="A465" s="41">
        <v>46020</v>
      </c>
      <c r="B465" s="23" t="s">
        <v>9</v>
      </c>
      <c r="C465" s="23">
        <v>37.5</v>
      </c>
      <c r="D465" s="23">
        <v>3.1</v>
      </c>
      <c r="E465" s="23">
        <v>0</v>
      </c>
      <c r="F465" s="23">
        <v>0</v>
      </c>
      <c r="G465" s="23">
        <f t="shared" si="7"/>
        <v>40.6</v>
      </c>
    </row>
    <row r="466" spans="1:7" x14ac:dyDescent="0.25">
      <c r="A466" s="41">
        <v>46020</v>
      </c>
      <c r="B466" s="23" t="s">
        <v>10</v>
      </c>
      <c r="C466" s="23">
        <v>24.4</v>
      </c>
      <c r="D466" s="23">
        <v>5.2</v>
      </c>
      <c r="E466" s="23">
        <v>1.1000000000000001</v>
      </c>
      <c r="F466" s="23">
        <v>0</v>
      </c>
      <c r="G466" s="23">
        <f t="shared" si="7"/>
        <v>30.7</v>
      </c>
    </row>
    <row r="467" spans="1:7" x14ac:dyDescent="0.25">
      <c r="A467" s="41">
        <v>46020</v>
      </c>
      <c r="B467" s="23" t="s">
        <v>11</v>
      </c>
      <c r="C467" s="23">
        <v>36.9</v>
      </c>
      <c r="D467" s="23">
        <v>0</v>
      </c>
      <c r="E467" s="23">
        <v>0.7</v>
      </c>
      <c r="F467" s="23">
        <v>0</v>
      </c>
      <c r="G467" s="23">
        <f t="shared" si="7"/>
        <v>37.6</v>
      </c>
    </row>
    <row r="468" spans="1:7" x14ac:dyDescent="0.25">
      <c r="A468" s="41">
        <v>46020</v>
      </c>
      <c r="B468" s="23" t="s">
        <v>12</v>
      </c>
      <c r="C468" s="23">
        <v>20.100000000000001</v>
      </c>
      <c r="D468" s="23">
        <v>3.7</v>
      </c>
      <c r="E468" s="23">
        <v>0</v>
      </c>
      <c r="F468" s="23">
        <v>0</v>
      </c>
      <c r="G468" s="23">
        <f t="shared" si="7"/>
        <v>23.8</v>
      </c>
    </row>
    <row r="469" spans="1:7" x14ac:dyDescent="0.25">
      <c r="A469" s="41">
        <v>46020</v>
      </c>
      <c r="B469" s="23" t="s">
        <v>13</v>
      </c>
      <c r="C469" s="23">
        <v>35.200000000000003</v>
      </c>
      <c r="D469" s="23">
        <v>0</v>
      </c>
      <c r="E469" s="23">
        <v>0.7</v>
      </c>
      <c r="F469" s="23">
        <v>0</v>
      </c>
      <c r="G469" s="23">
        <f t="shared" si="7"/>
        <v>35.900000000000006</v>
      </c>
    </row>
    <row r="470" spans="1:7" x14ac:dyDescent="0.25">
      <c r="A470" s="41">
        <v>46020</v>
      </c>
      <c r="B470" s="23" t="s">
        <v>14</v>
      </c>
      <c r="C470" s="23">
        <v>44.3</v>
      </c>
      <c r="D470" s="23">
        <v>0</v>
      </c>
      <c r="E470" s="23">
        <v>1.5</v>
      </c>
      <c r="F470" s="23">
        <v>0</v>
      </c>
      <c r="G470" s="23">
        <f t="shared" si="7"/>
        <v>45.8</v>
      </c>
    </row>
    <row r="471" spans="1:7" x14ac:dyDescent="0.25">
      <c r="A471" s="41">
        <v>46020</v>
      </c>
      <c r="B471" s="23" t="s">
        <v>15</v>
      </c>
      <c r="C471" s="23">
        <v>27.3</v>
      </c>
      <c r="D471" s="23">
        <v>0</v>
      </c>
      <c r="E471" s="23">
        <v>0</v>
      </c>
      <c r="F471" s="23">
        <v>0</v>
      </c>
      <c r="G471" s="23">
        <f t="shared" si="7"/>
        <v>27.3</v>
      </c>
    </row>
    <row r="472" spans="1:7" x14ac:dyDescent="0.25">
      <c r="A472" s="41">
        <v>46020</v>
      </c>
      <c r="B472" s="23" t="s">
        <v>16</v>
      </c>
      <c r="C472" s="23">
        <v>52.3</v>
      </c>
      <c r="D472" s="23">
        <v>3</v>
      </c>
      <c r="E472" s="23">
        <v>0</v>
      </c>
      <c r="F472" s="23">
        <v>0</v>
      </c>
      <c r="G472" s="23">
        <f t="shared" si="7"/>
        <v>55.3</v>
      </c>
    </row>
    <row r="473" spans="1:7" x14ac:dyDescent="0.25">
      <c r="A473" s="41">
        <v>46027</v>
      </c>
      <c r="B473" s="23" t="s">
        <v>9</v>
      </c>
      <c r="C473" s="23">
        <v>36</v>
      </c>
      <c r="D473" s="23">
        <v>8.5</v>
      </c>
      <c r="E473" s="23">
        <v>1.8</v>
      </c>
      <c r="F473" s="23">
        <v>0</v>
      </c>
      <c r="G473" s="23">
        <f t="shared" si="7"/>
        <v>46.3</v>
      </c>
    </row>
    <row r="474" spans="1:7" x14ac:dyDescent="0.25">
      <c r="A474" s="41">
        <v>46027</v>
      </c>
      <c r="B474" s="23" t="s">
        <v>10</v>
      </c>
      <c r="C474" s="23">
        <v>43.3</v>
      </c>
      <c r="D474" s="23">
        <v>0</v>
      </c>
      <c r="E474" s="23">
        <v>0</v>
      </c>
      <c r="F474" s="23">
        <v>0</v>
      </c>
      <c r="G474" s="23">
        <f t="shared" si="7"/>
        <v>43.3</v>
      </c>
    </row>
    <row r="475" spans="1:7" x14ac:dyDescent="0.25">
      <c r="A475" s="41">
        <v>46027</v>
      </c>
      <c r="B475" s="23" t="s">
        <v>11</v>
      </c>
      <c r="C475" s="23">
        <v>35.299999999999997</v>
      </c>
      <c r="D475" s="23">
        <v>6.2</v>
      </c>
      <c r="E475" s="23">
        <v>1.3</v>
      </c>
      <c r="F475" s="23">
        <v>0</v>
      </c>
      <c r="G475" s="23">
        <f t="shared" si="7"/>
        <v>42.8</v>
      </c>
    </row>
    <row r="476" spans="1:7" x14ac:dyDescent="0.25">
      <c r="A476" s="41">
        <v>46027</v>
      </c>
      <c r="B476" s="23" t="s">
        <v>12</v>
      </c>
      <c r="C476" s="23">
        <v>32.5</v>
      </c>
      <c r="D476" s="23">
        <v>9.3000000000000007</v>
      </c>
      <c r="E476" s="23">
        <v>0</v>
      </c>
      <c r="F476" s="23">
        <v>0</v>
      </c>
      <c r="G476" s="23">
        <f t="shared" si="7"/>
        <v>41.8</v>
      </c>
    </row>
    <row r="477" spans="1:7" x14ac:dyDescent="0.25">
      <c r="A477" s="41">
        <v>46027</v>
      </c>
      <c r="B477" s="23" t="s">
        <v>13</v>
      </c>
      <c r="C477" s="23">
        <v>32.6</v>
      </c>
      <c r="D477" s="23">
        <v>0</v>
      </c>
      <c r="E477" s="23">
        <v>0</v>
      </c>
      <c r="F477" s="23">
        <v>0</v>
      </c>
      <c r="G477" s="23">
        <f t="shared" si="7"/>
        <v>32.6</v>
      </c>
    </row>
    <row r="478" spans="1:7" x14ac:dyDescent="0.25">
      <c r="A478" s="41">
        <v>46027</v>
      </c>
      <c r="B478" s="23" t="s">
        <v>14</v>
      </c>
      <c r="C478" s="23">
        <v>31.9</v>
      </c>
      <c r="D478" s="23">
        <v>0</v>
      </c>
      <c r="E478" s="23">
        <v>1.9</v>
      </c>
      <c r="F478" s="23">
        <v>0</v>
      </c>
      <c r="G478" s="23">
        <f t="shared" si="7"/>
        <v>33.799999999999997</v>
      </c>
    </row>
    <row r="479" spans="1:7" x14ac:dyDescent="0.25">
      <c r="A479" s="41">
        <v>46027</v>
      </c>
      <c r="B479" s="23" t="s">
        <v>15</v>
      </c>
      <c r="C479" s="23">
        <v>34.4</v>
      </c>
      <c r="D479" s="23">
        <v>0</v>
      </c>
      <c r="E479" s="23">
        <v>0</v>
      </c>
      <c r="F479" s="23">
        <v>0</v>
      </c>
      <c r="G479" s="23">
        <f t="shared" si="7"/>
        <v>34.4</v>
      </c>
    </row>
    <row r="480" spans="1:7" x14ac:dyDescent="0.25">
      <c r="A480" s="41">
        <v>46034</v>
      </c>
      <c r="B480" s="23" t="s">
        <v>9</v>
      </c>
      <c r="C480" s="23">
        <v>34.299999999999997</v>
      </c>
      <c r="D480" s="23">
        <v>0</v>
      </c>
      <c r="E480" s="23">
        <v>1.2</v>
      </c>
      <c r="F480" s="23">
        <v>0</v>
      </c>
      <c r="G480" s="23">
        <f t="shared" si="7"/>
        <v>35.5</v>
      </c>
    </row>
    <row r="481" spans="1:7" x14ac:dyDescent="0.25">
      <c r="A481" s="41">
        <v>46034</v>
      </c>
      <c r="B481" s="23" t="s">
        <v>10</v>
      </c>
      <c r="C481" s="23">
        <v>23.7</v>
      </c>
      <c r="D481" s="23">
        <v>0</v>
      </c>
      <c r="E481" s="23">
        <v>1.7</v>
      </c>
      <c r="F481" s="23">
        <v>0</v>
      </c>
      <c r="G481" s="23">
        <f t="shared" si="7"/>
        <v>25.4</v>
      </c>
    </row>
    <row r="482" spans="1:7" x14ac:dyDescent="0.25">
      <c r="A482" s="41">
        <v>46034</v>
      </c>
      <c r="B482" s="23" t="s">
        <v>11</v>
      </c>
      <c r="C482" s="23">
        <v>35.5</v>
      </c>
      <c r="D482" s="23">
        <v>0</v>
      </c>
      <c r="E482" s="23">
        <v>1.1000000000000001</v>
      </c>
      <c r="F482" s="23">
        <v>0</v>
      </c>
      <c r="G482" s="23">
        <f t="shared" si="7"/>
        <v>36.6</v>
      </c>
    </row>
    <row r="483" spans="1:7" x14ac:dyDescent="0.25">
      <c r="A483" s="41">
        <v>46034</v>
      </c>
      <c r="B483" s="23" t="s">
        <v>12</v>
      </c>
      <c r="C483" s="23">
        <v>19.899999999999999</v>
      </c>
      <c r="D483" s="23">
        <v>4.3</v>
      </c>
      <c r="E483" s="23">
        <v>0</v>
      </c>
      <c r="F483" s="23">
        <v>0</v>
      </c>
      <c r="G483" s="23">
        <f t="shared" si="7"/>
        <v>24.2</v>
      </c>
    </row>
    <row r="484" spans="1:7" x14ac:dyDescent="0.25">
      <c r="A484" s="41">
        <v>46034</v>
      </c>
      <c r="B484" s="23" t="s">
        <v>13</v>
      </c>
      <c r="C484" s="23">
        <v>28.8</v>
      </c>
      <c r="D484" s="23">
        <v>4.8</v>
      </c>
      <c r="E484" s="23">
        <v>1</v>
      </c>
      <c r="F484" s="23">
        <v>0</v>
      </c>
      <c r="G484" s="23">
        <f t="shared" si="7"/>
        <v>34.6</v>
      </c>
    </row>
    <row r="485" spans="1:7" x14ac:dyDescent="0.25">
      <c r="A485" s="41">
        <v>46034</v>
      </c>
      <c r="B485" s="23" t="s">
        <v>14</v>
      </c>
      <c r="C485" s="23">
        <v>32.299999999999997</v>
      </c>
      <c r="D485" s="23">
        <v>0</v>
      </c>
      <c r="E485" s="23">
        <v>0</v>
      </c>
      <c r="F485" s="23">
        <v>0</v>
      </c>
      <c r="G485" s="23">
        <f t="shared" si="7"/>
        <v>32.299999999999997</v>
      </c>
    </row>
    <row r="486" spans="1:7" x14ac:dyDescent="0.25">
      <c r="A486" s="41">
        <v>46034</v>
      </c>
      <c r="B486" s="23" t="s">
        <v>15</v>
      </c>
      <c r="C486" s="23">
        <v>18.600000000000001</v>
      </c>
      <c r="D486" s="23">
        <v>4.7</v>
      </c>
      <c r="E486" s="23">
        <v>0</v>
      </c>
      <c r="F486" s="23">
        <v>0</v>
      </c>
      <c r="G486" s="23">
        <f t="shared" si="7"/>
        <v>23.3</v>
      </c>
    </row>
    <row r="487" spans="1:7" x14ac:dyDescent="0.25">
      <c r="A487" s="41">
        <v>46034</v>
      </c>
      <c r="B487" s="23" t="s">
        <v>16</v>
      </c>
      <c r="C487" s="23">
        <v>25.3</v>
      </c>
      <c r="D487" s="23">
        <v>4.2</v>
      </c>
      <c r="E487" s="23">
        <v>0</v>
      </c>
      <c r="F487" s="23">
        <v>0</v>
      </c>
      <c r="G487" s="23">
        <f t="shared" si="7"/>
        <v>29.5</v>
      </c>
    </row>
    <row r="488" spans="1:7" x14ac:dyDescent="0.25">
      <c r="A488" s="41">
        <v>46034</v>
      </c>
      <c r="B488" s="23" t="s">
        <v>17</v>
      </c>
      <c r="C488" s="23">
        <v>24.6</v>
      </c>
      <c r="D488" s="23">
        <v>0</v>
      </c>
      <c r="E488" s="23">
        <v>0</v>
      </c>
      <c r="F488" s="23">
        <v>0</v>
      </c>
      <c r="G488" s="23">
        <f t="shared" si="7"/>
        <v>24.6</v>
      </c>
    </row>
    <row r="489" spans="1:7" x14ac:dyDescent="0.25">
      <c r="A489" s="41">
        <v>46041</v>
      </c>
      <c r="B489" s="23" t="s">
        <v>9</v>
      </c>
      <c r="C489" s="23">
        <v>22.9</v>
      </c>
      <c r="D489" s="23">
        <v>0</v>
      </c>
      <c r="E489" s="23">
        <v>0</v>
      </c>
      <c r="F489" s="23">
        <v>0</v>
      </c>
      <c r="G489" s="23">
        <f t="shared" si="7"/>
        <v>22.9</v>
      </c>
    </row>
    <row r="490" spans="1:7" x14ac:dyDescent="0.25">
      <c r="A490" s="41">
        <v>46041</v>
      </c>
      <c r="B490" s="23" t="s">
        <v>10</v>
      </c>
      <c r="C490" s="23">
        <v>33.9</v>
      </c>
      <c r="D490" s="23">
        <v>0</v>
      </c>
      <c r="E490" s="23">
        <v>0</v>
      </c>
      <c r="F490" s="23">
        <v>0</v>
      </c>
      <c r="G490" s="23">
        <f t="shared" si="7"/>
        <v>33.9</v>
      </c>
    </row>
    <row r="491" spans="1:7" x14ac:dyDescent="0.25">
      <c r="A491" s="41">
        <v>46041</v>
      </c>
      <c r="B491" s="23" t="s">
        <v>11</v>
      </c>
      <c r="C491" s="23">
        <v>18.100000000000001</v>
      </c>
      <c r="D491" s="23">
        <v>6.1</v>
      </c>
      <c r="E491" s="23">
        <v>1.3</v>
      </c>
      <c r="F491" s="23">
        <v>0</v>
      </c>
      <c r="G491" s="23">
        <f t="shared" si="7"/>
        <v>25.500000000000004</v>
      </c>
    </row>
    <row r="492" spans="1:7" x14ac:dyDescent="0.25">
      <c r="A492" s="41">
        <v>46041</v>
      </c>
      <c r="B492" s="23" t="s">
        <v>12</v>
      </c>
      <c r="C492" s="23">
        <v>18.600000000000001</v>
      </c>
      <c r="D492" s="23">
        <v>8.3000000000000007</v>
      </c>
      <c r="E492" s="23">
        <v>1.2</v>
      </c>
      <c r="F492" s="23">
        <v>0</v>
      </c>
      <c r="G492" s="23">
        <f t="shared" si="7"/>
        <v>28.1</v>
      </c>
    </row>
    <row r="493" spans="1:7" x14ac:dyDescent="0.25">
      <c r="A493" s="41">
        <v>46041</v>
      </c>
      <c r="B493" s="23" t="s">
        <v>13</v>
      </c>
      <c r="C493" s="23">
        <v>33.6</v>
      </c>
      <c r="D493" s="23">
        <v>0</v>
      </c>
      <c r="E493" s="23">
        <v>0</v>
      </c>
      <c r="F493" s="23">
        <v>0</v>
      </c>
      <c r="G493" s="23">
        <f t="shared" si="7"/>
        <v>33.6</v>
      </c>
    </row>
    <row r="494" spans="1:7" x14ac:dyDescent="0.25">
      <c r="A494" s="41">
        <v>46041</v>
      </c>
      <c r="B494" s="23" t="s">
        <v>14</v>
      </c>
      <c r="C494" s="23">
        <v>34.5</v>
      </c>
      <c r="D494" s="23">
        <v>7.1</v>
      </c>
      <c r="E494" s="23">
        <v>0</v>
      </c>
      <c r="F494" s="23">
        <v>0</v>
      </c>
      <c r="G494" s="23">
        <f t="shared" si="7"/>
        <v>41.6</v>
      </c>
    </row>
    <row r="495" spans="1:7" x14ac:dyDescent="0.25">
      <c r="A495" s="41">
        <v>46041</v>
      </c>
      <c r="B495" s="23" t="s">
        <v>15</v>
      </c>
      <c r="C495" s="23">
        <v>29.6</v>
      </c>
      <c r="D495" s="23">
        <v>0</v>
      </c>
      <c r="E495" s="23">
        <v>0.7</v>
      </c>
      <c r="F495" s="23">
        <v>0</v>
      </c>
      <c r="G495" s="23">
        <f t="shared" si="7"/>
        <v>30.3</v>
      </c>
    </row>
    <row r="496" spans="1:7" x14ac:dyDescent="0.25">
      <c r="A496" s="41">
        <v>46041</v>
      </c>
      <c r="B496" s="23" t="s">
        <v>16</v>
      </c>
      <c r="C496" s="23">
        <v>28.1</v>
      </c>
      <c r="D496" s="23">
        <v>4.5</v>
      </c>
      <c r="E496" s="23">
        <v>0</v>
      </c>
      <c r="F496" s="23">
        <v>0</v>
      </c>
      <c r="G496" s="23">
        <f t="shared" si="7"/>
        <v>32.6</v>
      </c>
    </row>
    <row r="497" spans="1:7" x14ac:dyDescent="0.25">
      <c r="A497" s="41">
        <v>46041</v>
      </c>
      <c r="B497" s="23" t="s">
        <v>17</v>
      </c>
      <c r="C497" s="23">
        <v>27.7</v>
      </c>
      <c r="D497" s="23">
        <v>0</v>
      </c>
      <c r="E497" s="23">
        <v>0.8</v>
      </c>
      <c r="F497" s="23">
        <v>0</v>
      </c>
      <c r="G497" s="23">
        <f t="shared" si="7"/>
        <v>28.5</v>
      </c>
    </row>
    <row r="498" spans="1:7" x14ac:dyDescent="0.25">
      <c r="A498" s="41">
        <v>46048</v>
      </c>
      <c r="B498" s="23" t="s">
        <v>9</v>
      </c>
      <c r="C498" s="23">
        <v>22.4</v>
      </c>
      <c r="D498" s="23">
        <v>0</v>
      </c>
      <c r="E498" s="23">
        <v>0</v>
      </c>
      <c r="F498" s="23">
        <v>0</v>
      </c>
      <c r="G498" s="23">
        <f t="shared" si="7"/>
        <v>22.4</v>
      </c>
    </row>
    <row r="499" spans="1:7" x14ac:dyDescent="0.25">
      <c r="A499" s="41">
        <v>46048</v>
      </c>
      <c r="B499" s="23" t="s">
        <v>10</v>
      </c>
      <c r="C499" s="23">
        <v>39.299999999999997</v>
      </c>
      <c r="D499" s="23">
        <v>0</v>
      </c>
      <c r="E499" s="23">
        <v>0</v>
      </c>
      <c r="F499" s="23">
        <v>0</v>
      </c>
      <c r="G499" s="23">
        <f t="shared" si="7"/>
        <v>39.299999999999997</v>
      </c>
    </row>
    <row r="500" spans="1:7" x14ac:dyDescent="0.25">
      <c r="A500" s="41">
        <v>46048</v>
      </c>
      <c r="B500" s="23" t="s">
        <v>11</v>
      </c>
      <c r="C500" s="23">
        <v>38.200000000000003</v>
      </c>
      <c r="D500" s="23">
        <v>4.7</v>
      </c>
      <c r="E500" s="23">
        <v>1</v>
      </c>
      <c r="F500" s="23">
        <v>0</v>
      </c>
      <c r="G500" s="23">
        <f t="shared" si="7"/>
        <v>43.900000000000006</v>
      </c>
    </row>
    <row r="501" spans="1:7" x14ac:dyDescent="0.25">
      <c r="A501" s="41">
        <v>46048</v>
      </c>
      <c r="B501" s="23" t="s">
        <v>12</v>
      </c>
      <c r="C501" s="23">
        <v>26.1</v>
      </c>
      <c r="D501" s="23">
        <v>10</v>
      </c>
      <c r="E501" s="23">
        <v>0.7</v>
      </c>
      <c r="F501" s="23">
        <v>0</v>
      </c>
      <c r="G501" s="23">
        <f t="shared" si="7"/>
        <v>36.800000000000004</v>
      </c>
    </row>
    <row r="502" spans="1:7" x14ac:dyDescent="0.25">
      <c r="A502" s="41">
        <v>46048</v>
      </c>
      <c r="B502" s="23" t="s">
        <v>13</v>
      </c>
      <c r="C502" s="23">
        <v>41.2</v>
      </c>
      <c r="D502" s="23">
        <v>0</v>
      </c>
      <c r="E502" s="23">
        <v>0</v>
      </c>
      <c r="F502" s="23">
        <v>0</v>
      </c>
      <c r="G502" s="23">
        <f t="shared" si="7"/>
        <v>41.2</v>
      </c>
    </row>
    <row r="503" spans="1:7" x14ac:dyDescent="0.25">
      <c r="A503" s="41">
        <v>46048</v>
      </c>
      <c r="B503" s="23" t="s">
        <v>14</v>
      </c>
      <c r="C503" s="23">
        <v>36.299999999999997</v>
      </c>
      <c r="D503" s="23">
        <v>4</v>
      </c>
      <c r="E503" s="23">
        <v>1.5</v>
      </c>
      <c r="F503" s="23">
        <v>0</v>
      </c>
      <c r="G503" s="23">
        <f t="shared" si="7"/>
        <v>41.8</v>
      </c>
    </row>
    <row r="504" spans="1:7" x14ac:dyDescent="0.25">
      <c r="A504" s="41">
        <v>46048</v>
      </c>
      <c r="B504" s="23" t="s">
        <v>15</v>
      </c>
      <c r="C504" s="23">
        <v>40</v>
      </c>
      <c r="D504" s="23">
        <v>8.3000000000000007</v>
      </c>
      <c r="E504" s="23">
        <v>0.8</v>
      </c>
      <c r="F504" s="23">
        <v>0</v>
      </c>
      <c r="G504" s="23">
        <f t="shared" si="7"/>
        <v>49.099999999999994</v>
      </c>
    </row>
    <row r="505" spans="1:7" x14ac:dyDescent="0.25">
      <c r="A505" s="41">
        <v>46048</v>
      </c>
      <c r="B505" s="23" t="s">
        <v>16</v>
      </c>
      <c r="C505" s="23">
        <v>19.5</v>
      </c>
      <c r="D505" s="23">
        <v>0</v>
      </c>
      <c r="E505" s="23">
        <v>0</v>
      </c>
      <c r="F505" s="23">
        <v>0</v>
      </c>
      <c r="G505" s="23">
        <f t="shared" si="7"/>
        <v>19.5</v>
      </c>
    </row>
    <row r="506" spans="1:7" x14ac:dyDescent="0.25">
      <c r="A506" s="41">
        <v>46055</v>
      </c>
      <c r="B506" s="23" t="s">
        <v>9</v>
      </c>
      <c r="C506" s="23">
        <v>16.2</v>
      </c>
      <c r="D506" s="23">
        <v>7.3</v>
      </c>
      <c r="E506" s="23">
        <v>0</v>
      </c>
      <c r="F506" s="23">
        <v>0</v>
      </c>
      <c r="G506" s="23">
        <f t="shared" si="7"/>
        <v>23.5</v>
      </c>
    </row>
    <row r="507" spans="1:7" x14ac:dyDescent="0.25">
      <c r="A507" s="41">
        <v>46055</v>
      </c>
      <c r="B507" s="23" t="s">
        <v>10</v>
      </c>
      <c r="C507" s="23">
        <v>33.1</v>
      </c>
      <c r="D507" s="23">
        <v>0</v>
      </c>
      <c r="E507" s="23">
        <v>1</v>
      </c>
      <c r="F507" s="23">
        <v>0</v>
      </c>
      <c r="G507" s="23">
        <f t="shared" si="7"/>
        <v>34.1</v>
      </c>
    </row>
    <row r="508" spans="1:7" x14ac:dyDescent="0.25">
      <c r="A508" s="41">
        <v>46055</v>
      </c>
      <c r="B508" s="23" t="s">
        <v>11</v>
      </c>
      <c r="C508" s="23">
        <v>16.2</v>
      </c>
      <c r="D508" s="23">
        <v>4.2</v>
      </c>
      <c r="E508" s="23">
        <v>0</v>
      </c>
      <c r="F508" s="23">
        <v>0</v>
      </c>
      <c r="G508" s="23">
        <f t="shared" si="7"/>
        <v>20.399999999999999</v>
      </c>
    </row>
    <row r="509" spans="1:7" x14ac:dyDescent="0.25">
      <c r="A509" s="41">
        <v>46055</v>
      </c>
      <c r="B509" s="23" t="s">
        <v>12</v>
      </c>
      <c r="C509" s="23">
        <v>34</v>
      </c>
      <c r="D509" s="23">
        <v>0</v>
      </c>
      <c r="E509" s="23">
        <v>0</v>
      </c>
      <c r="F509" s="23">
        <v>0</v>
      </c>
      <c r="G509" s="23">
        <f t="shared" si="7"/>
        <v>34</v>
      </c>
    </row>
    <row r="510" spans="1:7" x14ac:dyDescent="0.25">
      <c r="A510" s="41">
        <v>46055</v>
      </c>
      <c r="B510" s="23" t="s">
        <v>13</v>
      </c>
      <c r="C510" s="23">
        <v>35.799999999999997</v>
      </c>
      <c r="D510" s="23">
        <v>10.199999999999999</v>
      </c>
      <c r="E510" s="23">
        <v>0.7</v>
      </c>
      <c r="F510" s="23">
        <v>0</v>
      </c>
      <c r="G510" s="23">
        <f t="shared" si="7"/>
        <v>46.7</v>
      </c>
    </row>
    <row r="511" spans="1:7" x14ac:dyDescent="0.25">
      <c r="A511" s="41">
        <v>46055</v>
      </c>
      <c r="B511" s="23" t="s">
        <v>14</v>
      </c>
      <c r="C511" s="23">
        <v>21.5</v>
      </c>
      <c r="D511" s="23">
        <v>0</v>
      </c>
      <c r="E511" s="23">
        <v>0</v>
      </c>
      <c r="F511" s="23">
        <v>0</v>
      </c>
      <c r="G511" s="23">
        <f t="shared" si="7"/>
        <v>21.5</v>
      </c>
    </row>
    <row r="512" spans="1:7" x14ac:dyDescent="0.25">
      <c r="A512" s="41">
        <v>46055</v>
      </c>
      <c r="B512" s="23" t="s">
        <v>15</v>
      </c>
      <c r="C512" s="23">
        <v>23.8</v>
      </c>
      <c r="D512" s="23">
        <v>0</v>
      </c>
      <c r="E512" s="23">
        <v>0</v>
      </c>
      <c r="F512" s="23">
        <v>0</v>
      </c>
      <c r="G512" s="23">
        <f t="shared" si="7"/>
        <v>23.8</v>
      </c>
    </row>
    <row r="513" spans="1:7" x14ac:dyDescent="0.25">
      <c r="A513" s="41">
        <v>46055</v>
      </c>
      <c r="B513" s="23" t="s">
        <v>16</v>
      </c>
      <c r="C513" s="23">
        <v>34.4</v>
      </c>
      <c r="D513" s="23">
        <v>5.3</v>
      </c>
      <c r="E513" s="23">
        <v>0.6</v>
      </c>
      <c r="F513" s="23">
        <v>0</v>
      </c>
      <c r="G513" s="23">
        <f t="shared" si="7"/>
        <v>40.299999999999997</v>
      </c>
    </row>
    <row r="514" spans="1:7" x14ac:dyDescent="0.25">
      <c r="A514" s="41">
        <v>46055</v>
      </c>
      <c r="B514" s="23" t="s">
        <v>17</v>
      </c>
      <c r="C514" s="23">
        <v>35</v>
      </c>
      <c r="D514" s="23">
        <v>0</v>
      </c>
      <c r="E514" s="23">
        <v>0.7</v>
      </c>
      <c r="F514" s="23">
        <v>0</v>
      </c>
      <c r="G514" s="23">
        <f t="shared" si="7"/>
        <v>35.700000000000003</v>
      </c>
    </row>
    <row r="515" spans="1:7" x14ac:dyDescent="0.25">
      <c r="A515" s="41">
        <v>46062</v>
      </c>
      <c r="B515" s="23" t="s">
        <v>9</v>
      </c>
      <c r="C515" s="23">
        <v>55.7</v>
      </c>
      <c r="D515" s="23">
        <v>5.8</v>
      </c>
      <c r="E515" s="23">
        <v>0</v>
      </c>
      <c r="F515" s="23">
        <v>0</v>
      </c>
      <c r="G515" s="23">
        <f t="shared" si="7"/>
        <v>61.5</v>
      </c>
    </row>
    <row r="516" spans="1:7" x14ac:dyDescent="0.25">
      <c r="A516" s="41">
        <v>46062</v>
      </c>
      <c r="B516" s="23" t="s">
        <v>10</v>
      </c>
      <c r="C516" s="23">
        <v>52.9</v>
      </c>
      <c r="D516" s="23">
        <v>5.6</v>
      </c>
      <c r="E516" s="23">
        <v>0</v>
      </c>
      <c r="F516" s="23">
        <v>0</v>
      </c>
      <c r="G516" s="23">
        <f t="shared" ref="G516:G579" si="8">C516+D516+E516+F516</f>
        <v>58.5</v>
      </c>
    </row>
    <row r="517" spans="1:7" x14ac:dyDescent="0.25">
      <c r="A517" s="41">
        <v>46062</v>
      </c>
      <c r="B517" s="23" t="s">
        <v>11</v>
      </c>
      <c r="C517" s="23">
        <v>40.5</v>
      </c>
      <c r="D517" s="23">
        <v>9.6</v>
      </c>
      <c r="E517" s="23">
        <v>1.3</v>
      </c>
      <c r="F517" s="23">
        <v>0</v>
      </c>
      <c r="G517" s="23">
        <f t="shared" si="8"/>
        <v>51.4</v>
      </c>
    </row>
    <row r="518" spans="1:7" x14ac:dyDescent="0.25">
      <c r="A518" s="41">
        <v>46062</v>
      </c>
      <c r="B518" s="23" t="s">
        <v>12</v>
      </c>
      <c r="C518" s="23">
        <v>23.4</v>
      </c>
      <c r="D518" s="23">
        <v>0</v>
      </c>
      <c r="E518" s="23">
        <v>0</v>
      </c>
      <c r="F518" s="23">
        <v>0</v>
      </c>
      <c r="G518" s="23">
        <f t="shared" si="8"/>
        <v>23.4</v>
      </c>
    </row>
    <row r="519" spans="1:7" x14ac:dyDescent="0.25">
      <c r="A519" s="41">
        <v>46062</v>
      </c>
      <c r="B519" s="23" t="s">
        <v>13</v>
      </c>
      <c r="C519" s="23">
        <v>46.6</v>
      </c>
      <c r="D519" s="23">
        <v>0</v>
      </c>
      <c r="E519" s="23">
        <v>0.5</v>
      </c>
      <c r="F519" s="23">
        <v>0</v>
      </c>
      <c r="G519" s="23">
        <f t="shared" si="8"/>
        <v>47.1</v>
      </c>
    </row>
    <row r="520" spans="1:7" x14ac:dyDescent="0.25">
      <c r="A520" s="41">
        <v>46062</v>
      </c>
      <c r="B520" s="23" t="s">
        <v>14</v>
      </c>
      <c r="C520" s="23">
        <v>27.3</v>
      </c>
      <c r="D520" s="23">
        <v>0</v>
      </c>
      <c r="E520" s="23">
        <v>0</v>
      </c>
      <c r="F520" s="23">
        <v>0</v>
      </c>
      <c r="G520" s="23">
        <f t="shared" si="8"/>
        <v>27.3</v>
      </c>
    </row>
    <row r="521" spans="1:7" x14ac:dyDescent="0.25">
      <c r="A521" s="41">
        <v>46062</v>
      </c>
      <c r="B521" s="23" t="s">
        <v>15</v>
      </c>
      <c r="C521" s="23">
        <v>25.6</v>
      </c>
      <c r="D521" s="23">
        <v>0</v>
      </c>
      <c r="E521" s="23">
        <v>1.2</v>
      </c>
      <c r="F521" s="23">
        <v>0</v>
      </c>
      <c r="G521" s="23">
        <f t="shared" si="8"/>
        <v>26.8</v>
      </c>
    </row>
    <row r="522" spans="1:7" x14ac:dyDescent="0.25">
      <c r="A522" s="41">
        <v>46069</v>
      </c>
      <c r="B522" s="23" t="s">
        <v>9</v>
      </c>
      <c r="C522" s="23">
        <v>40.5</v>
      </c>
      <c r="D522" s="23">
        <v>0</v>
      </c>
      <c r="E522" s="23">
        <v>0</v>
      </c>
      <c r="F522" s="23">
        <v>0</v>
      </c>
      <c r="G522" s="23">
        <f t="shared" si="8"/>
        <v>40.5</v>
      </c>
    </row>
    <row r="523" spans="1:7" x14ac:dyDescent="0.25">
      <c r="A523" s="41">
        <v>46069</v>
      </c>
      <c r="B523" s="23" t="s">
        <v>10</v>
      </c>
      <c r="C523" s="23">
        <v>27.3</v>
      </c>
      <c r="D523" s="23">
        <v>0</v>
      </c>
      <c r="E523" s="23">
        <v>0.7</v>
      </c>
      <c r="F523" s="23">
        <v>0</v>
      </c>
      <c r="G523" s="23">
        <f t="shared" si="8"/>
        <v>28</v>
      </c>
    </row>
    <row r="524" spans="1:7" x14ac:dyDescent="0.25">
      <c r="A524" s="41">
        <v>46069</v>
      </c>
      <c r="B524" s="23" t="s">
        <v>11</v>
      </c>
      <c r="C524" s="23">
        <v>20.8</v>
      </c>
      <c r="D524" s="23">
        <v>3.5</v>
      </c>
      <c r="E524" s="23">
        <v>0</v>
      </c>
      <c r="F524" s="23">
        <v>0</v>
      </c>
      <c r="G524" s="23">
        <f t="shared" si="8"/>
        <v>24.3</v>
      </c>
    </row>
    <row r="525" spans="1:7" x14ac:dyDescent="0.25">
      <c r="A525" s="41">
        <v>46069</v>
      </c>
      <c r="B525" s="23" t="s">
        <v>12</v>
      </c>
      <c r="C525" s="23">
        <v>47.7</v>
      </c>
      <c r="D525" s="23">
        <v>4.8</v>
      </c>
      <c r="E525" s="23">
        <v>0.3</v>
      </c>
      <c r="F525" s="23">
        <v>0</v>
      </c>
      <c r="G525" s="23">
        <f t="shared" si="8"/>
        <v>52.8</v>
      </c>
    </row>
    <row r="526" spans="1:7" x14ac:dyDescent="0.25">
      <c r="A526" s="41">
        <v>46069</v>
      </c>
      <c r="B526" s="23" t="s">
        <v>13</v>
      </c>
      <c r="C526" s="23">
        <v>26.8</v>
      </c>
      <c r="D526" s="23">
        <v>5.7</v>
      </c>
      <c r="E526" s="23">
        <v>0.5</v>
      </c>
      <c r="F526" s="23">
        <v>0</v>
      </c>
      <c r="G526" s="23">
        <f t="shared" si="8"/>
        <v>33</v>
      </c>
    </row>
    <row r="527" spans="1:7" x14ac:dyDescent="0.25">
      <c r="A527" s="41">
        <v>46069</v>
      </c>
      <c r="B527" s="23" t="s">
        <v>14</v>
      </c>
      <c r="C527" s="23">
        <v>37.5</v>
      </c>
      <c r="D527" s="23">
        <v>5</v>
      </c>
      <c r="E527" s="23">
        <v>0</v>
      </c>
      <c r="F527" s="23">
        <v>0</v>
      </c>
      <c r="G527" s="23">
        <f t="shared" si="8"/>
        <v>42.5</v>
      </c>
    </row>
    <row r="528" spans="1:7" x14ac:dyDescent="0.25">
      <c r="A528" s="41">
        <v>46069</v>
      </c>
      <c r="B528" s="23" t="s">
        <v>15</v>
      </c>
      <c r="C528" s="23">
        <v>24.2</v>
      </c>
      <c r="D528" s="23">
        <v>0</v>
      </c>
      <c r="E528" s="23">
        <v>0.5</v>
      </c>
      <c r="F528" s="23">
        <v>0</v>
      </c>
      <c r="G528" s="23">
        <f t="shared" si="8"/>
        <v>24.7</v>
      </c>
    </row>
    <row r="529" spans="1:7" x14ac:dyDescent="0.25">
      <c r="A529" s="41">
        <v>46069</v>
      </c>
      <c r="B529" s="23" t="s">
        <v>16</v>
      </c>
      <c r="C529" s="23">
        <v>21.2</v>
      </c>
      <c r="D529" s="23">
        <v>0</v>
      </c>
      <c r="E529" s="23">
        <v>0</v>
      </c>
      <c r="F529" s="23">
        <v>0</v>
      </c>
      <c r="G529" s="23">
        <f t="shared" si="8"/>
        <v>21.2</v>
      </c>
    </row>
    <row r="530" spans="1:7" x14ac:dyDescent="0.25">
      <c r="A530" s="41">
        <v>46076</v>
      </c>
      <c r="B530" s="23" t="s">
        <v>9</v>
      </c>
      <c r="C530" s="23">
        <v>30.2</v>
      </c>
      <c r="D530" s="23">
        <v>7.2</v>
      </c>
      <c r="E530" s="23">
        <v>0.8</v>
      </c>
      <c r="F530" s="23">
        <v>0</v>
      </c>
      <c r="G530" s="23">
        <f t="shared" si="8"/>
        <v>38.199999999999996</v>
      </c>
    </row>
    <row r="531" spans="1:7" x14ac:dyDescent="0.25">
      <c r="A531" s="41">
        <v>46076</v>
      </c>
      <c r="B531" s="23" t="s">
        <v>10</v>
      </c>
      <c r="C531" s="23">
        <v>18.3</v>
      </c>
      <c r="D531" s="23">
        <v>0</v>
      </c>
      <c r="E531" s="23">
        <v>0</v>
      </c>
      <c r="F531" s="23">
        <v>0</v>
      </c>
      <c r="G531" s="23">
        <f t="shared" si="8"/>
        <v>18.3</v>
      </c>
    </row>
    <row r="532" spans="1:7" x14ac:dyDescent="0.25">
      <c r="A532" s="41">
        <v>46076</v>
      </c>
      <c r="B532" s="23" t="s">
        <v>11</v>
      </c>
      <c r="C532" s="23">
        <v>20.9</v>
      </c>
      <c r="D532" s="23">
        <v>0</v>
      </c>
      <c r="E532" s="23">
        <v>0</v>
      </c>
      <c r="F532" s="23">
        <v>0</v>
      </c>
      <c r="G532" s="23">
        <f t="shared" si="8"/>
        <v>20.9</v>
      </c>
    </row>
    <row r="533" spans="1:7" x14ac:dyDescent="0.25">
      <c r="A533" s="41">
        <v>46076</v>
      </c>
      <c r="B533" s="23" t="s">
        <v>12</v>
      </c>
      <c r="C533" s="23">
        <v>32.1</v>
      </c>
      <c r="D533" s="23">
        <v>5</v>
      </c>
      <c r="E533" s="23">
        <v>1.2</v>
      </c>
      <c r="F533" s="23">
        <v>8</v>
      </c>
      <c r="G533" s="23">
        <f t="shared" si="8"/>
        <v>46.300000000000004</v>
      </c>
    </row>
    <row r="534" spans="1:7" x14ac:dyDescent="0.25">
      <c r="A534" s="41">
        <v>46076</v>
      </c>
      <c r="B534" s="23" t="s">
        <v>13</v>
      </c>
      <c r="C534" s="23">
        <v>17.5</v>
      </c>
      <c r="D534" s="23">
        <v>3.2</v>
      </c>
      <c r="E534" s="23">
        <v>0.8</v>
      </c>
      <c r="F534" s="23">
        <v>0</v>
      </c>
      <c r="G534" s="23">
        <f t="shared" si="8"/>
        <v>21.5</v>
      </c>
    </row>
    <row r="535" spans="1:7" x14ac:dyDescent="0.25">
      <c r="A535" s="41">
        <v>46076</v>
      </c>
      <c r="B535" s="23" t="s">
        <v>14</v>
      </c>
      <c r="C535" s="23">
        <v>29.9</v>
      </c>
      <c r="D535" s="23">
        <v>0</v>
      </c>
      <c r="E535" s="23">
        <v>0</v>
      </c>
      <c r="F535" s="23">
        <v>0</v>
      </c>
      <c r="G535" s="23">
        <f t="shared" si="8"/>
        <v>29.9</v>
      </c>
    </row>
    <row r="536" spans="1:7" x14ac:dyDescent="0.25">
      <c r="A536" s="41">
        <v>46076</v>
      </c>
      <c r="B536" s="23" t="s">
        <v>15</v>
      </c>
      <c r="C536" s="23">
        <v>38.799999999999997</v>
      </c>
      <c r="D536" s="23">
        <v>0</v>
      </c>
      <c r="E536" s="23">
        <v>0</v>
      </c>
      <c r="F536" s="23">
        <v>0</v>
      </c>
      <c r="G536" s="23">
        <f t="shared" si="8"/>
        <v>38.799999999999997</v>
      </c>
    </row>
    <row r="537" spans="1:7" x14ac:dyDescent="0.25">
      <c r="A537" s="41">
        <v>46076</v>
      </c>
      <c r="B537" s="23" t="s">
        <v>16</v>
      </c>
      <c r="C537" s="23">
        <v>28.3</v>
      </c>
      <c r="D537" s="23">
        <v>4.5999999999999996</v>
      </c>
      <c r="E537" s="23">
        <v>0</v>
      </c>
      <c r="F537" s="23">
        <v>0</v>
      </c>
      <c r="G537" s="23">
        <f t="shared" si="8"/>
        <v>32.9</v>
      </c>
    </row>
    <row r="538" spans="1:7" x14ac:dyDescent="0.25">
      <c r="A538" s="41">
        <v>46076</v>
      </c>
      <c r="B538" s="23" t="s">
        <v>17</v>
      </c>
      <c r="C538" s="23">
        <v>30</v>
      </c>
      <c r="D538" s="23">
        <v>0</v>
      </c>
      <c r="E538" s="23">
        <v>2.2000000000000002</v>
      </c>
      <c r="F538" s="23">
        <v>0</v>
      </c>
      <c r="G538" s="23">
        <f t="shared" si="8"/>
        <v>32.200000000000003</v>
      </c>
    </row>
    <row r="539" spans="1:7" x14ac:dyDescent="0.25">
      <c r="A539" s="41">
        <v>46083</v>
      </c>
      <c r="B539" s="23" t="s">
        <v>9</v>
      </c>
      <c r="C539" s="23">
        <v>26.2</v>
      </c>
      <c r="D539" s="23">
        <v>2.4</v>
      </c>
      <c r="E539" s="23">
        <v>1.6</v>
      </c>
      <c r="F539" s="23">
        <v>0</v>
      </c>
      <c r="G539" s="23">
        <f t="shared" si="8"/>
        <v>30.2</v>
      </c>
    </row>
    <row r="540" spans="1:7" x14ac:dyDescent="0.25">
      <c r="A540" s="41">
        <v>46083</v>
      </c>
      <c r="B540" s="23" t="s">
        <v>10</v>
      </c>
      <c r="C540" s="23">
        <v>41.8</v>
      </c>
      <c r="D540" s="23">
        <v>0</v>
      </c>
      <c r="E540" s="23">
        <v>0</v>
      </c>
      <c r="F540" s="23">
        <v>0</v>
      </c>
      <c r="G540" s="23">
        <f t="shared" si="8"/>
        <v>41.8</v>
      </c>
    </row>
    <row r="541" spans="1:7" x14ac:dyDescent="0.25">
      <c r="A541" s="41">
        <v>46083</v>
      </c>
      <c r="B541" s="23" t="s">
        <v>11</v>
      </c>
      <c r="C541" s="23">
        <v>28.5</v>
      </c>
      <c r="D541" s="23">
        <v>3.7</v>
      </c>
      <c r="E541" s="23">
        <v>0</v>
      </c>
      <c r="F541" s="23">
        <v>0</v>
      </c>
      <c r="G541" s="23">
        <f t="shared" si="8"/>
        <v>32.200000000000003</v>
      </c>
    </row>
    <row r="542" spans="1:7" x14ac:dyDescent="0.25">
      <c r="A542" s="41">
        <v>46083</v>
      </c>
      <c r="B542" s="23" t="s">
        <v>12</v>
      </c>
      <c r="C542" s="23">
        <v>42.5</v>
      </c>
      <c r="D542" s="23">
        <v>0</v>
      </c>
      <c r="E542" s="23">
        <v>1.1000000000000001</v>
      </c>
      <c r="F542" s="23">
        <v>0</v>
      </c>
      <c r="G542" s="23">
        <f t="shared" si="8"/>
        <v>43.6</v>
      </c>
    </row>
    <row r="543" spans="1:7" x14ac:dyDescent="0.25">
      <c r="A543" s="41">
        <v>46083</v>
      </c>
      <c r="B543" s="23" t="s">
        <v>13</v>
      </c>
      <c r="C543" s="23">
        <v>26.3</v>
      </c>
      <c r="D543" s="23">
        <v>0</v>
      </c>
      <c r="E543" s="23">
        <v>0</v>
      </c>
      <c r="F543" s="23">
        <v>0</v>
      </c>
      <c r="G543" s="23">
        <f t="shared" si="8"/>
        <v>26.3</v>
      </c>
    </row>
    <row r="544" spans="1:7" x14ac:dyDescent="0.25">
      <c r="A544" s="41">
        <v>46083</v>
      </c>
      <c r="B544" s="23" t="s">
        <v>14</v>
      </c>
      <c r="C544" s="23">
        <v>17.399999999999999</v>
      </c>
      <c r="D544" s="23">
        <v>3.6</v>
      </c>
      <c r="E544" s="23">
        <v>1.3</v>
      </c>
      <c r="F544" s="23">
        <v>0</v>
      </c>
      <c r="G544" s="23">
        <f t="shared" si="8"/>
        <v>22.3</v>
      </c>
    </row>
    <row r="545" spans="1:7" x14ac:dyDescent="0.25">
      <c r="A545" s="41">
        <v>46083</v>
      </c>
      <c r="B545" s="23" t="s">
        <v>15</v>
      </c>
      <c r="C545" s="23">
        <v>44</v>
      </c>
      <c r="D545" s="23">
        <v>0</v>
      </c>
      <c r="E545" s="23">
        <v>1</v>
      </c>
      <c r="F545" s="23">
        <v>0</v>
      </c>
      <c r="G545" s="23">
        <f t="shared" si="8"/>
        <v>45</v>
      </c>
    </row>
    <row r="546" spans="1:7" x14ac:dyDescent="0.25">
      <c r="A546" s="41">
        <v>46083</v>
      </c>
      <c r="B546" s="23" t="s">
        <v>16</v>
      </c>
      <c r="C546" s="23">
        <v>41.3</v>
      </c>
      <c r="D546" s="23">
        <v>4.3</v>
      </c>
      <c r="E546" s="23">
        <v>0</v>
      </c>
      <c r="F546" s="23">
        <v>8</v>
      </c>
      <c r="G546" s="23">
        <f t="shared" si="8"/>
        <v>53.599999999999994</v>
      </c>
    </row>
    <row r="547" spans="1:7" x14ac:dyDescent="0.25">
      <c r="A547" s="41">
        <v>46090</v>
      </c>
      <c r="B547" s="23" t="s">
        <v>9</v>
      </c>
      <c r="C547" s="23">
        <v>41</v>
      </c>
      <c r="D547" s="23">
        <v>5.7</v>
      </c>
      <c r="E547" s="23">
        <v>2.2000000000000002</v>
      </c>
      <c r="F547" s="23">
        <v>0</v>
      </c>
      <c r="G547" s="23">
        <f t="shared" si="8"/>
        <v>48.900000000000006</v>
      </c>
    </row>
    <row r="548" spans="1:7" x14ac:dyDescent="0.25">
      <c r="A548" s="41">
        <v>46090</v>
      </c>
      <c r="B548" s="23" t="s">
        <v>10</v>
      </c>
      <c r="C548" s="23">
        <v>52.8</v>
      </c>
      <c r="D548" s="23">
        <v>0</v>
      </c>
      <c r="E548" s="23">
        <v>5.2</v>
      </c>
      <c r="F548" s="23">
        <v>0</v>
      </c>
      <c r="G548" s="23">
        <f t="shared" si="8"/>
        <v>58</v>
      </c>
    </row>
    <row r="549" spans="1:7" x14ac:dyDescent="0.25">
      <c r="A549" s="41">
        <v>46090</v>
      </c>
      <c r="B549" s="23" t="s">
        <v>11</v>
      </c>
      <c r="C549" s="23">
        <v>51.1</v>
      </c>
      <c r="D549" s="23">
        <v>0</v>
      </c>
      <c r="E549" s="23">
        <v>0</v>
      </c>
      <c r="F549" s="23">
        <v>0</v>
      </c>
      <c r="G549" s="23">
        <f t="shared" si="8"/>
        <v>51.1</v>
      </c>
    </row>
    <row r="550" spans="1:7" x14ac:dyDescent="0.25">
      <c r="A550" s="41">
        <v>46090</v>
      </c>
      <c r="B550" s="23" t="s">
        <v>12</v>
      </c>
      <c r="C550" s="23">
        <v>27.2</v>
      </c>
      <c r="D550" s="23">
        <v>0</v>
      </c>
      <c r="E550" s="23">
        <v>0</v>
      </c>
      <c r="F550" s="23">
        <v>0</v>
      </c>
      <c r="G550" s="23">
        <f t="shared" si="8"/>
        <v>27.2</v>
      </c>
    </row>
    <row r="551" spans="1:7" x14ac:dyDescent="0.25">
      <c r="A551" s="41">
        <v>46090</v>
      </c>
      <c r="B551" s="23" t="s">
        <v>13</v>
      </c>
      <c r="C551" s="23">
        <v>20.9</v>
      </c>
      <c r="D551" s="23">
        <v>0</v>
      </c>
      <c r="E551" s="23">
        <v>2.6</v>
      </c>
      <c r="F551" s="23">
        <v>0</v>
      </c>
      <c r="G551" s="23">
        <f t="shared" si="8"/>
        <v>23.5</v>
      </c>
    </row>
    <row r="552" spans="1:7" x14ac:dyDescent="0.25">
      <c r="A552" s="41">
        <v>46090</v>
      </c>
      <c r="B552" s="23" t="s">
        <v>14</v>
      </c>
      <c r="C552" s="23">
        <v>40.200000000000003</v>
      </c>
      <c r="D552" s="23">
        <v>4.2</v>
      </c>
      <c r="E552" s="23">
        <v>0</v>
      </c>
      <c r="F552" s="23">
        <v>0</v>
      </c>
      <c r="G552" s="23">
        <f t="shared" si="8"/>
        <v>44.400000000000006</v>
      </c>
    </row>
    <row r="553" spans="1:7" x14ac:dyDescent="0.25">
      <c r="A553" s="41">
        <v>46090</v>
      </c>
      <c r="B553" s="23" t="s">
        <v>15</v>
      </c>
      <c r="C553" s="23">
        <v>34.799999999999997</v>
      </c>
      <c r="D553" s="23">
        <v>7.1</v>
      </c>
      <c r="E553" s="23">
        <v>0</v>
      </c>
      <c r="F553" s="23">
        <v>0</v>
      </c>
      <c r="G553" s="23">
        <f t="shared" si="8"/>
        <v>41.9</v>
      </c>
    </row>
    <row r="554" spans="1:7" x14ac:dyDescent="0.25">
      <c r="A554" s="41">
        <v>46097</v>
      </c>
      <c r="B554" s="23" t="s">
        <v>9</v>
      </c>
      <c r="C554" s="23">
        <v>43.3</v>
      </c>
      <c r="D554" s="23">
        <v>7</v>
      </c>
      <c r="E554" s="23">
        <v>0</v>
      </c>
      <c r="F554" s="23">
        <v>0</v>
      </c>
      <c r="G554" s="23">
        <f t="shared" si="8"/>
        <v>50.3</v>
      </c>
    </row>
    <row r="555" spans="1:7" x14ac:dyDescent="0.25">
      <c r="A555" s="41">
        <v>46097</v>
      </c>
      <c r="B555" s="23" t="s">
        <v>10</v>
      </c>
      <c r="C555" s="23">
        <v>29.8</v>
      </c>
      <c r="D555" s="23">
        <v>0</v>
      </c>
      <c r="E555" s="23">
        <v>0.6</v>
      </c>
      <c r="F555" s="23">
        <v>0</v>
      </c>
      <c r="G555" s="23">
        <f t="shared" si="8"/>
        <v>30.400000000000002</v>
      </c>
    </row>
    <row r="556" spans="1:7" x14ac:dyDescent="0.25">
      <c r="A556" s="41">
        <v>46097</v>
      </c>
      <c r="B556" s="23" t="s">
        <v>11</v>
      </c>
      <c r="C556" s="23">
        <v>26.6</v>
      </c>
      <c r="D556" s="23">
        <v>5.7</v>
      </c>
      <c r="E556" s="23">
        <v>0.8</v>
      </c>
      <c r="F556" s="23">
        <v>0</v>
      </c>
      <c r="G556" s="23">
        <f t="shared" si="8"/>
        <v>33.1</v>
      </c>
    </row>
    <row r="557" spans="1:7" x14ac:dyDescent="0.25">
      <c r="A557" s="41">
        <v>46097</v>
      </c>
      <c r="B557" s="23" t="s">
        <v>12</v>
      </c>
      <c r="C557" s="23">
        <v>22.6</v>
      </c>
      <c r="D557" s="23">
        <v>0</v>
      </c>
      <c r="E557" s="23">
        <v>0</v>
      </c>
      <c r="F557" s="23">
        <v>0</v>
      </c>
      <c r="G557" s="23">
        <f t="shared" si="8"/>
        <v>22.6</v>
      </c>
    </row>
    <row r="558" spans="1:7" x14ac:dyDescent="0.25">
      <c r="A558" s="41">
        <v>46097</v>
      </c>
      <c r="B558" s="23" t="s">
        <v>13</v>
      </c>
      <c r="C558" s="23">
        <v>30.8</v>
      </c>
      <c r="D558" s="23">
        <v>0</v>
      </c>
      <c r="E558" s="23">
        <v>0</v>
      </c>
      <c r="F558" s="23">
        <v>0</v>
      </c>
      <c r="G558" s="23">
        <f t="shared" si="8"/>
        <v>30.8</v>
      </c>
    </row>
    <row r="559" spans="1:7" x14ac:dyDescent="0.25">
      <c r="A559" s="41">
        <v>46097</v>
      </c>
      <c r="B559" s="23" t="s">
        <v>14</v>
      </c>
      <c r="C559" s="23">
        <v>31.8</v>
      </c>
      <c r="D559" s="23">
        <v>0</v>
      </c>
      <c r="E559" s="23">
        <v>0</v>
      </c>
      <c r="F559" s="23">
        <v>0</v>
      </c>
      <c r="G559" s="23">
        <f t="shared" si="8"/>
        <v>31.8</v>
      </c>
    </row>
    <row r="560" spans="1:7" x14ac:dyDescent="0.25">
      <c r="A560" s="41">
        <v>46097</v>
      </c>
      <c r="B560" s="23" t="s">
        <v>15</v>
      </c>
      <c r="C560" s="23">
        <v>36</v>
      </c>
      <c r="D560" s="23">
        <v>0</v>
      </c>
      <c r="E560" s="23">
        <v>0.7</v>
      </c>
      <c r="F560" s="23">
        <v>0</v>
      </c>
      <c r="G560" s="23">
        <f t="shared" si="8"/>
        <v>36.700000000000003</v>
      </c>
    </row>
    <row r="561" spans="1:7" x14ac:dyDescent="0.25">
      <c r="A561" s="41">
        <v>46097</v>
      </c>
      <c r="B561" s="23" t="s">
        <v>16</v>
      </c>
      <c r="C561" s="23">
        <v>19.7</v>
      </c>
      <c r="D561" s="23">
        <v>6.3</v>
      </c>
      <c r="E561" s="23">
        <v>0</v>
      </c>
      <c r="F561" s="23">
        <v>0</v>
      </c>
      <c r="G561" s="23">
        <f t="shared" si="8"/>
        <v>26</v>
      </c>
    </row>
    <row r="562" spans="1:7" x14ac:dyDescent="0.25">
      <c r="A562" s="41">
        <v>46097</v>
      </c>
      <c r="B562" s="23" t="s">
        <v>17</v>
      </c>
      <c r="C562" s="23">
        <v>34.4</v>
      </c>
      <c r="D562" s="23">
        <v>4</v>
      </c>
      <c r="E562" s="23">
        <v>0.9</v>
      </c>
      <c r="F562" s="23">
        <v>0</v>
      </c>
      <c r="G562" s="23">
        <f t="shared" si="8"/>
        <v>39.299999999999997</v>
      </c>
    </row>
    <row r="563" spans="1:7" x14ac:dyDescent="0.25">
      <c r="A563" s="41">
        <v>46104</v>
      </c>
      <c r="B563" s="23" t="s">
        <v>9</v>
      </c>
      <c r="C563" s="23">
        <v>24</v>
      </c>
      <c r="D563" s="23">
        <v>4.9000000000000004</v>
      </c>
      <c r="E563" s="23">
        <v>0</v>
      </c>
      <c r="F563" s="23">
        <v>0</v>
      </c>
      <c r="G563" s="23">
        <f t="shared" si="8"/>
        <v>28.9</v>
      </c>
    </row>
    <row r="564" spans="1:7" x14ac:dyDescent="0.25">
      <c r="A564" s="41">
        <v>46104</v>
      </c>
      <c r="B564" s="23" t="s">
        <v>10</v>
      </c>
      <c r="C564" s="23">
        <v>39.1</v>
      </c>
      <c r="D564" s="23">
        <v>4.0999999999999996</v>
      </c>
      <c r="E564" s="23">
        <v>0</v>
      </c>
      <c r="F564" s="23">
        <v>0</v>
      </c>
      <c r="G564" s="23">
        <f t="shared" si="8"/>
        <v>43.2</v>
      </c>
    </row>
    <row r="565" spans="1:7" x14ac:dyDescent="0.25">
      <c r="A565" s="41">
        <v>46104</v>
      </c>
      <c r="B565" s="23" t="s">
        <v>11</v>
      </c>
      <c r="C565" s="23">
        <v>48.5</v>
      </c>
      <c r="D565" s="23">
        <v>0</v>
      </c>
      <c r="E565" s="23">
        <v>1.2</v>
      </c>
      <c r="F565" s="23">
        <v>0</v>
      </c>
      <c r="G565" s="23">
        <f t="shared" si="8"/>
        <v>49.7</v>
      </c>
    </row>
    <row r="566" spans="1:7" x14ac:dyDescent="0.25">
      <c r="A566" s="41">
        <v>46104</v>
      </c>
      <c r="B566" s="23" t="s">
        <v>12</v>
      </c>
      <c r="C566" s="23">
        <v>45.9</v>
      </c>
      <c r="D566" s="23">
        <v>0</v>
      </c>
      <c r="E566" s="23">
        <v>0.4</v>
      </c>
      <c r="F566" s="23">
        <v>0</v>
      </c>
      <c r="G566" s="23">
        <f t="shared" si="8"/>
        <v>46.3</v>
      </c>
    </row>
    <row r="567" spans="1:7" x14ac:dyDescent="0.25">
      <c r="A567" s="41">
        <v>46104</v>
      </c>
      <c r="B567" s="23" t="s">
        <v>13</v>
      </c>
      <c r="C567" s="23">
        <v>20.2</v>
      </c>
      <c r="D567" s="23">
        <v>0</v>
      </c>
      <c r="E567" s="23">
        <v>0</v>
      </c>
      <c r="F567" s="23">
        <v>0</v>
      </c>
      <c r="G567" s="23">
        <f t="shared" si="8"/>
        <v>20.2</v>
      </c>
    </row>
    <row r="568" spans="1:7" x14ac:dyDescent="0.25">
      <c r="A568" s="41">
        <v>46104</v>
      </c>
      <c r="B568" s="23" t="s">
        <v>14</v>
      </c>
      <c r="C568" s="23">
        <v>41.7</v>
      </c>
      <c r="D568" s="23">
        <v>0</v>
      </c>
      <c r="E568" s="23">
        <v>1.2</v>
      </c>
      <c r="F568" s="23">
        <v>0</v>
      </c>
      <c r="G568" s="23">
        <f t="shared" si="8"/>
        <v>42.900000000000006</v>
      </c>
    </row>
    <row r="569" spans="1:7" x14ac:dyDescent="0.25">
      <c r="A569" s="41">
        <v>46104</v>
      </c>
      <c r="B569" s="23" t="s">
        <v>15</v>
      </c>
      <c r="C569" s="23">
        <v>23.5</v>
      </c>
      <c r="D569" s="23">
        <v>4.4000000000000004</v>
      </c>
      <c r="E569" s="23">
        <v>1.2</v>
      </c>
      <c r="F569" s="23">
        <v>0</v>
      </c>
      <c r="G569" s="23">
        <f t="shared" si="8"/>
        <v>29.099999999999998</v>
      </c>
    </row>
    <row r="570" spans="1:7" x14ac:dyDescent="0.25">
      <c r="A570" s="41">
        <v>46104</v>
      </c>
      <c r="B570" s="23" t="s">
        <v>16</v>
      </c>
      <c r="C570" s="23">
        <v>26.1</v>
      </c>
      <c r="D570" s="23">
        <v>2.6</v>
      </c>
      <c r="E570" s="23">
        <v>0</v>
      </c>
      <c r="F570" s="23">
        <v>0</v>
      </c>
      <c r="G570" s="23">
        <f t="shared" si="8"/>
        <v>28.700000000000003</v>
      </c>
    </row>
    <row r="571" spans="1:7" x14ac:dyDescent="0.25">
      <c r="A571" s="41">
        <v>46111</v>
      </c>
      <c r="B571" s="23" t="s">
        <v>9</v>
      </c>
      <c r="C571" s="23">
        <v>49.9</v>
      </c>
      <c r="D571" s="23">
        <v>9.1</v>
      </c>
      <c r="E571" s="23">
        <v>0</v>
      </c>
      <c r="F571" s="23">
        <v>0</v>
      </c>
      <c r="G571" s="23">
        <f t="shared" si="8"/>
        <v>59</v>
      </c>
    </row>
    <row r="572" spans="1:7" x14ac:dyDescent="0.25">
      <c r="A572" s="41">
        <v>46111</v>
      </c>
      <c r="B572" s="23" t="s">
        <v>10</v>
      </c>
      <c r="C572" s="23">
        <v>34.5</v>
      </c>
      <c r="D572" s="23">
        <v>0</v>
      </c>
      <c r="E572" s="23">
        <v>0</v>
      </c>
      <c r="F572" s="23">
        <v>0</v>
      </c>
      <c r="G572" s="23">
        <f t="shared" si="8"/>
        <v>34.5</v>
      </c>
    </row>
    <row r="573" spans="1:7" x14ac:dyDescent="0.25">
      <c r="A573" s="41">
        <v>46111</v>
      </c>
      <c r="B573" s="23" t="s">
        <v>11</v>
      </c>
      <c r="C573" s="23">
        <v>40.5</v>
      </c>
      <c r="D573" s="23">
        <v>0</v>
      </c>
      <c r="E573" s="23">
        <v>0</v>
      </c>
      <c r="F573" s="23">
        <v>0</v>
      </c>
      <c r="G573" s="23">
        <f t="shared" si="8"/>
        <v>40.5</v>
      </c>
    </row>
    <row r="574" spans="1:7" x14ac:dyDescent="0.25">
      <c r="A574" s="41">
        <v>46111</v>
      </c>
      <c r="B574" s="23" t="s">
        <v>12</v>
      </c>
      <c r="C574" s="23">
        <v>33.6</v>
      </c>
      <c r="D574" s="23">
        <v>5.9</v>
      </c>
      <c r="E574" s="23">
        <v>0</v>
      </c>
      <c r="F574" s="23">
        <v>0</v>
      </c>
      <c r="G574" s="23">
        <f t="shared" si="8"/>
        <v>39.5</v>
      </c>
    </row>
    <row r="575" spans="1:7" x14ac:dyDescent="0.25">
      <c r="A575" s="41">
        <v>46111</v>
      </c>
      <c r="B575" s="23" t="s">
        <v>13</v>
      </c>
      <c r="C575" s="23">
        <v>29.8</v>
      </c>
      <c r="D575" s="23">
        <v>0</v>
      </c>
      <c r="E575" s="23">
        <v>0</v>
      </c>
      <c r="F575" s="23">
        <v>8</v>
      </c>
      <c r="G575" s="23">
        <f t="shared" si="8"/>
        <v>37.799999999999997</v>
      </c>
    </row>
    <row r="576" spans="1:7" x14ac:dyDescent="0.25">
      <c r="A576" s="41">
        <v>46111</v>
      </c>
      <c r="B576" s="23" t="s">
        <v>14</v>
      </c>
      <c r="C576" s="23">
        <v>39.6</v>
      </c>
      <c r="D576" s="23">
        <v>5</v>
      </c>
      <c r="E576" s="23">
        <v>0</v>
      </c>
      <c r="F576" s="23">
        <v>0</v>
      </c>
      <c r="G576" s="23">
        <f t="shared" si="8"/>
        <v>44.6</v>
      </c>
    </row>
    <row r="577" spans="1:7" x14ac:dyDescent="0.25">
      <c r="A577" s="41">
        <v>46111</v>
      </c>
      <c r="B577" s="23" t="s">
        <v>15</v>
      </c>
      <c r="C577" s="23">
        <v>39.1</v>
      </c>
      <c r="D577" s="23">
        <v>0</v>
      </c>
      <c r="E577" s="23">
        <v>0</v>
      </c>
      <c r="F577" s="23">
        <v>0</v>
      </c>
      <c r="G577" s="23">
        <f t="shared" si="8"/>
        <v>39.1</v>
      </c>
    </row>
    <row r="578" spans="1:7" x14ac:dyDescent="0.25">
      <c r="A578" s="41">
        <v>46118</v>
      </c>
      <c r="B578" s="23" t="s">
        <v>9</v>
      </c>
      <c r="C578" s="23">
        <v>18.600000000000001</v>
      </c>
      <c r="D578" s="23">
        <v>0</v>
      </c>
      <c r="E578" s="23">
        <v>3.5</v>
      </c>
      <c r="F578" s="23">
        <v>4</v>
      </c>
      <c r="G578" s="23">
        <f t="shared" si="8"/>
        <v>26.1</v>
      </c>
    </row>
    <row r="579" spans="1:7" x14ac:dyDescent="0.25">
      <c r="A579" s="41">
        <v>46118</v>
      </c>
      <c r="B579" s="23" t="s">
        <v>10</v>
      </c>
      <c r="C579" s="23">
        <v>27.2</v>
      </c>
      <c r="D579" s="23">
        <v>6.2</v>
      </c>
      <c r="E579" s="23">
        <v>0</v>
      </c>
      <c r="F579" s="23">
        <v>0</v>
      </c>
      <c r="G579" s="23">
        <f t="shared" si="8"/>
        <v>33.4</v>
      </c>
    </row>
    <row r="580" spans="1:7" x14ac:dyDescent="0.25">
      <c r="A580" s="41">
        <v>46118</v>
      </c>
      <c r="B580" s="23" t="s">
        <v>11</v>
      </c>
      <c r="C580" s="23">
        <v>19</v>
      </c>
      <c r="D580" s="23">
        <v>0</v>
      </c>
      <c r="E580" s="23">
        <v>0</v>
      </c>
      <c r="F580" s="23">
        <v>0</v>
      </c>
      <c r="G580" s="23">
        <f t="shared" ref="G580:G643" si="9">C580+D580+E580+F580</f>
        <v>19</v>
      </c>
    </row>
    <row r="581" spans="1:7" x14ac:dyDescent="0.25">
      <c r="A581" s="41">
        <v>46118</v>
      </c>
      <c r="B581" s="23" t="s">
        <v>12</v>
      </c>
      <c r="C581" s="23">
        <v>26.7</v>
      </c>
      <c r="D581" s="23">
        <v>0</v>
      </c>
      <c r="E581" s="23">
        <v>0</v>
      </c>
      <c r="F581" s="23">
        <v>0</v>
      </c>
      <c r="G581" s="23">
        <f t="shared" si="9"/>
        <v>26.7</v>
      </c>
    </row>
    <row r="582" spans="1:7" x14ac:dyDescent="0.25">
      <c r="A582" s="41">
        <v>46118</v>
      </c>
      <c r="B582" s="23" t="s">
        <v>13</v>
      </c>
      <c r="C582" s="23">
        <v>36.700000000000003</v>
      </c>
      <c r="D582" s="23">
        <v>0</v>
      </c>
      <c r="E582" s="23">
        <v>1.5</v>
      </c>
      <c r="F582" s="23">
        <v>8</v>
      </c>
      <c r="G582" s="23">
        <f t="shared" si="9"/>
        <v>46.2</v>
      </c>
    </row>
    <row r="583" spans="1:7" x14ac:dyDescent="0.25">
      <c r="A583" s="41">
        <v>46118</v>
      </c>
      <c r="B583" s="23" t="s">
        <v>14</v>
      </c>
      <c r="C583" s="23">
        <v>21.3</v>
      </c>
      <c r="D583" s="23">
        <v>3.2</v>
      </c>
      <c r="E583" s="23">
        <v>0</v>
      </c>
      <c r="F583" s="23">
        <v>0</v>
      </c>
      <c r="G583" s="23">
        <f t="shared" si="9"/>
        <v>24.5</v>
      </c>
    </row>
    <row r="584" spans="1:7" x14ac:dyDescent="0.25">
      <c r="A584" s="41">
        <v>46118</v>
      </c>
      <c r="B584" s="23" t="s">
        <v>15</v>
      </c>
      <c r="C584" s="23">
        <v>32.1</v>
      </c>
      <c r="D584" s="23">
        <v>0</v>
      </c>
      <c r="E584" s="23">
        <v>0</v>
      </c>
      <c r="F584" s="23">
        <v>0</v>
      </c>
      <c r="G584" s="23">
        <f t="shared" si="9"/>
        <v>32.1</v>
      </c>
    </row>
    <row r="585" spans="1:7" x14ac:dyDescent="0.25">
      <c r="A585" s="41">
        <v>46118</v>
      </c>
      <c r="B585" s="23" t="s">
        <v>16</v>
      </c>
      <c r="C585" s="23">
        <v>25.2</v>
      </c>
      <c r="D585" s="23">
        <v>5.8</v>
      </c>
      <c r="E585" s="23">
        <v>3.5</v>
      </c>
      <c r="F585" s="23">
        <v>0</v>
      </c>
      <c r="G585" s="23">
        <f t="shared" si="9"/>
        <v>34.5</v>
      </c>
    </row>
    <row r="586" spans="1:7" x14ac:dyDescent="0.25">
      <c r="A586" s="41">
        <v>46118</v>
      </c>
      <c r="B586" s="23" t="s">
        <v>17</v>
      </c>
      <c r="C586" s="23">
        <v>31.2</v>
      </c>
      <c r="D586" s="23">
        <v>4.8</v>
      </c>
      <c r="E586" s="23">
        <v>1.5</v>
      </c>
      <c r="F586" s="23">
        <v>0</v>
      </c>
      <c r="G586" s="23">
        <f t="shared" si="9"/>
        <v>37.5</v>
      </c>
    </row>
    <row r="587" spans="1:7" x14ac:dyDescent="0.25">
      <c r="A587" s="41">
        <v>46125</v>
      </c>
      <c r="B587" s="23" t="s">
        <v>9</v>
      </c>
      <c r="C587" s="23">
        <v>38.299999999999997</v>
      </c>
      <c r="D587" s="23">
        <v>6.7</v>
      </c>
      <c r="E587" s="23">
        <v>0</v>
      </c>
      <c r="F587" s="23">
        <v>0</v>
      </c>
      <c r="G587" s="23">
        <f t="shared" si="9"/>
        <v>45</v>
      </c>
    </row>
    <row r="588" spans="1:7" x14ac:dyDescent="0.25">
      <c r="A588" s="41">
        <v>46125</v>
      </c>
      <c r="B588" s="23" t="s">
        <v>10</v>
      </c>
      <c r="C588" s="23">
        <v>38.4</v>
      </c>
      <c r="D588" s="23">
        <v>0</v>
      </c>
      <c r="E588" s="23">
        <v>1.5</v>
      </c>
      <c r="F588" s="23">
        <v>0</v>
      </c>
      <c r="G588" s="23">
        <f t="shared" si="9"/>
        <v>39.9</v>
      </c>
    </row>
    <row r="589" spans="1:7" x14ac:dyDescent="0.25">
      <c r="A589" s="41">
        <v>46125</v>
      </c>
      <c r="B589" s="23" t="s">
        <v>11</v>
      </c>
      <c r="C589" s="23">
        <v>19.7</v>
      </c>
      <c r="D589" s="23">
        <v>0</v>
      </c>
      <c r="E589" s="23">
        <v>2</v>
      </c>
      <c r="F589" s="23">
        <v>0</v>
      </c>
      <c r="G589" s="23">
        <f t="shared" si="9"/>
        <v>21.7</v>
      </c>
    </row>
    <row r="590" spans="1:7" x14ac:dyDescent="0.25">
      <c r="A590" s="41">
        <v>46125</v>
      </c>
      <c r="B590" s="23" t="s">
        <v>12</v>
      </c>
      <c r="C590" s="23">
        <v>40.9</v>
      </c>
      <c r="D590" s="23">
        <v>7.2</v>
      </c>
      <c r="E590" s="23">
        <v>0</v>
      </c>
      <c r="F590" s="23">
        <v>0</v>
      </c>
      <c r="G590" s="23">
        <f t="shared" si="9"/>
        <v>48.1</v>
      </c>
    </row>
    <row r="591" spans="1:7" x14ac:dyDescent="0.25">
      <c r="A591" s="41">
        <v>46125</v>
      </c>
      <c r="B591" s="23" t="s">
        <v>13</v>
      </c>
      <c r="C591" s="23">
        <v>19.899999999999999</v>
      </c>
      <c r="D591" s="23">
        <v>3.1</v>
      </c>
      <c r="E591" s="23">
        <v>1.1000000000000001</v>
      </c>
      <c r="F591" s="23">
        <v>0</v>
      </c>
      <c r="G591" s="23">
        <f t="shared" si="9"/>
        <v>24.1</v>
      </c>
    </row>
    <row r="592" spans="1:7" x14ac:dyDescent="0.25">
      <c r="A592" s="41">
        <v>46125</v>
      </c>
      <c r="B592" s="23" t="s">
        <v>14</v>
      </c>
      <c r="C592" s="23">
        <v>40.1</v>
      </c>
      <c r="D592" s="23">
        <v>3</v>
      </c>
      <c r="E592" s="23">
        <v>0</v>
      </c>
      <c r="F592" s="23">
        <v>0</v>
      </c>
      <c r="G592" s="23">
        <f t="shared" si="9"/>
        <v>43.1</v>
      </c>
    </row>
    <row r="593" spans="1:7" x14ac:dyDescent="0.25">
      <c r="A593" s="41">
        <v>46125</v>
      </c>
      <c r="B593" s="23" t="s">
        <v>15</v>
      </c>
      <c r="C593" s="23">
        <v>30.2</v>
      </c>
      <c r="D593" s="23">
        <v>0</v>
      </c>
      <c r="E593" s="23">
        <v>1.4</v>
      </c>
      <c r="F593" s="23">
        <v>0</v>
      </c>
      <c r="G593" s="23">
        <f t="shared" si="9"/>
        <v>31.599999999999998</v>
      </c>
    </row>
    <row r="594" spans="1:7" x14ac:dyDescent="0.25">
      <c r="A594" s="41">
        <v>46125</v>
      </c>
      <c r="B594" s="23" t="s">
        <v>16</v>
      </c>
      <c r="C594" s="23">
        <v>57.5</v>
      </c>
      <c r="D594" s="23">
        <v>0</v>
      </c>
      <c r="E594" s="23">
        <v>0</v>
      </c>
      <c r="F594" s="23">
        <v>0</v>
      </c>
      <c r="G594" s="23">
        <f t="shared" si="9"/>
        <v>57.5</v>
      </c>
    </row>
    <row r="595" spans="1:7" x14ac:dyDescent="0.25">
      <c r="A595" s="41">
        <v>46132</v>
      </c>
      <c r="B595" s="23" t="s">
        <v>9</v>
      </c>
      <c r="C595" s="23">
        <v>46.4</v>
      </c>
      <c r="D595" s="23">
        <v>4.8</v>
      </c>
      <c r="E595" s="23">
        <v>1.7</v>
      </c>
      <c r="F595" s="23">
        <v>0</v>
      </c>
      <c r="G595" s="23">
        <f t="shared" si="9"/>
        <v>52.9</v>
      </c>
    </row>
    <row r="596" spans="1:7" x14ac:dyDescent="0.25">
      <c r="A596" s="41">
        <v>46132</v>
      </c>
      <c r="B596" s="23" t="s">
        <v>10</v>
      </c>
      <c r="C596" s="23">
        <v>43</v>
      </c>
      <c r="D596" s="23">
        <v>0</v>
      </c>
      <c r="E596" s="23">
        <v>0</v>
      </c>
      <c r="F596" s="23">
        <v>0</v>
      </c>
      <c r="G596" s="23">
        <f t="shared" si="9"/>
        <v>43</v>
      </c>
    </row>
    <row r="597" spans="1:7" x14ac:dyDescent="0.25">
      <c r="A597" s="41">
        <v>46132</v>
      </c>
      <c r="B597" s="23" t="s">
        <v>11</v>
      </c>
      <c r="C597" s="23">
        <v>20.3</v>
      </c>
      <c r="D597" s="23">
        <v>0</v>
      </c>
      <c r="E597" s="23">
        <v>0</v>
      </c>
      <c r="F597" s="23">
        <v>4</v>
      </c>
      <c r="G597" s="23">
        <f t="shared" si="9"/>
        <v>24.3</v>
      </c>
    </row>
    <row r="598" spans="1:7" x14ac:dyDescent="0.25">
      <c r="A598" s="41">
        <v>46132</v>
      </c>
      <c r="B598" s="23" t="s">
        <v>12</v>
      </c>
      <c r="C598" s="23">
        <v>30</v>
      </c>
      <c r="D598" s="23">
        <v>0</v>
      </c>
      <c r="E598" s="23">
        <v>0</v>
      </c>
      <c r="F598" s="23">
        <v>0</v>
      </c>
      <c r="G598" s="23">
        <f t="shared" si="9"/>
        <v>30</v>
      </c>
    </row>
    <row r="599" spans="1:7" x14ac:dyDescent="0.25">
      <c r="A599" s="41">
        <v>46132</v>
      </c>
      <c r="B599" s="23" t="s">
        <v>13</v>
      </c>
      <c r="C599" s="23">
        <v>35.9</v>
      </c>
      <c r="D599" s="23">
        <v>4.9000000000000004</v>
      </c>
      <c r="E599" s="23">
        <v>1.1000000000000001</v>
      </c>
      <c r="F599" s="23">
        <v>0</v>
      </c>
      <c r="G599" s="23">
        <f t="shared" si="9"/>
        <v>41.9</v>
      </c>
    </row>
    <row r="600" spans="1:7" x14ac:dyDescent="0.25">
      <c r="A600" s="41">
        <v>46132</v>
      </c>
      <c r="B600" s="23" t="s">
        <v>14</v>
      </c>
      <c r="C600" s="23">
        <v>19</v>
      </c>
      <c r="D600" s="23">
        <v>2.5</v>
      </c>
      <c r="E600" s="23">
        <v>0</v>
      </c>
      <c r="F600" s="23">
        <v>0</v>
      </c>
      <c r="G600" s="23">
        <f t="shared" si="9"/>
        <v>21.5</v>
      </c>
    </row>
    <row r="601" spans="1:7" x14ac:dyDescent="0.25">
      <c r="A601" s="41">
        <v>46132</v>
      </c>
      <c r="B601" s="23" t="s">
        <v>15</v>
      </c>
      <c r="C601" s="23">
        <v>17.399999999999999</v>
      </c>
      <c r="D601" s="23">
        <v>4.8</v>
      </c>
      <c r="E601" s="23">
        <v>1.5</v>
      </c>
      <c r="F601" s="23">
        <v>0</v>
      </c>
      <c r="G601" s="23">
        <f t="shared" si="9"/>
        <v>23.7</v>
      </c>
    </row>
    <row r="602" spans="1:7" x14ac:dyDescent="0.25">
      <c r="A602" s="41">
        <v>46132</v>
      </c>
      <c r="B602" s="23" t="s">
        <v>16</v>
      </c>
      <c r="C602" s="23">
        <v>22.9</v>
      </c>
      <c r="D602" s="23">
        <v>0</v>
      </c>
      <c r="E602" s="23">
        <v>1.7</v>
      </c>
      <c r="F602" s="23">
        <v>0</v>
      </c>
      <c r="G602" s="23">
        <f t="shared" si="9"/>
        <v>24.599999999999998</v>
      </c>
    </row>
    <row r="603" spans="1:7" x14ac:dyDescent="0.25">
      <c r="A603" s="41">
        <v>46132</v>
      </c>
      <c r="B603" s="23" t="s">
        <v>17</v>
      </c>
      <c r="C603" s="23">
        <v>34.1</v>
      </c>
      <c r="D603" s="23">
        <v>0</v>
      </c>
      <c r="E603" s="23">
        <v>0</v>
      </c>
      <c r="F603" s="23">
        <v>0</v>
      </c>
      <c r="G603" s="23">
        <f t="shared" si="9"/>
        <v>34.1</v>
      </c>
    </row>
    <row r="604" spans="1:7" x14ac:dyDescent="0.25">
      <c r="A604" s="41">
        <v>46139</v>
      </c>
      <c r="B604" s="23" t="s">
        <v>9</v>
      </c>
      <c r="C604" s="23">
        <v>17.8</v>
      </c>
      <c r="D604" s="23">
        <v>7.6</v>
      </c>
      <c r="E604" s="23">
        <v>0.6</v>
      </c>
      <c r="F604" s="23">
        <v>0</v>
      </c>
      <c r="G604" s="23">
        <f t="shared" si="9"/>
        <v>26</v>
      </c>
    </row>
    <row r="605" spans="1:7" x14ac:dyDescent="0.25">
      <c r="A605" s="41">
        <v>46139</v>
      </c>
      <c r="B605" s="23" t="s">
        <v>10</v>
      </c>
      <c r="C605" s="23">
        <v>32.1</v>
      </c>
      <c r="D605" s="23">
        <v>4.8</v>
      </c>
      <c r="E605" s="23">
        <v>0</v>
      </c>
      <c r="F605" s="23">
        <v>0</v>
      </c>
      <c r="G605" s="23">
        <f t="shared" si="9"/>
        <v>36.9</v>
      </c>
    </row>
    <row r="606" spans="1:7" x14ac:dyDescent="0.25">
      <c r="A606" s="41">
        <v>46139</v>
      </c>
      <c r="B606" s="23" t="s">
        <v>11</v>
      </c>
      <c r="C606" s="23">
        <v>21.4</v>
      </c>
      <c r="D606" s="23">
        <v>0</v>
      </c>
      <c r="E606" s="23">
        <v>0</v>
      </c>
      <c r="F606" s="23">
        <v>0</v>
      </c>
      <c r="G606" s="23">
        <f t="shared" si="9"/>
        <v>21.4</v>
      </c>
    </row>
    <row r="607" spans="1:7" x14ac:dyDescent="0.25">
      <c r="A607" s="41">
        <v>46139</v>
      </c>
      <c r="B607" s="23" t="s">
        <v>12</v>
      </c>
      <c r="C607" s="23">
        <v>33.6</v>
      </c>
      <c r="D607" s="23">
        <v>7.2</v>
      </c>
      <c r="E607" s="23">
        <v>0.5</v>
      </c>
      <c r="F607" s="23">
        <v>0</v>
      </c>
      <c r="G607" s="23">
        <f t="shared" si="9"/>
        <v>41.300000000000004</v>
      </c>
    </row>
    <row r="608" spans="1:7" x14ac:dyDescent="0.25">
      <c r="A608" s="41">
        <v>46139</v>
      </c>
      <c r="B608" s="23" t="s">
        <v>13</v>
      </c>
      <c r="C608" s="23">
        <v>20</v>
      </c>
      <c r="D608" s="23">
        <v>0</v>
      </c>
      <c r="E608" s="23">
        <v>0.8</v>
      </c>
      <c r="F608" s="23">
        <v>0</v>
      </c>
      <c r="G608" s="23">
        <f t="shared" si="9"/>
        <v>20.8</v>
      </c>
    </row>
    <row r="609" spans="1:7" x14ac:dyDescent="0.25">
      <c r="A609" s="41">
        <v>46139</v>
      </c>
      <c r="B609" s="23" t="s">
        <v>14</v>
      </c>
      <c r="C609" s="23">
        <v>30.2</v>
      </c>
      <c r="D609" s="23">
        <v>8.3000000000000007</v>
      </c>
      <c r="E609" s="23">
        <v>0.5</v>
      </c>
      <c r="F609" s="23">
        <v>0</v>
      </c>
      <c r="G609" s="23">
        <f t="shared" si="9"/>
        <v>39</v>
      </c>
    </row>
    <row r="610" spans="1:7" x14ac:dyDescent="0.25">
      <c r="A610" s="41">
        <v>46139</v>
      </c>
      <c r="B610" s="23" t="s">
        <v>15</v>
      </c>
      <c r="C610" s="23">
        <v>15.4</v>
      </c>
      <c r="D610" s="23">
        <v>0</v>
      </c>
      <c r="E610" s="23">
        <v>0.6</v>
      </c>
      <c r="F610" s="23">
        <v>0</v>
      </c>
      <c r="G610" s="23">
        <f t="shared" si="9"/>
        <v>16</v>
      </c>
    </row>
    <row r="611" spans="1:7" x14ac:dyDescent="0.25">
      <c r="A611" s="41">
        <v>46139</v>
      </c>
      <c r="B611" s="23" t="s">
        <v>16</v>
      </c>
      <c r="C611" s="23">
        <v>35.799999999999997</v>
      </c>
      <c r="D611" s="23">
        <v>5.0999999999999996</v>
      </c>
      <c r="E611" s="23">
        <v>0</v>
      </c>
      <c r="F611" s="23">
        <v>0</v>
      </c>
      <c r="G611" s="23">
        <f t="shared" si="9"/>
        <v>40.9</v>
      </c>
    </row>
    <row r="612" spans="1:7" x14ac:dyDescent="0.25">
      <c r="A612" s="41">
        <v>46139</v>
      </c>
      <c r="B612" s="23" t="s">
        <v>17</v>
      </c>
      <c r="C612" s="23">
        <v>29.5</v>
      </c>
      <c r="D612" s="23">
        <v>0</v>
      </c>
      <c r="E612" s="23">
        <v>0</v>
      </c>
      <c r="F612" s="23">
        <v>0</v>
      </c>
      <c r="G612" s="23">
        <f t="shared" si="9"/>
        <v>29.5</v>
      </c>
    </row>
    <row r="613" spans="1:7" x14ac:dyDescent="0.25">
      <c r="A613" s="41">
        <v>46139</v>
      </c>
      <c r="B613" s="23" t="s">
        <v>18</v>
      </c>
      <c r="C613" s="23">
        <v>24.2</v>
      </c>
      <c r="D613" s="23">
        <v>0</v>
      </c>
      <c r="E613" s="23">
        <v>0</v>
      </c>
      <c r="F613" s="23">
        <v>0</v>
      </c>
      <c r="G613" s="23">
        <f t="shared" si="9"/>
        <v>24.2</v>
      </c>
    </row>
    <row r="614" spans="1:7" x14ac:dyDescent="0.25">
      <c r="A614" s="41">
        <v>46146</v>
      </c>
      <c r="B614" s="23" t="s">
        <v>9</v>
      </c>
      <c r="C614" s="23">
        <v>43.8</v>
      </c>
      <c r="D614" s="23">
        <v>0</v>
      </c>
      <c r="E614" s="23">
        <v>1.2</v>
      </c>
      <c r="F614" s="23">
        <v>0</v>
      </c>
      <c r="G614" s="23">
        <f t="shared" si="9"/>
        <v>45</v>
      </c>
    </row>
    <row r="615" spans="1:7" x14ac:dyDescent="0.25">
      <c r="A615" s="41">
        <v>46146</v>
      </c>
      <c r="B615" s="23" t="s">
        <v>10</v>
      </c>
      <c r="C615" s="23">
        <v>32.5</v>
      </c>
      <c r="D615" s="23">
        <v>5.9</v>
      </c>
      <c r="E615" s="23">
        <v>0</v>
      </c>
      <c r="F615" s="23">
        <v>0</v>
      </c>
      <c r="G615" s="23">
        <f t="shared" si="9"/>
        <v>38.4</v>
      </c>
    </row>
    <row r="616" spans="1:7" x14ac:dyDescent="0.25">
      <c r="A616" s="41">
        <v>46146</v>
      </c>
      <c r="B616" s="23" t="s">
        <v>11</v>
      </c>
      <c r="C616" s="23">
        <v>27.1</v>
      </c>
      <c r="D616" s="23">
        <v>0</v>
      </c>
      <c r="E616" s="23">
        <v>2.2000000000000002</v>
      </c>
      <c r="F616" s="23">
        <v>0</v>
      </c>
      <c r="G616" s="23">
        <f t="shared" si="9"/>
        <v>29.3</v>
      </c>
    </row>
    <row r="617" spans="1:7" x14ac:dyDescent="0.25">
      <c r="A617" s="41">
        <v>46146</v>
      </c>
      <c r="B617" s="23" t="s">
        <v>12</v>
      </c>
      <c r="C617" s="23">
        <v>43.3</v>
      </c>
      <c r="D617" s="23">
        <v>5.7</v>
      </c>
      <c r="E617" s="23">
        <v>0</v>
      </c>
      <c r="F617" s="23">
        <v>0</v>
      </c>
      <c r="G617" s="23">
        <f t="shared" si="9"/>
        <v>49</v>
      </c>
    </row>
    <row r="618" spans="1:7" x14ac:dyDescent="0.25">
      <c r="A618" s="41">
        <v>46146</v>
      </c>
      <c r="B618" s="23" t="s">
        <v>13</v>
      </c>
      <c r="C618" s="23">
        <v>46.1</v>
      </c>
      <c r="D618" s="23">
        <v>0</v>
      </c>
      <c r="E618" s="23">
        <v>1.6</v>
      </c>
      <c r="F618" s="23">
        <v>0</v>
      </c>
      <c r="G618" s="23">
        <f t="shared" si="9"/>
        <v>47.7</v>
      </c>
    </row>
    <row r="619" spans="1:7" x14ac:dyDescent="0.25">
      <c r="A619" s="41">
        <v>46146</v>
      </c>
      <c r="B619" s="23" t="s">
        <v>14</v>
      </c>
      <c r="C619" s="23">
        <v>41.3</v>
      </c>
      <c r="D619" s="23">
        <v>3.4</v>
      </c>
      <c r="E619" s="23">
        <v>0</v>
      </c>
      <c r="F619" s="23">
        <v>0</v>
      </c>
      <c r="G619" s="23">
        <f t="shared" si="9"/>
        <v>44.699999999999996</v>
      </c>
    </row>
    <row r="620" spans="1:7" x14ac:dyDescent="0.25">
      <c r="A620" s="41">
        <v>46146</v>
      </c>
      <c r="B620" s="23" t="s">
        <v>15</v>
      </c>
      <c r="C620" s="23">
        <v>33.9</v>
      </c>
      <c r="D620" s="23">
        <v>0</v>
      </c>
      <c r="E620" s="23">
        <v>0</v>
      </c>
      <c r="F620" s="23">
        <v>0</v>
      </c>
      <c r="G620" s="23">
        <f t="shared" si="9"/>
        <v>33.9</v>
      </c>
    </row>
    <row r="621" spans="1:7" x14ac:dyDescent="0.25">
      <c r="A621" s="41">
        <v>46153</v>
      </c>
      <c r="B621" s="23" t="s">
        <v>9</v>
      </c>
      <c r="C621" s="23">
        <v>39.299999999999997</v>
      </c>
      <c r="D621" s="23">
        <v>0</v>
      </c>
      <c r="E621" s="23">
        <v>0</v>
      </c>
      <c r="F621" s="23">
        <v>0</v>
      </c>
      <c r="G621" s="23">
        <f t="shared" si="9"/>
        <v>39.299999999999997</v>
      </c>
    </row>
    <row r="622" spans="1:7" x14ac:dyDescent="0.25">
      <c r="A622" s="41">
        <v>46153</v>
      </c>
      <c r="B622" s="23" t="s">
        <v>10</v>
      </c>
      <c r="C622" s="23">
        <v>24.5</v>
      </c>
      <c r="D622" s="23">
        <v>6.7</v>
      </c>
      <c r="E622" s="23">
        <v>0.6</v>
      </c>
      <c r="F622" s="23">
        <v>0</v>
      </c>
      <c r="G622" s="23">
        <f t="shared" si="9"/>
        <v>31.8</v>
      </c>
    </row>
    <row r="623" spans="1:7" x14ac:dyDescent="0.25">
      <c r="A623" s="41">
        <v>46153</v>
      </c>
      <c r="B623" s="23" t="s">
        <v>11</v>
      </c>
      <c r="C623" s="23">
        <v>32.299999999999997</v>
      </c>
      <c r="D623" s="23">
        <v>5.6</v>
      </c>
      <c r="E623" s="23">
        <v>1</v>
      </c>
      <c r="F623" s="23">
        <v>0</v>
      </c>
      <c r="G623" s="23">
        <f t="shared" si="9"/>
        <v>38.9</v>
      </c>
    </row>
    <row r="624" spans="1:7" x14ac:dyDescent="0.25">
      <c r="A624" s="41">
        <v>46153</v>
      </c>
      <c r="B624" s="23" t="s">
        <v>12</v>
      </c>
      <c r="C624" s="23">
        <v>23.4</v>
      </c>
      <c r="D624" s="23">
        <v>0</v>
      </c>
      <c r="E624" s="23">
        <v>0</v>
      </c>
      <c r="F624" s="23">
        <v>0</v>
      </c>
      <c r="G624" s="23">
        <f t="shared" si="9"/>
        <v>23.4</v>
      </c>
    </row>
    <row r="625" spans="1:7" x14ac:dyDescent="0.25">
      <c r="A625" s="41">
        <v>46153</v>
      </c>
      <c r="B625" s="23" t="s">
        <v>13</v>
      </c>
      <c r="C625" s="23">
        <v>29.4</v>
      </c>
      <c r="D625" s="23">
        <v>0</v>
      </c>
      <c r="E625" s="23">
        <v>0</v>
      </c>
      <c r="F625" s="23">
        <v>0</v>
      </c>
      <c r="G625" s="23">
        <f t="shared" si="9"/>
        <v>29.4</v>
      </c>
    </row>
    <row r="626" spans="1:7" x14ac:dyDescent="0.25">
      <c r="A626" s="41">
        <v>46153</v>
      </c>
      <c r="B626" s="23" t="s">
        <v>14</v>
      </c>
      <c r="C626" s="23">
        <v>36.4</v>
      </c>
      <c r="D626" s="23">
        <v>0</v>
      </c>
      <c r="E626" s="23">
        <v>0</v>
      </c>
      <c r="F626" s="23">
        <v>0</v>
      </c>
      <c r="G626" s="23">
        <f t="shared" si="9"/>
        <v>36.4</v>
      </c>
    </row>
    <row r="627" spans="1:7" x14ac:dyDescent="0.25">
      <c r="A627" s="41">
        <v>46153</v>
      </c>
      <c r="B627" s="23" t="s">
        <v>15</v>
      </c>
      <c r="C627" s="23">
        <v>20.6</v>
      </c>
      <c r="D627" s="23">
        <v>4.5999999999999996</v>
      </c>
      <c r="E627" s="23">
        <v>0</v>
      </c>
      <c r="F627" s="23">
        <v>0</v>
      </c>
      <c r="G627" s="23">
        <f t="shared" si="9"/>
        <v>25.200000000000003</v>
      </c>
    </row>
    <row r="628" spans="1:7" x14ac:dyDescent="0.25">
      <c r="A628" s="41">
        <v>46153</v>
      </c>
      <c r="B628" s="23" t="s">
        <v>16</v>
      </c>
      <c r="C628" s="23">
        <v>34.299999999999997</v>
      </c>
      <c r="D628" s="23">
        <v>5.0999999999999996</v>
      </c>
      <c r="E628" s="23">
        <v>1.5</v>
      </c>
      <c r="F628" s="23">
        <v>0</v>
      </c>
      <c r="G628" s="23">
        <f t="shared" si="9"/>
        <v>40.9</v>
      </c>
    </row>
    <row r="629" spans="1:7" x14ac:dyDescent="0.25">
      <c r="A629" s="41">
        <v>46153</v>
      </c>
      <c r="B629" s="23" t="s">
        <v>17</v>
      </c>
      <c r="C629" s="23">
        <v>33.799999999999997</v>
      </c>
      <c r="D629" s="23">
        <v>0</v>
      </c>
      <c r="E629" s="23">
        <v>0.9</v>
      </c>
      <c r="F629" s="23">
        <v>0</v>
      </c>
      <c r="G629" s="23">
        <f t="shared" si="9"/>
        <v>34.699999999999996</v>
      </c>
    </row>
    <row r="630" spans="1:7" x14ac:dyDescent="0.25">
      <c r="A630" s="41">
        <v>46160</v>
      </c>
      <c r="B630" s="23" t="s">
        <v>9</v>
      </c>
      <c r="C630" s="23">
        <v>35.4</v>
      </c>
      <c r="D630" s="23">
        <v>0</v>
      </c>
      <c r="E630" s="23">
        <v>1</v>
      </c>
      <c r="F630" s="23">
        <v>0</v>
      </c>
      <c r="G630" s="23">
        <f t="shared" si="9"/>
        <v>36.4</v>
      </c>
    </row>
    <row r="631" spans="1:7" x14ac:dyDescent="0.25">
      <c r="A631" s="41">
        <v>46160</v>
      </c>
      <c r="B631" s="23" t="s">
        <v>10</v>
      </c>
      <c r="C631" s="23">
        <v>24.5</v>
      </c>
      <c r="D631" s="23">
        <v>5.7</v>
      </c>
      <c r="E631" s="23">
        <v>0.9</v>
      </c>
      <c r="F631" s="23">
        <v>0</v>
      </c>
      <c r="G631" s="23">
        <f t="shared" si="9"/>
        <v>31.099999999999998</v>
      </c>
    </row>
    <row r="632" spans="1:7" x14ac:dyDescent="0.25">
      <c r="A632" s="41">
        <v>46160</v>
      </c>
      <c r="B632" s="23" t="s">
        <v>11</v>
      </c>
      <c r="C632" s="23">
        <v>32.5</v>
      </c>
      <c r="D632" s="23">
        <v>8.5</v>
      </c>
      <c r="E632" s="23">
        <v>0</v>
      </c>
      <c r="F632" s="23">
        <v>0</v>
      </c>
      <c r="G632" s="23">
        <f t="shared" si="9"/>
        <v>41</v>
      </c>
    </row>
    <row r="633" spans="1:7" x14ac:dyDescent="0.25">
      <c r="A633" s="41">
        <v>46160</v>
      </c>
      <c r="B633" s="23" t="s">
        <v>12</v>
      </c>
      <c r="C633" s="23">
        <v>29.7</v>
      </c>
      <c r="D633" s="23">
        <v>0</v>
      </c>
      <c r="E633" s="23">
        <v>0</v>
      </c>
      <c r="F633" s="23">
        <v>0</v>
      </c>
      <c r="G633" s="23">
        <f t="shared" si="9"/>
        <v>29.7</v>
      </c>
    </row>
    <row r="634" spans="1:7" x14ac:dyDescent="0.25">
      <c r="A634" s="41">
        <v>46160</v>
      </c>
      <c r="B634" s="23" t="s">
        <v>13</v>
      </c>
      <c r="C634" s="23">
        <v>44.7</v>
      </c>
      <c r="D634" s="23">
        <v>0</v>
      </c>
      <c r="E634" s="23">
        <v>1.1000000000000001</v>
      </c>
      <c r="F634" s="23">
        <v>0</v>
      </c>
      <c r="G634" s="23">
        <f t="shared" si="9"/>
        <v>45.800000000000004</v>
      </c>
    </row>
    <row r="635" spans="1:7" x14ac:dyDescent="0.25">
      <c r="A635" s="41">
        <v>46160</v>
      </c>
      <c r="B635" s="23" t="s">
        <v>14</v>
      </c>
      <c r="C635" s="23">
        <v>41</v>
      </c>
      <c r="D635" s="23">
        <v>0</v>
      </c>
      <c r="E635" s="23">
        <v>0</v>
      </c>
      <c r="F635" s="23">
        <v>0</v>
      </c>
      <c r="G635" s="23">
        <f t="shared" si="9"/>
        <v>41</v>
      </c>
    </row>
    <row r="636" spans="1:7" x14ac:dyDescent="0.25">
      <c r="A636" s="41">
        <v>46160</v>
      </c>
      <c r="B636" s="23" t="s">
        <v>15</v>
      </c>
      <c r="C636" s="23">
        <v>53.2</v>
      </c>
      <c r="D636" s="23">
        <v>5.8</v>
      </c>
      <c r="E636" s="23">
        <v>0</v>
      </c>
      <c r="F636" s="23">
        <v>0</v>
      </c>
      <c r="G636" s="23">
        <f t="shared" si="9"/>
        <v>59</v>
      </c>
    </row>
    <row r="637" spans="1:7" x14ac:dyDescent="0.25">
      <c r="A637" s="41">
        <v>46167</v>
      </c>
      <c r="B637" s="23" t="s">
        <v>9</v>
      </c>
      <c r="C637" s="23">
        <v>36.5</v>
      </c>
      <c r="D637" s="23">
        <v>3.9</v>
      </c>
      <c r="E637" s="23">
        <v>1.2</v>
      </c>
      <c r="F637" s="23">
        <v>0</v>
      </c>
      <c r="G637" s="23">
        <f t="shared" si="9"/>
        <v>41.6</v>
      </c>
    </row>
    <row r="638" spans="1:7" x14ac:dyDescent="0.25">
      <c r="A638" s="41">
        <v>46167</v>
      </c>
      <c r="B638" s="23" t="s">
        <v>10</v>
      </c>
      <c r="C638" s="23">
        <v>35.9</v>
      </c>
      <c r="D638" s="23">
        <v>0</v>
      </c>
      <c r="E638" s="23">
        <v>0</v>
      </c>
      <c r="F638" s="23">
        <v>0</v>
      </c>
      <c r="G638" s="23">
        <f t="shared" si="9"/>
        <v>35.9</v>
      </c>
    </row>
    <row r="639" spans="1:7" x14ac:dyDescent="0.25">
      <c r="A639" s="41">
        <v>46167</v>
      </c>
      <c r="B639" s="23" t="s">
        <v>11</v>
      </c>
      <c r="C639" s="23">
        <v>25.2</v>
      </c>
      <c r="D639" s="23">
        <v>0</v>
      </c>
      <c r="E639" s="23">
        <v>1.3</v>
      </c>
      <c r="F639" s="23">
        <v>0</v>
      </c>
      <c r="G639" s="23">
        <f t="shared" si="9"/>
        <v>26.5</v>
      </c>
    </row>
    <row r="640" spans="1:7" x14ac:dyDescent="0.25">
      <c r="A640" s="41">
        <v>46167</v>
      </c>
      <c r="B640" s="23" t="s">
        <v>12</v>
      </c>
      <c r="C640" s="23">
        <v>27.7</v>
      </c>
      <c r="D640" s="23">
        <v>3.6</v>
      </c>
      <c r="E640" s="23">
        <v>0</v>
      </c>
      <c r="F640" s="23">
        <v>0</v>
      </c>
      <c r="G640" s="23">
        <f t="shared" si="9"/>
        <v>31.3</v>
      </c>
    </row>
    <row r="641" spans="1:7" x14ac:dyDescent="0.25">
      <c r="A641" s="41">
        <v>46167</v>
      </c>
      <c r="B641" s="23" t="s">
        <v>13</v>
      </c>
      <c r="C641" s="23">
        <v>31.4</v>
      </c>
      <c r="D641" s="23">
        <v>4</v>
      </c>
      <c r="E641" s="23">
        <v>1.1000000000000001</v>
      </c>
      <c r="F641" s="23">
        <v>0</v>
      </c>
      <c r="G641" s="23">
        <f t="shared" si="9"/>
        <v>36.5</v>
      </c>
    </row>
    <row r="642" spans="1:7" x14ac:dyDescent="0.25">
      <c r="A642" s="41">
        <v>46167</v>
      </c>
      <c r="B642" s="23" t="s">
        <v>14</v>
      </c>
      <c r="C642" s="23">
        <v>20.6</v>
      </c>
      <c r="D642" s="23">
        <v>0</v>
      </c>
      <c r="E642" s="23">
        <v>0</v>
      </c>
      <c r="F642" s="23">
        <v>0</v>
      </c>
      <c r="G642" s="23">
        <f t="shared" si="9"/>
        <v>20.6</v>
      </c>
    </row>
    <row r="643" spans="1:7" x14ac:dyDescent="0.25">
      <c r="A643" s="41">
        <v>46167</v>
      </c>
      <c r="B643" s="23" t="s">
        <v>15</v>
      </c>
      <c r="C643" s="23">
        <v>32.1</v>
      </c>
      <c r="D643" s="23">
        <v>5.5</v>
      </c>
      <c r="E643" s="23">
        <v>1.4</v>
      </c>
      <c r="F643" s="23">
        <v>0</v>
      </c>
      <c r="G643" s="23">
        <f t="shared" si="9"/>
        <v>39</v>
      </c>
    </row>
    <row r="644" spans="1:7" x14ac:dyDescent="0.25">
      <c r="A644" s="41">
        <v>46167</v>
      </c>
      <c r="B644" s="23" t="s">
        <v>16</v>
      </c>
      <c r="C644" s="23">
        <v>33.6</v>
      </c>
      <c r="D644" s="23">
        <v>0</v>
      </c>
      <c r="E644" s="23">
        <v>0</v>
      </c>
      <c r="F644" s="23">
        <v>0</v>
      </c>
      <c r="G644" s="23">
        <f t="shared" ref="G644:G707" si="10">C644+D644+E644+F644</f>
        <v>33.6</v>
      </c>
    </row>
    <row r="645" spans="1:7" x14ac:dyDescent="0.25">
      <c r="A645" s="41">
        <v>46174</v>
      </c>
      <c r="B645" s="23" t="s">
        <v>9</v>
      </c>
      <c r="C645" s="23">
        <v>40.5</v>
      </c>
      <c r="D645" s="23">
        <v>0</v>
      </c>
      <c r="E645" s="23">
        <v>1.4</v>
      </c>
      <c r="F645" s="23">
        <v>0</v>
      </c>
      <c r="G645" s="23">
        <f t="shared" si="10"/>
        <v>41.9</v>
      </c>
    </row>
    <row r="646" spans="1:7" x14ac:dyDescent="0.25">
      <c r="A646" s="41">
        <v>46174</v>
      </c>
      <c r="B646" s="23" t="s">
        <v>10</v>
      </c>
      <c r="C646" s="23">
        <v>23</v>
      </c>
      <c r="D646" s="23">
        <v>0</v>
      </c>
      <c r="E646" s="23">
        <v>0</v>
      </c>
      <c r="F646" s="23">
        <v>0</v>
      </c>
      <c r="G646" s="23">
        <f t="shared" si="10"/>
        <v>23</v>
      </c>
    </row>
    <row r="647" spans="1:7" x14ac:dyDescent="0.25">
      <c r="A647" s="41">
        <v>46174</v>
      </c>
      <c r="B647" s="23" t="s">
        <v>11</v>
      </c>
      <c r="C647" s="23">
        <v>35.799999999999997</v>
      </c>
      <c r="D647" s="23">
        <v>3.1</v>
      </c>
      <c r="E647" s="23">
        <v>2.2999999999999998</v>
      </c>
      <c r="F647" s="23">
        <v>0</v>
      </c>
      <c r="G647" s="23">
        <f t="shared" si="10"/>
        <v>41.199999999999996</v>
      </c>
    </row>
    <row r="648" spans="1:7" x14ac:dyDescent="0.25">
      <c r="A648" s="41">
        <v>46174</v>
      </c>
      <c r="B648" s="23" t="s">
        <v>12</v>
      </c>
      <c r="C648" s="23">
        <v>16.7</v>
      </c>
      <c r="D648" s="23">
        <v>3.8</v>
      </c>
      <c r="E648" s="23">
        <v>0</v>
      </c>
      <c r="F648" s="23">
        <v>0</v>
      </c>
      <c r="G648" s="23">
        <f t="shared" si="10"/>
        <v>20.5</v>
      </c>
    </row>
    <row r="649" spans="1:7" x14ac:dyDescent="0.25">
      <c r="A649" s="41">
        <v>46174</v>
      </c>
      <c r="B649" s="23" t="s">
        <v>13</v>
      </c>
      <c r="C649" s="23">
        <v>16.5</v>
      </c>
      <c r="D649" s="23">
        <v>0</v>
      </c>
      <c r="E649" s="23">
        <v>0</v>
      </c>
      <c r="F649" s="23">
        <v>0</v>
      </c>
      <c r="G649" s="23">
        <f t="shared" si="10"/>
        <v>16.5</v>
      </c>
    </row>
    <row r="650" spans="1:7" x14ac:dyDescent="0.25">
      <c r="A650" s="41">
        <v>46174</v>
      </c>
      <c r="B650" s="23" t="s">
        <v>14</v>
      </c>
      <c r="C650" s="23">
        <v>19.899999999999999</v>
      </c>
      <c r="D650" s="23">
        <v>0</v>
      </c>
      <c r="E650" s="23">
        <v>0</v>
      </c>
      <c r="F650" s="23">
        <v>0</v>
      </c>
      <c r="G650" s="23">
        <f t="shared" si="10"/>
        <v>19.899999999999999</v>
      </c>
    </row>
    <row r="651" spans="1:7" x14ac:dyDescent="0.25">
      <c r="A651" s="41">
        <v>46174</v>
      </c>
      <c r="B651" s="23" t="s">
        <v>15</v>
      </c>
      <c r="C651" s="23">
        <v>34.4</v>
      </c>
      <c r="D651" s="23">
        <v>0</v>
      </c>
      <c r="E651" s="23">
        <v>0</v>
      </c>
      <c r="F651" s="23">
        <v>0</v>
      </c>
      <c r="G651" s="23">
        <f t="shared" si="10"/>
        <v>34.4</v>
      </c>
    </row>
    <row r="652" spans="1:7" x14ac:dyDescent="0.25">
      <c r="A652" s="41">
        <v>46174</v>
      </c>
      <c r="B652" s="23" t="s">
        <v>16</v>
      </c>
      <c r="C652" s="23">
        <v>29.2</v>
      </c>
      <c r="D652" s="23">
        <v>3.9</v>
      </c>
      <c r="E652" s="23">
        <v>1</v>
      </c>
      <c r="F652" s="23">
        <v>0</v>
      </c>
      <c r="G652" s="23">
        <f t="shared" si="10"/>
        <v>34.1</v>
      </c>
    </row>
    <row r="653" spans="1:7" x14ac:dyDescent="0.25">
      <c r="A653" s="41">
        <v>46174</v>
      </c>
      <c r="B653" s="23" t="s">
        <v>17</v>
      </c>
      <c r="C653" s="23">
        <v>33</v>
      </c>
      <c r="D653" s="23">
        <v>2.2000000000000002</v>
      </c>
      <c r="E653" s="23">
        <v>2.2999999999999998</v>
      </c>
      <c r="F653" s="23">
        <v>0</v>
      </c>
      <c r="G653" s="23">
        <f t="shared" si="10"/>
        <v>37.5</v>
      </c>
    </row>
    <row r="654" spans="1:7" x14ac:dyDescent="0.25">
      <c r="A654" s="41">
        <v>46181</v>
      </c>
      <c r="B654" s="23" t="s">
        <v>9</v>
      </c>
      <c r="C654" s="23">
        <v>23</v>
      </c>
      <c r="D654" s="23">
        <v>0</v>
      </c>
      <c r="E654" s="23">
        <v>0</v>
      </c>
      <c r="F654" s="23">
        <v>0</v>
      </c>
      <c r="G654" s="23">
        <f t="shared" si="10"/>
        <v>23</v>
      </c>
    </row>
    <row r="655" spans="1:7" x14ac:dyDescent="0.25">
      <c r="A655" s="41">
        <v>46181</v>
      </c>
      <c r="B655" s="23" t="s">
        <v>10</v>
      </c>
      <c r="C655" s="23">
        <v>37.700000000000003</v>
      </c>
      <c r="D655" s="23">
        <v>3.4</v>
      </c>
      <c r="E655" s="23">
        <v>0.6</v>
      </c>
      <c r="F655" s="23">
        <v>0</v>
      </c>
      <c r="G655" s="23">
        <f t="shared" si="10"/>
        <v>41.7</v>
      </c>
    </row>
    <row r="656" spans="1:7" x14ac:dyDescent="0.25">
      <c r="A656" s="41">
        <v>46181</v>
      </c>
      <c r="B656" s="23" t="s">
        <v>11</v>
      </c>
      <c r="C656" s="23">
        <v>17.7</v>
      </c>
      <c r="D656" s="23">
        <v>0</v>
      </c>
      <c r="E656" s="23">
        <v>0</v>
      </c>
      <c r="F656" s="23">
        <v>0</v>
      </c>
      <c r="G656" s="23">
        <f t="shared" si="10"/>
        <v>17.7</v>
      </c>
    </row>
    <row r="657" spans="1:7" x14ac:dyDescent="0.25">
      <c r="A657" s="41">
        <v>46181</v>
      </c>
      <c r="B657" s="23" t="s">
        <v>12</v>
      </c>
      <c r="C657" s="23">
        <v>38.799999999999997</v>
      </c>
      <c r="D657" s="23">
        <v>5.4</v>
      </c>
      <c r="E657" s="23">
        <v>0</v>
      </c>
      <c r="F657" s="23">
        <v>0</v>
      </c>
      <c r="G657" s="23">
        <f t="shared" si="10"/>
        <v>44.199999999999996</v>
      </c>
    </row>
    <row r="658" spans="1:7" x14ac:dyDescent="0.25">
      <c r="A658" s="41">
        <v>46181</v>
      </c>
      <c r="B658" s="23" t="s">
        <v>13</v>
      </c>
      <c r="C658" s="23">
        <v>33</v>
      </c>
      <c r="D658" s="23">
        <v>7.5</v>
      </c>
      <c r="E658" s="23">
        <v>0</v>
      </c>
      <c r="F658" s="23">
        <v>0</v>
      </c>
      <c r="G658" s="23">
        <f t="shared" si="10"/>
        <v>40.5</v>
      </c>
    </row>
    <row r="659" spans="1:7" x14ac:dyDescent="0.25">
      <c r="A659" s="41">
        <v>46181</v>
      </c>
      <c r="B659" s="23" t="s">
        <v>14</v>
      </c>
      <c r="C659" s="23">
        <v>33.9</v>
      </c>
      <c r="D659" s="23">
        <v>0</v>
      </c>
      <c r="E659" s="23">
        <v>0.5</v>
      </c>
      <c r="F659" s="23">
        <v>0</v>
      </c>
      <c r="G659" s="23">
        <f t="shared" si="10"/>
        <v>34.4</v>
      </c>
    </row>
    <row r="660" spans="1:7" x14ac:dyDescent="0.25">
      <c r="A660" s="41">
        <v>46181</v>
      </c>
      <c r="B660" s="23" t="s">
        <v>15</v>
      </c>
      <c r="C660" s="23">
        <v>19.100000000000001</v>
      </c>
      <c r="D660" s="23">
        <v>3.7</v>
      </c>
      <c r="E660" s="23">
        <v>0.3</v>
      </c>
      <c r="F660" s="23">
        <v>0</v>
      </c>
      <c r="G660" s="23">
        <f t="shared" si="10"/>
        <v>23.1</v>
      </c>
    </row>
    <row r="661" spans="1:7" x14ac:dyDescent="0.25">
      <c r="A661" s="41">
        <v>46181</v>
      </c>
      <c r="B661" s="23" t="s">
        <v>16</v>
      </c>
      <c r="C661" s="23">
        <v>42.8</v>
      </c>
      <c r="D661" s="23">
        <v>0</v>
      </c>
      <c r="E661" s="23">
        <v>0.6</v>
      </c>
      <c r="F661" s="23">
        <v>0</v>
      </c>
      <c r="G661" s="23">
        <f t="shared" si="10"/>
        <v>43.4</v>
      </c>
    </row>
    <row r="662" spans="1:7" x14ac:dyDescent="0.25">
      <c r="A662" s="41">
        <v>46188</v>
      </c>
      <c r="B662" s="23" t="s">
        <v>9</v>
      </c>
      <c r="C662" s="23">
        <v>19.600000000000001</v>
      </c>
      <c r="D662" s="23">
        <v>0</v>
      </c>
      <c r="E662" s="23">
        <v>0</v>
      </c>
      <c r="F662" s="23">
        <v>0</v>
      </c>
      <c r="G662" s="23">
        <f t="shared" si="10"/>
        <v>19.600000000000001</v>
      </c>
    </row>
    <row r="663" spans="1:7" x14ac:dyDescent="0.25">
      <c r="A663" s="41">
        <v>46188</v>
      </c>
      <c r="B663" s="23" t="s">
        <v>10</v>
      </c>
      <c r="C663" s="23">
        <v>44.6</v>
      </c>
      <c r="D663" s="23">
        <v>0</v>
      </c>
      <c r="E663" s="23">
        <v>0</v>
      </c>
      <c r="F663" s="23">
        <v>0</v>
      </c>
      <c r="G663" s="23">
        <f t="shared" si="10"/>
        <v>44.6</v>
      </c>
    </row>
    <row r="664" spans="1:7" x14ac:dyDescent="0.25">
      <c r="A664" s="41">
        <v>46188</v>
      </c>
      <c r="B664" s="23" t="s">
        <v>11</v>
      </c>
      <c r="C664" s="23">
        <v>22.3</v>
      </c>
      <c r="D664" s="23">
        <v>0</v>
      </c>
      <c r="E664" s="23">
        <v>0.6</v>
      </c>
      <c r="F664" s="23">
        <v>0</v>
      </c>
      <c r="G664" s="23">
        <f t="shared" si="10"/>
        <v>22.900000000000002</v>
      </c>
    </row>
    <row r="665" spans="1:7" x14ac:dyDescent="0.25">
      <c r="A665" s="41">
        <v>46188</v>
      </c>
      <c r="B665" s="23" t="s">
        <v>12</v>
      </c>
      <c r="C665" s="23">
        <v>26.9</v>
      </c>
      <c r="D665" s="23">
        <v>4.5999999999999996</v>
      </c>
      <c r="E665" s="23">
        <v>0</v>
      </c>
      <c r="F665" s="23">
        <v>0</v>
      </c>
      <c r="G665" s="23">
        <f t="shared" si="10"/>
        <v>31.5</v>
      </c>
    </row>
    <row r="666" spans="1:7" x14ac:dyDescent="0.25">
      <c r="A666" s="41">
        <v>46188</v>
      </c>
      <c r="B666" s="23" t="s">
        <v>13</v>
      </c>
      <c r="C666" s="23">
        <v>31.1</v>
      </c>
      <c r="D666" s="23">
        <v>3.1</v>
      </c>
      <c r="E666" s="23">
        <v>0</v>
      </c>
      <c r="F666" s="23">
        <v>0</v>
      </c>
      <c r="G666" s="23">
        <f t="shared" si="10"/>
        <v>34.200000000000003</v>
      </c>
    </row>
    <row r="667" spans="1:7" x14ac:dyDescent="0.25">
      <c r="A667" s="41">
        <v>46188</v>
      </c>
      <c r="B667" s="23" t="s">
        <v>14</v>
      </c>
      <c r="C667" s="23">
        <v>24.8</v>
      </c>
      <c r="D667" s="23">
        <v>4.4000000000000004</v>
      </c>
      <c r="E667" s="23">
        <v>0.5</v>
      </c>
      <c r="F667" s="23">
        <v>0</v>
      </c>
      <c r="G667" s="23">
        <f t="shared" si="10"/>
        <v>29.700000000000003</v>
      </c>
    </row>
    <row r="668" spans="1:7" x14ac:dyDescent="0.25">
      <c r="A668" s="41">
        <v>46188</v>
      </c>
      <c r="B668" s="23" t="s">
        <v>15</v>
      </c>
      <c r="C668" s="23">
        <v>44.3</v>
      </c>
      <c r="D668" s="23">
        <v>4.9000000000000004</v>
      </c>
      <c r="E668" s="23">
        <v>0.5</v>
      </c>
      <c r="F668" s="23">
        <v>0</v>
      </c>
      <c r="G668" s="23">
        <f t="shared" si="10"/>
        <v>49.699999999999996</v>
      </c>
    </row>
    <row r="669" spans="1:7" x14ac:dyDescent="0.25">
      <c r="A669" s="41">
        <v>46188</v>
      </c>
      <c r="B669" s="23" t="s">
        <v>16</v>
      </c>
      <c r="C669" s="23">
        <v>33.4</v>
      </c>
      <c r="D669" s="23">
        <v>0</v>
      </c>
      <c r="E669" s="23">
        <v>0.4</v>
      </c>
      <c r="F669" s="23">
        <v>0</v>
      </c>
      <c r="G669" s="23">
        <f t="shared" si="10"/>
        <v>33.799999999999997</v>
      </c>
    </row>
    <row r="670" spans="1:7" x14ac:dyDescent="0.25">
      <c r="A670" s="41">
        <v>46195</v>
      </c>
      <c r="B670" s="23" t="s">
        <v>9</v>
      </c>
      <c r="C670" s="23">
        <v>37</v>
      </c>
      <c r="D670" s="23">
        <v>7.2</v>
      </c>
      <c r="E670" s="23">
        <v>0</v>
      </c>
      <c r="F670" s="23">
        <v>4</v>
      </c>
      <c r="G670" s="23">
        <f t="shared" si="10"/>
        <v>48.2</v>
      </c>
    </row>
    <row r="671" spans="1:7" x14ac:dyDescent="0.25">
      <c r="A671" s="41">
        <v>46195</v>
      </c>
      <c r="B671" s="23" t="s">
        <v>10</v>
      </c>
      <c r="C671" s="23">
        <v>38.9</v>
      </c>
      <c r="D671" s="23">
        <v>0</v>
      </c>
      <c r="E671" s="23">
        <v>0</v>
      </c>
      <c r="F671" s="23">
        <v>0</v>
      </c>
      <c r="G671" s="23">
        <f t="shared" si="10"/>
        <v>38.9</v>
      </c>
    </row>
    <row r="672" spans="1:7" x14ac:dyDescent="0.25">
      <c r="A672" s="41">
        <v>46195</v>
      </c>
      <c r="B672" s="23" t="s">
        <v>11</v>
      </c>
      <c r="C672" s="23">
        <v>53.1</v>
      </c>
      <c r="D672" s="23">
        <v>4.9000000000000004</v>
      </c>
      <c r="E672" s="23">
        <v>0</v>
      </c>
      <c r="F672" s="23">
        <v>0</v>
      </c>
      <c r="G672" s="23">
        <f t="shared" si="10"/>
        <v>58</v>
      </c>
    </row>
    <row r="673" spans="1:7" x14ac:dyDescent="0.25">
      <c r="A673" s="41">
        <v>46195</v>
      </c>
      <c r="B673" s="23" t="s">
        <v>12</v>
      </c>
      <c r="C673" s="23">
        <v>53.6</v>
      </c>
      <c r="D673" s="23">
        <v>0</v>
      </c>
      <c r="E673" s="23">
        <v>0.5</v>
      </c>
      <c r="F673" s="23">
        <v>0</v>
      </c>
      <c r="G673" s="23">
        <f t="shared" si="10"/>
        <v>54.1</v>
      </c>
    </row>
    <row r="674" spans="1:7" x14ac:dyDescent="0.25">
      <c r="A674" s="41">
        <v>46195</v>
      </c>
      <c r="B674" s="23" t="s">
        <v>13</v>
      </c>
      <c r="C674" s="23">
        <v>25.2</v>
      </c>
      <c r="D674" s="23">
        <v>3.5</v>
      </c>
      <c r="E674" s="23">
        <v>0</v>
      </c>
      <c r="F674" s="23">
        <v>0</v>
      </c>
      <c r="G674" s="23">
        <f t="shared" si="10"/>
        <v>28.7</v>
      </c>
    </row>
    <row r="675" spans="1:7" x14ac:dyDescent="0.25">
      <c r="A675" s="41">
        <v>46195</v>
      </c>
      <c r="B675" s="23" t="s">
        <v>14</v>
      </c>
      <c r="C675" s="23">
        <v>25</v>
      </c>
      <c r="D675" s="23">
        <v>0</v>
      </c>
      <c r="E675" s="23">
        <v>0.7</v>
      </c>
      <c r="F675" s="23">
        <v>0</v>
      </c>
      <c r="G675" s="23">
        <f t="shared" si="10"/>
        <v>25.7</v>
      </c>
    </row>
    <row r="676" spans="1:7" x14ac:dyDescent="0.25">
      <c r="A676" s="41">
        <v>46195</v>
      </c>
      <c r="B676" s="23" t="s">
        <v>15</v>
      </c>
      <c r="C676" s="23">
        <v>29.5</v>
      </c>
      <c r="D676" s="23">
        <v>0</v>
      </c>
      <c r="E676" s="23">
        <v>0.5</v>
      </c>
      <c r="F676" s="23">
        <v>0</v>
      </c>
      <c r="G676" s="23">
        <f t="shared" si="10"/>
        <v>30</v>
      </c>
    </row>
    <row r="677" spans="1:7" x14ac:dyDescent="0.25">
      <c r="A677" s="41">
        <v>46195</v>
      </c>
      <c r="B677" s="23" t="s">
        <v>16</v>
      </c>
      <c r="C677" s="23">
        <v>25.7</v>
      </c>
      <c r="D677" s="23">
        <v>4.4000000000000004</v>
      </c>
      <c r="E677" s="23">
        <v>0.3</v>
      </c>
      <c r="F677" s="23">
        <v>0</v>
      </c>
      <c r="G677" s="23">
        <f t="shared" si="10"/>
        <v>30.400000000000002</v>
      </c>
    </row>
    <row r="678" spans="1:7" x14ac:dyDescent="0.25">
      <c r="A678" s="41">
        <v>46202</v>
      </c>
      <c r="B678" s="23" t="s">
        <v>9</v>
      </c>
      <c r="C678" s="23">
        <v>33.1</v>
      </c>
      <c r="D678" s="23">
        <v>4.0999999999999996</v>
      </c>
      <c r="E678" s="23">
        <v>3.5</v>
      </c>
      <c r="F678" s="23">
        <v>0</v>
      </c>
      <c r="G678" s="23">
        <f t="shared" si="10"/>
        <v>40.700000000000003</v>
      </c>
    </row>
    <row r="679" spans="1:7" x14ac:dyDescent="0.25">
      <c r="A679" s="41">
        <v>46202</v>
      </c>
      <c r="B679" s="23" t="s">
        <v>10</v>
      </c>
      <c r="C679" s="23">
        <v>19.3</v>
      </c>
      <c r="D679" s="23">
        <v>0</v>
      </c>
      <c r="E679" s="23">
        <v>0</v>
      </c>
      <c r="F679" s="23">
        <v>0</v>
      </c>
      <c r="G679" s="23">
        <f t="shared" si="10"/>
        <v>19.3</v>
      </c>
    </row>
    <row r="680" spans="1:7" x14ac:dyDescent="0.25">
      <c r="A680" s="41">
        <v>46202</v>
      </c>
      <c r="B680" s="23" t="s">
        <v>11</v>
      </c>
      <c r="C680" s="23">
        <v>19.3</v>
      </c>
      <c r="D680" s="23">
        <v>0</v>
      </c>
      <c r="E680" s="23">
        <v>1.5</v>
      </c>
      <c r="F680" s="23">
        <v>0</v>
      </c>
      <c r="G680" s="23">
        <f t="shared" si="10"/>
        <v>20.8</v>
      </c>
    </row>
    <row r="681" spans="1:7" x14ac:dyDescent="0.25">
      <c r="A681" s="41">
        <v>46202</v>
      </c>
      <c r="B681" s="23" t="s">
        <v>12</v>
      </c>
      <c r="C681" s="23">
        <v>40.200000000000003</v>
      </c>
      <c r="D681" s="23">
        <v>3.8</v>
      </c>
      <c r="E681" s="23">
        <v>0</v>
      </c>
      <c r="F681" s="23">
        <v>0</v>
      </c>
      <c r="G681" s="23">
        <f t="shared" si="10"/>
        <v>44</v>
      </c>
    </row>
    <row r="682" spans="1:7" x14ac:dyDescent="0.25">
      <c r="A682" s="41">
        <v>46202</v>
      </c>
      <c r="B682" s="23" t="s">
        <v>13</v>
      </c>
      <c r="C682" s="23">
        <v>41.7</v>
      </c>
      <c r="D682" s="23">
        <v>0</v>
      </c>
      <c r="E682" s="23">
        <v>0</v>
      </c>
      <c r="F682" s="23">
        <v>0</v>
      </c>
      <c r="G682" s="23">
        <f t="shared" si="10"/>
        <v>41.7</v>
      </c>
    </row>
    <row r="683" spans="1:7" x14ac:dyDescent="0.25">
      <c r="A683" s="41">
        <v>46202</v>
      </c>
      <c r="B683" s="23" t="s">
        <v>14</v>
      </c>
      <c r="C683" s="23">
        <v>27.3</v>
      </c>
      <c r="D683" s="23">
        <v>0</v>
      </c>
      <c r="E683" s="23">
        <v>0</v>
      </c>
      <c r="F683" s="23">
        <v>0</v>
      </c>
      <c r="G683" s="23">
        <f t="shared" si="10"/>
        <v>27.3</v>
      </c>
    </row>
    <row r="684" spans="1:7" x14ac:dyDescent="0.25">
      <c r="A684" s="41">
        <v>46202</v>
      </c>
      <c r="B684" s="23" t="s">
        <v>15</v>
      </c>
      <c r="C684" s="23">
        <v>41.7</v>
      </c>
      <c r="D684" s="23">
        <v>0</v>
      </c>
      <c r="E684" s="23">
        <v>3.5</v>
      </c>
      <c r="F684" s="23">
        <v>0</v>
      </c>
      <c r="G684" s="23">
        <f t="shared" si="10"/>
        <v>45.2</v>
      </c>
    </row>
    <row r="685" spans="1:7" x14ac:dyDescent="0.25">
      <c r="A685" s="41">
        <v>46202</v>
      </c>
      <c r="B685" s="23" t="s">
        <v>16</v>
      </c>
      <c r="C685" s="23">
        <v>17.100000000000001</v>
      </c>
      <c r="D685" s="23">
        <v>2.5</v>
      </c>
      <c r="E685" s="23">
        <v>1.5</v>
      </c>
      <c r="F685" s="23">
        <v>0</v>
      </c>
      <c r="G685" s="23">
        <f t="shared" si="10"/>
        <v>21.1</v>
      </c>
    </row>
    <row r="686" spans="1:7" x14ac:dyDescent="0.25">
      <c r="A686" s="41">
        <v>46202</v>
      </c>
      <c r="B686" s="23" t="s">
        <v>17</v>
      </c>
      <c r="C686" s="23">
        <v>38.299999999999997</v>
      </c>
      <c r="D686" s="23">
        <v>4.5999999999999996</v>
      </c>
      <c r="E686" s="23">
        <v>0</v>
      </c>
      <c r="F686" s="23">
        <v>0</v>
      </c>
      <c r="G686" s="23">
        <f t="shared" si="10"/>
        <v>42.9</v>
      </c>
    </row>
  </sheetData>
  <mergeCells count="2">
    <mergeCell ref="A2:G2"/>
    <mergeCell ref="A1:G1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Roster</vt:lpstr>
      <vt:lpstr>Hours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truenorth</cp:lastModifiedBy>
  <dcterms:created xsi:type="dcterms:W3CDTF">2026-03-28T14:09:26Z</dcterms:created>
  <dcterms:modified xsi:type="dcterms:W3CDTF">2026-03-30T05:32:34Z</dcterms:modified>
</cp:coreProperties>
</file>