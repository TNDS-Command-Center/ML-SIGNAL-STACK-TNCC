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Dashboard" state="visible" r:id="rId4"/>
    <sheet sheetId="2" name="Roster" state="visible" r:id="rId5"/>
    <sheet sheetId="3" name="Hours Log" state="visible" r:id="rId6"/>
  </sheets>
  <calcPr calcId="171027"/>
</workbook>
</file>

<file path=xl/sharedStrings.xml><?xml version="1.0" encoding="utf-8"?>
<sst xmlns="http://schemas.openxmlformats.org/spreadsheetml/2006/main" count="149" uniqueCount="96">
  <si>
    <t>SignalStack | Team Tempo — Workforce Health Dashboard</t>
  </si>
  <si>
    <t xml:space="preserve">  Weekly workforce metrics. Update the Hours Log and Roster tabs. KPIs auto-calculate.</t>
  </si>
  <si>
    <t>TEAM SNAPSHOT — CURRENT WEEK</t>
  </si>
  <si>
    <t>Headcount</t>
  </si>
  <si>
    <t>Billable Hours</t>
  </si>
  <si>
    <t>OT Hours</t>
  </si>
  <si>
    <t>Utilization %</t>
  </si>
  <si>
    <t>Avg Pay Rate</t>
  </si>
  <si>
    <t>Est. Labor Cost</t>
  </si>
  <si>
    <t>8-WEEK WORKFORCE TREND</t>
  </si>
  <si>
    <t>Week</t>
  </si>
  <si>
    <t>Billable Hrs</t>
  </si>
  <si>
    <t>OT Hrs</t>
  </si>
  <si>
    <t>Turnover</t>
  </si>
  <si>
    <t>Training Hrs</t>
  </si>
  <si>
    <t>Notes</t>
  </si>
  <si>
    <t>2024-W47</t>
  </si>
  <si>
    <t/>
  </si>
  <si>
    <t>2024-W48</t>
  </si>
  <si>
    <t>2024-W49</t>
  </si>
  <si>
    <t>Holiday team training</t>
  </si>
  <si>
    <t>2024-W50</t>
  </si>
  <si>
    <t>Short week</t>
  </si>
  <si>
    <t>2024-W51</t>
  </si>
  <si>
    <t>Christmas week</t>
  </si>
  <si>
    <t>2024-W52</t>
  </si>
  <si>
    <t>New Years week</t>
  </si>
  <si>
    <t>2025-W01</t>
  </si>
  <si>
    <t>Full staff return</t>
  </si>
  <si>
    <t>2025-W02</t>
  </si>
  <si>
    <t>2025-W03</t>
  </si>
  <si>
    <t>2025-W04</t>
  </si>
  <si>
    <t>2025-W05</t>
  </si>
  <si>
    <t>2025-W06</t>
  </si>
  <si>
    <t>2025-W07</t>
  </si>
  <si>
    <t>2025-W08</t>
  </si>
  <si>
    <t>2025-W09</t>
  </si>
  <si>
    <t>2025-W10</t>
  </si>
  <si>
    <t>2025-W11</t>
  </si>
  <si>
    <t>Safety training</t>
  </si>
  <si>
    <t>2025-W12</t>
  </si>
  <si>
    <t>2025-W13</t>
  </si>
  <si>
    <t>New hire week 1</t>
  </si>
  <si>
    <t>2025-W14</t>
  </si>
  <si>
    <t>SignalStack | Team Tempo — Employee Roster</t>
  </si>
  <si>
    <t xml:space="preserve">  One row per employee. Update when roles, rates, or status changes.</t>
  </si>
  <si>
    <t>Employee</t>
  </si>
  <si>
    <t>Role</t>
  </si>
  <si>
    <t>Start Date</t>
  </si>
  <si>
    <t>Status</t>
  </si>
  <si>
    <t>Pay Rate</t>
  </si>
  <si>
    <t>Pay Type</t>
  </si>
  <si>
    <t>Certifications</t>
  </si>
  <si>
    <t>Training Due</t>
  </si>
  <si>
    <t>Mike Rodriguez</t>
  </si>
  <si>
    <t>Lead Tech</t>
  </si>
  <si>
    <t>05/12/2019</t>
  </si>
  <si>
    <t>Active</t>
  </si>
  <si>
    <t>Hourly</t>
  </si>
  <si>
    <t>CDL, OSHA-10</t>
  </si>
  <si>
    <t>09/15/2025</t>
  </si>
  <si>
    <t>Sara Tran</t>
  </si>
  <si>
    <t>Field Tech</t>
  </si>
  <si>
    <t>03/08/2021</t>
  </si>
  <si>
    <t>OSHA-10</t>
  </si>
  <si>
    <t>06/30/2025</t>
  </si>
  <si>
    <t>Chris Beckham</t>
  </si>
  <si>
    <t>11/22/2022</t>
  </si>
  <si>
    <t>03/31/2025</t>
  </si>
  <si>
    <t>Training overdue</t>
  </si>
  <si>
    <t>James Liu</t>
  </si>
  <si>
    <t>Senior Tech</t>
  </si>
  <si>
    <t>07/14/2020</t>
  </si>
  <si>
    <t>CDL, OSHA-30</t>
  </si>
  <si>
    <t>12/01/2025</t>
  </si>
  <si>
    <t>Dana Morse</t>
  </si>
  <si>
    <t>Office Admin</t>
  </si>
  <si>
    <t>09/01/2021</t>
  </si>
  <si>
    <t>Kyle Sutton</t>
  </si>
  <si>
    <t>01/10/2023</t>
  </si>
  <si>
    <t>01/10/2026</t>
  </si>
  <si>
    <t>Priya Nair</t>
  </si>
  <si>
    <t>Ops Coordinator</t>
  </si>
  <si>
    <t>04/18/2022</t>
  </si>
  <si>
    <t>04/18/2026</t>
  </si>
  <si>
    <t>Tom Wheeler</t>
  </si>
  <si>
    <t>08/05/2024</t>
  </si>
  <si>
    <t>08/05/2025</t>
  </si>
  <si>
    <t>Still in 90-day probation</t>
  </si>
  <si>
    <t>SignalStack | Team Tempo — Weekly Hours Log</t>
  </si>
  <si>
    <t xml:space="preserve">  Log hours each week per employee. OT = hours over 40 in a week.</t>
  </si>
  <si>
    <t>Week Of</t>
  </si>
  <si>
    <t>Regular Hrs</t>
  </si>
  <si>
    <t>PTO Hrs</t>
  </si>
  <si>
    <t>Total Hrs</t>
  </si>
  <si>
    <t>03/24/2025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</si>
</sst>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.0"/>
    <numFmt numFmtId="165" formatCode="0.0%"/>
    <numFmt numFmtId="166" formatCode="$#,##0.00"/>
    <numFmt numFmtId="167" formatCode="$#,##0"/>
    <numFmt numFmtId="168" formatCode="MM/DD/YYYY"/>
  </numFmts>
  <fonts count="9" x14ac:knownFonts="1">
    <font>
      <color theme="1"/>
      <family val="2"/>
      <scheme val="minor"/>
      <sz val="11"/>
      <name val="Calibri"/>
    </font>
    <font>
      <b/>
      <color rgb="00FFFFFF"/>
      <sz val="13"/>
      <name val="Arial"/>
    </font>
    <font>
      <i/>
      <color rgb="001a3a5c"/>
      <sz val="9"/>
      <name val="Arial"/>
    </font>
    <font>
      <b/>
      <color rgb="00FFFFFF"/>
      <sz val="10"/>
      <name val="Arial"/>
    </font>
    <font>
      <b/>
      <color rgb="00FFFFFF"/>
      <sz val="9"/>
      <name val="Arial"/>
    </font>
    <font>
      <b/>
      <color rgb="001a3a5c"/>
      <sz val="14"/>
      <name val="Arial"/>
    </font>
    <font>
      <color rgb="00000000"/>
      <sz val="10"/>
      <name val="Arial"/>
    </font>
    <font>
      <b/>
      <color rgb="00000000"/>
      <sz val="10"/>
      <name val="Arial"/>
    </font>
    <font>
      <b/>
      <color rgb="003B6D11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001a3a5c"/>
      </patternFill>
    </fill>
    <fill>
      <patternFill patternType="solid">
        <fgColor rgb="00d6e8f5"/>
      </patternFill>
    </fill>
    <fill>
      <patternFill patternType="solid">
        <fgColor rgb="00FFF2CC"/>
      </patternFill>
    </fill>
    <fill>
      <patternFill patternType="solid">
        <fgColor rgb="003d8eb9"/>
      </patternFill>
    </fill>
    <fill>
      <patternFill patternType="solid">
        <fgColor rgb="00FFFFFF"/>
      </patternFill>
    </fill>
    <fill>
      <patternFill patternType="solid">
        <fgColor rgb="00F7F9FB"/>
      </patternFill>
    </fill>
    <fill>
      <patternFill patternType="solid">
        <fgColor rgb="00FCEBEB"/>
      </patternFill>
    </fill>
    <fill>
      <patternFill patternType="solid">
        <fgColor rgb="00EAF3D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/>
    </xf>
    <xf numFmtId="3" fontId="6" fillId="6" borderId="1" xfId="0" applyNumberFormat="1" applyFont="1" applyFill="1" applyBorder="1" applyAlignment="1">
      <alignment horizontal="left" vertical="center"/>
    </xf>
    <xf numFmtId="164" fontId="6" fillId="6" borderId="1" xfId="0" applyNumberFormat="1" applyFont="1" applyFill="1" applyBorder="1" applyAlignment="1">
      <alignment horizontal="left" vertical="center"/>
    </xf>
    <xf numFmtId="165" fontId="6" fillId="6" borderId="1" xfId="0" applyNumberFormat="1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3" fontId="6" fillId="7" borderId="1" xfId="0" applyNumberFormat="1" applyFont="1" applyFill="1" applyBorder="1" applyAlignment="1">
      <alignment horizontal="left" vertical="center"/>
    </xf>
    <xf numFmtId="164" fontId="6" fillId="7" borderId="1" xfId="0" applyNumberFormat="1" applyFont="1" applyFill="1" applyBorder="1" applyAlignment="1">
      <alignment horizontal="left" vertical="center"/>
    </xf>
    <xf numFmtId="165" fontId="6" fillId="7" borderId="1" xfId="0" applyNumberFormat="1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left" vertical="center"/>
    </xf>
    <xf numFmtId="3" fontId="6" fillId="8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8" fontId="6" fillId="6" borderId="1" xfId="0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166" fontId="6" fillId="6" borderId="1" xfId="0" applyNumberFormat="1" applyFont="1" applyFill="1" applyBorder="1" applyAlignment="1">
      <alignment horizontal="right" vertical="center"/>
    </xf>
    <xf numFmtId="0" fontId="7" fillId="7" borderId="1" xfId="0" applyFont="1" applyFill="1" applyBorder="1" applyAlignment="1">
      <alignment horizontal="left" vertical="center"/>
    </xf>
    <xf numFmtId="168" fontId="6" fillId="7" borderId="1" xfId="0" applyNumberFormat="1" applyFont="1" applyFill="1" applyBorder="1" applyAlignment="1">
      <alignment horizontal="left" vertical="center"/>
    </xf>
    <xf numFmtId="166" fontId="6" fillId="7" borderId="1" xfId="0" applyNumberFormat="1" applyFont="1" applyFill="1" applyBorder="1" applyAlignment="1">
      <alignment horizontal="right" vertical="center"/>
    </xf>
    <xf numFmtId="164" fontId="6" fillId="6" borderId="1" xfId="0" applyNumberFormat="1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29"/>
  <sheetViews>
    <sheetView workbookViewId="0" zoomScale="100" zoomScaleNormal="100">
      <pane ySplit="9" topLeftCell="A10" activePane="bottomLeft" state="frozen"/>
      <selection pane="bottomLeft" activeCell="A1" sqref="A1"/>
    </sheetView>
  </sheetViews>
  <sheetFormatPr defaultRowHeight="15" outlineLevelRow="0" outlineLevelCol="0" x14ac:dyDescent="0"/>
  <cols>
    <col min="1" max="2" width="12" customWidth="1"/>
    <col min="3" max="3" width="14" customWidth="1"/>
    <col min="4" max="4" width="12" customWidth="1"/>
    <col min="5" max="5" width="14" customWidth="1"/>
    <col min="6" max="6" width="12" customWidth="1"/>
    <col min="7" max="7" width="14" customWidth="1"/>
    <col min="8" max="8" width="28" customWidth="1"/>
  </cols>
  <sheetData>
    <row r="1" ht="30" customHeight="1" spans="1:8" x14ac:dyDescent="0.25">
      <c r="A1" s="1" t="s">
        <v>0</v>
      </c>
      <c r="B1"/>
      <c r="C1"/>
      <c r="D1"/>
      <c r="E1"/>
      <c r="F1"/>
      <c r="G1"/>
      <c r="H1"/>
    </row>
    <row r="2" ht="16" customHeight="1" spans="1:8" x14ac:dyDescent="0.25">
      <c r="A2" s="2" t="s">
        <v>1</v>
      </c>
      <c r="B2"/>
      <c r="C2"/>
      <c r="D2"/>
      <c r="E2"/>
      <c r="F2"/>
      <c r="G2"/>
      <c r="H2"/>
    </row>
    <row r="3" ht="8" customHeight="1" x14ac:dyDescent="0.25"/>
    <row r="4" ht="22" customHeight="1" spans="1:8" x14ac:dyDescent="0.25">
      <c r="A4" s="3" t="s">
        <v>2</v>
      </c>
      <c r="B4"/>
      <c r="C4"/>
      <c r="D4"/>
      <c r="E4"/>
      <c r="F4"/>
      <c r="G4"/>
      <c r="H4"/>
    </row>
    <row r="5" ht="18" customHeight="1" spans="1:6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ht="28" customHeight="1" spans="1:6" x14ac:dyDescent="0.25">
      <c r="A6" s="5">
        <v>8</v>
      </c>
      <c r="B6" s="6">
        <v>284</v>
      </c>
      <c r="C6" s="7">
        <v>22</v>
      </c>
      <c r="D6" s="8">
        <v>0.831</v>
      </c>
      <c r="E6" s="9">
        <v>28.5</v>
      </c>
      <c r="F6" s="10">
        <f>E6*B6</f>
      </c>
    </row>
    <row r="7" ht="10" customHeight="1" x14ac:dyDescent="0.25"/>
    <row r="8" ht="22" customHeight="1" spans="1:8" x14ac:dyDescent="0.25">
      <c r="A8" s="3" t="s">
        <v>9</v>
      </c>
      <c r="B8"/>
      <c r="C8"/>
      <c r="D8"/>
      <c r="E8"/>
      <c r="F8"/>
      <c r="G8"/>
      <c r="H8"/>
    </row>
    <row r="9" ht="34" customHeight="1" spans="1:8" x14ac:dyDescent="0.25">
      <c r="A9" s="11" t="s">
        <v>10</v>
      </c>
      <c r="B9" s="11" t="s">
        <v>3</v>
      </c>
      <c r="C9" s="11" t="s">
        <v>11</v>
      </c>
      <c r="D9" s="11" t="s">
        <v>12</v>
      </c>
      <c r="E9" s="11" t="s">
        <v>6</v>
      </c>
      <c r="F9" s="11" t="s">
        <v>13</v>
      </c>
      <c r="G9" s="11" t="s">
        <v>14</v>
      </c>
      <c r="H9" s="11" t="s">
        <v>15</v>
      </c>
    </row>
    <row r="10" spans="1:8" x14ac:dyDescent="0.25">
      <c r="A10" s="12" t="s">
        <v>16</v>
      </c>
      <c r="B10" s="13">
        <v>8</v>
      </c>
      <c r="C10" s="14">
        <v>258</v>
      </c>
      <c r="D10" s="14">
        <v>14</v>
      </c>
      <c r="E10" s="15">
        <v>0.756</v>
      </c>
      <c r="F10" s="13">
        <v>0</v>
      </c>
      <c r="G10" s="14">
        <v>2</v>
      </c>
      <c r="H10" s="12" t="s">
        <v>17</v>
      </c>
    </row>
    <row r="11" spans="1:8" x14ac:dyDescent="0.25">
      <c r="A11" s="16" t="s">
        <v>18</v>
      </c>
      <c r="B11" s="17">
        <v>8</v>
      </c>
      <c r="C11" s="18">
        <v>261</v>
      </c>
      <c r="D11" s="18">
        <v>15</v>
      </c>
      <c r="E11" s="19">
        <v>0.764</v>
      </c>
      <c r="F11" s="17">
        <v>0</v>
      </c>
      <c r="G11" s="18">
        <v>3</v>
      </c>
      <c r="H11" s="16" t="s">
        <v>17</v>
      </c>
    </row>
    <row r="12" spans="1:8" x14ac:dyDescent="0.25">
      <c r="A12" s="12" t="s">
        <v>19</v>
      </c>
      <c r="B12" s="13">
        <v>8</v>
      </c>
      <c r="C12" s="14">
        <v>249</v>
      </c>
      <c r="D12" s="14">
        <v>11</v>
      </c>
      <c r="E12" s="15">
        <v>0.729</v>
      </c>
      <c r="F12" s="13">
        <v>0</v>
      </c>
      <c r="G12" s="14">
        <v>6</v>
      </c>
      <c r="H12" s="12" t="s">
        <v>20</v>
      </c>
    </row>
    <row r="13" spans="1:8" x14ac:dyDescent="0.25">
      <c r="A13" s="16" t="s">
        <v>21</v>
      </c>
      <c r="B13" s="17">
        <v>8</v>
      </c>
      <c r="C13" s="18">
        <v>238</v>
      </c>
      <c r="D13" s="20">
        <v>8</v>
      </c>
      <c r="E13" s="19">
        <v>0.697</v>
      </c>
      <c r="F13" s="17">
        <v>0</v>
      </c>
      <c r="G13" s="18">
        <v>2</v>
      </c>
      <c r="H13" s="16" t="s">
        <v>22</v>
      </c>
    </row>
    <row r="14" spans="1:8" x14ac:dyDescent="0.25">
      <c r="A14" s="12" t="s">
        <v>23</v>
      </c>
      <c r="B14" s="13">
        <v>7</v>
      </c>
      <c r="C14" s="14">
        <v>198</v>
      </c>
      <c r="D14" s="20">
        <v>4</v>
      </c>
      <c r="E14" s="15">
        <v>0.707</v>
      </c>
      <c r="F14" s="13">
        <v>1</v>
      </c>
      <c r="G14" s="14" t="s">
        <v>17</v>
      </c>
      <c r="H14" s="12" t="s">
        <v>24</v>
      </c>
    </row>
    <row r="15" spans="1:8" x14ac:dyDescent="0.25">
      <c r="A15" s="16" t="s">
        <v>25</v>
      </c>
      <c r="B15" s="17">
        <v>7</v>
      </c>
      <c r="C15" s="18">
        <v>172</v>
      </c>
      <c r="D15" s="20">
        <v>2</v>
      </c>
      <c r="E15" s="19">
        <v>0.614</v>
      </c>
      <c r="F15" s="17">
        <v>0</v>
      </c>
      <c r="G15" s="18">
        <v>0</v>
      </c>
      <c r="H15" s="16" t="s">
        <v>26</v>
      </c>
    </row>
    <row r="16" spans="1:8" x14ac:dyDescent="0.25">
      <c r="A16" s="12" t="s">
        <v>27</v>
      </c>
      <c r="B16" s="13">
        <v>8</v>
      </c>
      <c r="C16" s="14">
        <v>255</v>
      </c>
      <c r="D16" s="20">
        <v>12</v>
      </c>
      <c r="E16" s="15">
        <v>0.746</v>
      </c>
      <c r="F16" s="21">
        <v>0</v>
      </c>
      <c r="G16" s="14">
        <v>4</v>
      </c>
      <c r="H16" s="12" t="s">
        <v>28</v>
      </c>
    </row>
    <row r="17" spans="1:8" x14ac:dyDescent="0.25">
      <c r="A17" s="16" t="s">
        <v>29</v>
      </c>
      <c r="B17" s="17">
        <v>8</v>
      </c>
      <c r="C17" s="18">
        <v>262</v>
      </c>
      <c r="D17" s="20">
        <v>16</v>
      </c>
      <c r="E17" s="19">
        <v>0.767</v>
      </c>
      <c r="F17" s="17">
        <v>0</v>
      </c>
      <c r="G17" s="18">
        <v>2</v>
      </c>
      <c r="H17" s="16" t="s">
        <v>17</v>
      </c>
    </row>
    <row r="18" spans="1:8" x14ac:dyDescent="0.25">
      <c r="A18" t="s">
        <v>30</v>
      </c>
      <c r="B18">
        <v>8</v>
      </c>
      <c r="C18">
        <v>268</v>
      </c>
      <c r="D18">
        <v>17</v>
      </c>
      <c r="E18">
        <v>0.784</v>
      </c>
      <c r="F18">
        <v>0</v>
      </c>
      <c r="G18">
        <v>3</v>
      </c>
      <c r="H18" t="s">
        <v>17</v>
      </c>
    </row>
    <row r="19" spans="1:8" x14ac:dyDescent="0.25">
      <c r="A19" t="s">
        <v>31</v>
      </c>
      <c r="B19">
        <v>8</v>
      </c>
      <c r="C19">
        <v>264</v>
      </c>
      <c r="D19">
        <v>15</v>
      </c>
      <c r="E19">
        <v>0.773</v>
      </c>
      <c r="F19">
        <v>0</v>
      </c>
      <c r="G19">
        <v>2</v>
      </c>
      <c r="H19" t="s">
        <v>17</v>
      </c>
    </row>
    <row r="20" spans="1:8" x14ac:dyDescent="0.25">
      <c r="A20" t="s">
        <v>32</v>
      </c>
      <c r="B20">
        <v>8</v>
      </c>
      <c r="C20">
        <v>271</v>
      </c>
      <c r="D20">
        <v>18</v>
      </c>
      <c r="E20">
        <v>0.793</v>
      </c>
      <c r="F20">
        <v>0</v>
      </c>
      <c r="G20">
        <v>4</v>
      </c>
      <c r="H20" t="s">
        <v>17</v>
      </c>
    </row>
    <row r="21" spans="1:8" x14ac:dyDescent="0.25">
      <c r="A21" t="s">
        <v>33</v>
      </c>
      <c r="B21">
        <v>8</v>
      </c>
      <c r="C21">
        <v>269</v>
      </c>
      <c r="D21">
        <v>17</v>
      </c>
      <c r="E21">
        <v>0.787</v>
      </c>
      <c r="F21">
        <v>0</v>
      </c>
      <c r="G21">
        <v>2</v>
      </c>
      <c r="H21" t="s">
        <v>17</v>
      </c>
    </row>
    <row r="22" spans="1:8" x14ac:dyDescent="0.25">
      <c r="A22" t="s">
        <v>34</v>
      </c>
      <c r="B22">
        <v>8</v>
      </c>
      <c r="C22">
        <v>274</v>
      </c>
      <c r="D22">
        <v>19</v>
      </c>
      <c r="E22">
        <v>0.801</v>
      </c>
      <c r="F22">
        <v>0</v>
      </c>
      <c r="G22">
        <v>3</v>
      </c>
      <c r="H22" t="s">
        <v>17</v>
      </c>
    </row>
    <row r="23" spans="1:8" x14ac:dyDescent="0.25">
      <c r="A23" t="s">
        <v>35</v>
      </c>
      <c r="B23">
        <v>8</v>
      </c>
      <c r="C23">
        <v>276</v>
      </c>
      <c r="D23">
        <v>20</v>
      </c>
      <c r="E23">
        <v>0.807</v>
      </c>
      <c r="F23">
        <v>0</v>
      </c>
      <c r="G23">
        <v>2</v>
      </c>
      <c r="H23" t="s">
        <v>17</v>
      </c>
    </row>
    <row r="24" spans="1:8" x14ac:dyDescent="0.25">
      <c r="A24" t="s">
        <v>36</v>
      </c>
      <c r="B24">
        <v>8</v>
      </c>
      <c r="C24">
        <v>271</v>
      </c>
      <c r="D24">
        <v>18</v>
      </c>
      <c r="E24">
        <v>0.794</v>
      </c>
      <c r="F24">
        <v>0</v>
      </c>
      <c r="G24">
        <v>4</v>
      </c>
      <c r="H24" t="s">
        <v>17</v>
      </c>
    </row>
    <row r="25" spans="1:8" x14ac:dyDescent="0.25">
      <c r="A25" t="s">
        <v>37</v>
      </c>
      <c r="B25">
        <v>8</v>
      </c>
      <c r="C25">
        <v>278</v>
      </c>
      <c r="D25">
        <v>20</v>
      </c>
      <c r="E25">
        <v>0.816</v>
      </c>
      <c r="F25">
        <v>0</v>
      </c>
      <c r="G25">
        <v>2</v>
      </c>
      <c r="H25" t="s">
        <v>17</v>
      </c>
    </row>
    <row r="26" spans="1:8" x14ac:dyDescent="0.25">
      <c r="A26" t="s">
        <v>38</v>
      </c>
      <c r="B26">
        <v>8</v>
      </c>
      <c r="C26">
        <v>265</v>
      </c>
      <c r="D26">
        <v>15</v>
      </c>
      <c r="E26">
        <v>0.777</v>
      </c>
      <c r="F26">
        <v>0</v>
      </c>
      <c r="G26">
        <v>6</v>
      </c>
      <c r="H26" t="s">
        <v>39</v>
      </c>
    </row>
    <row r="27" spans="1:8" x14ac:dyDescent="0.25">
      <c r="A27" t="s">
        <v>40</v>
      </c>
      <c r="B27">
        <v>8</v>
      </c>
      <c r="C27">
        <v>280</v>
      </c>
      <c r="D27">
        <v>21</v>
      </c>
      <c r="E27">
        <v>0.821</v>
      </c>
      <c r="F27">
        <v>0</v>
      </c>
      <c r="G27">
        <v>2</v>
      </c>
      <c r="H27" t="s">
        <v>17</v>
      </c>
    </row>
    <row r="28" spans="1:8" x14ac:dyDescent="0.25">
      <c r="A28" t="s">
        <v>41</v>
      </c>
      <c r="B28">
        <v>9</v>
      </c>
      <c r="C28">
        <v>296</v>
      </c>
      <c r="D28">
        <v>24</v>
      </c>
      <c r="E28">
        <v>0.769</v>
      </c>
      <c r="F28">
        <v>0</v>
      </c>
      <c r="G28">
        <v>3</v>
      </c>
      <c r="H28" t="s">
        <v>42</v>
      </c>
    </row>
    <row r="29" spans="1:8" x14ac:dyDescent="0.25">
      <c r="A29" t="s">
        <v>43</v>
      </c>
      <c r="B29">
        <v>9</v>
      </c>
      <c r="C29">
        <v>303</v>
      </c>
      <c r="D29">
        <v>26</v>
      </c>
      <c r="E29">
        <v>0.786</v>
      </c>
      <c r="F29">
        <v>0</v>
      </c>
      <c r="G29">
        <v>2</v>
      </c>
      <c r="H29" t="s">
        <v>17</v>
      </c>
    </row>
  </sheetData>
  <mergeCells count="4">
    <mergeCell ref="A1:H1"/>
    <mergeCell ref="A2:H2"/>
    <mergeCell ref="A4:H4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1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2" width="20" customWidth="1"/>
    <col min="3" max="3" width="13" customWidth="1"/>
    <col min="4" max="4" width="10" customWidth="1"/>
    <col min="5" max="5" width="12" customWidth="1"/>
    <col min="6" max="6" width="10" customWidth="1"/>
    <col min="7" max="7" width="22" customWidth="1"/>
    <col min="8" max="8" width="14" customWidth="1"/>
    <col min="9" max="9" width="30" customWidth="1"/>
  </cols>
  <sheetData>
    <row r="1" ht="30" customHeight="1" spans="1:9" x14ac:dyDescent="0.25">
      <c r="A1" s="1" t="s">
        <v>44</v>
      </c>
      <c r="B1"/>
      <c r="C1"/>
      <c r="D1"/>
      <c r="E1"/>
      <c r="F1"/>
      <c r="G1"/>
      <c r="H1"/>
      <c r="I1"/>
    </row>
    <row r="2" ht="16" customHeight="1" spans="1:9" x14ac:dyDescent="0.25">
      <c r="A2" s="2" t="s">
        <v>45</v>
      </c>
      <c r="B2"/>
      <c r="C2"/>
      <c r="D2"/>
      <c r="E2"/>
      <c r="F2"/>
      <c r="G2"/>
      <c r="H2"/>
      <c r="I2"/>
    </row>
    <row r="3" ht="34" customHeight="1" spans="1:9" x14ac:dyDescent="0.25">
      <c r="A3" s="11" t="s">
        <v>46</v>
      </c>
      <c r="B3" s="11" t="s">
        <v>47</v>
      </c>
      <c r="C3" s="11" t="s">
        <v>48</v>
      </c>
      <c r="D3" s="11" t="s">
        <v>49</v>
      </c>
      <c r="E3" s="11" t="s">
        <v>50</v>
      </c>
      <c r="F3" s="11" t="s">
        <v>51</v>
      </c>
      <c r="G3" s="11" t="s">
        <v>52</v>
      </c>
      <c r="H3" s="11" t="s">
        <v>53</v>
      </c>
      <c r="I3" s="11" t="s">
        <v>15</v>
      </c>
    </row>
    <row r="4" spans="1:9" x14ac:dyDescent="0.25">
      <c r="A4" s="22" t="s">
        <v>54</v>
      </c>
      <c r="B4" s="12" t="s">
        <v>55</v>
      </c>
      <c r="C4" s="23" t="s">
        <v>56</v>
      </c>
      <c r="D4" s="24" t="s">
        <v>57</v>
      </c>
      <c r="E4" s="25">
        <v>32</v>
      </c>
      <c r="F4" s="12" t="s">
        <v>58</v>
      </c>
      <c r="G4" s="12" t="s">
        <v>59</v>
      </c>
      <c r="H4" s="23" t="s">
        <v>60</v>
      </c>
      <c r="I4" s="12"/>
    </row>
    <row r="5" spans="1:9" x14ac:dyDescent="0.25">
      <c r="A5" s="26" t="s">
        <v>61</v>
      </c>
      <c r="B5" s="16" t="s">
        <v>62</v>
      </c>
      <c r="C5" s="27" t="s">
        <v>63</v>
      </c>
      <c r="D5" s="24" t="s">
        <v>57</v>
      </c>
      <c r="E5" s="28">
        <v>28.5</v>
      </c>
      <c r="F5" s="16" t="s">
        <v>58</v>
      </c>
      <c r="G5" s="16" t="s">
        <v>64</v>
      </c>
      <c r="H5" s="27" t="s">
        <v>65</v>
      </c>
      <c r="I5" s="16"/>
    </row>
    <row r="6" spans="1:9" x14ac:dyDescent="0.25">
      <c r="A6" s="22" t="s">
        <v>66</v>
      </c>
      <c r="B6" s="12" t="s">
        <v>62</v>
      </c>
      <c r="C6" s="23" t="s">
        <v>67</v>
      </c>
      <c r="D6" s="24" t="s">
        <v>57</v>
      </c>
      <c r="E6" s="25">
        <v>27</v>
      </c>
      <c r="F6" s="12" t="s">
        <v>58</v>
      </c>
      <c r="G6" s="12"/>
      <c r="H6" s="23" t="s">
        <v>68</v>
      </c>
      <c r="I6" s="12" t="s">
        <v>69</v>
      </c>
    </row>
    <row r="7" spans="1:9" x14ac:dyDescent="0.25">
      <c r="A7" s="26" t="s">
        <v>70</v>
      </c>
      <c r="B7" s="16" t="s">
        <v>71</v>
      </c>
      <c r="C7" s="27" t="s">
        <v>72</v>
      </c>
      <c r="D7" s="24" t="s">
        <v>57</v>
      </c>
      <c r="E7" s="28">
        <v>30</v>
      </c>
      <c r="F7" s="16" t="s">
        <v>58</v>
      </c>
      <c r="G7" s="16" t="s">
        <v>73</v>
      </c>
      <c r="H7" s="27" t="s">
        <v>74</v>
      </c>
      <c r="I7" s="16"/>
    </row>
    <row r="8" spans="1:9" x14ac:dyDescent="0.25">
      <c r="A8" s="22" t="s">
        <v>75</v>
      </c>
      <c r="B8" s="12" t="s">
        <v>76</v>
      </c>
      <c r="C8" s="23" t="s">
        <v>77</v>
      </c>
      <c r="D8" s="24" t="s">
        <v>57</v>
      </c>
      <c r="E8" s="25">
        <v>22</v>
      </c>
      <c r="F8" s="12" t="s">
        <v>58</v>
      </c>
      <c r="G8" s="12"/>
      <c r="H8" s="23" t="s">
        <v>65</v>
      </c>
      <c r="I8" s="12"/>
    </row>
    <row r="9" spans="1:9" x14ac:dyDescent="0.25">
      <c r="A9" s="26" t="s">
        <v>78</v>
      </c>
      <c r="B9" s="16" t="s">
        <v>62</v>
      </c>
      <c r="C9" s="27" t="s">
        <v>79</v>
      </c>
      <c r="D9" s="24" t="s">
        <v>57</v>
      </c>
      <c r="E9" s="28">
        <v>26.5</v>
      </c>
      <c r="F9" s="16" t="s">
        <v>58</v>
      </c>
      <c r="G9" s="16" t="s">
        <v>64</v>
      </c>
      <c r="H9" s="27" t="s">
        <v>80</v>
      </c>
      <c r="I9" s="16"/>
    </row>
    <row r="10" spans="1:9" x14ac:dyDescent="0.25">
      <c r="A10" s="22" t="s">
        <v>81</v>
      </c>
      <c r="B10" s="12" t="s">
        <v>82</v>
      </c>
      <c r="C10" s="23" t="s">
        <v>83</v>
      </c>
      <c r="D10" s="24" t="s">
        <v>57</v>
      </c>
      <c r="E10" s="25">
        <v>24</v>
      </c>
      <c r="F10" s="12" t="s">
        <v>58</v>
      </c>
      <c r="G10" s="12"/>
      <c r="H10" s="23" t="s">
        <v>84</v>
      </c>
      <c r="I10" s="12"/>
    </row>
    <row r="11" spans="1:9" x14ac:dyDescent="0.25">
      <c r="A11" s="26" t="s">
        <v>85</v>
      </c>
      <c r="B11" s="16" t="s">
        <v>62</v>
      </c>
      <c r="C11" s="27" t="s">
        <v>86</v>
      </c>
      <c r="D11" s="24" t="s">
        <v>57</v>
      </c>
      <c r="E11" s="28">
        <v>25</v>
      </c>
      <c r="F11" s="16" t="s">
        <v>58</v>
      </c>
      <c r="G11" s="16"/>
      <c r="H11" s="27" t="s">
        <v>87</v>
      </c>
      <c r="I11" s="16" t="s">
        <v>88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G11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20" customWidth="1"/>
    <col min="3" max="3" width="13" customWidth="1"/>
    <col min="4" max="4" width="10" customWidth="1"/>
    <col min="5" max="5" width="14" customWidth="1"/>
    <col min="6" max="6" width="10" customWidth="1"/>
    <col min="7" max="7" width="12" customWidth="1"/>
  </cols>
  <sheetData>
    <row r="1" ht="30" customHeight="1" spans="1:7" x14ac:dyDescent="0.25">
      <c r="A1" s="1" t="s">
        <v>89</v>
      </c>
      <c r="B1"/>
      <c r="C1"/>
      <c r="D1"/>
      <c r="E1"/>
      <c r="F1"/>
      <c r="G1"/>
    </row>
    <row r="2" ht="16" customHeight="1" spans="1:7" x14ac:dyDescent="0.25">
      <c r="A2" s="2" t="s">
        <v>90</v>
      </c>
      <c r="B2"/>
      <c r="C2"/>
      <c r="D2"/>
      <c r="E2"/>
      <c r="F2"/>
      <c r="G2"/>
    </row>
    <row r="3" ht="34" customHeight="1" spans="1:7" x14ac:dyDescent="0.25">
      <c r="A3" s="11" t="s">
        <v>91</v>
      </c>
      <c r="B3" s="11" t="s">
        <v>46</v>
      </c>
      <c r="C3" s="11" t="s">
        <v>92</v>
      </c>
      <c r="D3" s="11" t="s">
        <v>12</v>
      </c>
      <c r="E3" s="11" t="s">
        <v>14</v>
      </c>
      <c r="F3" s="11" t="s">
        <v>93</v>
      </c>
      <c r="G3" s="11" t="s">
        <v>94</v>
      </c>
    </row>
    <row r="4" spans="1:7" x14ac:dyDescent="0.25">
      <c r="A4" s="23" t="s">
        <v>95</v>
      </c>
      <c r="B4" s="12" t="s">
        <v>54</v>
      </c>
      <c r="C4" s="29">
        <v>40</v>
      </c>
      <c r="D4" s="30">
        <v>4</v>
      </c>
      <c r="E4" s="29">
        <v>0</v>
      </c>
      <c r="F4" s="29">
        <v>0</v>
      </c>
      <c r="G4" s="31">
        <f>C4+D4+E4+F4</f>
      </c>
    </row>
    <row r="5" spans="1:7" x14ac:dyDescent="0.25">
      <c r="A5" s="27" t="s">
        <v>95</v>
      </c>
      <c r="B5" s="16" t="s">
        <v>61</v>
      </c>
      <c r="C5" s="32">
        <v>38</v>
      </c>
      <c r="D5" s="32">
        <v>0</v>
      </c>
      <c r="E5" s="32">
        <v>2</v>
      </c>
      <c r="F5" s="32">
        <v>0</v>
      </c>
      <c r="G5" s="33">
        <f>C5+D5+E5+F5</f>
      </c>
    </row>
    <row r="6" spans="1:7" x14ac:dyDescent="0.25">
      <c r="A6" s="23" t="s">
        <v>95</v>
      </c>
      <c r="B6" s="12" t="s">
        <v>66</v>
      </c>
      <c r="C6" s="29">
        <v>40</v>
      </c>
      <c r="D6" s="30">
        <v>6</v>
      </c>
      <c r="E6" s="29">
        <v>0</v>
      </c>
      <c r="F6" s="29">
        <v>0</v>
      </c>
      <c r="G6" s="31">
        <f>C6+D6+E6+F6</f>
      </c>
    </row>
    <row r="7" spans="1:7" x14ac:dyDescent="0.25">
      <c r="A7" s="27" t="s">
        <v>95</v>
      </c>
      <c r="B7" s="16" t="s">
        <v>70</v>
      </c>
      <c r="C7" s="32">
        <v>40</v>
      </c>
      <c r="D7" s="30">
        <v>4</v>
      </c>
      <c r="E7" s="32">
        <v>0</v>
      </c>
      <c r="F7" s="32">
        <v>0</v>
      </c>
      <c r="G7" s="33">
        <f>C7+D7+E7+F7</f>
      </c>
    </row>
    <row r="8" spans="1:7" x14ac:dyDescent="0.25">
      <c r="A8" s="23" t="s">
        <v>95</v>
      </c>
      <c r="B8" s="12" t="s">
        <v>75</v>
      </c>
      <c r="C8" s="29">
        <v>40</v>
      </c>
      <c r="D8" s="29">
        <v>0</v>
      </c>
      <c r="E8" s="29">
        <v>0</v>
      </c>
      <c r="F8" s="29">
        <v>0</v>
      </c>
      <c r="G8" s="31">
        <f>C8+D8+E8+F8</f>
      </c>
    </row>
    <row r="9" spans="1:7" x14ac:dyDescent="0.25">
      <c r="A9" s="27" t="s">
        <v>95</v>
      </c>
      <c r="B9" s="16" t="s">
        <v>78</v>
      </c>
      <c r="C9" s="32">
        <v>36</v>
      </c>
      <c r="D9" s="32">
        <v>0</v>
      </c>
      <c r="E9" s="32">
        <v>2</v>
      </c>
      <c r="F9" s="32">
        <v>4</v>
      </c>
      <c r="G9" s="33">
        <f>C9+D9+E9+F9</f>
      </c>
    </row>
    <row r="10" spans="1:7" x14ac:dyDescent="0.25">
      <c r="A10" s="23" t="s">
        <v>95</v>
      </c>
      <c r="B10" s="12" t="s">
        <v>81</v>
      </c>
      <c r="C10" s="29">
        <v>40</v>
      </c>
      <c r="D10" s="30">
        <v>4</v>
      </c>
      <c r="E10" s="29">
        <v>0</v>
      </c>
      <c r="F10" s="29">
        <v>0</v>
      </c>
      <c r="G10" s="31">
        <f>C10+D10+E10+F10</f>
      </c>
    </row>
    <row r="11" spans="1:7" x14ac:dyDescent="0.25">
      <c r="A11" s="27" t="s">
        <v>95</v>
      </c>
      <c r="B11" s="16" t="s">
        <v>85</v>
      </c>
      <c r="C11" s="32">
        <v>40</v>
      </c>
      <c r="D11" s="30">
        <v>4</v>
      </c>
      <c r="E11" s="32">
        <v>0</v>
      </c>
      <c r="F11" s="32">
        <v>0</v>
      </c>
      <c r="G11" s="33">
        <f>C11+D11+E11+F11</f>
      </c>
    </row>
  </sheetData>
  <mergeCells count="2">
    <mergeCell ref="A1:G1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Roster</vt:lpstr>
      <vt:lpstr>Hours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2026-03-28T14:09:26Z</dcterms:created>
  <dcterms:modified xsi:type="dcterms:W3CDTF">2026-03-28T14:09:26Z</dcterms:modified>
</cp:coreProperties>
</file>