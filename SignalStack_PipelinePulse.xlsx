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1FA2C30C-264D-46E7-9B9C-F211D23BBB9F}" xr6:coauthVersionLast="47" xr6:coauthVersionMax="47" xr10:uidLastSave="{00000000-0000-0000-0000-000000000000}"/>
  <bookViews>
    <workbookView xWindow="27900" yWindow="1035" windowWidth="28785" windowHeight="11295" xr2:uid="{00000000-000D-0000-FFFF-FFFF00000000}"/>
  </bookViews>
  <sheets>
    <sheet name="Dashboard" sheetId="1" r:id="rId1"/>
    <sheet name="Pipeline Log" sheetId="2" r:id="rId2"/>
    <sheet name="Stage Refere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2" l="1"/>
  <c r="G12" i="2"/>
  <c r="G11" i="2"/>
  <c r="G10" i="2"/>
  <c r="G9" i="2"/>
  <c r="G8" i="2"/>
  <c r="G7" i="2"/>
  <c r="G6" i="2"/>
  <c r="G5" i="2"/>
  <c r="G4" i="2"/>
</calcChain>
</file>

<file path=xl/sharedStrings.xml><?xml version="1.0" encoding="utf-8"?>
<sst xmlns="http://schemas.openxmlformats.org/spreadsheetml/2006/main" count="309" uniqueCount="182">
  <si>
    <t>SignalStack | Pipeline Pulse — Direction Protocol Sales Tracker</t>
  </si>
  <si>
    <t xml:space="preserve">  Track every prospect through Identify → Assess → Map → Chart → Launch. Enter data in the Pipeline Log tab.</t>
  </si>
  <si>
    <t>DIRECTION PROTOCOL — STAGE COUNTS</t>
  </si>
  <si>
    <t>Identify</t>
  </si>
  <si>
    <t>Assess</t>
  </si>
  <si>
    <t>Map</t>
  </si>
  <si>
    <t>Chart</t>
  </si>
  <si>
    <t>Launch</t>
  </si>
  <si>
    <t>Closed Lost</t>
  </si>
  <si>
    <t>FUNNEL METRICS</t>
  </si>
  <si>
    <t>WIN/LOSS ANALYSIS — MTD</t>
  </si>
  <si>
    <t>Total Active Prospects</t>
  </si>
  <si>
    <t>Deals Won MTD</t>
  </si>
  <si>
    <t>Identify → Assess Conv.</t>
  </si>
  <si>
    <t>Deals Lost MTD</t>
  </si>
  <si>
    <t>Assess → Map Conv.</t>
  </si>
  <si>
    <t>Win Rate MTD</t>
  </si>
  <si>
    <t>Map → Chart Conv.</t>
  </si>
  <si>
    <t>Avg Deal Size (Won)</t>
  </si>
  <si>
    <t>Chart → Launch Conv.</t>
  </si>
  <si>
    <t>Avg Deal Size (Lost)</t>
  </si>
  <si>
    <t>Overall Close Rate</t>
  </si>
  <si>
    <t>Top Loss Reason</t>
  </si>
  <si>
    <t>Price</t>
  </si>
  <si>
    <t>Avg Days Identify→Launch</t>
  </si>
  <si>
    <t>Avg Sales Cycle (days)</t>
  </si>
  <si>
    <t>Pipeline Value (est.)</t>
  </si>
  <si>
    <t>Next Follow-Up Due</t>
  </si>
  <si>
    <t>04/01/2025</t>
  </si>
  <si>
    <t>SignalStack | Pipeline Pulse — Prospect Log</t>
  </si>
  <si>
    <t xml:space="preserve">  One row per prospect. Update Stage as they move through the Direction Protocol.</t>
  </si>
  <si>
    <t>Prospect</t>
  </si>
  <si>
    <t>Industry</t>
  </si>
  <si>
    <t>Est. Value</t>
  </si>
  <si>
    <t>Current Stage</t>
  </si>
  <si>
    <t>Date Entered</t>
  </si>
  <si>
    <t>Last Activity</t>
  </si>
  <si>
    <t>Days in Stage</t>
  </si>
  <si>
    <t>Owner</t>
  </si>
  <si>
    <t>Next Action</t>
  </si>
  <si>
    <t>Next Action Date</t>
  </si>
  <si>
    <t>Win Prob %</t>
  </si>
  <si>
    <t>Notes</t>
  </si>
  <si>
    <t>Acme Petroleum</t>
  </si>
  <si>
    <t>Energy</t>
  </si>
  <si>
    <t>01/15/2025</t>
  </si>
  <si>
    <t>03/20/2025</t>
  </si>
  <si>
    <t>Jacob</t>
  </si>
  <si>
    <t>Schedule Map session</t>
  </si>
  <si>
    <t>Summit Logistics</t>
  </si>
  <si>
    <t>Transportation</t>
  </si>
  <si>
    <t>02/01/2025</t>
  </si>
  <si>
    <t>03/25/2025</t>
  </si>
  <si>
    <t>Send proposal</t>
  </si>
  <si>
    <t>03/31/2025</t>
  </si>
  <si>
    <t>High Plains Co</t>
  </si>
  <si>
    <t>Agriculture</t>
  </si>
  <si>
    <t>02/20/2025</t>
  </si>
  <si>
    <t>03/22/2025</t>
  </si>
  <si>
    <t>Follow up call</t>
  </si>
  <si>
    <t>04/02/2025</t>
  </si>
  <si>
    <t>Front Range Inc</t>
  </si>
  <si>
    <t>Construction</t>
  </si>
  <si>
    <t>01/05/2025</t>
  </si>
  <si>
    <t>03/28/2025</t>
  </si>
  <si>
    <t>Kickoff meeting</t>
  </si>
  <si>
    <t>04/05/2025</t>
  </si>
  <si>
    <t>Mountain Fuel</t>
  </si>
  <si>
    <t>03/10/2025</t>
  </si>
  <si>
    <t>03/26/2025</t>
  </si>
  <si>
    <t>Confirm fit call</t>
  </si>
  <si>
    <t>04/08/2025</t>
  </si>
  <si>
    <t>Valley Services</t>
  </si>
  <si>
    <t>Field Service</t>
  </si>
  <si>
    <t>01/20/2025</t>
  </si>
  <si>
    <t>03/01/2025</t>
  </si>
  <si>
    <t>N/A — Lost on price</t>
  </si>
  <si>
    <t>Peak Operations</t>
  </si>
  <si>
    <t>02/10/2025</t>
  </si>
  <si>
    <t>03/24/2025</t>
  </si>
  <si>
    <t>Deliver findings</t>
  </si>
  <si>
    <t>04/10/2025</t>
  </si>
  <si>
    <t>Ridge Mechanical</t>
  </si>
  <si>
    <t>HVAC</t>
  </si>
  <si>
    <t>03/27/2025</t>
  </si>
  <si>
    <t>Discovery call</t>
  </si>
  <si>
    <t>04/03/2025</t>
  </si>
  <si>
    <t>Frontier Electric</t>
  </si>
  <si>
    <t>Utilities</t>
  </si>
  <si>
    <t>02/25/2025</t>
  </si>
  <si>
    <t>Present Command Center</t>
  </si>
  <si>
    <t>Basin Water Co</t>
  </si>
  <si>
    <t>03/15/2025</t>
  </si>
  <si>
    <t>Initial qualifying call</t>
  </si>
  <si>
    <t>04/09/2025</t>
  </si>
  <si>
    <t>Redstone Hauling</t>
  </si>
  <si>
    <t>09/08/2024</t>
  </si>
  <si>
    <t>10/15/2024</t>
  </si>
  <si>
    <t>N/A — No budget</t>
  </si>
  <si>
    <t>Lost Q3</t>
  </si>
  <si>
    <t>Foothills HVAC</t>
  </si>
  <si>
    <t>09/15/2024</t>
  </si>
  <si>
    <t>11/01/2024</t>
  </si>
  <si>
    <t>Completed onboarding</t>
  </si>
  <si>
    <t>Won Q3</t>
  </si>
  <si>
    <t>Pikes Mechanical</t>
  </si>
  <si>
    <t>09/22/2024</t>
  </si>
  <si>
    <t>10/28/2024</t>
  </si>
  <si>
    <t>N/A — Went with competitor</t>
  </si>
  <si>
    <t/>
  </si>
  <si>
    <t>Summit Grading</t>
  </si>
  <si>
    <t>10/07/2024</t>
  </si>
  <si>
    <t>11/18/2024</t>
  </si>
  <si>
    <t>Delivered Command Center</t>
  </si>
  <si>
    <t>Won Q4</t>
  </si>
  <si>
    <t>Centennial Fleet</t>
  </si>
  <si>
    <t>10/14/2024</t>
  </si>
  <si>
    <t>11/04/2024</t>
  </si>
  <si>
    <t>N/A — Not ready</t>
  </si>
  <si>
    <t>Rocky Mtn Plumbing</t>
  </si>
  <si>
    <t>10/21/2024</t>
  </si>
  <si>
    <t>12/02/2024</t>
  </si>
  <si>
    <t>Live on platform</t>
  </si>
  <si>
    <t>Horizon Electric</t>
  </si>
  <si>
    <t>11/25/2024</t>
  </si>
  <si>
    <t>N/A — Budget frozen</t>
  </si>
  <si>
    <t>Timberline HVAC</t>
  </si>
  <si>
    <t>12/09/2024</t>
  </si>
  <si>
    <t>Battle Rhythm installed</t>
  </si>
  <si>
    <t>Cascade Services</t>
  </si>
  <si>
    <t>11/11/2024</t>
  </si>
  <si>
    <t>Palmer Fuel Co</t>
  </si>
  <si>
    <t>01/06/2025</t>
  </si>
  <si>
    <t>Ongoing Command Partner</t>
  </si>
  <si>
    <t>Northgate Logistics</t>
  </si>
  <si>
    <t>12/16/2024</t>
  </si>
  <si>
    <t>N/A — No decision maker</t>
  </si>
  <si>
    <t>Cimarron Electric</t>
  </si>
  <si>
    <t>01/13/2025</t>
  </si>
  <si>
    <t>Command Center delivered</t>
  </si>
  <si>
    <t>Pueblo Mechanical</t>
  </si>
  <si>
    <t>N/A — Price</t>
  </si>
  <si>
    <t>Mesa Verde Grading</t>
  </si>
  <si>
    <t>02/03/2025</t>
  </si>
  <si>
    <t>Full install complete</t>
  </si>
  <si>
    <t>Won Q1</t>
  </si>
  <si>
    <t>Durango Fleet</t>
  </si>
  <si>
    <t>N/A — Timing</t>
  </si>
  <si>
    <t>Sangre Plumbing</t>
  </si>
  <si>
    <t>02/17/2025</t>
  </si>
  <si>
    <t>Active Command Partner</t>
  </si>
  <si>
    <t>Canon City HVAC</t>
  </si>
  <si>
    <t>02/24/2025</t>
  </si>
  <si>
    <t>N/A — Budget</t>
  </si>
  <si>
    <t>Elk Ridge Services</t>
  </si>
  <si>
    <t>01/27/2025</t>
  </si>
  <si>
    <t>03/03/2025</t>
  </si>
  <si>
    <t>Onboarding complete</t>
  </si>
  <si>
    <t>Ponderosa Fuel</t>
  </si>
  <si>
    <t>N/A — Lost to incumbent</t>
  </si>
  <si>
    <t>Cheyenne Electric</t>
  </si>
  <si>
    <t>03/17/2025</t>
  </si>
  <si>
    <t>Map session scheduled</t>
  </si>
  <si>
    <t>04/15/2025</t>
  </si>
  <si>
    <t>Strong fit</t>
  </si>
  <si>
    <t>SignalStack | Pipeline Pulse — Direction Protocol Reference</t>
  </si>
  <si>
    <t xml:space="preserve">  What each stage means, who acts, and what outcome moves it forward.</t>
  </si>
  <si>
    <t>Stage</t>
  </si>
  <si>
    <t>Duration Target</t>
  </si>
  <si>
    <t>Who Acts</t>
  </si>
  <si>
    <t>Exit Criteria</t>
  </si>
  <si>
    <t>15-20 min</t>
  </si>
  <si>
    <t>Confirmed: right size, right problem, right person. Move to Assess or disqualify.</t>
  </si>
  <si>
    <t>30 min</t>
  </si>
  <si>
    <t>Problem is real, quantified, and the owner admits it. Move to Map.</t>
  </si>
  <si>
    <t>90-120 min</t>
  </si>
  <si>
    <t>Jacob + Client</t>
  </si>
  <si>
    <t>Full process mapped, gaps documented, solution scoped. Move to Chart.</t>
  </si>
  <si>
    <t>30-45 min</t>
  </si>
  <si>
    <t>Findings presented, proposal delivered, verbal interest confirmed. Move to Launch.</t>
  </si>
  <si>
    <t>Close + KO</t>
  </si>
  <si>
    <t>Contract signed, kickoff scheduled, onboarding started.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</si>
</sst>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mm/dd/yyyy"/>
  </numFmts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1A3A5C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14"/>
      <color rgb="FF1A3A5C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1A3A5C"/>
      <name val="Arial"/>
    </font>
    <font>
      <b/>
      <sz val="10"/>
      <color rgb="FF3B6D11"/>
      <name val="Arial"/>
    </font>
    <font>
      <sz val="10"/>
      <color rgb="FFA32D2D"/>
      <name val="Arial"/>
    </font>
  </fonts>
  <fills count="9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D6E8F5"/>
      </patternFill>
    </fill>
    <fill>
      <patternFill patternType="solid">
        <fgColor rgb="FFFFFFFF"/>
      </patternFill>
    </fill>
    <fill>
      <patternFill patternType="solid">
        <fgColor rgb="FFF7F9FB"/>
      </patternFill>
    </fill>
    <fill>
      <patternFill patternType="solid">
        <fgColor rgb="FF3D8EB9"/>
      </patternFill>
    </fill>
    <fill>
      <patternFill patternType="solid">
        <fgColor rgb="FFEAF3DE"/>
      </patternFill>
    </fill>
    <fill>
      <patternFill patternType="solid">
        <fgColor rgb="FFFCEBE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3" fontId="7" fillId="4" borderId="1" xfId="0" applyNumberFormat="1" applyFont="1" applyFill="1" applyBorder="1" applyAlignment="1">
      <alignment horizontal="right" vertical="center"/>
    </xf>
    <xf numFmtId="164" fontId="7" fillId="4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5" fontId="7" fillId="5" borderId="1" xfId="0" applyNumberFormat="1" applyFont="1" applyFill="1" applyBorder="1" applyAlignment="1">
      <alignment horizontal="right" vertical="center"/>
    </xf>
    <xf numFmtId="164" fontId="7" fillId="5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right" vertical="center"/>
    </xf>
    <xf numFmtId="166" fontId="7" fillId="5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/>
    </xf>
    <xf numFmtId="164" fontId="6" fillId="4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left" vertical="center"/>
    </xf>
    <xf numFmtId="3" fontId="6" fillId="4" borderId="1" xfId="0" applyNumberFormat="1" applyFont="1" applyFill="1" applyBorder="1" applyAlignment="1">
      <alignment horizontal="center" vertical="center"/>
    </xf>
    <xf numFmtId="9" fontId="6" fillId="4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center" vertical="center"/>
    </xf>
    <xf numFmtId="166" fontId="6" fillId="5" borderId="1" xfId="0" applyNumberFormat="1" applyFont="1" applyFill="1" applyBorder="1" applyAlignment="1">
      <alignment horizontal="left" vertical="center"/>
    </xf>
    <xf numFmtId="3" fontId="6" fillId="5" borderId="1" xfId="0" applyNumberFormat="1" applyFont="1" applyFill="1" applyBorder="1" applyAlignment="1">
      <alignment horizontal="center" vertical="center"/>
    </xf>
    <xf numFmtId="9" fontId="6" fillId="5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zoomScaleNormal="100" workbookViewId="0">
      <pane ySplit="8" topLeftCell="A9" activePane="bottomLeft" state="frozen"/>
      <selection pane="bottomLeft" sqref="A1:I1"/>
    </sheetView>
  </sheetViews>
  <sheetFormatPr defaultRowHeight="15" x14ac:dyDescent="0.25"/>
  <cols>
    <col min="1" max="1" width="28" customWidth="1"/>
    <col min="2" max="2" width="16" customWidth="1"/>
    <col min="3" max="5" width="10" customWidth="1"/>
    <col min="6" max="6" width="28" customWidth="1"/>
    <col min="7" max="7" width="18" customWidth="1"/>
    <col min="8" max="9" width="10" customWidth="1"/>
  </cols>
  <sheetData>
    <row r="1" spans="1:9" ht="30" customHeight="1" x14ac:dyDescent="0.25">
      <c r="A1" s="29" t="s">
        <v>0</v>
      </c>
      <c r="B1" s="30"/>
      <c r="C1" s="30"/>
      <c r="D1" s="30"/>
      <c r="E1" s="30"/>
      <c r="F1" s="30"/>
      <c r="G1" s="30"/>
      <c r="H1" s="30"/>
      <c r="I1" s="30"/>
    </row>
    <row r="2" spans="1:9" ht="15.95" customHeight="1" x14ac:dyDescent="0.25">
      <c r="A2" s="31" t="s">
        <v>1</v>
      </c>
      <c r="B2" s="30"/>
      <c r="C2" s="30"/>
      <c r="D2" s="30"/>
      <c r="E2" s="30"/>
      <c r="F2" s="30"/>
      <c r="G2" s="30"/>
      <c r="H2" s="30"/>
      <c r="I2" s="30"/>
    </row>
    <row r="3" spans="1:9" ht="8.1" customHeight="1" x14ac:dyDescent="0.25"/>
    <row r="4" spans="1:9" ht="21.95" customHeight="1" x14ac:dyDescent="0.25">
      <c r="A4" s="32" t="s">
        <v>2</v>
      </c>
      <c r="B4" s="30"/>
      <c r="C4" s="30"/>
      <c r="D4" s="30"/>
      <c r="E4" s="30"/>
      <c r="F4" s="30"/>
      <c r="G4" s="30"/>
      <c r="H4" s="30"/>
      <c r="I4" s="30"/>
    </row>
    <row r="5" spans="1:9" ht="18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9" ht="27.95" customHeight="1" x14ac:dyDescent="0.25">
      <c r="A6" s="2">
        <v>12</v>
      </c>
      <c r="B6" s="2">
        <v>7</v>
      </c>
      <c r="C6" s="2">
        <v>4</v>
      </c>
      <c r="D6" s="2">
        <v>3</v>
      </c>
      <c r="E6" s="2">
        <v>2</v>
      </c>
      <c r="F6" s="2">
        <v>5</v>
      </c>
    </row>
    <row r="7" spans="1:9" ht="9.9499999999999993" customHeight="1" x14ac:dyDescent="0.25"/>
    <row r="8" spans="1:9" ht="21.95" customHeight="1" x14ac:dyDescent="0.25">
      <c r="A8" s="32" t="s">
        <v>9</v>
      </c>
      <c r="B8" s="30"/>
      <c r="C8" s="30"/>
      <c r="D8" s="30"/>
      <c r="E8" s="30"/>
      <c r="F8" s="32" t="s">
        <v>10</v>
      </c>
      <c r="G8" s="30"/>
      <c r="H8" s="30"/>
      <c r="I8" s="30"/>
    </row>
    <row r="9" spans="1:9" x14ac:dyDescent="0.25">
      <c r="A9" s="3" t="s">
        <v>11</v>
      </c>
      <c r="B9" s="4">
        <v>33</v>
      </c>
      <c r="C9" s="3"/>
      <c r="D9" s="3"/>
      <c r="E9" s="3"/>
      <c r="F9" s="3" t="s">
        <v>12</v>
      </c>
      <c r="G9" s="5">
        <v>2</v>
      </c>
    </row>
    <row r="10" spans="1:9" x14ac:dyDescent="0.25">
      <c r="A10" s="6" t="s">
        <v>13</v>
      </c>
      <c r="B10" s="7">
        <v>0.58299999999999996</v>
      </c>
      <c r="C10" s="6"/>
      <c r="D10" s="6"/>
      <c r="E10" s="6"/>
      <c r="F10" s="6" t="s">
        <v>14</v>
      </c>
      <c r="G10" s="8">
        <v>3</v>
      </c>
    </row>
    <row r="11" spans="1:9" x14ac:dyDescent="0.25">
      <c r="A11" s="3" t="s">
        <v>15</v>
      </c>
      <c r="B11" s="9">
        <v>0.57099999999999995</v>
      </c>
      <c r="C11" s="3"/>
      <c r="D11" s="3"/>
      <c r="E11" s="3"/>
      <c r="F11" s="3" t="s">
        <v>16</v>
      </c>
      <c r="G11" s="9">
        <v>0.4</v>
      </c>
    </row>
    <row r="12" spans="1:9" x14ac:dyDescent="0.25">
      <c r="A12" s="6" t="s">
        <v>17</v>
      </c>
      <c r="B12" s="7">
        <v>0.75</v>
      </c>
      <c r="C12" s="6"/>
      <c r="D12" s="6"/>
      <c r="E12" s="6"/>
      <c r="F12" s="6" t="s">
        <v>18</v>
      </c>
      <c r="G12" s="8">
        <v>18500</v>
      </c>
    </row>
    <row r="13" spans="1:9" x14ac:dyDescent="0.25">
      <c r="A13" s="3" t="s">
        <v>19</v>
      </c>
      <c r="B13" s="9">
        <v>0.66700000000000004</v>
      </c>
      <c r="C13" s="3"/>
      <c r="D13" s="3"/>
      <c r="E13" s="3"/>
      <c r="F13" s="3" t="s">
        <v>20</v>
      </c>
      <c r="G13" s="5">
        <v>9200</v>
      </c>
    </row>
    <row r="14" spans="1:9" x14ac:dyDescent="0.25">
      <c r="A14" s="6" t="s">
        <v>21</v>
      </c>
      <c r="B14" s="7">
        <v>0.28599999999999998</v>
      </c>
      <c r="C14" s="6"/>
      <c r="D14" s="6"/>
      <c r="E14" s="6"/>
      <c r="F14" s="6" t="s">
        <v>22</v>
      </c>
      <c r="G14" s="10" t="s">
        <v>23</v>
      </c>
    </row>
    <row r="15" spans="1:9" x14ac:dyDescent="0.25">
      <c r="A15" s="3" t="s">
        <v>24</v>
      </c>
      <c r="B15" s="4">
        <v>28</v>
      </c>
      <c r="C15" s="3"/>
      <c r="D15" s="3"/>
      <c r="E15" s="3"/>
      <c r="F15" s="3" t="s">
        <v>25</v>
      </c>
      <c r="G15" s="4">
        <v>28</v>
      </c>
    </row>
    <row r="16" spans="1:9" x14ac:dyDescent="0.25">
      <c r="A16" s="6" t="s">
        <v>26</v>
      </c>
      <c r="B16" s="8">
        <v>142500</v>
      </c>
      <c r="C16" s="6"/>
      <c r="D16" s="6"/>
      <c r="E16" s="6"/>
      <c r="F16" s="6" t="s">
        <v>27</v>
      </c>
      <c r="G16" s="11" t="s">
        <v>28</v>
      </c>
    </row>
  </sheetData>
  <mergeCells count="5">
    <mergeCell ref="A1:I1"/>
    <mergeCell ref="A2:I2"/>
    <mergeCell ref="A4:I4"/>
    <mergeCell ref="A8:E8"/>
    <mergeCell ref="F8:I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3"/>
  <sheetViews>
    <sheetView zoomScaleNormal="100" workbookViewId="0">
      <pane ySplit="3" topLeftCell="A4" activePane="bottomLeft" state="frozen"/>
      <selection pane="bottomLeft" sqref="A1:L1"/>
    </sheetView>
  </sheetViews>
  <sheetFormatPr defaultRowHeight="15" x14ac:dyDescent="0.25"/>
  <cols>
    <col min="1" max="1" width="22" customWidth="1"/>
    <col min="2" max="2" width="16" customWidth="1"/>
    <col min="3" max="3" width="13" customWidth="1"/>
    <col min="4" max="4" width="14" customWidth="1"/>
    <col min="5" max="5" width="13" customWidth="1"/>
    <col min="6" max="6" width="14" customWidth="1"/>
    <col min="7" max="7" width="12" customWidth="1"/>
    <col min="8" max="8" width="10" customWidth="1"/>
    <col min="9" max="9" width="30" customWidth="1"/>
    <col min="10" max="10" width="16" customWidth="1"/>
    <col min="11" max="11" width="11" customWidth="1"/>
    <col min="12" max="12" width="28" customWidth="1"/>
  </cols>
  <sheetData>
    <row r="1" spans="1:12" ht="30" customHeight="1" x14ac:dyDescent="0.25">
      <c r="A1" s="29" t="s">
        <v>29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ht="15.95" customHeight="1" x14ac:dyDescent="0.25">
      <c r="A2" s="31" t="s">
        <v>30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ht="39.950000000000003" customHeight="1" x14ac:dyDescent="0.25">
      <c r="A3" s="12" t="s">
        <v>31</v>
      </c>
      <c r="B3" s="12" t="s">
        <v>32</v>
      </c>
      <c r="C3" s="12" t="s">
        <v>33</v>
      </c>
      <c r="D3" s="12" t="s">
        <v>34</v>
      </c>
      <c r="E3" s="12" t="s">
        <v>35</v>
      </c>
      <c r="F3" s="12" t="s">
        <v>36</v>
      </c>
      <c r="G3" s="12" t="s">
        <v>37</v>
      </c>
      <c r="H3" s="12" t="s">
        <v>38</v>
      </c>
      <c r="I3" s="12" t="s">
        <v>39</v>
      </c>
      <c r="J3" s="12" t="s">
        <v>40</v>
      </c>
      <c r="K3" s="12" t="s">
        <v>41</v>
      </c>
      <c r="L3" s="12" t="s">
        <v>42</v>
      </c>
    </row>
    <row r="4" spans="1:12" x14ac:dyDescent="0.25">
      <c r="A4" s="13" t="s">
        <v>43</v>
      </c>
      <c r="B4" s="3" t="s">
        <v>44</v>
      </c>
      <c r="C4" s="14">
        <v>35000</v>
      </c>
      <c r="D4" s="15" t="s">
        <v>5</v>
      </c>
      <c r="E4" s="16" t="s">
        <v>45</v>
      </c>
      <c r="F4" s="16" t="s">
        <v>46</v>
      </c>
      <c r="G4" s="17">
        <f t="shared" ref="G4:G13" ca="1" si="0">IF(F4="","",TODAY()-F4)</f>
        <v>373</v>
      </c>
      <c r="H4" s="3" t="s">
        <v>47</v>
      </c>
      <c r="I4" s="3" t="s">
        <v>48</v>
      </c>
      <c r="J4" s="16" t="s">
        <v>28</v>
      </c>
      <c r="K4" s="18">
        <v>0.65</v>
      </c>
      <c r="L4" s="3"/>
    </row>
    <row r="5" spans="1:12" x14ac:dyDescent="0.25">
      <c r="A5" s="19" t="s">
        <v>49</v>
      </c>
      <c r="B5" s="6" t="s">
        <v>50</v>
      </c>
      <c r="C5" s="20">
        <v>18000</v>
      </c>
      <c r="D5" s="21" t="s">
        <v>6</v>
      </c>
      <c r="E5" s="22" t="s">
        <v>51</v>
      </c>
      <c r="F5" s="22" t="s">
        <v>52</v>
      </c>
      <c r="G5" s="23">
        <f t="shared" ca="1" si="0"/>
        <v>368</v>
      </c>
      <c r="H5" s="6" t="s">
        <v>47</v>
      </c>
      <c r="I5" s="6" t="s">
        <v>53</v>
      </c>
      <c r="J5" s="22" t="s">
        <v>54</v>
      </c>
      <c r="K5" s="24">
        <v>0.75</v>
      </c>
      <c r="L5" s="6"/>
    </row>
    <row r="6" spans="1:12" x14ac:dyDescent="0.25">
      <c r="A6" s="13" t="s">
        <v>55</v>
      </c>
      <c r="B6" s="3" t="s">
        <v>56</v>
      </c>
      <c r="C6" s="14">
        <v>12000</v>
      </c>
      <c r="D6" s="15" t="s">
        <v>4</v>
      </c>
      <c r="E6" s="16" t="s">
        <v>57</v>
      </c>
      <c r="F6" s="16" t="s">
        <v>58</v>
      </c>
      <c r="G6" s="17">
        <f t="shared" ca="1" si="0"/>
        <v>371</v>
      </c>
      <c r="H6" s="3" t="s">
        <v>47</v>
      </c>
      <c r="I6" s="3" t="s">
        <v>59</v>
      </c>
      <c r="J6" s="16" t="s">
        <v>60</v>
      </c>
      <c r="K6" s="18">
        <v>0.4</v>
      </c>
      <c r="L6" s="3"/>
    </row>
    <row r="7" spans="1:12" x14ac:dyDescent="0.25">
      <c r="A7" s="19" t="s">
        <v>61</v>
      </c>
      <c r="B7" s="6" t="s">
        <v>62</v>
      </c>
      <c r="C7" s="20">
        <v>28000</v>
      </c>
      <c r="D7" s="25" t="s">
        <v>7</v>
      </c>
      <c r="E7" s="22" t="s">
        <v>63</v>
      </c>
      <c r="F7" s="22" t="s">
        <v>64</v>
      </c>
      <c r="G7" s="23">
        <f t="shared" ca="1" si="0"/>
        <v>365</v>
      </c>
      <c r="H7" s="6" t="s">
        <v>47</v>
      </c>
      <c r="I7" s="6" t="s">
        <v>65</v>
      </c>
      <c r="J7" s="22" t="s">
        <v>66</v>
      </c>
      <c r="K7" s="24">
        <v>0.9</v>
      </c>
      <c r="L7" s="6"/>
    </row>
    <row r="8" spans="1:12" x14ac:dyDescent="0.25">
      <c r="A8" s="13" t="s">
        <v>67</v>
      </c>
      <c r="B8" s="3" t="s">
        <v>44</v>
      </c>
      <c r="C8" s="14">
        <v>22000</v>
      </c>
      <c r="D8" s="15" t="s">
        <v>3</v>
      </c>
      <c r="E8" s="16" t="s">
        <v>68</v>
      </c>
      <c r="F8" s="16" t="s">
        <v>69</v>
      </c>
      <c r="G8" s="17">
        <f t="shared" ca="1" si="0"/>
        <v>367</v>
      </c>
      <c r="H8" s="3" t="s">
        <v>47</v>
      </c>
      <c r="I8" s="3" t="s">
        <v>70</v>
      </c>
      <c r="J8" s="16" t="s">
        <v>71</v>
      </c>
      <c r="K8" s="18">
        <v>0.25</v>
      </c>
      <c r="L8" s="3"/>
    </row>
    <row r="9" spans="1:12" x14ac:dyDescent="0.25">
      <c r="A9" s="19" t="s">
        <v>72</v>
      </c>
      <c r="B9" s="6" t="s">
        <v>73</v>
      </c>
      <c r="C9" s="20">
        <v>15000</v>
      </c>
      <c r="D9" s="26" t="s">
        <v>8</v>
      </c>
      <c r="E9" s="22" t="s">
        <v>74</v>
      </c>
      <c r="F9" s="22" t="s">
        <v>75</v>
      </c>
      <c r="G9" s="23">
        <f t="shared" ca="1" si="0"/>
        <v>392</v>
      </c>
      <c r="H9" s="6" t="s">
        <v>47</v>
      </c>
      <c r="I9" s="6" t="s">
        <v>76</v>
      </c>
      <c r="K9" s="24">
        <v>0</v>
      </c>
      <c r="L9" s="6"/>
    </row>
    <row r="10" spans="1:12" x14ac:dyDescent="0.25">
      <c r="A10" s="13" t="s">
        <v>77</v>
      </c>
      <c r="B10" s="3" t="s">
        <v>73</v>
      </c>
      <c r="C10" s="14">
        <v>31000</v>
      </c>
      <c r="D10" s="15" t="s">
        <v>5</v>
      </c>
      <c r="E10" s="16" t="s">
        <v>78</v>
      </c>
      <c r="F10" s="16" t="s">
        <v>79</v>
      </c>
      <c r="G10" s="17">
        <f t="shared" ca="1" si="0"/>
        <v>369</v>
      </c>
      <c r="H10" s="3" t="s">
        <v>47</v>
      </c>
      <c r="I10" s="3" t="s">
        <v>80</v>
      </c>
      <c r="J10" s="16" t="s">
        <v>81</v>
      </c>
      <c r="K10" s="18">
        <v>0.6</v>
      </c>
      <c r="L10" s="3"/>
    </row>
    <row r="11" spans="1:12" x14ac:dyDescent="0.25">
      <c r="A11" s="19" t="s">
        <v>82</v>
      </c>
      <c r="B11" s="6" t="s">
        <v>83</v>
      </c>
      <c r="C11" s="20">
        <v>19500</v>
      </c>
      <c r="D11" s="27" t="s">
        <v>4</v>
      </c>
      <c r="E11" s="22" t="s">
        <v>75</v>
      </c>
      <c r="F11" s="22" t="s">
        <v>84</v>
      </c>
      <c r="G11" s="23">
        <f t="shared" ca="1" si="0"/>
        <v>366</v>
      </c>
      <c r="H11" s="6" t="s">
        <v>47</v>
      </c>
      <c r="I11" s="6" t="s">
        <v>85</v>
      </c>
      <c r="J11" s="22" t="s">
        <v>86</v>
      </c>
      <c r="K11" s="24">
        <v>0.35</v>
      </c>
      <c r="L11" s="6"/>
    </row>
    <row r="12" spans="1:12" x14ac:dyDescent="0.25">
      <c r="A12" s="13" t="s">
        <v>87</v>
      </c>
      <c r="B12" s="3" t="s">
        <v>88</v>
      </c>
      <c r="C12" s="14">
        <v>42000</v>
      </c>
      <c r="D12" s="21" t="s">
        <v>6</v>
      </c>
      <c r="E12" s="16" t="s">
        <v>89</v>
      </c>
      <c r="F12" s="16" t="s">
        <v>69</v>
      </c>
      <c r="G12" s="17">
        <f t="shared" ca="1" si="0"/>
        <v>367</v>
      </c>
      <c r="H12" s="3" t="s">
        <v>47</v>
      </c>
      <c r="I12" s="3" t="s">
        <v>90</v>
      </c>
      <c r="J12" s="16" t="s">
        <v>28</v>
      </c>
      <c r="K12" s="18">
        <v>0.8</v>
      </c>
      <c r="L12" s="3"/>
    </row>
    <row r="13" spans="1:12" x14ac:dyDescent="0.25">
      <c r="A13" s="19" t="s">
        <v>91</v>
      </c>
      <c r="B13" s="6" t="s">
        <v>88</v>
      </c>
      <c r="C13" s="20">
        <v>27000</v>
      </c>
      <c r="D13" s="27" t="s">
        <v>3</v>
      </c>
      <c r="E13" s="22" t="s">
        <v>92</v>
      </c>
      <c r="F13" s="22" t="s">
        <v>64</v>
      </c>
      <c r="G13" s="23">
        <f t="shared" ca="1" si="0"/>
        <v>365</v>
      </c>
      <c r="H13" s="6" t="s">
        <v>47</v>
      </c>
      <c r="I13" s="6" t="s">
        <v>93</v>
      </c>
      <c r="J13" s="22" t="s">
        <v>94</v>
      </c>
      <c r="K13" s="24">
        <v>0.2</v>
      </c>
      <c r="L13" s="6"/>
    </row>
    <row r="14" spans="1:12" x14ac:dyDescent="0.25">
      <c r="A14" t="s">
        <v>95</v>
      </c>
      <c r="B14" t="s">
        <v>50</v>
      </c>
      <c r="C14">
        <v>24000</v>
      </c>
      <c r="D14" t="s">
        <v>8</v>
      </c>
      <c r="E14" t="s">
        <v>96</v>
      </c>
      <c r="F14" t="s">
        <v>97</v>
      </c>
      <c r="H14" t="s">
        <v>47</v>
      </c>
      <c r="I14" t="s">
        <v>98</v>
      </c>
      <c r="K14">
        <v>0</v>
      </c>
      <c r="L14" t="s">
        <v>99</v>
      </c>
    </row>
    <row r="15" spans="1:12" x14ac:dyDescent="0.25">
      <c r="A15" t="s">
        <v>100</v>
      </c>
      <c r="B15" t="s">
        <v>83</v>
      </c>
      <c r="C15">
        <v>17500</v>
      </c>
      <c r="D15" t="s">
        <v>7</v>
      </c>
      <c r="E15" t="s">
        <v>101</v>
      </c>
      <c r="F15" t="s">
        <v>102</v>
      </c>
      <c r="H15" t="s">
        <v>47</v>
      </c>
      <c r="I15" t="s">
        <v>103</v>
      </c>
      <c r="K15">
        <v>1</v>
      </c>
      <c r="L15" t="s">
        <v>104</v>
      </c>
    </row>
    <row r="16" spans="1:12" x14ac:dyDescent="0.25">
      <c r="A16" t="s">
        <v>105</v>
      </c>
      <c r="B16" t="s">
        <v>73</v>
      </c>
      <c r="C16">
        <v>29000</v>
      </c>
      <c r="D16" t="s">
        <v>8</v>
      </c>
      <c r="E16" t="s">
        <v>106</v>
      </c>
      <c r="F16" t="s">
        <v>107</v>
      </c>
      <c r="H16" t="s">
        <v>47</v>
      </c>
      <c r="I16" t="s">
        <v>108</v>
      </c>
      <c r="K16">
        <v>0</v>
      </c>
      <c r="L16" t="s">
        <v>109</v>
      </c>
    </row>
    <row r="17" spans="1:12" x14ac:dyDescent="0.25">
      <c r="A17" t="s">
        <v>110</v>
      </c>
      <c r="B17" t="s">
        <v>62</v>
      </c>
      <c r="C17">
        <v>33000</v>
      </c>
      <c r="D17" t="s">
        <v>7</v>
      </c>
      <c r="E17" t="s">
        <v>111</v>
      </c>
      <c r="F17" t="s">
        <v>112</v>
      </c>
      <c r="H17" t="s">
        <v>47</v>
      </c>
      <c r="I17" t="s">
        <v>113</v>
      </c>
      <c r="K17">
        <v>1</v>
      </c>
      <c r="L17" t="s">
        <v>114</v>
      </c>
    </row>
    <row r="18" spans="1:12" x14ac:dyDescent="0.25">
      <c r="A18" t="s">
        <v>115</v>
      </c>
      <c r="B18" t="s">
        <v>50</v>
      </c>
      <c r="C18">
        <v>21000</v>
      </c>
      <c r="D18" t="s">
        <v>8</v>
      </c>
      <c r="E18" t="s">
        <v>116</v>
      </c>
      <c r="F18" t="s">
        <v>117</v>
      </c>
      <c r="H18" t="s">
        <v>47</v>
      </c>
      <c r="I18" t="s">
        <v>118</v>
      </c>
      <c r="K18">
        <v>0</v>
      </c>
      <c r="L18" t="s">
        <v>109</v>
      </c>
    </row>
    <row r="19" spans="1:12" x14ac:dyDescent="0.25">
      <c r="A19" t="s">
        <v>119</v>
      </c>
      <c r="B19" t="s">
        <v>73</v>
      </c>
      <c r="C19">
        <v>18500</v>
      </c>
      <c r="D19" t="s">
        <v>7</v>
      </c>
      <c r="E19" t="s">
        <v>120</v>
      </c>
      <c r="F19" t="s">
        <v>121</v>
      </c>
      <c r="H19" t="s">
        <v>47</v>
      </c>
      <c r="I19" t="s">
        <v>122</v>
      </c>
      <c r="K19">
        <v>1</v>
      </c>
      <c r="L19" t="s">
        <v>114</v>
      </c>
    </row>
    <row r="20" spans="1:12" x14ac:dyDescent="0.25">
      <c r="A20" t="s">
        <v>123</v>
      </c>
      <c r="B20" t="s">
        <v>88</v>
      </c>
      <c r="C20">
        <v>38000</v>
      </c>
      <c r="D20" t="s">
        <v>8</v>
      </c>
      <c r="E20" t="s">
        <v>107</v>
      </c>
      <c r="F20" t="s">
        <v>124</v>
      </c>
      <c r="H20" t="s">
        <v>47</v>
      </c>
      <c r="I20" t="s">
        <v>125</v>
      </c>
      <c r="K20">
        <v>0</v>
      </c>
      <c r="L20" t="s">
        <v>109</v>
      </c>
    </row>
    <row r="21" spans="1:12" x14ac:dyDescent="0.25">
      <c r="A21" t="s">
        <v>126</v>
      </c>
      <c r="B21" t="s">
        <v>83</v>
      </c>
      <c r="C21">
        <v>22500</v>
      </c>
      <c r="D21" t="s">
        <v>7</v>
      </c>
      <c r="E21" t="s">
        <v>117</v>
      </c>
      <c r="F21" t="s">
        <v>127</v>
      </c>
      <c r="H21" t="s">
        <v>47</v>
      </c>
      <c r="I21" t="s">
        <v>128</v>
      </c>
      <c r="K21">
        <v>1</v>
      </c>
      <c r="L21" t="s">
        <v>114</v>
      </c>
    </row>
    <row r="22" spans="1:12" x14ac:dyDescent="0.25">
      <c r="A22" t="s">
        <v>129</v>
      </c>
      <c r="B22" t="s">
        <v>73</v>
      </c>
      <c r="C22">
        <v>16000</v>
      </c>
      <c r="D22" t="s">
        <v>8</v>
      </c>
      <c r="E22" t="s">
        <v>130</v>
      </c>
      <c r="F22" t="s">
        <v>121</v>
      </c>
      <c r="H22" t="s">
        <v>47</v>
      </c>
      <c r="I22" t="s">
        <v>76</v>
      </c>
      <c r="K22">
        <v>0</v>
      </c>
      <c r="L22" t="s">
        <v>109</v>
      </c>
    </row>
    <row r="23" spans="1:12" x14ac:dyDescent="0.25">
      <c r="A23" t="s">
        <v>131</v>
      </c>
      <c r="B23" t="s">
        <v>44</v>
      </c>
      <c r="C23">
        <v>41000</v>
      </c>
      <c r="D23" t="s">
        <v>7</v>
      </c>
      <c r="E23" t="s">
        <v>112</v>
      </c>
      <c r="F23" t="s">
        <v>132</v>
      </c>
      <c r="H23" t="s">
        <v>47</v>
      </c>
      <c r="I23" t="s">
        <v>133</v>
      </c>
      <c r="K23">
        <v>1</v>
      </c>
      <c r="L23" t="s">
        <v>114</v>
      </c>
    </row>
    <row r="24" spans="1:12" x14ac:dyDescent="0.25">
      <c r="A24" t="s">
        <v>134</v>
      </c>
      <c r="B24" t="s">
        <v>50</v>
      </c>
      <c r="C24">
        <v>19500</v>
      </c>
      <c r="D24" t="s">
        <v>8</v>
      </c>
      <c r="E24" t="s">
        <v>124</v>
      </c>
      <c r="F24" t="s">
        <v>135</v>
      </c>
      <c r="H24" t="s">
        <v>47</v>
      </c>
      <c r="I24" t="s">
        <v>136</v>
      </c>
      <c r="K24">
        <v>0</v>
      </c>
      <c r="L24" t="s">
        <v>109</v>
      </c>
    </row>
    <row r="25" spans="1:12" x14ac:dyDescent="0.25">
      <c r="A25" t="s">
        <v>137</v>
      </c>
      <c r="B25" t="s">
        <v>88</v>
      </c>
      <c r="C25">
        <v>27500</v>
      </c>
      <c r="D25" t="s">
        <v>7</v>
      </c>
      <c r="E25" t="s">
        <v>121</v>
      </c>
      <c r="F25" t="s">
        <v>138</v>
      </c>
      <c r="H25" t="s">
        <v>47</v>
      </c>
      <c r="I25" t="s">
        <v>139</v>
      </c>
      <c r="K25">
        <v>1</v>
      </c>
      <c r="L25" t="s">
        <v>114</v>
      </c>
    </row>
    <row r="26" spans="1:12" x14ac:dyDescent="0.25">
      <c r="A26" t="s">
        <v>140</v>
      </c>
      <c r="B26" t="s">
        <v>73</v>
      </c>
      <c r="C26">
        <v>14000</v>
      </c>
      <c r="D26" t="s">
        <v>8</v>
      </c>
      <c r="E26" t="s">
        <v>127</v>
      </c>
      <c r="F26" t="s">
        <v>132</v>
      </c>
      <c r="H26" t="s">
        <v>47</v>
      </c>
      <c r="I26" t="s">
        <v>141</v>
      </c>
      <c r="K26">
        <v>0</v>
      </c>
      <c r="L26" t="s">
        <v>109</v>
      </c>
    </row>
    <row r="27" spans="1:12" x14ac:dyDescent="0.25">
      <c r="A27" t="s">
        <v>142</v>
      </c>
      <c r="B27" t="s">
        <v>62</v>
      </c>
      <c r="C27">
        <v>36000</v>
      </c>
      <c r="D27" t="s">
        <v>7</v>
      </c>
      <c r="E27" t="s">
        <v>135</v>
      </c>
      <c r="F27" t="s">
        <v>143</v>
      </c>
      <c r="H27" t="s">
        <v>47</v>
      </c>
      <c r="I27" t="s">
        <v>144</v>
      </c>
      <c r="K27">
        <v>1</v>
      </c>
      <c r="L27" t="s">
        <v>145</v>
      </c>
    </row>
    <row r="28" spans="1:12" x14ac:dyDescent="0.25">
      <c r="A28" t="s">
        <v>146</v>
      </c>
      <c r="B28" t="s">
        <v>50</v>
      </c>
      <c r="C28">
        <v>23000</v>
      </c>
      <c r="D28" t="s">
        <v>8</v>
      </c>
      <c r="E28" t="s">
        <v>132</v>
      </c>
      <c r="F28" t="s">
        <v>78</v>
      </c>
      <c r="H28" t="s">
        <v>47</v>
      </c>
      <c r="I28" t="s">
        <v>147</v>
      </c>
      <c r="K28">
        <v>0</v>
      </c>
      <c r="L28" t="s">
        <v>109</v>
      </c>
    </row>
    <row r="29" spans="1:12" x14ac:dyDescent="0.25">
      <c r="A29" t="s">
        <v>148</v>
      </c>
      <c r="B29" t="s">
        <v>73</v>
      </c>
      <c r="C29">
        <v>20000</v>
      </c>
      <c r="D29" t="s">
        <v>7</v>
      </c>
      <c r="E29" t="s">
        <v>138</v>
      </c>
      <c r="F29" t="s">
        <v>149</v>
      </c>
      <c r="H29" t="s">
        <v>47</v>
      </c>
      <c r="I29" t="s">
        <v>150</v>
      </c>
      <c r="K29">
        <v>1</v>
      </c>
      <c r="L29" t="s">
        <v>145</v>
      </c>
    </row>
    <row r="30" spans="1:12" x14ac:dyDescent="0.25">
      <c r="A30" t="s">
        <v>151</v>
      </c>
      <c r="B30" t="s">
        <v>83</v>
      </c>
      <c r="C30">
        <v>25500</v>
      </c>
      <c r="D30" t="s">
        <v>8</v>
      </c>
      <c r="E30" t="s">
        <v>74</v>
      </c>
      <c r="F30" t="s">
        <v>152</v>
      </c>
      <c r="H30" t="s">
        <v>47</v>
      </c>
      <c r="I30" t="s">
        <v>153</v>
      </c>
      <c r="K30">
        <v>0</v>
      </c>
      <c r="L30" t="s">
        <v>109</v>
      </c>
    </row>
    <row r="31" spans="1:12" x14ac:dyDescent="0.25">
      <c r="A31" t="s">
        <v>154</v>
      </c>
      <c r="B31" t="s">
        <v>73</v>
      </c>
      <c r="C31">
        <v>32000</v>
      </c>
      <c r="D31" t="s">
        <v>7</v>
      </c>
      <c r="E31" t="s">
        <v>155</v>
      </c>
      <c r="F31" t="s">
        <v>156</v>
      </c>
      <c r="H31" t="s">
        <v>47</v>
      </c>
      <c r="I31" t="s">
        <v>157</v>
      </c>
      <c r="K31">
        <v>1</v>
      </c>
      <c r="L31" t="s">
        <v>145</v>
      </c>
    </row>
    <row r="32" spans="1:12" x14ac:dyDescent="0.25">
      <c r="A32" t="s">
        <v>158</v>
      </c>
      <c r="B32" t="s">
        <v>44</v>
      </c>
      <c r="C32">
        <v>28500</v>
      </c>
      <c r="D32" t="s">
        <v>8</v>
      </c>
      <c r="E32" t="s">
        <v>143</v>
      </c>
      <c r="F32" t="s">
        <v>152</v>
      </c>
      <c r="H32" t="s">
        <v>47</v>
      </c>
      <c r="I32" t="s">
        <v>159</v>
      </c>
      <c r="K32">
        <v>0</v>
      </c>
      <c r="L32" t="s">
        <v>109</v>
      </c>
    </row>
    <row r="33" spans="1:12" x14ac:dyDescent="0.25">
      <c r="A33" t="s">
        <v>160</v>
      </c>
      <c r="B33" t="s">
        <v>88</v>
      </c>
      <c r="C33">
        <v>44000</v>
      </c>
      <c r="D33" t="s">
        <v>5</v>
      </c>
      <c r="E33" t="s">
        <v>78</v>
      </c>
      <c r="F33" t="s">
        <v>161</v>
      </c>
      <c r="H33" t="s">
        <v>47</v>
      </c>
      <c r="I33" t="s">
        <v>162</v>
      </c>
      <c r="J33" t="s">
        <v>163</v>
      </c>
      <c r="K33">
        <v>0.55000000000000004</v>
      </c>
      <c r="L33" t="s">
        <v>164</v>
      </c>
    </row>
  </sheetData>
  <mergeCells count="2">
    <mergeCell ref="A1:L1"/>
    <mergeCell ref="A2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zoomScaleNormal="100" workbookViewId="0">
      <selection activeCell="G6" sqref="G6"/>
    </sheetView>
  </sheetViews>
  <sheetFormatPr defaultRowHeight="15" x14ac:dyDescent="0.25"/>
  <cols>
    <col min="1" max="1" width="14" customWidth="1"/>
    <col min="2" max="2" width="16" customWidth="1"/>
    <col min="3" max="3" width="20" customWidth="1"/>
    <col min="4" max="4" width="70.42578125" bestFit="1" customWidth="1"/>
  </cols>
  <sheetData>
    <row r="1" spans="1:4" ht="30" customHeight="1" x14ac:dyDescent="0.25">
      <c r="A1" s="29" t="s">
        <v>165</v>
      </c>
      <c r="B1" s="30"/>
      <c r="C1" s="30"/>
      <c r="D1" s="30"/>
    </row>
    <row r="2" spans="1:4" ht="15.95" customHeight="1" x14ac:dyDescent="0.25">
      <c r="A2" s="31" t="s">
        <v>166</v>
      </c>
      <c r="B2" s="30"/>
      <c r="C2" s="30"/>
      <c r="D2" s="30"/>
    </row>
    <row r="3" spans="1:4" ht="21.95" customHeight="1" x14ac:dyDescent="0.25">
      <c r="A3" s="28" t="s">
        <v>167</v>
      </c>
      <c r="B3" s="28" t="s">
        <v>168</v>
      </c>
      <c r="C3" s="28" t="s">
        <v>169</v>
      </c>
      <c r="D3" s="28" t="s">
        <v>170</v>
      </c>
    </row>
    <row r="4" spans="1:4" x14ac:dyDescent="0.25">
      <c r="A4" s="13" t="s">
        <v>3</v>
      </c>
      <c r="B4" s="15" t="s">
        <v>171</v>
      </c>
      <c r="C4" s="3" t="s">
        <v>47</v>
      </c>
      <c r="D4" s="3" t="s">
        <v>172</v>
      </c>
    </row>
    <row r="5" spans="1:4" x14ac:dyDescent="0.25">
      <c r="A5" s="19" t="s">
        <v>4</v>
      </c>
      <c r="B5" s="27" t="s">
        <v>173</v>
      </c>
      <c r="C5" s="6" t="s">
        <v>47</v>
      </c>
      <c r="D5" s="6" t="s">
        <v>174</v>
      </c>
    </row>
    <row r="6" spans="1:4" x14ac:dyDescent="0.25">
      <c r="A6" s="13" t="s">
        <v>5</v>
      </c>
      <c r="B6" s="15" t="s">
        <v>175</v>
      </c>
      <c r="C6" s="3" t="s">
        <v>176</v>
      </c>
      <c r="D6" s="3" t="s">
        <v>177</v>
      </c>
    </row>
    <row r="7" spans="1:4" x14ac:dyDescent="0.25">
      <c r="A7" s="19" t="s">
        <v>6</v>
      </c>
      <c r="B7" s="27" t="s">
        <v>178</v>
      </c>
      <c r="C7" s="6" t="s">
        <v>47</v>
      </c>
      <c r="D7" s="6" t="s">
        <v>179</v>
      </c>
    </row>
    <row r="8" spans="1:4" x14ac:dyDescent="0.25">
      <c r="A8" s="13" t="s">
        <v>7</v>
      </c>
      <c r="B8" s="15" t="s">
        <v>180</v>
      </c>
      <c r="C8" s="3" t="s">
        <v>176</v>
      </c>
      <c r="D8" s="3" t="s">
        <v>181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Pipeline Log</vt:lpstr>
      <vt:lpstr>Stage 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2026-03-28T14:09:26Z</dcterms:created>
  <dcterms:modified xsi:type="dcterms:W3CDTF">2026-03-28T18:49:44Z</dcterms:modified>
</cp:coreProperties>
</file>