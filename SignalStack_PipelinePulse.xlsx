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ruenorth\Desktop\00 PIPLINE PUNKS GIT\00-FLEET-COMPLIANCE-SENTINEL\tooling\ML-SIGNAL-STACK-TNCC\"/>
    </mc:Choice>
  </mc:AlternateContent>
  <xr:revisionPtr revIDLastSave="0" documentId="13_ncr:1_{DAA009BF-7155-4EAF-AE17-A3A2DF31A6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Pipeline Log" sheetId="2" r:id="rId2"/>
    <sheet name="Stage 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2" l="1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B15" i="1" s="1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16" i="1"/>
  <c r="B16" i="1"/>
  <c r="G13" i="1"/>
  <c r="G12" i="1"/>
  <c r="G10" i="1"/>
  <c r="G9" i="1"/>
  <c r="B9" i="1"/>
  <c r="F6" i="1"/>
  <c r="E6" i="1"/>
  <c r="B14" i="1" s="1"/>
  <c r="D6" i="1"/>
  <c r="B13" i="1" s="1"/>
  <c r="C6" i="1"/>
  <c r="B12" i="1" s="1"/>
  <c r="B6" i="1"/>
  <c r="B11" i="1" s="1"/>
  <c r="A6" i="1"/>
  <c r="B10" i="1" s="1"/>
  <c r="G15" i="1" l="1"/>
  <c r="G11" i="1"/>
</calcChain>
</file>

<file path=xl/sharedStrings.xml><?xml version="1.0" encoding="utf-8"?>
<sst xmlns="http://schemas.openxmlformats.org/spreadsheetml/2006/main" count="1515" uniqueCount="630">
  <si>
    <t>SignalStack | Pipeline Pulse — Direction Protocol Sales Tracker</t>
  </si>
  <si>
    <t xml:space="preserve">  Track every prospect through Identify → Assess → Map → Chart → Launch. Enter data in the Pipeline Log tab.</t>
  </si>
  <si>
    <t>DIRECTION PROTOCOL — STAGE COUNTS</t>
  </si>
  <si>
    <t>Identify</t>
  </si>
  <si>
    <t>Assess</t>
  </si>
  <si>
    <t>Map</t>
  </si>
  <si>
    <t>Chart</t>
  </si>
  <si>
    <t>Launch</t>
  </si>
  <si>
    <t>Closed Lost</t>
  </si>
  <si>
    <t>FUNNEL METRICS</t>
  </si>
  <si>
    <t>WIN/LOSS ANALYSIS — MTD</t>
  </si>
  <si>
    <t>Total Active Prospects</t>
  </si>
  <si>
    <t>Deals Won MTD</t>
  </si>
  <si>
    <t>Identify → Assess Conv.</t>
  </si>
  <si>
    <t>Deals Lost MTD</t>
  </si>
  <si>
    <t>Assess → Map Conv.</t>
  </si>
  <si>
    <t>Win Rate MTD</t>
  </si>
  <si>
    <t>Map → Chart Conv.</t>
  </si>
  <si>
    <t>Avg Deal Size (Won)</t>
  </si>
  <si>
    <t>Chart → Launch Conv.</t>
  </si>
  <si>
    <t>Avg Deal Size (Lost)</t>
  </si>
  <si>
    <t>Overall Close Rate</t>
  </si>
  <si>
    <t>Top Loss Reason</t>
  </si>
  <si>
    <t>Price</t>
  </si>
  <si>
    <t>Avg Days Identify→Launch</t>
  </si>
  <si>
    <t>Avg Sales Cycle (days)</t>
  </si>
  <si>
    <t>Pipeline Value (est.)</t>
  </si>
  <si>
    <t>Next Follow-Up Due</t>
  </si>
  <si>
    <t>SignalStack | Pipeline Pulse — Prospect Log</t>
  </si>
  <si>
    <t xml:space="preserve">  One row per prospect. Update Stage as they move through the Direction Protocol.</t>
  </si>
  <si>
    <t>Prospect</t>
  </si>
  <si>
    <t>Industry</t>
  </si>
  <si>
    <t>Est. Value</t>
  </si>
  <si>
    <t>Current Stage</t>
  </si>
  <si>
    <t>Date Entered</t>
  </si>
  <si>
    <t>Last Activity</t>
  </si>
  <si>
    <t>Days in Stage</t>
  </si>
  <si>
    <t>Owner</t>
  </si>
  <si>
    <t>Next Action</t>
  </si>
  <si>
    <t>Next Action Date</t>
  </si>
  <si>
    <t>Win Prob %</t>
  </si>
  <si>
    <t>Notes</t>
  </si>
  <si>
    <t>Acme Petroleum</t>
  </si>
  <si>
    <t>Energy</t>
  </si>
  <si>
    <t>01/15/2025</t>
  </si>
  <si>
    <t>03/20/2025</t>
  </si>
  <si>
    <t>Jacob</t>
  </si>
  <si>
    <t>Schedule Map session</t>
  </si>
  <si>
    <t>04/01/2025</t>
  </si>
  <si>
    <t>Summit Logistics</t>
  </si>
  <si>
    <t>Transportation</t>
  </si>
  <si>
    <t>02/01/2025</t>
  </si>
  <si>
    <t>03/25/2025</t>
  </si>
  <si>
    <t>Send proposal</t>
  </si>
  <si>
    <t>03/31/2025</t>
  </si>
  <si>
    <t>High Plains Co</t>
  </si>
  <si>
    <t>Agriculture</t>
  </si>
  <si>
    <t>02/20/2025</t>
  </si>
  <si>
    <t>03/22/2025</t>
  </si>
  <si>
    <t>Follow up call</t>
  </si>
  <si>
    <t>04/02/2025</t>
  </si>
  <si>
    <t>Front Range Inc</t>
  </si>
  <si>
    <t>Construction</t>
  </si>
  <si>
    <t>01/05/2025</t>
  </si>
  <si>
    <t>03/28/2025</t>
  </si>
  <si>
    <t>Kickoff meeting</t>
  </si>
  <si>
    <t>04/05/2025</t>
  </si>
  <si>
    <t>Mountain Fuel</t>
  </si>
  <si>
    <t>03/10/2025</t>
  </si>
  <si>
    <t>03/26/2025</t>
  </si>
  <si>
    <t>Confirm fit call</t>
  </si>
  <si>
    <t>04/08/2025</t>
  </si>
  <si>
    <t>Valley Services</t>
  </si>
  <si>
    <t>Field Service</t>
  </si>
  <si>
    <t>01/20/2025</t>
  </si>
  <si>
    <t>03/01/2025</t>
  </si>
  <si>
    <t>N/A — Lost on price</t>
  </si>
  <si>
    <t>Peak Operations</t>
  </si>
  <si>
    <t>02/10/2025</t>
  </si>
  <si>
    <t>03/24/2025</t>
  </si>
  <si>
    <t>Deliver findings</t>
  </si>
  <si>
    <t>04/10/2025</t>
  </si>
  <si>
    <t>Ridge Mechanical</t>
  </si>
  <si>
    <t>HVAC</t>
  </si>
  <si>
    <t>03/27/2025</t>
  </si>
  <si>
    <t>Discovery call</t>
  </si>
  <si>
    <t>04/03/2025</t>
  </si>
  <si>
    <t>Frontier Electric</t>
  </si>
  <si>
    <t>Utilities</t>
  </si>
  <si>
    <t>02/25/2025</t>
  </si>
  <si>
    <t>Present Command Center</t>
  </si>
  <si>
    <t>Basin Water Co</t>
  </si>
  <si>
    <t>03/15/2025</t>
  </si>
  <si>
    <t>Initial qualifying call</t>
  </si>
  <si>
    <t>04/09/2025</t>
  </si>
  <si>
    <t>Redstone Hauling</t>
  </si>
  <si>
    <t>09/08/2024</t>
  </si>
  <si>
    <t>10/15/2024</t>
  </si>
  <si>
    <t>N/A — No budget</t>
  </si>
  <si>
    <t>Lost Q3</t>
  </si>
  <si>
    <t>Foothills HVAC</t>
  </si>
  <si>
    <t>09/15/2024</t>
  </si>
  <si>
    <t>11/01/2024</t>
  </si>
  <si>
    <t>Completed onboarding</t>
  </si>
  <si>
    <t>Won Q3</t>
  </si>
  <si>
    <t>Pikes Mechanical</t>
  </si>
  <si>
    <t>09/22/2024</t>
  </si>
  <si>
    <t>10/28/2024</t>
  </si>
  <si>
    <t>N/A — Went with competitor</t>
  </si>
  <si>
    <t>Summit Grading</t>
  </si>
  <si>
    <t>10/07/2024</t>
  </si>
  <si>
    <t>11/18/2024</t>
  </si>
  <si>
    <t>Delivered Command Center</t>
  </si>
  <si>
    <t>Won Q4</t>
  </si>
  <si>
    <t>Centennial Fleet</t>
  </si>
  <si>
    <t>10/14/2024</t>
  </si>
  <si>
    <t>11/04/2024</t>
  </si>
  <si>
    <t>N/A — Not ready</t>
  </si>
  <si>
    <t>Rocky Mtn Plumbing</t>
  </si>
  <si>
    <t>10/21/2024</t>
  </si>
  <si>
    <t>12/02/2024</t>
  </si>
  <si>
    <t>Live on platform</t>
  </si>
  <si>
    <t>Horizon Electric</t>
  </si>
  <si>
    <t>11/25/2024</t>
  </si>
  <si>
    <t>N/A — Budget frozen</t>
  </si>
  <si>
    <t>Timberline HVAC</t>
  </si>
  <si>
    <t>12/09/2024</t>
  </si>
  <si>
    <t>Battle Rhythm installed</t>
  </si>
  <si>
    <t>Cascade Services</t>
  </si>
  <si>
    <t>11/11/2024</t>
  </si>
  <si>
    <t>Palmer Fuel Co</t>
  </si>
  <si>
    <t>01/06/2025</t>
  </si>
  <si>
    <t>Ongoing Command Partner</t>
  </si>
  <si>
    <t>Northgate Logistics</t>
  </si>
  <si>
    <t>12/16/2024</t>
  </si>
  <si>
    <t>N/A — No decision maker</t>
  </si>
  <si>
    <t>Cimarron Electric</t>
  </si>
  <si>
    <t>01/13/2025</t>
  </si>
  <si>
    <t>Command Center delivered</t>
  </si>
  <si>
    <t>Pueblo Mechanical</t>
  </si>
  <si>
    <t>N/A — Price</t>
  </si>
  <si>
    <t>Mesa Verde Grading</t>
  </si>
  <si>
    <t>02/03/2025</t>
  </si>
  <si>
    <t>Full install complete</t>
  </si>
  <si>
    <t>Won Q1</t>
  </si>
  <si>
    <t>Durango Fleet</t>
  </si>
  <si>
    <t>N/A — Timing</t>
  </si>
  <si>
    <t>Sangre Plumbing</t>
  </si>
  <si>
    <t>02/17/2025</t>
  </si>
  <si>
    <t>Active Command Partner</t>
  </si>
  <si>
    <t>Canon City HVAC</t>
  </si>
  <si>
    <t>02/24/2025</t>
  </si>
  <si>
    <t>N/A — Budget</t>
  </si>
  <si>
    <t>Elk Ridge Services</t>
  </si>
  <si>
    <t>01/27/2025</t>
  </si>
  <si>
    <t>03/03/2025</t>
  </si>
  <si>
    <t>Onboarding complete</t>
  </si>
  <si>
    <t>Ponderosa Fuel</t>
  </si>
  <si>
    <t>N/A — Lost to incumbent</t>
  </si>
  <si>
    <t>Cheyenne Electric</t>
  </si>
  <si>
    <t>03/17/2025</t>
  </si>
  <si>
    <t>Map session scheduled</t>
  </si>
  <si>
    <t>04/15/2025</t>
  </si>
  <si>
    <t>Strong fit</t>
  </si>
  <si>
    <t>Granite Utilities 01</t>
  </si>
  <si>
    <t>03/18/2025</t>
  </si>
  <si>
    <t>N/A — Lost opportunity</t>
  </si>
  <si>
    <t>Lost on price</t>
  </si>
  <si>
    <t>Prairie Field Service 02</t>
  </si>
  <si>
    <t>03/21/2025</t>
  </si>
  <si>
    <t>Ironhorse HVAC 03</t>
  </si>
  <si>
    <t>Kickoff planning</t>
  </si>
  <si>
    <t>Won Q2</t>
  </si>
  <si>
    <t>Blue Mesa Construction 04</t>
  </si>
  <si>
    <t>Went with incumbent</t>
  </si>
  <si>
    <t>Highland Transportation 05</t>
  </si>
  <si>
    <t>03/30/2025</t>
  </si>
  <si>
    <t>04/11/2025</t>
  </si>
  <si>
    <t>Summit Energy 06</t>
  </si>
  <si>
    <t>04/06/2025</t>
  </si>
  <si>
    <t>Canyon Agriculture 07</t>
  </si>
  <si>
    <t>04/12/2025</t>
  </si>
  <si>
    <t>Pioneer Utilities 08</t>
  </si>
  <si>
    <t>04/30/2025</t>
  </si>
  <si>
    <t>05/10/2025</t>
  </si>
  <si>
    <t>Arrowhead Field Service 09</t>
  </si>
  <si>
    <t>04/17/2025</t>
  </si>
  <si>
    <t>04/25/2025</t>
  </si>
  <si>
    <t>Falcon HVAC 10</t>
  </si>
  <si>
    <t>04/14/2025</t>
  </si>
  <si>
    <t>04/22/2025</t>
  </si>
  <si>
    <t>Schedule map session</t>
  </si>
  <si>
    <t>05/01/2025</t>
  </si>
  <si>
    <t>Red Rock Construction 11</t>
  </si>
  <si>
    <t>05/13/2025</t>
  </si>
  <si>
    <t>05/17/2025</t>
  </si>
  <si>
    <t>Westline Transportation 12</t>
  </si>
  <si>
    <t>04/20/2025</t>
  </si>
  <si>
    <t>05/11/2025</t>
  </si>
  <si>
    <t>05/16/2025</t>
  </si>
  <si>
    <t>Northstar Energy 13</t>
  </si>
  <si>
    <t>04/23/2025</t>
  </si>
  <si>
    <t>05/04/2025</t>
  </si>
  <si>
    <t>Silver Peak Agriculture 14</t>
  </si>
  <si>
    <t>04/26/2025</t>
  </si>
  <si>
    <t>05/14/2025</t>
  </si>
  <si>
    <t>05/18/2025</t>
  </si>
  <si>
    <t>Trailhead Utilities 15</t>
  </si>
  <si>
    <t>04/29/2025</t>
  </si>
  <si>
    <t>05/23/2025</t>
  </si>
  <si>
    <t>05/28/2025</t>
  </si>
  <si>
    <t>Frontline Field Service 16</t>
  </si>
  <si>
    <t>05/02/2025</t>
  </si>
  <si>
    <t>05/25/2025</t>
  </si>
  <si>
    <t>Keystone HVAC 17</t>
  </si>
  <si>
    <t>05/05/2025</t>
  </si>
  <si>
    <t>05/24/2025</t>
  </si>
  <si>
    <t>Meridian Construction 18</t>
  </si>
  <si>
    <t>05/08/2025</t>
  </si>
  <si>
    <t>06/01/2025</t>
  </si>
  <si>
    <t>06/10/2025</t>
  </si>
  <si>
    <t>Atlas Transportation 19</t>
  </si>
  <si>
    <t>Copper Ridge Energy 20</t>
  </si>
  <si>
    <t>Granite Agriculture 21</t>
  </si>
  <si>
    <t>06/07/2025</t>
  </si>
  <si>
    <t>Prairie Utilities 22</t>
  </si>
  <si>
    <t>05/20/2025</t>
  </si>
  <si>
    <t>06/03/2025</t>
  </si>
  <si>
    <t>Ironhorse Field Service 23</t>
  </si>
  <si>
    <t>06/18/2025</t>
  </si>
  <si>
    <t>No budget</t>
  </si>
  <si>
    <t>Blue Mesa HVAC 24</t>
  </si>
  <si>
    <t>05/26/2025</t>
  </si>
  <si>
    <t>06/20/2025</t>
  </si>
  <si>
    <t>06/25/2025</t>
  </si>
  <si>
    <t>Highland Construction 25</t>
  </si>
  <si>
    <t>05/29/2025</t>
  </si>
  <si>
    <t>06/09/2025</t>
  </si>
  <si>
    <t>Summit Transportation 26</t>
  </si>
  <si>
    <t>06/13/2025</t>
  </si>
  <si>
    <t>No decision maker</t>
  </si>
  <si>
    <t>Canyon Energy 27</t>
  </si>
  <si>
    <t>06/04/2025</t>
  </si>
  <si>
    <t>06/11/2025</t>
  </si>
  <si>
    <t>06/22/2025</t>
  </si>
  <si>
    <t>Pioneer Agriculture 28</t>
  </si>
  <si>
    <t>06/21/2025</t>
  </si>
  <si>
    <t>Arrowhead Utilities 29</t>
  </si>
  <si>
    <t>07/03/2025</t>
  </si>
  <si>
    <t>07/08/2025</t>
  </si>
  <si>
    <t>Falcon Field Service 30</t>
  </si>
  <si>
    <t>06/24/2025</t>
  </si>
  <si>
    <t>Granite Partners 001</t>
  </si>
  <si>
    <t>06/16/2025</t>
  </si>
  <si>
    <t>06/28/2025</t>
  </si>
  <si>
    <t>07/06/2025</t>
  </si>
  <si>
    <t>Prairie Partners 002</t>
  </si>
  <si>
    <t>06/19/2025</t>
  </si>
  <si>
    <t>07/07/2025</t>
  </si>
  <si>
    <t>Ironhorse Partners 003</t>
  </si>
  <si>
    <t>07/21/2025</t>
  </si>
  <si>
    <t>08/02/2025</t>
  </si>
  <si>
    <t>Blue Mesa Partners 004</t>
  </si>
  <si>
    <t>07/12/2025</t>
  </si>
  <si>
    <t>07/23/2025</t>
  </si>
  <si>
    <t>Highland Partners 005</t>
  </si>
  <si>
    <t>07/28/2025</t>
  </si>
  <si>
    <t>Summit Partners 006</t>
  </si>
  <si>
    <t>07/01/2025</t>
  </si>
  <si>
    <t>07/17/2025</t>
  </si>
  <si>
    <t>07/20/2025</t>
  </si>
  <si>
    <t>Canyon Partners 007</t>
  </si>
  <si>
    <t>07/04/2025</t>
  </si>
  <si>
    <t>07/25/2025</t>
  </si>
  <si>
    <t>08/06/2025</t>
  </si>
  <si>
    <t>Pioneer Partners 008</t>
  </si>
  <si>
    <t>07/19/2025</t>
  </si>
  <si>
    <t>Arrowhead Partners 009</t>
  </si>
  <si>
    <t>07/10/2025</t>
  </si>
  <si>
    <t>08/10/2025</t>
  </si>
  <si>
    <t>08/13/2025</t>
  </si>
  <si>
    <t>Falcon Partners 010</t>
  </si>
  <si>
    <t>07/13/2025</t>
  </si>
  <si>
    <t>07/31/2025</t>
  </si>
  <si>
    <t>Red Rock Partners 011</t>
  </si>
  <si>
    <t>07/16/2025</t>
  </si>
  <si>
    <t>08/03/2025</t>
  </si>
  <si>
    <t>08/15/2025</t>
  </si>
  <si>
    <t>Westline Partners 012</t>
  </si>
  <si>
    <t>08/11/2025</t>
  </si>
  <si>
    <t>Northstar Partners 013</t>
  </si>
  <si>
    <t>07/22/2025</t>
  </si>
  <si>
    <t>08/12/2025</t>
  </si>
  <si>
    <t>Silver Peak Partners 014</t>
  </si>
  <si>
    <t>08/08/2025</t>
  </si>
  <si>
    <t>08/18/2025</t>
  </si>
  <si>
    <t>Trailhead Partners 015</t>
  </si>
  <si>
    <t>Frontline Partners 016</t>
  </si>
  <si>
    <t>08/19/2025</t>
  </si>
  <si>
    <t>Keystone Partners 017</t>
  </si>
  <si>
    <t>08/20/2025</t>
  </si>
  <si>
    <t>08/23/2025</t>
  </si>
  <si>
    <t>Meridian Partners 018</t>
  </si>
  <si>
    <t>08/30/2025</t>
  </si>
  <si>
    <t>09/09/2025</t>
  </si>
  <si>
    <t>Atlas Partners 019</t>
  </si>
  <si>
    <t>08/09/2025</t>
  </si>
  <si>
    <t>08/21/2025</t>
  </si>
  <si>
    <t>09/01/2025</t>
  </si>
  <si>
    <t>Copper Ridge Partners 020</t>
  </si>
  <si>
    <t>08/31/2025</t>
  </si>
  <si>
    <t>09/11/2025</t>
  </si>
  <si>
    <t>Granite Systems 021</t>
  </si>
  <si>
    <t>09/06/2025</t>
  </si>
  <si>
    <t>09/17/2025</t>
  </si>
  <si>
    <t>Prairie Systems 022</t>
  </si>
  <si>
    <t>09/14/2025</t>
  </si>
  <si>
    <t>Ironhorse Systems 023</t>
  </si>
  <si>
    <t>09/04/2025</t>
  </si>
  <si>
    <t>09/08/2025</t>
  </si>
  <si>
    <t>Blue Mesa Systems 024</t>
  </si>
  <si>
    <t>08/24/2025</t>
  </si>
  <si>
    <t>09/03/2025</t>
  </si>
  <si>
    <t>Highland Systems 025</t>
  </si>
  <si>
    <t>08/27/2025</t>
  </si>
  <si>
    <t>Summit Systems 026</t>
  </si>
  <si>
    <t>09/30/2025</t>
  </si>
  <si>
    <t>10/07/2025</t>
  </si>
  <si>
    <t>Canyon Systems 027</t>
  </si>
  <si>
    <t>09/02/2025</t>
  </si>
  <si>
    <t>10/03/2025</t>
  </si>
  <si>
    <t>10/14/2025</t>
  </si>
  <si>
    <t>Pioneer Systems 028</t>
  </si>
  <si>
    <t>09/05/2025</t>
  </si>
  <si>
    <t>09/19/2025</t>
  </si>
  <si>
    <t>09/23/2025</t>
  </si>
  <si>
    <t>Arrowhead Systems 029</t>
  </si>
  <si>
    <t>09/13/2025</t>
  </si>
  <si>
    <t>Falcon Systems 030</t>
  </si>
  <si>
    <t>09/18/2025</t>
  </si>
  <si>
    <t>09/28/2025</t>
  </si>
  <si>
    <t>Red Rock Systems 031</t>
  </si>
  <si>
    <t>Won FY close</t>
  </si>
  <si>
    <t>Westline Systems 032</t>
  </si>
  <si>
    <t>10/08/2025</t>
  </si>
  <si>
    <t>10/15/2025</t>
  </si>
  <si>
    <t>Northstar Systems 033</t>
  </si>
  <si>
    <t>09/20/2025</t>
  </si>
  <si>
    <t>10/22/2025</t>
  </si>
  <si>
    <t>11/02/2025</t>
  </si>
  <si>
    <t>Silver Peak Systems 034</t>
  </si>
  <si>
    <t>10/21/2025</t>
  </si>
  <si>
    <t>10/31/2025</t>
  </si>
  <si>
    <t>Trailhead Systems 035</t>
  </si>
  <si>
    <t>09/26/2025</t>
  </si>
  <si>
    <t>10/13/2025</t>
  </si>
  <si>
    <t>Frontline Systems 036</t>
  </si>
  <si>
    <t>09/29/2025</t>
  </si>
  <si>
    <t>Keystone Systems 037</t>
  </si>
  <si>
    <t>10/02/2025</t>
  </si>
  <si>
    <t>11/03/2025</t>
  </si>
  <si>
    <t>11/10/2025</t>
  </si>
  <si>
    <t>Meridian Systems 038</t>
  </si>
  <si>
    <t>10/05/2025</t>
  </si>
  <si>
    <t>10/27/2025</t>
  </si>
  <si>
    <t>11/07/2025</t>
  </si>
  <si>
    <t>Atlas Systems 039</t>
  </si>
  <si>
    <t>10/28/2025</t>
  </si>
  <si>
    <t>Copper Ridge Systems 040</t>
  </si>
  <si>
    <t>10/11/2025</t>
  </si>
  <si>
    <t>11/01/2025</t>
  </si>
  <si>
    <t>11/08/2025</t>
  </si>
  <si>
    <t>Granite Logistics 041</t>
  </si>
  <si>
    <t>11/11/2025</t>
  </si>
  <si>
    <t>Prairie Logistics 042</t>
  </si>
  <si>
    <t>10/17/2025</t>
  </si>
  <si>
    <t>10/24/2025</t>
  </si>
  <si>
    <t>Ironhorse Logistics 043</t>
  </si>
  <si>
    <t>10/20/2025</t>
  </si>
  <si>
    <t>Blue Mesa Logistics 044</t>
  </si>
  <si>
    <t>10/23/2025</t>
  </si>
  <si>
    <t>11/17/2025</t>
  </si>
  <si>
    <t>Highland Logistics 045</t>
  </si>
  <si>
    <t>10/26/2025</t>
  </si>
  <si>
    <t>11/04/2025</t>
  </si>
  <si>
    <t>11/15/2025</t>
  </si>
  <si>
    <t>Summit Logistics 046</t>
  </si>
  <si>
    <t>10/29/2025</t>
  </si>
  <si>
    <t>11/30/2025</t>
  </si>
  <si>
    <t>12/03/2025</t>
  </si>
  <si>
    <t>Canyon Logistics 047</t>
  </si>
  <si>
    <t>11/06/2025</t>
  </si>
  <si>
    <t>11/16/2025</t>
  </si>
  <si>
    <t>Pioneer Logistics 048</t>
  </si>
  <si>
    <t>11/24/2025</t>
  </si>
  <si>
    <t>11/28/2025</t>
  </si>
  <si>
    <t>Arrowhead Logistics 049</t>
  </si>
  <si>
    <t>12/09/2025</t>
  </si>
  <si>
    <t>Falcon Logistics 050</t>
  </si>
  <si>
    <t>12/14/2025</t>
  </si>
  <si>
    <t>Red Rock Logistics 051</t>
  </si>
  <si>
    <t>11/13/2025</t>
  </si>
  <si>
    <t>12/05/2025</t>
  </si>
  <si>
    <t>Westline Logistics 052</t>
  </si>
  <si>
    <t>12/07/2025</t>
  </si>
  <si>
    <t>Northstar Logistics 053</t>
  </si>
  <si>
    <t>11/19/2025</t>
  </si>
  <si>
    <t>Silver Peak Logistics 054</t>
  </si>
  <si>
    <t>11/22/2025</t>
  </si>
  <si>
    <t>12/11/2025</t>
  </si>
  <si>
    <t>12/23/2025</t>
  </si>
  <si>
    <t>Trailhead Logistics 055</t>
  </si>
  <si>
    <t>11/25/2025</t>
  </si>
  <si>
    <t>12/22/2025</t>
  </si>
  <si>
    <t>12/28/2025</t>
  </si>
  <si>
    <t>Frontline Logistics 056</t>
  </si>
  <si>
    <t>12/06/2025</t>
  </si>
  <si>
    <t>Timing</t>
  </si>
  <si>
    <t>Keystone Logistics 057</t>
  </si>
  <si>
    <t>12/01/2025</t>
  </si>
  <si>
    <t>01/01/2026</t>
  </si>
  <si>
    <t>01/09/2026</t>
  </si>
  <si>
    <t>Meridian Logistics 058</t>
  </si>
  <si>
    <t>12/04/2025</t>
  </si>
  <si>
    <t>Atlas Logistics 059</t>
  </si>
  <si>
    <t>01/04/2026</t>
  </si>
  <si>
    <t>01/12/2026</t>
  </si>
  <si>
    <t>Copper Ridge Logistics 060</t>
  </si>
  <si>
    <t>12/10/2025</t>
  </si>
  <si>
    <t>01/07/2026</t>
  </si>
  <si>
    <t>01/15/2026</t>
  </si>
  <si>
    <t>Granite Mechanical 061</t>
  </si>
  <si>
    <t>12/13/2025</t>
  </si>
  <si>
    <t>01/02/2026</t>
  </si>
  <si>
    <t>01/05/2026</t>
  </si>
  <si>
    <t>Prairie Mechanical 062</t>
  </si>
  <si>
    <t>12/16/2025</t>
  </si>
  <si>
    <t>12/30/2025</t>
  </si>
  <si>
    <t>Ironhorse Mechanical 063</t>
  </si>
  <si>
    <t>12/19/2025</t>
  </si>
  <si>
    <t>12/29/2025</t>
  </si>
  <si>
    <t>Blue Mesa Mechanical 064</t>
  </si>
  <si>
    <t>12/27/2025</t>
  </si>
  <si>
    <t>Highland Mechanical 065</t>
  </si>
  <si>
    <t>12/25/2025</t>
  </si>
  <si>
    <t>Summit Mechanical 066</t>
  </si>
  <si>
    <t>01/23/2026</t>
  </si>
  <si>
    <t>01/26/2026</t>
  </si>
  <si>
    <t>Canyon Mechanical 067</t>
  </si>
  <si>
    <t>12/31/2025</t>
  </si>
  <si>
    <t>01/10/2026</t>
  </si>
  <si>
    <t>Pioneer Mechanical 068</t>
  </si>
  <si>
    <t>01/03/2026</t>
  </si>
  <si>
    <t>02/01/2026</t>
  </si>
  <si>
    <t>02/11/2026</t>
  </si>
  <si>
    <t>Arrowhead Mechanical 069</t>
  </si>
  <si>
    <t>01/06/2026</t>
  </si>
  <si>
    <t>01/18/2026</t>
  </si>
  <si>
    <t>01/24/2026</t>
  </si>
  <si>
    <t>Falcon Mechanical 070</t>
  </si>
  <si>
    <t>02/09/2026</t>
  </si>
  <si>
    <t>02/13/2026</t>
  </si>
  <si>
    <t>Red Rock Mechanical 071</t>
  </si>
  <si>
    <t>02/06/2026</t>
  </si>
  <si>
    <t>Westline Mechanical 072</t>
  </si>
  <si>
    <t>01/19/2026</t>
  </si>
  <si>
    <t>Northstar Mechanical 073</t>
  </si>
  <si>
    <t>01/30/2026</t>
  </si>
  <si>
    <t>Silver Peak Mechanical 074</t>
  </si>
  <si>
    <t>01/21/2026</t>
  </si>
  <si>
    <t>02/20/2026</t>
  </si>
  <si>
    <t>02/24/2026</t>
  </si>
  <si>
    <t>Trailhead Mechanical 075</t>
  </si>
  <si>
    <t>02/15/2026</t>
  </si>
  <si>
    <t>Frontline Mechanical 076</t>
  </si>
  <si>
    <t>01/27/2026</t>
  </si>
  <si>
    <t>02/21/2026</t>
  </si>
  <si>
    <t>Keystone Mechanical 077</t>
  </si>
  <si>
    <t>02/27/2026</t>
  </si>
  <si>
    <t>Meridian Mechanical 078</t>
  </si>
  <si>
    <t>02/02/2026</t>
  </si>
  <si>
    <t>02/12/2026</t>
  </si>
  <si>
    <t>02/17/2026</t>
  </si>
  <si>
    <t>Atlas Mechanical 079</t>
  </si>
  <si>
    <t>02/05/2026</t>
  </si>
  <si>
    <t>02/25/2026</t>
  </si>
  <si>
    <t>03/06/2026</t>
  </si>
  <si>
    <t>Copper Ridge Mechanical 080</t>
  </si>
  <si>
    <t>02/08/2026</t>
  </si>
  <si>
    <t>Granite Solutions 081</t>
  </si>
  <si>
    <t>02/28/2026</t>
  </si>
  <si>
    <t>Prairie Solutions 082</t>
  </si>
  <si>
    <t>02/14/2026</t>
  </si>
  <si>
    <t>03/07/2026</t>
  </si>
  <si>
    <t>03/12/2026</t>
  </si>
  <si>
    <t>Ironhorse Solutions 083</t>
  </si>
  <si>
    <t>03/20/2026</t>
  </si>
  <si>
    <t>03/27/2026</t>
  </si>
  <si>
    <t>Blue Mesa Solutions 084</t>
  </si>
  <si>
    <t>02/26/2026</t>
  </si>
  <si>
    <t>03/08/2026</t>
  </si>
  <si>
    <t>Highland Solutions 085</t>
  </si>
  <si>
    <t>02/23/2026</t>
  </si>
  <si>
    <t>03/25/2026</t>
  </si>
  <si>
    <t>04/05/2026</t>
  </si>
  <si>
    <t>Summit Solutions 086</t>
  </si>
  <si>
    <t>Canyon Solutions 087</t>
  </si>
  <si>
    <t>03/01/2026</t>
  </si>
  <si>
    <t>03/09/2026</t>
  </si>
  <si>
    <t>03/19/2026</t>
  </si>
  <si>
    <t>Pioneer Solutions 088</t>
  </si>
  <si>
    <t>03/04/2026</t>
  </si>
  <si>
    <t>03/24/2026</t>
  </si>
  <si>
    <t>Arrowhead Solutions 089</t>
  </si>
  <si>
    <t>Falcon Solutions 090</t>
  </si>
  <si>
    <t>03/10/2026</t>
  </si>
  <si>
    <t>04/09/2026</t>
  </si>
  <si>
    <t>Red Rock Solutions 091</t>
  </si>
  <si>
    <t>03/13/2026</t>
  </si>
  <si>
    <t>04/06/2026</t>
  </si>
  <si>
    <t>04/16/2026</t>
  </si>
  <si>
    <t>Westline Solutions 092</t>
  </si>
  <si>
    <t>03/16/2026</t>
  </si>
  <si>
    <t>04/04/2026</t>
  </si>
  <si>
    <t>04/07/2026</t>
  </si>
  <si>
    <t>Northstar Solutions 093</t>
  </si>
  <si>
    <t>04/10/2026</t>
  </si>
  <si>
    <t>04/17/2026</t>
  </si>
  <si>
    <t>Silver Peak Solutions 094</t>
  </si>
  <si>
    <t>03/22/2026</t>
  </si>
  <si>
    <t>04/22/2026</t>
  </si>
  <si>
    <t>04/26/2026</t>
  </si>
  <si>
    <t>Trailhead Solutions 095</t>
  </si>
  <si>
    <t>04/20/2026</t>
  </si>
  <si>
    <t>Frontline Solutions 096</t>
  </si>
  <si>
    <t>03/28/2026</t>
  </si>
  <si>
    <t>04/25/2026</t>
  </si>
  <si>
    <t>04/28/2026</t>
  </si>
  <si>
    <t>Keystone Solutions 097</t>
  </si>
  <si>
    <t>03/31/2026</t>
  </si>
  <si>
    <t>05/02/2026</t>
  </si>
  <si>
    <t>Meridian Solutions 098</t>
  </si>
  <si>
    <t>04/03/2026</t>
  </si>
  <si>
    <t>05/04/2026</t>
  </si>
  <si>
    <t>Atlas Solutions 099</t>
  </si>
  <si>
    <t>04/14/2026</t>
  </si>
  <si>
    <t>Copper Ridge Solutions 100</t>
  </si>
  <si>
    <t>05/05/2026</t>
  </si>
  <si>
    <t>05/10/2026</t>
  </si>
  <si>
    <t>Granite Group 101</t>
  </si>
  <si>
    <t>04/12/2026</t>
  </si>
  <si>
    <t>04/30/2026</t>
  </si>
  <si>
    <t>Prairie Group 102</t>
  </si>
  <si>
    <t>04/15/2026</t>
  </si>
  <si>
    <t>05/15/2026</t>
  </si>
  <si>
    <t>05/21/2026</t>
  </si>
  <si>
    <t>Ironhorse Group 103</t>
  </si>
  <si>
    <t>04/18/2026</t>
  </si>
  <si>
    <t>05/16/2026</t>
  </si>
  <si>
    <t>Blue Mesa Group 104</t>
  </si>
  <si>
    <t>04/21/2026</t>
  </si>
  <si>
    <t>05/18/2026</t>
  </si>
  <si>
    <t>Highland Group 105</t>
  </si>
  <si>
    <t>04/24/2026</t>
  </si>
  <si>
    <t>06/02/2026</t>
  </si>
  <si>
    <t>Summit Group 106</t>
  </si>
  <si>
    <t>04/27/2026</t>
  </si>
  <si>
    <t>05/20/2026</t>
  </si>
  <si>
    <t>05/26/2026</t>
  </si>
  <si>
    <t>Canyon Group 107</t>
  </si>
  <si>
    <t>05/06/2026</t>
  </si>
  <si>
    <t>Pioneer Group 108</t>
  </si>
  <si>
    <t>05/03/2026</t>
  </si>
  <si>
    <t>06/04/2026</t>
  </si>
  <si>
    <t>06/14/2026</t>
  </si>
  <si>
    <t>Arrowhead Group 109</t>
  </si>
  <si>
    <t>05/14/2026</t>
  </si>
  <si>
    <t>Falcon Group 110</t>
  </si>
  <si>
    <t>05/09/2026</t>
  </si>
  <si>
    <t>06/09/2026</t>
  </si>
  <si>
    <t>06/19/2026</t>
  </si>
  <si>
    <t>Red Rock Group 111</t>
  </si>
  <si>
    <t>05/12/2026</t>
  </si>
  <si>
    <t>06/12/2026</t>
  </si>
  <si>
    <t>Westline Group 112</t>
  </si>
  <si>
    <t>06/15/2026</t>
  </si>
  <si>
    <t>Northstar Group 113</t>
  </si>
  <si>
    <t>06/13/2026</t>
  </si>
  <si>
    <t>06/21/2026</t>
  </si>
  <si>
    <t>Silver Peak Group 114</t>
  </si>
  <si>
    <t>06/11/2026</t>
  </si>
  <si>
    <t>06/23/2026</t>
  </si>
  <si>
    <t>Trailhead Group 115</t>
  </si>
  <si>
    <t>05/24/2026</t>
  </si>
  <si>
    <t>05/29/2026</t>
  </si>
  <si>
    <t>Frontline Group 116</t>
  </si>
  <si>
    <t>05/27/2026</t>
  </si>
  <si>
    <t>06/16/2026</t>
  </si>
  <si>
    <t>Keystone Group 117</t>
  </si>
  <si>
    <t>05/30/2026</t>
  </si>
  <si>
    <t>06/08/2026</t>
  </si>
  <si>
    <t>Meridian Group 118</t>
  </si>
  <si>
    <t>06/25/2026</t>
  </si>
  <si>
    <t>06/30/2026</t>
  </si>
  <si>
    <t>Atlas Group 119</t>
  </si>
  <si>
    <t>06/05/2026</t>
  </si>
  <si>
    <t>06/24/2026</t>
  </si>
  <si>
    <t>Copper Ridge Group 120</t>
  </si>
  <si>
    <t>Granite Operations 121</t>
  </si>
  <si>
    <t>07/02/2026</t>
  </si>
  <si>
    <t>Prairie Operations 122</t>
  </si>
  <si>
    <t>06/26/2026</t>
  </si>
  <si>
    <t>07/01/2026</t>
  </si>
  <si>
    <t>SignalStack | Pipeline Pulse — Direction Protocol Reference</t>
  </si>
  <si>
    <t xml:space="preserve">  What each stage means, who acts, and what outcome moves it forward.</t>
  </si>
  <si>
    <t>Stage</t>
  </si>
  <si>
    <t>Duration Target</t>
  </si>
  <si>
    <t>Who Acts</t>
  </si>
  <si>
    <t>Exit Criteria</t>
  </si>
  <si>
    <t>15-20 min</t>
  </si>
  <si>
    <t>Confirmed: right size, right problem, right person. Move to Assess or disqualify.</t>
  </si>
  <si>
    <t>30 min</t>
  </si>
  <si>
    <t>Problem is real, quantified, and the owner admits it. Move to Map.</t>
  </si>
  <si>
    <t>90-120 min</t>
  </si>
  <si>
    <t>Jacob + Client</t>
  </si>
  <si>
    <t>Full process mapped, gaps documented, solution scoped. Move to Chart.</t>
  </si>
  <si>
    <t>30-45 min</t>
  </si>
  <si>
    <t>Findings presented, proposal delivered, verbal interest confirmed. Move to Launch.</t>
  </si>
  <si>
    <t>Close + KO</t>
  </si>
  <si>
    <t>Contract signed, kickoff scheduled, onboarding started.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</si>
</sst>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0.0%"/>
    <numFmt numFmtId="166" formatCode="mm/dd/yyyy"/>
    <numFmt numFmtId="167" formatCode="#,##0.0"/>
  </numFmts>
  <fonts count="11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1A3A5C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1A3A5C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0"/>
      <color rgb="FF1A3A5C"/>
      <name val="Arial"/>
    </font>
    <font>
      <b/>
      <sz val="10"/>
      <color rgb="FF3B6D11"/>
      <name val="Arial"/>
    </font>
    <font>
      <sz val="10"/>
      <color rgb="FFA32D2D"/>
      <name val="Arial"/>
    </font>
  </fonts>
  <fills count="8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D6E8F5"/>
      </patternFill>
    </fill>
    <fill>
      <patternFill patternType="solid">
        <fgColor rgb="FFFFFFFF"/>
      </patternFill>
    </fill>
    <fill>
      <patternFill patternType="solid">
        <fgColor rgb="FFF7F9FB"/>
      </patternFill>
    </fill>
    <fill>
      <patternFill patternType="solid">
        <fgColor rgb="FF3D8EB9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3" fontId="6" fillId="7" borderId="4" xfId="0" applyNumberFormat="1" applyFont="1" applyFill="1" applyBorder="1" applyAlignment="1">
      <alignment horizontal="center" vertical="center"/>
    </xf>
    <xf numFmtId="9" fontId="6" fillId="7" borderId="4" xfId="0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164" fontId="6" fillId="7" borderId="4" xfId="0" applyNumberFormat="1" applyFont="1" applyFill="1" applyBorder="1" applyAlignment="1">
      <alignment horizontal="center" vertical="center"/>
    </xf>
    <xf numFmtId="166" fontId="6" fillId="7" borderId="4" xfId="0" applyNumberFormat="1" applyFont="1" applyFill="1" applyBorder="1" applyAlignment="1">
      <alignment horizontal="center" vertical="center"/>
    </xf>
    <xf numFmtId="166" fontId="0" fillId="7" borderId="4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164" fontId="0" fillId="7" borderId="4" xfId="0" applyNumberFormat="1" applyFill="1" applyBorder="1" applyAlignment="1">
      <alignment horizontal="center"/>
    </xf>
    <xf numFmtId="3" fontId="0" fillId="7" borderId="4" xfId="0" applyNumberFormat="1" applyFill="1" applyBorder="1" applyAlignment="1">
      <alignment horizontal="center"/>
    </xf>
    <xf numFmtId="9" fontId="0" fillId="7" borderId="4" xfId="0" applyNumberForma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3" fontId="7" fillId="4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165" fontId="7" fillId="4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167" fontId="7" fillId="4" borderId="1" xfId="0" applyNumberFormat="1" applyFont="1" applyFill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Normal="100" workbookViewId="0">
      <pane ySplit="8" topLeftCell="A9" activePane="bottomLeft" state="frozen"/>
      <selection pane="bottomLeft" activeCell="G24" sqref="G24:G25"/>
    </sheetView>
  </sheetViews>
  <sheetFormatPr defaultRowHeight="15" x14ac:dyDescent="0.25"/>
  <cols>
    <col min="1" max="1" width="28" style="24" customWidth="1"/>
    <col min="2" max="2" width="16" style="24" customWidth="1"/>
    <col min="3" max="5" width="10" style="24" customWidth="1"/>
    <col min="6" max="6" width="28" style="24" customWidth="1"/>
    <col min="7" max="7" width="23.140625" style="24" customWidth="1"/>
    <col min="8" max="9" width="10" style="24" customWidth="1"/>
    <col min="10" max="16384" width="9.140625" style="24"/>
  </cols>
  <sheetData>
    <row r="1" spans="1:9" ht="30" customHeight="1" x14ac:dyDescent="0.25">
      <c r="A1" s="22" t="s">
        <v>0</v>
      </c>
      <c r="B1" s="23"/>
      <c r="C1" s="23"/>
      <c r="D1" s="23"/>
      <c r="E1" s="23"/>
      <c r="F1" s="23"/>
      <c r="G1" s="23"/>
      <c r="H1" s="23"/>
      <c r="I1" s="23"/>
    </row>
    <row r="2" spans="1:9" ht="15.95" customHeight="1" x14ac:dyDescent="0.25">
      <c r="A2" s="25" t="s">
        <v>1</v>
      </c>
      <c r="B2" s="23"/>
      <c r="C2" s="23"/>
      <c r="D2" s="23"/>
      <c r="E2" s="23"/>
      <c r="F2" s="23"/>
      <c r="G2" s="23"/>
      <c r="H2" s="23"/>
      <c r="I2" s="23"/>
    </row>
    <row r="3" spans="1:9" ht="8.1" customHeight="1" x14ac:dyDescent="0.25"/>
    <row r="4" spans="1:9" ht="21.95" customHeight="1" x14ac:dyDescent="0.25">
      <c r="A4" s="21" t="s">
        <v>2</v>
      </c>
      <c r="B4" s="26"/>
      <c r="C4" s="26"/>
      <c r="D4" s="26"/>
      <c r="E4" s="26"/>
      <c r="F4" s="26"/>
      <c r="G4" s="26"/>
      <c r="H4" s="26"/>
      <c r="I4" s="27"/>
    </row>
    <row r="5" spans="1:9" ht="18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</row>
    <row r="6" spans="1:9" ht="27.95" customHeight="1" x14ac:dyDescent="0.25">
      <c r="A6" s="2">
        <f>COUNTIFS('Pipeline Log'!D:D,A5,'Pipeline Log'!A:A,"&lt;&gt;")</f>
        <v>32</v>
      </c>
      <c r="B6" s="2">
        <f>COUNTIFS('Pipeline Log'!D:D,B5,'Pipeline Log'!A:A,"&lt;&gt;")</f>
        <v>39</v>
      </c>
      <c r="C6" s="2">
        <f>COUNTIFS('Pipeline Log'!D:D,C5,'Pipeline Log'!A:A,"&lt;&gt;")</f>
        <v>32</v>
      </c>
      <c r="D6" s="2">
        <f>COUNTIFS('Pipeline Log'!D:D,D5,'Pipeline Log'!A:A,"&lt;&gt;")</f>
        <v>30</v>
      </c>
      <c r="E6" s="2">
        <f>COUNTIFS('Pipeline Log'!D:D,E5,'Pipeline Log'!A:A,"&lt;&gt;")</f>
        <v>27</v>
      </c>
      <c r="F6" s="2">
        <f>COUNTIFS('Pipeline Log'!D:D,F5,'Pipeline Log'!A:A,"&lt;&gt;")</f>
        <v>22</v>
      </c>
    </row>
    <row r="7" spans="1:9" ht="9.9499999999999993" customHeight="1" x14ac:dyDescent="0.25"/>
    <row r="8" spans="1:9" ht="21.95" customHeight="1" x14ac:dyDescent="0.25">
      <c r="A8" s="21" t="s">
        <v>9</v>
      </c>
      <c r="B8" s="26"/>
      <c r="C8" s="26"/>
      <c r="D8" s="26"/>
      <c r="E8" s="27"/>
      <c r="F8" s="21" t="s">
        <v>10</v>
      </c>
      <c r="G8" s="26"/>
      <c r="H8" s="26"/>
      <c r="I8" s="27"/>
    </row>
    <row r="9" spans="1:9" x14ac:dyDescent="0.25">
      <c r="A9" s="3" t="s">
        <v>11</v>
      </c>
      <c r="B9" s="28">
        <f>COUNTIFS('Pipeline Log'!A:A,"&lt;&gt;",'Pipeline Log'!D:D,"&lt;&gt;Closed Lost")</f>
        <v>163</v>
      </c>
      <c r="C9" s="3"/>
      <c r="D9" s="3"/>
      <c r="E9" s="3"/>
      <c r="F9" s="3" t="s">
        <v>12</v>
      </c>
      <c r="G9" s="28">
        <f ca="1">COUNTIFS('Pipeline Log'!D:D,"Launch",'Pipeline Log'!F:F,"&gt;="&amp;EOMONTH(TODAY(),-1)+1,'Pipeline Log'!F:F,"&lt;="&amp;EOMONTH(TODAY(),0))</f>
        <v>0</v>
      </c>
    </row>
    <row r="10" spans="1:9" x14ac:dyDescent="0.25">
      <c r="A10" s="4" t="s">
        <v>13</v>
      </c>
      <c r="B10" s="29">
        <f>IF(A6=0,0,B6/A6)</f>
        <v>1.21875</v>
      </c>
      <c r="C10" s="4"/>
      <c r="D10" s="4"/>
      <c r="E10" s="4"/>
      <c r="F10" s="4" t="s">
        <v>14</v>
      </c>
      <c r="G10" s="30">
        <f ca="1">COUNTIFS('Pipeline Log'!D:D,"Closed Lost",'Pipeline Log'!F:F,"&gt;="&amp;EOMONTH(TODAY(),-1)+1,'Pipeline Log'!F:F,"&lt;="&amp;EOMONTH(TODAY(),0))</f>
        <v>0</v>
      </c>
    </row>
    <row r="11" spans="1:9" x14ac:dyDescent="0.25">
      <c r="A11" s="3" t="s">
        <v>15</v>
      </c>
      <c r="B11" s="31">
        <f>IF(B6=0,0,C6/B6)</f>
        <v>0.82051282051282048</v>
      </c>
      <c r="C11" s="3"/>
      <c r="D11" s="3"/>
      <c r="E11" s="3"/>
      <c r="F11" s="3" t="s">
        <v>16</v>
      </c>
      <c r="G11" s="31">
        <f ca="1">IF(G9+G10=0,0,G9/(G9+G10))</f>
        <v>0</v>
      </c>
    </row>
    <row r="12" spans="1:9" x14ac:dyDescent="0.25">
      <c r="A12" s="4" t="s">
        <v>17</v>
      </c>
      <c r="B12" s="32">
        <f>IF(C6=0,0,D6/C6)</f>
        <v>0.9375</v>
      </c>
      <c r="C12" s="4"/>
      <c r="D12" s="4"/>
      <c r="E12" s="4"/>
      <c r="F12" s="4" t="s">
        <v>18</v>
      </c>
      <c r="G12" s="32">
        <f ca="1">IFERROR(AVERAGEIFS('Pipeline Log'!C:C,'Pipeline Log'!D:D,"Launch",'Pipeline Log'!F:F,"&gt;="&amp;EOMONTH(TODAY(),-1)+1,'Pipeline Log'!F:F,"&lt;="&amp;EOMONTH(TODAY(),0)),0)</f>
        <v>0</v>
      </c>
    </row>
    <row r="13" spans="1:9" x14ac:dyDescent="0.25">
      <c r="A13" s="3" t="s">
        <v>19</v>
      </c>
      <c r="B13" s="33">
        <f>IF(D6=0,0,E6/D6)</f>
        <v>0.9</v>
      </c>
      <c r="C13" s="3"/>
      <c r="D13" s="3"/>
      <c r="E13" s="3"/>
      <c r="F13" s="3" t="s">
        <v>20</v>
      </c>
      <c r="G13" s="33">
        <f ca="1">IFERROR(AVERAGEIFS('Pipeline Log'!C:C,'Pipeline Log'!D:D,"Closed Lost",'Pipeline Log'!F:F,"&gt;="&amp;EOMONTH(TODAY(),-1)+1,'Pipeline Log'!F:F,"&lt;="&amp;EOMONTH(TODAY(),0)),0)</f>
        <v>0</v>
      </c>
    </row>
    <row r="14" spans="1:9" x14ac:dyDescent="0.25">
      <c r="A14" s="4" t="s">
        <v>21</v>
      </c>
      <c r="B14" s="29">
        <f>IF(E6+F6=0,0,E6/(E6+F6))</f>
        <v>0.55102040816326525</v>
      </c>
      <c r="C14" s="4"/>
      <c r="D14" s="4"/>
      <c r="E14" s="4"/>
      <c r="F14" s="4" t="s">
        <v>22</v>
      </c>
      <c r="G14" s="34" t="s">
        <v>23</v>
      </c>
    </row>
    <row r="15" spans="1:9" x14ac:dyDescent="0.25">
      <c r="A15" s="3" t="s">
        <v>24</v>
      </c>
      <c r="B15" s="35">
        <f ca="1">IFERROR(AVERAGEIFS('Pipeline Log'!G:G,'Pipeline Log'!D:D,"Launch"),0)</f>
        <v>258.96296296296299</v>
      </c>
      <c r="C15" s="3"/>
      <c r="D15" s="3"/>
      <c r="E15" s="3"/>
      <c r="F15" s="3" t="s">
        <v>25</v>
      </c>
      <c r="G15" s="35">
        <f ca="1">IFERROR(AVERAGEIFS('Pipeline Log'!G:G,'Pipeline Log'!D:D,"Launch"),0)</f>
        <v>258.96296296296299</v>
      </c>
    </row>
    <row r="16" spans="1:9" x14ac:dyDescent="0.25">
      <c r="A16" s="4" t="s">
        <v>26</v>
      </c>
      <c r="B16" s="32">
        <f>SUMIFS('Pipeline Log'!C:C,'Pipeline Log'!D:D,"&lt;&gt;Closed Lost")</f>
        <v>5099000</v>
      </c>
      <c r="C16" s="4"/>
      <c r="D16" s="4"/>
      <c r="E16" s="4"/>
      <c r="F16" s="4" t="s">
        <v>27</v>
      </c>
      <c r="G16" s="36" t="str">
        <f ca="1">IFERROR(_xludf.MINIFS('Pipeline Log'!J:J,'Pipeline Log'!J:J,"&gt;="&amp;TODAY(),'Pipeline Log'!D:D,"&lt;&gt;Closed Lost"),"")</f>
        <v/>
      </c>
    </row>
  </sheetData>
  <mergeCells count="5">
    <mergeCell ref="A2:I2"/>
    <mergeCell ref="F8:I8"/>
    <mergeCell ref="A1:I1"/>
    <mergeCell ref="A8:E8"/>
    <mergeCell ref="A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5"/>
  <sheetViews>
    <sheetView zoomScaleNormal="100" workbookViewId="0">
      <pane ySplit="3" topLeftCell="A4" activePane="bottomLeft" state="frozen"/>
      <selection pane="bottomLeft" sqref="A1:XFD1048576"/>
    </sheetView>
  </sheetViews>
  <sheetFormatPr defaultRowHeight="15" x14ac:dyDescent="0.25"/>
  <cols>
    <col min="1" max="1" width="22" style="24" customWidth="1"/>
    <col min="2" max="2" width="16" style="24" customWidth="1"/>
    <col min="3" max="3" width="13" style="24" customWidth="1"/>
    <col min="4" max="4" width="14" style="24" customWidth="1"/>
    <col min="5" max="5" width="13" style="24" customWidth="1"/>
    <col min="6" max="6" width="14" style="24" customWidth="1"/>
    <col min="7" max="7" width="12" style="24" customWidth="1"/>
    <col min="8" max="8" width="10" style="24" customWidth="1"/>
    <col min="9" max="9" width="30" style="24" customWidth="1"/>
    <col min="10" max="10" width="16" style="24" customWidth="1"/>
    <col min="11" max="11" width="11" style="24" customWidth="1"/>
    <col min="12" max="12" width="28" style="24" customWidth="1"/>
    <col min="13" max="16384" width="9.140625" style="24"/>
  </cols>
  <sheetData>
    <row r="1" spans="1:12" ht="30" customHeight="1" x14ac:dyDescent="0.25">
      <c r="A1" s="22" t="s">
        <v>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ht="15.95" customHeight="1" x14ac:dyDescent="0.25">
      <c r="A2" s="25" t="s">
        <v>29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ht="39.950000000000003" customHeight="1" x14ac:dyDescent="0.25">
      <c r="A3" s="6" t="s">
        <v>30</v>
      </c>
      <c r="B3" s="6" t="s">
        <v>31</v>
      </c>
      <c r="C3" s="6" t="s">
        <v>32</v>
      </c>
      <c r="D3" s="6" t="s">
        <v>33</v>
      </c>
      <c r="E3" s="6" t="s">
        <v>34</v>
      </c>
      <c r="F3" s="6" t="s">
        <v>35</v>
      </c>
      <c r="G3" s="6" t="s">
        <v>36</v>
      </c>
      <c r="H3" s="6" t="s">
        <v>37</v>
      </c>
      <c r="I3" s="6" t="s">
        <v>38</v>
      </c>
      <c r="J3" s="6" t="s">
        <v>39</v>
      </c>
      <c r="K3" s="6" t="s">
        <v>40</v>
      </c>
      <c r="L3" s="6" t="s">
        <v>41</v>
      </c>
    </row>
    <row r="4" spans="1:12" x14ac:dyDescent="0.25">
      <c r="A4" s="13" t="s">
        <v>42</v>
      </c>
      <c r="B4" s="7" t="s">
        <v>43</v>
      </c>
      <c r="C4" s="14">
        <v>35000</v>
      </c>
      <c r="D4" s="7" t="s">
        <v>5</v>
      </c>
      <c r="E4" s="15" t="s">
        <v>44</v>
      </c>
      <c r="F4" s="15" t="s">
        <v>45</v>
      </c>
      <c r="G4" s="8">
        <f t="shared" ref="G4:G35" ca="1" si="0">IF(F4="","",TODAY()-F4)</f>
        <v>374</v>
      </c>
      <c r="H4" s="7" t="s">
        <v>46</v>
      </c>
      <c r="I4" s="7" t="s">
        <v>47</v>
      </c>
      <c r="J4" s="15" t="s">
        <v>48</v>
      </c>
      <c r="K4" s="9">
        <v>0.65</v>
      </c>
      <c r="L4" s="7"/>
    </row>
    <row r="5" spans="1:12" x14ac:dyDescent="0.25">
      <c r="A5" s="13" t="s">
        <v>49</v>
      </c>
      <c r="B5" s="7" t="s">
        <v>50</v>
      </c>
      <c r="C5" s="14">
        <v>18000</v>
      </c>
      <c r="D5" s="10" t="s">
        <v>6</v>
      </c>
      <c r="E5" s="15" t="s">
        <v>51</v>
      </c>
      <c r="F5" s="15" t="s">
        <v>52</v>
      </c>
      <c r="G5" s="8">
        <f t="shared" ca="1" si="0"/>
        <v>369</v>
      </c>
      <c r="H5" s="7" t="s">
        <v>46</v>
      </c>
      <c r="I5" s="7" t="s">
        <v>53</v>
      </c>
      <c r="J5" s="15" t="s">
        <v>54</v>
      </c>
      <c r="K5" s="9">
        <v>0.75</v>
      </c>
      <c r="L5" s="7"/>
    </row>
    <row r="6" spans="1:12" x14ac:dyDescent="0.25">
      <c r="A6" s="13" t="s">
        <v>55</v>
      </c>
      <c r="B6" s="7" t="s">
        <v>56</v>
      </c>
      <c r="C6" s="14">
        <v>12000</v>
      </c>
      <c r="D6" s="7" t="s">
        <v>4</v>
      </c>
      <c r="E6" s="15" t="s">
        <v>57</v>
      </c>
      <c r="F6" s="15" t="s">
        <v>58</v>
      </c>
      <c r="G6" s="8">
        <f t="shared" ca="1" si="0"/>
        <v>372</v>
      </c>
      <c r="H6" s="7" t="s">
        <v>46</v>
      </c>
      <c r="I6" s="7" t="s">
        <v>59</v>
      </c>
      <c r="J6" s="15" t="s">
        <v>60</v>
      </c>
      <c r="K6" s="9">
        <v>0.4</v>
      </c>
      <c r="L6" s="7"/>
    </row>
    <row r="7" spans="1:12" x14ac:dyDescent="0.25">
      <c r="A7" s="13" t="s">
        <v>61</v>
      </c>
      <c r="B7" s="7" t="s">
        <v>62</v>
      </c>
      <c r="C7" s="14">
        <v>28000</v>
      </c>
      <c r="D7" s="11" t="s">
        <v>7</v>
      </c>
      <c r="E7" s="15" t="s">
        <v>63</v>
      </c>
      <c r="F7" s="15" t="s">
        <v>64</v>
      </c>
      <c r="G7" s="8">
        <f t="shared" ca="1" si="0"/>
        <v>366</v>
      </c>
      <c r="H7" s="7" t="s">
        <v>46</v>
      </c>
      <c r="I7" s="7" t="s">
        <v>65</v>
      </c>
      <c r="J7" s="15" t="s">
        <v>66</v>
      </c>
      <c r="K7" s="9">
        <v>0.9</v>
      </c>
      <c r="L7" s="7"/>
    </row>
    <row r="8" spans="1:12" x14ac:dyDescent="0.25">
      <c r="A8" s="13" t="s">
        <v>67</v>
      </c>
      <c r="B8" s="7" t="s">
        <v>43</v>
      </c>
      <c r="C8" s="14">
        <v>22000</v>
      </c>
      <c r="D8" s="7" t="s">
        <v>3</v>
      </c>
      <c r="E8" s="15" t="s">
        <v>68</v>
      </c>
      <c r="F8" s="15" t="s">
        <v>69</v>
      </c>
      <c r="G8" s="8">
        <f t="shared" ca="1" si="0"/>
        <v>368</v>
      </c>
      <c r="H8" s="7" t="s">
        <v>46</v>
      </c>
      <c r="I8" s="7" t="s">
        <v>70</v>
      </c>
      <c r="J8" s="15" t="s">
        <v>71</v>
      </c>
      <c r="K8" s="9">
        <v>0.25</v>
      </c>
      <c r="L8" s="7"/>
    </row>
    <row r="9" spans="1:12" x14ac:dyDescent="0.25">
      <c r="A9" s="13" t="s">
        <v>72</v>
      </c>
      <c r="B9" s="7" t="s">
        <v>73</v>
      </c>
      <c r="C9" s="14">
        <v>15000</v>
      </c>
      <c r="D9" s="12" t="s">
        <v>8</v>
      </c>
      <c r="E9" s="15" t="s">
        <v>74</v>
      </c>
      <c r="F9" s="15" t="s">
        <v>75</v>
      </c>
      <c r="G9" s="8">
        <f t="shared" ca="1" si="0"/>
        <v>393</v>
      </c>
      <c r="H9" s="7" t="s">
        <v>46</v>
      </c>
      <c r="I9" s="7" t="s">
        <v>76</v>
      </c>
      <c r="J9" s="16"/>
      <c r="K9" s="9">
        <v>0</v>
      </c>
      <c r="L9" s="7"/>
    </row>
    <row r="10" spans="1:12" x14ac:dyDescent="0.25">
      <c r="A10" s="13" t="s">
        <v>77</v>
      </c>
      <c r="B10" s="7" t="s">
        <v>73</v>
      </c>
      <c r="C10" s="14">
        <v>31000</v>
      </c>
      <c r="D10" s="7" t="s">
        <v>5</v>
      </c>
      <c r="E10" s="15" t="s">
        <v>78</v>
      </c>
      <c r="F10" s="15" t="s">
        <v>79</v>
      </c>
      <c r="G10" s="8">
        <f t="shared" ca="1" si="0"/>
        <v>370</v>
      </c>
      <c r="H10" s="7" t="s">
        <v>46</v>
      </c>
      <c r="I10" s="7" t="s">
        <v>80</v>
      </c>
      <c r="J10" s="15" t="s">
        <v>81</v>
      </c>
      <c r="K10" s="9">
        <v>0.6</v>
      </c>
      <c r="L10" s="7"/>
    </row>
    <row r="11" spans="1:12" x14ac:dyDescent="0.25">
      <c r="A11" s="13" t="s">
        <v>82</v>
      </c>
      <c r="B11" s="7" t="s">
        <v>83</v>
      </c>
      <c r="C11" s="14">
        <v>19500</v>
      </c>
      <c r="D11" s="7" t="s">
        <v>4</v>
      </c>
      <c r="E11" s="15" t="s">
        <v>75</v>
      </c>
      <c r="F11" s="15" t="s">
        <v>84</v>
      </c>
      <c r="G11" s="8">
        <f t="shared" ca="1" si="0"/>
        <v>367</v>
      </c>
      <c r="H11" s="7" t="s">
        <v>46</v>
      </c>
      <c r="I11" s="7" t="s">
        <v>85</v>
      </c>
      <c r="J11" s="15" t="s">
        <v>86</v>
      </c>
      <c r="K11" s="9">
        <v>0.35</v>
      </c>
      <c r="L11" s="7"/>
    </row>
    <row r="12" spans="1:12" x14ac:dyDescent="0.25">
      <c r="A12" s="13" t="s">
        <v>87</v>
      </c>
      <c r="B12" s="7" t="s">
        <v>88</v>
      </c>
      <c r="C12" s="14">
        <v>42000</v>
      </c>
      <c r="D12" s="10" t="s">
        <v>6</v>
      </c>
      <c r="E12" s="15" t="s">
        <v>89</v>
      </c>
      <c r="F12" s="15" t="s">
        <v>69</v>
      </c>
      <c r="G12" s="8">
        <f t="shared" ca="1" si="0"/>
        <v>368</v>
      </c>
      <c r="H12" s="7" t="s">
        <v>46</v>
      </c>
      <c r="I12" s="7" t="s">
        <v>90</v>
      </c>
      <c r="J12" s="15" t="s">
        <v>48</v>
      </c>
      <c r="K12" s="9">
        <v>0.8</v>
      </c>
      <c r="L12" s="7"/>
    </row>
    <row r="13" spans="1:12" x14ac:dyDescent="0.25">
      <c r="A13" s="13" t="s">
        <v>91</v>
      </c>
      <c r="B13" s="7" t="s">
        <v>88</v>
      </c>
      <c r="C13" s="14">
        <v>27000</v>
      </c>
      <c r="D13" s="7" t="s">
        <v>3</v>
      </c>
      <c r="E13" s="15" t="s">
        <v>92</v>
      </c>
      <c r="F13" s="15" t="s">
        <v>64</v>
      </c>
      <c r="G13" s="8">
        <f t="shared" ca="1" si="0"/>
        <v>366</v>
      </c>
      <c r="H13" s="7" t="s">
        <v>46</v>
      </c>
      <c r="I13" s="7" t="s">
        <v>93</v>
      </c>
      <c r="J13" s="15" t="s">
        <v>94</v>
      </c>
      <c r="K13" s="9">
        <v>0.2</v>
      </c>
      <c r="L13" s="7"/>
    </row>
    <row r="14" spans="1:12" x14ac:dyDescent="0.25">
      <c r="A14" s="17" t="s">
        <v>95</v>
      </c>
      <c r="B14" s="17" t="s">
        <v>50</v>
      </c>
      <c r="C14" s="18">
        <v>24000</v>
      </c>
      <c r="D14" s="17" t="s">
        <v>8</v>
      </c>
      <c r="E14" s="16" t="s">
        <v>96</v>
      </c>
      <c r="F14" s="16" t="s">
        <v>97</v>
      </c>
      <c r="G14" s="19">
        <f t="shared" ca="1" si="0"/>
        <v>530</v>
      </c>
      <c r="H14" s="17" t="s">
        <v>46</v>
      </c>
      <c r="I14" s="17" t="s">
        <v>98</v>
      </c>
      <c r="J14" s="16"/>
      <c r="K14" s="20">
        <v>0</v>
      </c>
      <c r="L14" s="17" t="s">
        <v>99</v>
      </c>
    </row>
    <row r="15" spans="1:12" x14ac:dyDescent="0.25">
      <c r="A15" s="17" t="s">
        <v>100</v>
      </c>
      <c r="B15" s="17" t="s">
        <v>83</v>
      </c>
      <c r="C15" s="18">
        <v>17500</v>
      </c>
      <c r="D15" s="17" t="s">
        <v>7</v>
      </c>
      <c r="E15" s="16" t="s">
        <v>101</v>
      </c>
      <c r="F15" s="16" t="s">
        <v>102</v>
      </c>
      <c r="G15" s="19">
        <f t="shared" ca="1" si="0"/>
        <v>513</v>
      </c>
      <c r="H15" s="17" t="s">
        <v>46</v>
      </c>
      <c r="I15" s="17" t="s">
        <v>103</v>
      </c>
      <c r="J15" s="16"/>
      <c r="K15" s="20">
        <v>1</v>
      </c>
      <c r="L15" s="17" t="s">
        <v>104</v>
      </c>
    </row>
    <row r="16" spans="1:12" x14ac:dyDescent="0.25">
      <c r="A16" s="17" t="s">
        <v>105</v>
      </c>
      <c r="B16" s="17" t="s">
        <v>73</v>
      </c>
      <c r="C16" s="18">
        <v>29000</v>
      </c>
      <c r="D16" s="17" t="s">
        <v>8</v>
      </c>
      <c r="E16" s="16" t="s">
        <v>106</v>
      </c>
      <c r="F16" s="16" t="s">
        <v>107</v>
      </c>
      <c r="G16" s="19">
        <f t="shared" ca="1" si="0"/>
        <v>517</v>
      </c>
      <c r="H16" s="17" t="s">
        <v>46</v>
      </c>
      <c r="I16" s="17" t="s">
        <v>108</v>
      </c>
      <c r="J16" s="16"/>
      <c r="K16" s="20">
        <v>0</v>
      </c>
      <c r="L16" s="17"/>
    </row>
    <row r="17" spans="1:12" x14ac:dyDescent="0.25">
      <c r="A17" s="17" t="s">
        <v>109</v>
      </c>
      <c r="B17" s="17" t="s">
        <v>62</v>
      </c>
      <c r="C17" s="18">
        <v>33000</v>
      </c>
      <c r="D17" s="17" t="s">
        <v>7</v>
      </c>
      <c r="E17" s="16" t="s">
        <v>110</v>
      </c>
      <c r="F17" s="16" t="s">
        <v>111</v>
      </c>
      <c r="G17" s="19">
        <f t="shared" ca="1" si="0"/>
        <v>496</v>
      </c>
      <c r="H17" s="17" t="s">
        <v>46</v>
      </c>
      <c r="I17" s="17" t="s">
        <v>112</v>
      </c>
      <c r="J17" s="16"/>
      <c r="K17" s="20">
        <v>1</v>
      </c>
      <c r="L17" s="17" t="s">
        <v>113</v>
      </c>
    </row>
    <row r="18" spans="1:12" x14ac:dyDescent="0.25">
      <c r="A18" s="17" t="s">
        <v>114</v>
      </c>
      <c r="B18" s="17" t="s">
        <v>50</v>
      </c>
      <c r="C18" s="18">
        <v>21000</v>
      </c>
      <c r="D18" s="17" t="s">
        <v>8</v>
      </c>
      <c r="E18" s="16" t="s">
        <v>115</v>
      </c>
      <c r="F18" s="16" t="s">
        <v>116</v>
      </c>
      <c r="G18" s="19">
        <f t="shared" ca="1" si="0"/>
        <v>510</v>
      </c>
      <c r="H18" s="17" t="s">
        <v>46</v>
      </c>
      <c r="I18" s="17" t="s">
        <v>117</v>
      </c>
      <c r="J18" s="16"/>
      <c r="K18" s="20">
        <v>0</v>
      </c>
      <c r="L18" s="17"/>
    </row>
    <row r="19" spans="1:12" x14ac:dyDescent="0.25">
      <c r="A19" s="17" t="s">
        <v>118</v>
      </c>
      <c r="B19" s="17" t="s">
        <v>73</v>
      </c>
      <c r="C19" s="18">
        <v>18500</v>
      </c>
      <c r="D19" s="17" t="s">
        <v>7</v>
      </c>
      <c r="E19" s="16" t="s">
        <v>119</v>
      </c>
      <c r="F19" s="16" t="s">
        <v>120</v>
      </c>
      <c r="G19" s="19">
        <f t="shared" ca="1" si="0"/>
        <v>482</v>
      </c>
      <c r="H19" s="17" t="s">
        <v>46</v>
      </c>
      <c r="I19" s="17" t="s">
        <v>121</v>
      </c>
      <c r="J19" s="16"/>
      <c r="K19" s="20">
        <v>1</v>
      </c>
      <c r="L19" s="17" t="s">
        <v>113</v>
      </c>
    </row>
    <row r="20" spans="1:12" x14ac:dyDescent="0.25">
      <c r="A20" s="17" t="s">
        <v>122</v>
      </c>
      <c r="B20" s="17" t="s">
        <v>88</v>
      </c>
      <c r="C20" s="18">
        <v>38000</v>
      </c>
      <c r="D20" s="17" t="s">
        <v>8</v>
      </c>
      <c r="E20" s="16" t="s">
        <v>107</v>
      </c>
      <c r="F20" s="16" t="s">
        <v>123</v>
      </c>
      <c r="G20" s="19">
        <f t="shared" ca="1" si="0"/>
        <v>489</v>
      </c>
      <c r="H20" s="17" t="s">
        <v>46</v>
      </c>
      <c r="I20" s="17" t="s">
        <v>124</v>
      </c>
      <c r="J20" s="16"/>
      <c r="K20" s="20">
        <v>0</v>
      </c>
      <c r="L20" s="17"/>
    </row>
    <row r="21" spans="1:12" x14ac:dyDescent="0.25">
      <c r="A21" s="17" t="s">
        <v>125</v>
      </c>
      <c r="B21" s="17" t="s">
        <v>83</v>
      </c>
      <c r="C21" s="18">
        <v>22500</v>
      </c>
      <c r="D21" s="17" t="s">
        <v>7</v>
      </c>
      <c r="E21" s="16" t="s">
        <v>116</v>
      </c>
      <c r="F21" s="16" t="s">
        <v>126</v>
      </c>
      <c r="G21" s="19">
        <f t="shared" ca="1" si="0"/>
        <v>475</v>
      </c>
      <c r="H21" s="17" t="s">
        <v>46</v>
      </c>
      <c r="I21" s="17" t="s">
        <v>127</v>
      </c>
      <c r="J21" s="16"/>
      <c r="K21" s="20">
        <v>1</v>
      </c>
      <c r="L21" s="17" t="s">
        <v>113</v>
      </c>
    </row>
    <row r="22" spans="1:12" x14ac:dyDescent="0.25">
      <c r="A22" s="17" t="s">
        <v>128</v>
      </c>
      <c r="B22" s="17" t="s">
        <v>73</v>
      </c>
      <c r="C22" s="18">
        <v>16000</v>
      </c>
      <c r="D22" s="17" t="s">
        <v>8</v>
      </c>
      <c r="E22" s="16" t="s">
        <v>129</v>
      </c>
      <c r="F22" s="16" t="s">
        <v>120</v>
      </c>
      <c r="G22" s="19">
        <f t="shared" ca="1" si="0"/>
        <v>482</v>
      </c>
      <c r="H22" s="17" t="s">
        <v>46</v>
      </c>
      <c r="I22" s="17" t="s">
        <v>76</v>
      </c>
      <c r="J22" s="16"/>
      <c r="K22" s="20">
        <v>0</v>
      </c>
      <c r="L22" s="17"/>
    </row>
    <row r="23" spans="1:12" x14ac:dyDescent="0.25">
      <c r="A23" s="17" t="s">
        <v>130</v>
      </c>
      <c r="B23" s="17" t="s">
        <v>43</v>
      </c>
      <c r="C23" s="18">
        <v>41000</v>
      </c>
      <c r="D23" s="17" t="s">
        <v>7</v>
      </c>
      <c r="E23" s="16" t="s">
        <v>111</v>
      </c>
      <c r="F23" s="16" t="s">
        <v>131</v>
      </c>
      <c r="G23" s="19">
        <f t="shared" ca="1" si="0"/>
        <v>447</v>
      </c>
      <c r="H23" s="17" t="s">
        <v>46</v>
      </c>
      <c r="I23" s="17" t="s">
        <v>132</v>
      </c>
      <c r="J23" s="16"/>
      <c r="K23" s="20">
        <v>1</v>
      </c>
      <c r="L23" s="17" t="s">
        <v>113</v>
      </c>
    </row>
    <row r="24" spans="1:12" x14ac:dyDescent="0.25">
      <c r="A24" s="17" t="s">
        <v>133</v>
      </c>
      <c r="B24" s="17" t="s">
        <v>50</v>
      </c>
      <c r="C24" s="18">
        <v>19500</v>
      </c>
      <c r="D24" s="17" t="s">
        <v>8</v>
      </c>
      <c r="E24" s="16" t="s">
        <v>123</v>
      </c>
      <c r="F24" s="16" t="s">
        <v>134</v>
      </c>
      <c r="G24" s="19">
        <f t="shared" ca="1" si="0"/>
        <v>468</v>
      </c>
      <c r="H24" s="17" t="s">
        <v>46</v>
      </c>
      <c r="I24" s="17" t="s">
        <v>135</v>
      </c>
      <c r="J24" s="16"/>
      <c r="K24" s="20">
        <v>0</v>
      </c>
      <c r="L24" s="17"/>
    </row>
    <row r="25" spans="1:12" x14ac:dyDescent="0.25">
      <c r="A25" s="17" t="s">
        <v>136</v>
      </c>
      <c r="B25" s="17" t="s">
        <v>88</v>
      </c>
      <c r="C25" s="18">
        <v>27500</v>
      </c>
      <c r="D25" s="17" t="s">
        <v>7</v>
      </c>
      <c r="E25" s="16" t="s">
        <v>120</v>
      </c>
      <c r="F25" s="16" t="s">
        <v>137</v>
      </c>
      <c r="G25" s="19">
        <f t="shared" ca="1" si="0"/>
        <v>440</v>
      </c>
      <c r="H25" s="17" t="s">
        <v>46</v>
      </c>
      <c r="I25" s="17" t="s">
        <v>138</v>
      </c>
      <c r="J25" s="16"/>
      <c r="K25" s="20">
        <v>1</v>
      </c>
      <c r="L25" s="17" t="s">
        <v>113</v>
      </c>
    </row>
    <row r="26" spans="1:12" x14ac:dyDescent="0.25">
      <c r="A26" s="17" t="s">
        <v>139</v>
      </c>
      <c r="B26" s="17" t="s">
        <v>73</v>
      </c>
      <c r="C26" s="18">
        <v>14000</v>
      </c>
      <c r="D26" s="17" t="s">
        <v>8</v>
      </c>
      <c r="E26" s="16" t="s">
        <v>126</v>
      </c>
      <c r="F26" s="16" t="s">
        <v>131</v>
      </c>
      <c r="G26" s="19">
        <f t="shared" ca="1" si="0"/>
        <v>447</v>
      </c>
      <c r="H26" s="17" t="s">
        <v>46</v>
      </c>
      <c r="I26" s="17" t="s">
        <v>140</v>
      </c>
      <c r="J26" s="16"/>
      <c r="K26" s="20">
        <v>0</v>
      </c>
      <c r="L26" s="17"/>
    </row>
    <row r="27" spans="1:12" x14ac:dyDescent="0.25">
      <c r="A27" s="17" t="s">
        <v>141</v>
      </c>
      <c r="B27" s="17" t="s">
        <v>62</v>
      </c>
      <c r="C27" s="18">
        <v>36000</v>
      </c>
      <c r="D27" s="17" t="s">
        <v>7</v>
      </c>
      <c r="E27" s="16" t="s">
        <v>134</v>
      </c>
      <c r="F27" s="16" t="s">
        <v>142</v>
      </c>
      <c r="G27" s="19">
        <f t="shared" ca="1" si="0"/>
        <v>419</v>
      </c>
      <c r="H27" s="17" t="s">
        <v>46</v>
      </c>
      <c r="I27" s="17" t="s">
        <v>143</v>
      </c>
      <c r="J27" s="16"/>
      <c r="K27" s="20">
        <v>1</v>
      </c>
      <c r="L27" s="17" t="s">
        <v>144</v>
      </c>
    </row>
    <row r="28" spans="1:12" x14ac:dyDescent="0.25">
      <c r="A28" s="17" t="s">
        <v>145</v>
      </c>
      <c r="B28" s="17" t="s">
        <v>50</v>
      </c>
      <c r="C28" s="18">
        <v>23000</v>
      </c>
      <c r="D28" s="17" t="s">
        <v>8</v>
      </c>
      <c r="E28" s="16" t="s">
        <v>131</v>
      </c>
      <c r="F28" s="16" t="s">
        <v>78</v>
      </c>
      <c r="G28" s="19">
        <f t="shared" ca="1" si="0"/>
        <v>412</v>
      </c>
      <c r="H28" s="17" t="s">
        <v>46</v>
      </c>
      <c r="I28" s="17" t="s">
        <v>146</v>
      </c>
      <c r="J28" s="16"/>
      <c r="K28" s="20">
        <v>0</v>
      </c>
      <c r="L28" s="17"/>
    </row>
    <row r="29" spans="1:12" x14ac:dyDescent="0.25">
      <c r="A29" s="17" t="s">
        <v>147</v>
      </c>
      <c r="B29" s="17" t="s">
        <v>73</v>
      </c>
      <c r="C29" s="18">
        <v>20000</v>
      </c>
      <c r="D29" s="17" t="s">
        <v>7</v>
      </c>
      <c r="E29" s="16" t="s">
        <v>137</v>
      </c>
      <c r="F29" s="16" t="s">
        <v>148</v>
      </c>
      <c r="G29" s="19">
        <f t="shared" ca="1" si="0"/>
        <v>405</v>
      </c>
      <c r="H29" s="17" t="s">
        <v>46</v>
      </c>
      <c r="I29" s="17" t="s">
        <v>149</v>
      </c>
      <c r="J29" s="16"/>
      <c r="K29" s="20">
        <v>1</v>
      </c>
      <c r="L29" s="17" t="s">
        <v>144</v>
      </c>
    </row>
    <row r="30" spans="1:12" x14ac:dyDescent="0.25">
      <c r="A30" s="17" t="s">
        <v>150</v>
      </c>
      <c r="B30" s="17" t="s">
        <v>83</v>
      </c>
      <c r="C30" s="18">
        <v>25500</v>
      </c>
      <c r="D30" s="17" t="s">
        <v>8</v>
      </c>
      <c r="E30" s="16" t="s">
        <v>74</v>
      </c>
      <c r="F30" s="16" t="s">
        <v>151</v>
      </c>
      <c r="G30" s="19">
        <f t="shared" ca="1" si="0"/>
        <v>398</v>
      </c>
      <c r="H30" s="17" t="s">
        <v>46</v>
      </c>
      <c r="I30" s="17" t="s">
        <v>152</v>
      </c>
      <c r="J30" s="16"/>
      <c r="K30" s="20">
        <v>0</v>
      </c>
      <c r="L30" s="17"/>
    </row>
    <row r="31" spans="1:12" x14ac:dyDescent="0.25">
      <c r="A31" s="17" t="s">
        <v>153</v>
      </c>
      <c r="B31" s="17" t="s">
        <v>73</v>
      </c>
      <c r="C31" s="18">
        <v>32000</v>
      </c>
      <c r="D31" s="17" t="s">
        <v>7</v>
      </c>
      <c r="E31" s="16" t="s">
        <v>154</v>
      </c>
      <c r="F31" s="16" t="s">
        <v>155</v>
      </c>
      <c r="G31" s="19">
        <f t="shared" ca="1" si="0"/>
        <v>391</v>
      </c>
      <c r="H31" s="17" t="s">
        <v>46</v>
      </c>
      <c r="I31" s="17" t="s">
        <v>156</v>
      </c>
      <c r="J31" s="16"/>
      <c r="K31" s="20">
        <v>1</v>
      </c>
      <c r="L31" s="17" t="s">
        <v>144</v>
      </c>
    </row>
    <row r="32" spans="1:12" x14ac:dyDescent="0.25">
      <c r="A32" s="17" t="s">
        <v>157</v>
      </c>
      <c r="B32" s="17" t="s">
        <v>43</v>
      </c>
      <c r="C32" s="18">
        <v>28500</v>
      </c>
      <c r="D32" s="17" t="s">
        <v>8</v>
      </c>
      <c r="E32" s="16" t="s">
        <v>142</v>
      </c>
      <c r="F32" s="16" t="s">
        <v>151</v>
      </c>
      <c r="G32" s="19">
        <f t="shared" ca="1" si="0"/>
        <v>398</v>
      </c>
      <c r="H32" s="17" t="s">
        <v>46</v>
      </c>
      <c r="I32" s="17" t="s">
        <v>158</v>
      </c>
      <c r="J32" s="16"/>
      <c r="K32" s="20">
        <v>0</v>
      </c>
      <c r="L32" s="17"/>
    </row>
    <row r="33" spans="1:12" x14ac:dyDescent="0.25">
      <c r="A33" s="17" t="s">
        <v>159</v>
      </c>
      <c r="B33" s="17" t="s">
        <v>88</v>
      </c>
      <c r="C33" s="18">
        <v>44000</v>
      </c>
      <c r="D33" s="17" t="s">
        <v>5</v>
      </c>
      <c r="E33" s="16" t="s">
        <v>78</v>
      </c>
      <c r="F33" s="16" t="s">
        <v>160</v>
      </c>
      <c r="G33" s="19">
        <f t="shared" ca="1" si="0"/>
        <v>377</v>
      </c>
      <c r="H33" s="17" t="s">
        <v>46</v>
      </c>
      <c r="I33" s="17" t="s">
        <v>161</v>
      </c>
      <c r="J33" s="16" t="s">
        <v>162</v>
      </c>
      <c r="K33" s="20">
        <v>0.55000000000000004</v>
      </c>
      <c r="L33" s="17" t="s">
        <v>163</v>
      </c>
    </row>
    <row r="34" spans="1:12" x14ac:dyDescent="0.25">
      <c r="A34" s="17" t="s">
        <v>164</v>
      </c>
      <c r="B34" s="17" t="s">
        <v>88</v>
      </c>
      <c r="C34" s="18">
        <v>39500</v>
      </c>
      <c r="D34" s="17" t="s">
        <v>8</v>
      </c>
      <c r="E34" s="16" t="s">
        <v>165</v>
      </c>
      <c r="F34" s="16" t="s">
        <v>81</v>
      </c>
      <c r="G34" s="19">
        <f t="shared" ca="1" si="0"/>
        <v>353</v>
      </c>
      <c r="H34" s="17" t="s">
        <v>46</v>
      </c>
      <c r="I34" s="17" t="s">
        <v>166</v>
      </c>
      <c r="J34" s="16"/>
      <c r="K34" s="20">
        <v>0</v>
      </c>
      <c r="L34" s="17" t="s">
        <v>167</v>
      </c>
    </row>
    <row r="35" spans="1:12" x14ac:dyDescent="0.25">
      <c r="A35" s="17" t="s">
        <v>168</v>
      </c>
      <c r="B35" s="17" t="s">
        <v>73</v>
      </c>
      <c r="C35" s="18">
        <v>33000</v>
      </c>
      <c r="D35" s="17" t="s">
        <v>3</v>
      </c>
      <c r="E35" s="16" t="s">
        <v>169</v>
      </c>
      <c r="F35" s="16" t="s">
        <v>86</v>
      </c>
      <c r="G35" s="19">
        <f t="shared" ca="1" si="0"/>
        <v>360</v>
      </c>
      <c r="H35" s="17" t="s">
        <v>46</v>
      </c>
      <c r="I35" s="17" t="s">
        <v>93</v>
      </c>
      <c r="J35" s="16" t="s">
        <v>71</v>
      </c>
      <c r="K35" s="20">
        <v>0.22</v>
      </c>
      <c r="L35" s="17"/>
    </row>
    <row r="36" spans="1:12" x14ac:dyDescent="0.25">
      <c r="A36" s="17" t="s">
        <v>170</v>
      </c>
      <c r="B36" s="17" t="s">
        <v>83</v>
      </c>
      <c r="C36" s="18">
        <v>41500</v>
      </c>
      <c r="D36" s="17" t="s">
        <v>7</v>
      </c>
      <c r="E36" s="16" t="s">
        <v>79</v>
      </c>
      <c r="F36" s="16" t="s">
        <v>48</v>
      </c>
      <c r="G36" s="19">
        <f t="shared" ref="G36:G67" ca="1" si="1">IF(F36="","",TODAY()-F36)</f>
        <v>362</v>
      </c>
      <c r="H36" s="17" t="s">
        <v>46</v>
      </c>
      <c r="I36" s="17" t="s">
        <v>171</v>
      </c>
      <c r="J36" s="16"/>
      <c r="K36" s="20">
        <v>0.92</v>
      </c>
      <c r="L36" s="17" t="s">
        <v>172</v>
      </c>
    </row>
    <row r="37" spans="1:12" x14ac:dyDescent="0.25">
      <c r="A37" s="17" t="s">
        <v>173</v>
      </c>
      <c r="B37" s="17" t="s">
        <v>62</v>
      </c>
      <c r="C37" s="18">
        <v>24000</v>
      </c>
      <c r="D37" s="17" t="s">
        <v>8</v>
      </c>
      <c r="E37" s="16" t="s">
        <v>84</v>
      </c>
      <c r="F37" s="16" t="s">
        <v>66</v>
      </c>
      <c r="G37" s="19">
        <f t="shared" ca="1" si="1"/>
        <v>358</v>
      </c>
      <c r="H37" s="17" t="s">
        <v>46</v>
      </c>
      <c r="I37" s="17" t="s">
        <v>166</v>
      </c>
      <c r="J37" s="16"/>
      <c r="K37" s="20">
        <v>0</v>
      </c>
      <c r="L37" s="17" t="s">
        <v>174</v>
      </c>
    </row>
    <row r="38" spans="1:12" x14ac:dyDescent="0.25">
      <c r="A38" s="17" t="s">
        <v>175</v>
      </c>
      <c r="B38" s="17" t="s">
        <v>50</v>
      </c>
      <c r="C38" s="18">
        <v>31000</v>
      </c>
      <c r="D38" s="17" t="s">
        <v>7</v>
      </c>
      <c r="E38" s="16" t="s">
        <v>176</v>
      </c>
      <c r="F38" s="16" t="s">
        <v>177</v>
      </c>
      <c r="G38" s="19">
        <f t="shared" ca="1" si="1"/>
        <v>352</v>
      </c>
      <c r="H38" s="17" t="s">
        <v>46</v>
      </c>
      <c r="I38" s="17" t="s">
        <v>171</v>
      </c>
      <c r="J38" s="16"/>
      <c r="K38" s="20">
        <v>0.92</v>
      </c>
      <c r="L38" s="17" t="s">
        <v>172</v>
      </c>
    </row>
    <row r="39" spans="1:12" x14ac:dyDescent="0.25">
      <c r="A39" s="17" t="s">
        <v>178</v>
      </c>
      <c r="B39" s="17" t="s">
        <v>43</v>
      </c>
      <c r="C39" s="18">
        <v>39000</v>
      </c>
      <c r="D39" s="17" t="s">
        <v>6</v>
      </c>
      <c r="E39" s="16" t="s">
        <v>60</v>
      </c>
      <c r="F39" s="16" t="s">
        <v>179</v>
      </c>
      <c r="G39" s="19">
        <f t="shared" ca="1" si="1"/>
        <v>357</v>
      </c>
      <c r="H39" s="17" t="s">
        <v>46</v>
      </c>
      <c r="I39" s="17" t="s">
        <v>90</v>
      </c>
      <c r="J39" s="16" t="s">
        <v>81</v>
      </c>
      <c r="K39" s="20">
        <v>0.72</v>
      </c>
      <c r="L39" s="17"/>
    </row>
    <row r="40" spans="1:12" x14ac:dyDescent="0.25">
      <c r="A40" s="17" t="s">
        <v>180</v>
      </c>
      <c r="B40" s="17" t="s">
        <v>56</v>
      </c>
      <c r="C40" s="18">
        <v>23000</v>
      </c>
      <c r="D40" s="17" t="s">
        <v>7</v>
      </c>
      <c r="E40" s="16" t="s">
        <v>66</v>
      </c>
      <c r="F40" s="16" t="s">
        <v>181</v>
      </c>
      <c r="G40" s="19">
        <f t="shared" ca="1" si="1"/>
        <v>351</v>
      </c>
      <c r="H40" s="17" t="s">
        <v>46</v>
      </c>
      <c r="I40" s="17" t="s">
        <v>171</v>
      </c>
      <c r="J40" s="16"/>
      <c r="K40" s="20">
        <v>0.92</v>
      </c>
      <c r="L40" s="17" t="s">
        <v>172</v>
      </c>
    </row>
    <row r="41" spans="1:12" x14ac:dyDescent="0.25">
      <c r="A41" s="17" t="s">
        <v>182</v>
      </c>
      <c r="B41" s="17" t="s">
        <v>88</v>
      </c>
      <c r="C41" s="18">
        <v>23000</v>
      </c>
      <c r="D41" s="17" t="s">
        <v>6</v>
      </c>
      <c r="E41" s="16" t="s">
        <v>71</v>
      </c>
      <c r="F41" s="16" t="s">
        <v>183</v>
      </c>
      <c r="G41" s="19">
        <f t="shared" ca="1" si="1"/>
        <v>333</v>
      </c>
      <c r="H41" s="17" t="s">
        <v>46</v>
      </c>
      <c r="I41" s="17" t="s">
        <v>90</v>
      </c>
      <c r="J41" s="16" t="s">
        <v>184</v>
      </c>
      <c r="K41" s="20">
        <v>0.72</v>
      </c>
      <c r="L41" s="17"/>
    </row>
    <row r="42" spans="1:12" x14ac:dyDescent="0.25">
      <c r="A42" s="17" t="s">
        <v>185</v>
      </c>
      <c r="B42" s="17" t="s">
        <v>73</v>
      </c>
      <c r="C42" s="18">
        <v>28000</v>
      </c>
      <c r="D42" s="17" t="s">
        <v>6</v>
      </c>
      <c r="E42" s="16" t="s">
        <v>177</v>
      </c>
      <c r="F42" s="16" t="s">
        <v>186</v>
      </c>
      <c r="G42" s="19">
        <f t="shared" ca="1" si="1"/>
        <v>346</v>
      </c>
      <c r="H42" s="17" t="s">
        <v>46</v>
      </c>
      <c r="I42" s="17" t="s">
        <v>90</v>
      </c>
      <c r="J42" s="16" t="s">
        <v>187</v>
      </c>
      <c r="K42" s="20">
        <v>0.72</v>
      </c>
      <c r="L42" s="17"/>
    </row>
    <row r="43" spans="1:12" x14ac:dyDescent="0.25">
      <c r="A43" s="17" t="s">
        <v>188</v>
      </c>
      <c r="B43" s="17" t="s">
        <v>83</v>
      </c>
      <c r="C43" s="18">
        <v>30500</v>
      </c>
      <c r="D43" s="17" t="s">
        <v>5</v>
      </c>
      <c r="E43" s="16" t="s">
        <v>189</v>
      </c>
      <c r="F43" s="16" t="s">
        <v>190</v>
      </c>
      <c r="G43" s="19">
        <f t="shared" ca="1" si="1"/>
        <v>341</v>
      </c>
      <c r="H43" s="17" t="s">
        <v>46</v>
      </c>
      <c r="I43" s="17" t="s">
        <v>191</v>
      </c>
      <c r="J43" s="16" t="s">
        <v>192</v>
      </c>
      <c r="K43" s="20">
        <v>0.55000000000000004</v>
      </c>
      <c r="L43" s="17"/>
    </row>
    <row r="44" spans="1:12" x14ac:dyDescent="0.25">
      <c r="A44" s="17" t="s">
        <v>193</v>
      </c>
      <c r="B44" s="17" t="s">
        <v>62</v>
      </c>
      <c r="C44" s="18">
        <v>24000</v>
      </c>
      <c r="D44" s="17" t="s">
        <v>5</v>
      </c>
      <c r="E44" s="16" t="s">
        <v>186</v>
      </c>
      <c r="F44" s="16" t="s">
        <v>194</v>
      </c>
      <c r="G44" s="19">
        <f t="shared" ca="1" si="1"/>
        <v>320</v>
      </c>
      <c r="H44" s="17" t="s">
        <v>46</v>
      </c>
      <c r="I44" s="17" t="s">
        <v>191</v>
      </c>
      <c r="J44" s="16" t="s">
        <v>195</v>
      </c>
      <c r="K44" s="20">
        <v>0.55000000000000004</v>
      </c>
      <c r="L44" s="17"/>
    </row>
    <row r="45" spans="1:12" x14ac:dyDescent="0.25">
      <c r="A45" s="17" t="s">
        <v>196</v>
      </c>
      <c r="B45" s="17" t="s">
        <v>50</v>
      </c>
      <c r="C45" s="18">
        <v>33500</v>
      </c>
      <c r="D45" s="17" t="s">
        <v>4</v>
      </c>
      <c r="E45" s="16" t="s">
        <v>197</v>
      </c>
      <c r="F45" s="16" t="s">
        <v>198</v>
      </c>
      <c r="G45" s="19">
        <f t="shared" ca="1" si="1"/>
        <v>322</v>
      </c>
      <c r="H45" s="17" t="s">
        <v>46</v>
      </c>
      <c r="I45" s="17" t="s">
        <v>85</v>
      </c>
      <c r="J45" s="16" t="s">
        <v>199</v>
      </c>
      <c r="K45" s="20">
        <v>0.35</v>
      </c>
      <c r="L45" s="17"/>
    </row>
    <row r="46" spans="1:12" x14ac:dyDescent="0.25">
      <c r="A46" s="17" t="s">
        <v>200</v>
      </c>
      <c r="B46" s="17" t="s">
        <v>43</v>
      </c>
      <c r="C46" s="18">
        <v>18000</v>
      </c>
      <c r="D46" s="17" t="s">
        <v>6</v>
      </c>
      <c r="E46" s="16" t="s">
        <v>201</v>
      </c>
      <c r="F46" s="16" t="s">
        <v>202</v>
      </c>
      <c r="G46" s="19">
        <f t="shared" ca="1" si="1"/>
        <v>329</v>
      </c>
      <c r="H46" s="17" t="s">
        <v>46</v>
      </c>
      <c r="I46" s="17" t="s">
        <v>90</v>
      </c>
      <c r="J46" s="16" t="s">
        <v>198</v>
      </c>
      <c r="K46" s="20">
        <v>0.72</v>
      </c>
      <c r="L46" s="17"/>
    </row>
    <row r="47" spans="1:12" x14ac:dyDescent="0.25">
      <c r="A47" s="17" t="s">
        <v>203</v>
      </c>
      <c r="B47" s="17" t="s">
        <v>56</v>
      </c>
      <c r="C47" s="18">
        <v>47500</v>
      </c>
      <c r="D47" s="17" t="s">
        <v>4</v>
      </c>
      <c r="E47" s="16" t="s">
        <v>204</v>
      </c>
      <c r="F47" s="16" t="s">
        <v>205</v>
      </c>
      <c r="G47" s="19">
        <f t="shared" ca="1" si="1"/>
        <v>319</v>
      </c>
      <c r="H47" s="17" t="s">
        <v>46</v>
      </c>
      <c r="I47" s="17" t="s">
        <v>85</v>
      </c>
      <c r="J47" s="16" t="s">
        <v>206</v>
      </c>
      <c r="K47" s="20">
        <v>0.35</v>
      </c>
      <c r="L47" s="17"/>
    </row>
    <row r="48" spans="1:12" x14ac:dyDescent="0.25">
      <c r="A48" s="17" t="s">
        <v>207</v>
      </c>
      <c r="B48" s="17" t="s">
        <v>88</v>
      </c>
      <c r="C48" s="18">
        <v>25500</v>
      </c>
      <c r="D48" s="17" t="s">
        <v>4</v>
      </c>
      <c r="E48" s="16" t="s">
        <v>208</v>
      </c>
      <c r="F48" s="16" t="s">
        <v>209</v>
      </c>
      <c r="G48" s="19">
        <f t="shared" ca="1" si="1"/>
        <v>310</v>
      </c>
      <c r="H48" s="17" t="s">
        <v>46</v>
      </c>
      <c r="I48" s="17" t="s">
        <v>85</v>
      </c>
      <c r="J48" s="16" t="s">
        <v>210</v>
      </c>
      <c r="K48" s="20">
        <v>0.35</v>
      </c>
      <c r="L48" s="17"/>
    </row>
    <row r="49" spans="1:12" x14ac:dyDescent="0.25">
      <c r="A49" s="17" t="s">
        <v>211</v>
      </c>
      <c r="B49" s="17" t="s">
        <v>73</v>
      </c>
      <c r="C49" s="18">
        <v>34500</v>
      </c>
      <c r="D49" s="17" t="s">
        <v>4</v>
      </c>
      <c r="E49" s="16" t="s">
        <v>212</v>
      </c>
      <c r="F49" s="16" t="s">
        <v>199</v>
      </c>
      <c r="G49" s="19">
        <f t="shared" ca="1" si="1"/>
        <v>317</v>
      </c>
      <c r="H49" s="17" t="s">
        <v>46</v>
      </c>
      <c r="I49" s="17" t="s">
        <v>85</v>
      </c>
      <c r="J49" s="16" t="s">
        <v>213</v>
      </c>
      <c r="K49" s="20">
        <v>0.35</v>
      </c>
      <c r="L49" s="17"/>
    </row>
    <row r="50" spans="1:12" x14ac:dyDescent="0.25">
      <c r="A50" s="17" t="s">
        <v>214</v>
      </c>
      <c r="B50" s="17" t="s">
        <v>83</v>
      </c>
      <c r="C50" s="18">
        <v>42000</v>
      </c>
      <c r="D50" s="17" t="s">
        <v>3</v>
      </c>
      <c r="E50" s="16" t="s">
        <v>215</v>
      </c>
      <c r="F50" s="16" t="s">
        <v>205</v>
      </c>
      <c r="G50" s="19">
        <f t="shared" ca="1" si="1"/>
        <v>319</v>
      </c>
      <c r="H50" s="17" t="s">
        <v>46</v>
      </c>
      <c r="I50" s="17" t="s">
        <v>93</v>
      </c>
      <c r="J50" s="16" t="s">
        <v>216</v>
      </c>
      <c r="K50" s="20">
        <v>0.22</v>
      </c>
      <c r="L50" s="17"/>
    </row>
    <row r="51" spans="1:12" x14ac:dyDescent="0.25">
      <c r="A51" s="17" t="s">
        <v>217</v>
      </c>
      <c r="B51" s="17" t="s">
        <v>62</v>
      </c>
      <c r="C51" s="18">
        <v>18000</v>
      </c>
      <c r="D51" s="17" t="s">
        <v>4</v>
      </c>
      <c r="E51" s="16" t="s">
        <v>218</v>
      </c>
      <c r="F51" s="16" t="s">
        <v>219</v>
      </c>
      <c r="G51" s="19">
        <f t="shared" ca="1" si="1"/>
        <v>301</v>
      </c>
      <c r="H51" s="17" t="s">
        <v>46</v>
      </c>
      <c r="I51" s="17" t="s">
        <v>85</v>
      </c>
      <c r="J51" s="16" t="s">
        <v>220</v>
      </c>
      <c r="K51" s="20">
        <v>0.35</v>
      </c>
      <c r="L51" s="17"/>
    </row>
    <row r="52" spans="1:12" x14ac:dyDescent="0.25">
      <c r="A52" s="17" t="s">
        <v>221</v>
      </c>
      <c r="B52" s="17" t="s">
        <v>50</v>
      </c>
      <c r="C52" s="18">
        <v>34000</v>
      </c>
      <c r="D52" s="17" t="s">
        <v>3</v>
      </c>
      <c r="E52" s="16" t="s">
        <v>198</v>
      </c>
      <c r="F52" s="16" t="s">
        <v>195</v>
      </c>
      <c r="G52" s="19">
        <f t="shared" ca="1" si="1"/>
        <v>316</v>
      </c>
      <c r="H52" s="17" t="s">
        <v>46</v>
      </c>
      <c r="I52" s="17" t="s">
        <v>93</v>
      </c>
      <c r="J52" s="16" t="s">
        <v>216</v>
      </c>
      <c r="K52" s="20">
        <v>0.22</v>
      </c>
      <c r="L52" s="17"/>
    </row>
    <row r="53" spans="1:12" x14ac:dyDescent="0.25">
      <c r="A53" s="17" t="s">
        <v>222</v>
      </c>
      <c r="B53" s="17" t="s">
        <v>43</v>
      </c>
      <c r="C53" s="18">
        <v>33000</v>
      </c>
      <c r="D53" s="17" t="s">
        <v>4</v>
      </c>
      <c r="E53" s="16" t="s">
        <v>205</v>
      </c>
      <c r="F53" s="16" t="s">
        <v>216</v>
      </c>
      <c r="G53" s="19">
        <f t="shared" ca="1" si="1"/>
        <v>309</v>
      </c>
      <c r="H53" s="17" t="s">
        <v>46</v>
      </c>
      <c r="I53" s="17" t="s">
        <v>85</v>
      </c>
      <c r="J53" s="16" t="s">
        <v>210</v>
      </c>
      <c r="K53" s="20">
        <v>0.35</v>
      </c>
      <c r="L53" s="17"/>
    </row>
    <row r="54" spans="1:12" x14ac:dyDescent="0.25">
      <c r="A54" s="17" t="s">
        <v>223</v>
      </c>
      <c r="B54" s="17" t="s">
        <v>56</v>
      </c>
      <c r="C54" s="18">
        <v>16000</v>
      </c>
      <c r="D54" s="17" t="s">
        <v>7</v>
      </c>
      <c r="E54" s="16" t="s">
        <v>195</v>
      </c>
      <c r="F54" s="16" t="s">
        <v>224</v>
      </c>
      <c r="G54" s="19">
        <f t="shared" ca="1" si="1"/>
        <v>295</v>
      </c>
      <c r="H54" s="17" t="s">
        <v>46</v>
      </c>
      <c r="I54" s="17" t="s">
        <v>171</v>
      </c>
      <c r="J54" s="16"/>
      <c r="K54" s="20">
        <v>0.92</v>
      </c>
      <c r="L54" s="17" t="s">
        <v>104</v>
      </c>
    </row>
    <row r="55" spans="1:12" x14ac:dyDescent="0.25">
      <c r="A55" s="17" t="s">
        <v>225</v>
      </c>
      <c r="B55" s="17" t="s">
        <v>88</v>
      </c>
      <c r="C55" s="18">
        <v>16000</v>
      </c>
      <c r="D55" s="17" t="s">
        <v>7</v>
      </c>
      <c r="E55" s="16" t="s">
        <v>226</v>
      </c>
      <c r="F55" s="16" t="s">
        <v>227</v>
      </c>
      <c r="G55" s="19">
        <f t="shared" ca="1" si="1"/>
        <v>299</v>
      </c>
      <c r="H55" s="17" t="s">
        <v>46</v>
      </c>
      <c r="I55" s="17" t="s">
        <v>171</v>
      </c>
      <c r="J55" s="16"/>
      <c r="K55" s="20">
        <v>0.92</v>
      </c>
      <c r="L55" s="17" t="s">
        <v>104</v>
      </c>
    </row>
    <row r="56" spans="1:12" x14ac:dyDescent="0.25">
      <c r="A56" s="17" t="s">
        <v>228</v>
      </c>
      <c r="B56" s="17" t="s">
        <v>73</v>
      </c>
      <c r="C56" s="18">
        <v>41000</v>
      </c>
      <c r="D56" s="17" t="s">
        <v>8</v>
      </c>
      <c r="E56" s="16" t="s">
        <v>209</v>
      </c>
      <c r="F56" s="16" t="s">
        <v>229</v>
      </c>
      <c r="G56" s="19">
        <f t="shared" ca="1" si="1"/>
        <v>284</v>
      </c>
      <c r="H56" s="17" t="s">
        <v>46</v>
      </c>
      <c r="I56" s="17" t="s">
        <v>166</v>
      </c>
      <c r="J56" s="16"/>
      <c r="K56" s="20">
        <v>0</v>
      </c>
      <c r="L56" s="17" t="s">
        <v>230</v>
      </c>
    </row>
    <row r="57" spans="1:12" x14ac:dyDescent="0.25">
      <c r="A57" s="17" t="s">
        <v>231</v>
      </c>
      <c r="B57" s="17" t="s">
        <v>83</v>
      </c>
      <c r="C57" s="18">
        <v>27000</v>
      </c>
      <c r="D57" s="17" t="s">
        <v>3</v>
      </c>
      <c r="E57" s="16" t="s">
        <v>232</v>
      </c>
      <c r="F57" s="16" t="s">
        <v>233</v>
      </c>
      <c r="G57" s="19">
        <f t="shared" ca="1" si="1"/>
        <v>282</v>
      </c>
      <c r="H57" s="17" t="s">
        <v>46</v>
      </c>
      <c r="I57" s="17" t="s">
        <v>93</v>
      </c>
      <c r="J57" s="16" t="s">
        <v>234</v>
      </c>
      <c r="K57" s="20">
        <v>0.22</v>
      </c>
      <c r="L57" s="17"/>
    </row>
    <row r="58" spans="1:12" x14ac:dyDescent="0.25">
      <c r="A58" s="17" t="s">
        <v>235</v>
      </c>
      <c r="B58" s="17" t="s">
        <v>62</v>
      </c>
      <c r="C58" s="18">
        <v>36000</v>
      </c>
      <c r="D58" s="17" t="s">
        <v>4</v>
      </c>
      <c r="E58" s="16" t="s">
        <v>236</v>
      </c>
      <c r="F58" s="16" t="s">
        <v>237</v>
      </c>
      <c r="G58" s="19">
        <f t="shared" ca="1" si="1"/>
        <v>293</v>
      </c>
      <c r="H58" s="17" t="s">
        <v>46</v>
      </c>
      <c r="I58" s="17" t="s">
        <v>85</v>
      </c>
      <c r="J58" s="16" t="s">
        <v>229</v>
      </c>
      <c r="K58" s="20">
        <v>0.35</v>
      </c>
      <c r="L58" s="17"/>
    </row>
    <row r="59" spans="1:12" x14ac:dyDescent="0.25">
      <c r="A59" s="17" t="s">
        <v>238</v>
      </c>
      <c r="B59" s="17" t="s">
        <v>50</v>
      </c>
      <c r="C59" s="18">
        <v>23500</v>
      </c>
      <c r="D59" s="17" t="s">
        <v>8</v>
      </c>
      <c r="E59" s="16" t="s">
        <v>219</v>
      </c>
      <c r="F59" s="16" t="s">
        <v>239</v>
      </c>
      <c r="G59" s="19">
        <f t="shared" ca="1" si="1"/>
        <v>289</v>
      </c>
      <c r="H59" s="17" t="s">
        <v>46</v>
      </c>
      <c r="I59" s="17" t="s">
        <v>166</v>
      </c>
      <c r="J59" s="16"/>
      <c r="K59" s="20">
        <v>0</v>
      </c>
      <c r="L59" s="17" t="s">
        <v>240</v>
      </c>
    </row>
    <row r="60" spans="1:12" x14ac:dyDescent="0.25">
      <c r="A60" s="17" t="s">
        <v>241</v>
      </c>
      <c r="B60" s="17" t="s">
        <v>43</v>
      </c>
      <c r="C60" s="18">
        <v>39500</v>
      </c>
      <c r="D60" s="17" t="s">
        <v>6</v>
      </c>
      <c r="E60" s="16" t="s">
        <v>242</v>
      </c>
      <c r="F60" s="16" t="s">
        <v>243</v>
      </c>
      <c r="G60" s="19">
        <f t="shared" ca="1" si="1"/>
        <v>291</v>
      </c>
      <c r="H60" s="17" t="s">
        <v>46</v>
      </c>
      <c r="I60" s="17" t="s">
        <v>90</v>
      </c>
      <c r="J60" s="16" t="s">
        <v>244</v>
      </c>
      <c r="K60" s="20">
        <v>0.72</v>
      </c>
      <c r="L60" s="17"/>
    </row>
    <row r="61" spans="1:12" x14ac:dyDescent="0.25">
      <c r="A61" s="17" t="s">
        <v>245</v>
      </c>
      <c r="B61" s="17" t="s">
        <v>56</v>
      </c>
      <c r="C61" s="18">
        <v>39500</v>
      </c>
      <c r="D61" s="17" t="s">
        <v>4</v>
      </c>
      <c r="E61" s="16" t="s">
        <v>224</v>
      </c>
      <c r="F61" s="16" t="s">
        <v>243</v>
      </c>
      <c r="G61" s="19">
        <f t="shared" ca="1" si="1"/>
        <v>291</v>
      </c>
      <c r="H61" s="17" t="s">
        <v>46</v>
      </c>
      <c r="I61" s="17" t="s">
        <v>85</v>
      </c>
      <c r="J61" s="16" t="s">
        <v>246</v>
      </c>
      <c r="K61" s="20">
        <v>0.35</v>
      </c>
      <c r="L61" s="17"/>
    </row>
    <row r="62" spans="1:12" x14ac:dyDescent="0.25">
      <c r="A62" s="17" t="s">
        <v>247</v>
      </c>
      <c r="B62" s="17" t="s">
        <v>88</v>
      </c>
      <c r="C62" s="18">
        <v>31500</v>
      </c>
      <c r="D62" s="17" t="s">
        <v>4</v>
      </c>
      <c r="E62" s="16" t="s">
        <v>220</v>
      </c>
      <c r="F62" s="16" t="s">
        <v>248</v>
      </c>
      <c r="G62" s="19">
        <f t="shared" ca="1" si="1"/>
        <v>269</v>
      </c>
      <c r="H62" s="17" t="s">
        <v>46</v>
      </c>
      <c r="I62" s="17" t="s">
        <v>85</v>
      </c>
      <c r="J62" s="16" t="s">
        <v>249</v>
      </c>
      <c r="K62" s="20">
        <v>0.35</v>
      </c>
      <c r="L62" s="17"/>
    </row>
    <row r="63" spans="1:12" x14ac:dyDescent="0.25">
      <c r="A63" s="17" t="s">
        <v>250</v>
      </c>
      <c r="B63" s="17" t="s">
        <v>73</v>
      </c>
      <c r="C63" s="18">
        <v>30000</v>
      </c>
      <c r="D63" s="17" t="s">
        <v>7</v>
      </c>
      <c r="E63" s="16" t="s">
        <v>239</v>
      </c>
      <c r="F63" s="16" t="s">
        <v>251</v>
      </c>
      <c r="G63" s="19">
        <f t="shared" ca="1" si="1"/>
        <v>278</v>
      </c>
      <c r="H63" s="17" t="s">
        <v>46</v>
      </c>
      <c r="I63" s="17" t="s">
        <v>171</v>
      </c>
      <c r="J63" s="16"/>
      <c r="K63" s="20">
        <v>0.92</v>
      </c>
      <c r="L63" s="17" t="s">
        <v>104</v>
      </c>
    </row>
    <row r="64" spans="1:12" x14ac:dyDescent="0.25">
      <c r="A64" s="17" t="s">
        <v>252</v>
      </c>
      <c r="B64" s="17" t="s">
        <v>88</v>
      </c>
      <c r="C64" s="18">
        <v>18500</v>
      </c>
      <c r="D64" s="17" t="s">
        <v>5</v>
      </c>
      <c r="E64" s="16" t="s">
        <v>253</v>
      </c>
      <c r="F64" s="16" t="s">
        <v>254</v>
      </c>
      <c r="G64" s="19">
        <f t="shared" ca="1" si="1"/>
        <v>274</v>
      </c>
      <c r="H64" s="17" t="s">
        <v>46</v>
      </c>
      <c r="I64" s="17" t="s">
        <v>191</v>
      </c>
      <c r="J64" s="16" t="s">
        <v>255</v>
      </c>
      <c r="K64" s="20">
        <v>0.55000000000000004</v>
      </c>
      <c r="L64" s="17"/>
    </row>
    <row r="65" spans="1:12" x14ac:dyDescent="0.25">
      <c r="A65" s="17" t="s">
        <v>256</v>
      </c>
      <c r="B65" s="17" t="s">
        <v>73</v>
      </c>
      <c r="C65" s="18">
        <v>23500</v>
      </c>
      <c r="D65" s="17" t="s">
        <v>6</v>
      </c>
      <c r="E65" s="16" t="s">
        <v>257</v>
      </c>
      <c r="F65" s="16" t="s">
        <v>254</v>
      </c>
      <c r="G65" s="19">
        <f t="shared" ca="1" si="1"/>
        <v>274</v>
      </c>
      <c r="H65" s="17" t="s">
        <v>46</v>
      </c>
      <c r="I65" s="17" t="s">
        <v>90</v>
      </c>
      <c r="J65" s="16" t="s">
        <v>258</v>
      </c>
      <c r="K65" s="20">
        <v>0.72</v>
      </c>
      <c r="L65" s="17"/>
    </row>
    <row r="66" spans="1:12" x14ac:dyDescent="0.25">
      <c r="A66" s="17" t="s">
        <v>259</v>
      </c>
      <c r="B66" s="17" t="s">
        <v>83</v>
      </c>
      <c r="C66" s="18">
        <v>14500</v>
      </c>
      <c r="D66" s="17" t="s">
        <v>3</v>
      </c>
      <c r="E66" s="16" t="s">
        <v>244</v>
      </c>
      <c r="F66" s="16" t="s">
        <v>260</v>
      </c>
      <c r="G66" s="19">
        <f t="shared" ca="1" si="1"/>
        <v>251</v>
      </c>
      <c r="H66" s="17" t="s">
        <v>46</v>
      </c>
      <c r="I66" s="17" t="s">
        <v>93</v>
      </c>
      <c r="J66" s="16" t="s">
        <v>261</v>
      </c>
      <c r="K66" s="20">
        <v>0.22</v>
      </c>
      <c r="L66" s="17"/>
    </row>
    <row r="67" spans="1:12" x14ac:dyDescent="0.25">
      <c r="A67" s="17" t="s">
        <v>262</v>
      </c>
      <c r="B67" s="17" t="s">
        <v>62</v>
      </c>
      <c r="C67" s="18">
        <v>12000</v>
      </c>
      <c r="D67" s="17" t="s">
        <v>6</v>
      </c>
      <c r="E67" s="16" t="s">
        <v>234</v>
      </c>
      <c r="F67" s="16" t="s">
        <v>263</v>
      </c>
      <c r="G67" s="19">
        <f t="shared" ca="1" si="1"/>
        <v>260</v>
      </c>
      <c r="H67" s="17" t="s">
        <v>46</v>
      </c>
      <c r="I67" s="17" t="s">
        <v>90</v>
      </c>
      <c r="J67" s="16" t="s">
        <v>264</v>
      </c>
      <c r="K67" s="20">
        <v>0.72</v>
      </c>
      <c r="L67" s="17"/>
    </row>
    <row r="68" spans="1:12" x14ac:dyDescent="0.25">
      <c r="A68" s="17" t="s">
        <v>265</v>
      </c>
      <c r="B68" s="17" t="s">
        <v>50</v>
      </c>
      <c r="C68" s="18">
        <v>25000</v>
      </c>
      <c r="D68" s="17" t="s">
        <v>4</v>
      </c>
      <c r="E68" s="16" t="s">
        <v>254</v>
      </c>
      <c r="F68" s="16" t="s">
        <v>264</v>
      </c>
      <c r="G68" s="19">
        <f t="shared" ref="G68:G99" ca="1" si="2">IF(F68="","",TODAY()-F68)</f>
        <v>249</v>
      </c>
      <c r="H68" s="17" t="s">
        <v>46</v>
      </c>
      <c r="I68" s="17" t="s">
        <v>85</v>
      </c>
      <c r="J68" s="16" t="s">
        <v>266</v>
      </c>
      <c r="K68" s="20">
        <v>0.35</v>
      </c>
      <c r="L68" s="17"/>
    </row>
    <row r="69" spans="1:12" x14ac:dyDescent="0.25">
      <c r="A69" s="17" t="s">
        <v>267</v>
      </c>
      <c r="B69" s="17" t="s">
        <v>43</v>
      </c>
      <c r="C69" s="18">
        <v>20000</v>
      </c>
      <c r="D69" s="17" t="s">
        <v>6</v>
      </c>
      <c r="E69" s="16" t="s">
        <v>268</v>
      </c>
      <c r="F69" s="16" t="s">
        <v>269</v>
      </c>
      <c r="G69" s="19">
        <f t="shared" ca="1" si="2"/>
        <v>255</v>
      </c>
      <c r="H69" s="17" t="s">
        <v>46</v>
      </c>
      <c r="I69" s="17" t="s">
        <v>90</v>
      </c>
      <c r="J69" s="16" t="s">
        <v>270</v>
      </c>
      <c r="K69" s="20">
        <v>0.72</v>
      </c>
      <c r="L69" s="17"/>
    </row>
    <row r="70" spans="1:12" x14ac:dyDescent="0.25">
      <c r="A70" s="17" t="s">
        <v>271</v>
      </c>
      <c r="B70" s="17" t="s">
        <v>56</v>
      </c>
      <c r="C70" s="18">
        <v>50500</v>
      </c>
      <c r="D70" s="17" t="s">
        <v>6</v>
      </c>
      <c r="E70" s="16" t="s">
        <v>272</v>
      </c>
      <c r="F70" s="16" t="s">
        <v>273</v>
      </c>
      <c r="G70" s="19">
        <f t="shared" ca="1" si="2"/>
        <v>247</v>
      </c>
      <c r="H70" s="17" t="s">
        <v>46</v>
      </c>
      <c r="I70" s="17" t="s">
        <v>90</v>
      </c>
      <c r="J70" s="16" t="s">
        <v>274</v>
      </c>
      <c r="K70" s="20">
        <v>0.72</v>
      </c>
      <c r="L70" s="17"/>
    </row>
    <row r="71" spans="1:12" x14ac:dyDescent="0.25">
      <c r="A71" s="17" t="s">
        <v>275</v>
      </c>
      <c r="B71" s="17" t="s">
        <v>88</v>
      </c>
      <c r="C71" s="18">
        <v>48000</v>
      </c>
      <c r="D71" s="17" t="s">
        <v>7</v>
      </c>
      <c r="E71" s="16" t="s">
        <v>258</v>
      </c>
      <c r="F71" s="16" t="s">
        <v>276</v>
      </c>
      <c r="G71" s="19">
        <f t="shared" ca="1" si="2"/>
        <v>253</v>
      </c>
      <c r="H71" s="17" t="s">
        <v>46</v>
      </c>
      <c r="I71" s="17" t="s">
        <v>171</v>
      </c>
      <c r="J71" s="16"/>
      <c r="K71" s="20">
        <v>0.92</v>
      </c>
      <c r="L71" s="17" t="s">
        <v>113</v>
      </c>
    </row>
    <row r="72" spans="1:12" x14ac:dyDescent="0.25">
      <c r="A72" s="17" t="s">
        <v>277</v>
      </c>
      <c r="B72" s="17" t="s">
        <v>73</v>
      </c>
      <c r="C72" s="18">
        <v>20500</v>
      </c>
      <c r="D72" s="17" t="s">
        <v>4</v>
      </c>
      <c r="E72" s="16" t="s">
        <v>278</v>
      </c>
      <c r="F72" s="16" t="s">
        <v>279</v>
      </c>
      <c r="G72" s="19">
        <f t="shared" ca="1" si="2"/>
        <v>231</v>
      </c>
      <c r="H72" s="17" t="s">
        <v>46</v>
      </c>
      <c r="I72" s="17" t="s">
        <v>85</v>
      </c>
      <c r="J72" s="16" t="s">
        <v>280</v>
      </c>
      <c r="K72" s="20">
        <v>0.35</v>
      </c>
      <c r="L72" s="17"/>
    </row>
    <row r="73" spans="1:12" x14ac:dyDescent="0.25">
      <c r="A73" s="17" t="s">
        <v>281</v>
      </c>
      <c r="B73" s="17" t="s">
        <v>83</v>
      </c>
      <c r="C73" s="18">
        <v>27500</v>
      </c>
      <c r="D73" s="17" t="s">
        <v>4</v>
      </c>
      <c r="E73" s="16" t="s">
        <v>282</v>
      </c>
      <c r="F73" s="16" t="s">
        <v>266</v>
      </c>
      <c r="G73" s="19">
        <f t="shared" ca="1" si="2"/>
        <v>244</v>
      </c>
      <c r="H73" s="17" t="s">
        <v>46</v>
      </c>
      <c r="I73" s="17" t="s">
        <v>85</v>
      </c>
      <c r="J73" s="16" t="s">
        <v>283</v>
      </c>
      <c r="K73" s="20">
        <v>0.35</v>
      </c>
      <c r="L73" s="17"/>
    </row>
    <row r="74" spans="1:12" x14ac:dyDescent="0.25">
      <c r="A74" s="17" t="s">
        <v>284</v>
      </c>
      <c r="B74" s="17" t="s">
        <v>62</v>
      </c>
      <c r="C74" s="18">
        <v>42000</v>
      </c>
      <c r="D74" s="17" t="s">
        <v>4</v>
      </c>
      <c r="E74" s="16" t="s">
        <v>285</v>
      </c>
      <c r="F74" s="16" t="s">
        <v>286</v>
      </c>
      <c r="G74" s="19">
        <f t="shared" ca="1" si="2"/>
        <v>238</v>
      </c>
      <c r="H74" s="17" t="s">
        <v>46</v>
      </c>
      <c r="I74" s="17" t="s">
        <v>85</v>
      </c>
      <c r="J74" s="16" t="s">
        <v>287</v>
      </c>
      <c r="K74" s="20">
        <v>0.35</v>
      </c>
      <c r="L74" s="17"/>
    </row>
    <row r="75" spans="1:12" x14ac:dyDescent="0.25">
      <c r="A75" s="17" t="s">
        <v>288</v>
      </c>
      <c r="B75" s="17" t="s">
        <v>50</v>
      </c>
      <c r="C75" s="18">
        <v>15500</v>
      </c>
      <c r="D75" s="17" t="s">
        <v>6</v>
      </c>
      <c r="E75" s="16" t="s">
        <v>276</v>
      </c>
      <c r="F75" s="16" t="s">
        <v>286</v>
      </c>
      <c r="G75" s="19">
        <f t="shared" ca="1" si="2"/>
        <v>238</v>
      </c>
      <c r="H75" s="17" t="s">
        <v>46</v>
      </c>
      <c r="I75" s="17" t="s">
        <v>90</v>
      </c>
      <c r="J75" s="16" t="s">
        <v>289</v>
      </c>
      <c r="K75" s="20">
        <v>0.72</v>
      </c>
      <c r="L75" s="17"/>
    </row>
    <row r="76" spans="1:12" x14ac:dyDescent="0.25">
      <c r="A76" s="17" t="s">
        <v>290</v>
      </c>
      <c r="B76" s="17" t="s">
        <v>43</v>
      </c>
      <c r="C76" s="18">
        <v>37500</v>
      </c>
      <c r="D76" s="17" t="s">
        <v>5</v>
      </c>
      <c r="E76" s="16" t="s">
        <v>291</v>
      </c>
      <c r="F76" s="16" t="s">
        <v>261</v>
      </c>
      <c r="G76" s="19">
        <f t="shared" ca="1" si="2"/>
        <v>239</v>
      </c>
      <c r="H76" s="17" t="s">
        <v>46</v>
      </c>
      <c r="I76" s="17" t="s">
        <v>191</v>
      </c>
      <c r="J76" s="16" t="s">
        <v>292</v>
      </c>
      <c r="K76" s="20">
        <v>0.55000000000000004</v>
      </c>
      <c r="L76" s="17"/>
    </row>
    <row r="77" spans="1:12" x14ac:dyDescent="0.25">
      <c r="A77" s="17" t="s">
        <v>293</v>
      </c>
      <c r="B77" s="17" t="s">
        <v>56</v>
      </c>
      <c r="C77" s="18">
        <v>19500</v>
      </c>
      <c r="D77" s="17" t="s">
        <v>6</v>
      </c>
      <c r="E77" s="16" t="s">
        <v>273</v>
      </c>
      <c r="F77" s="16" t="s">
        <v>294</v>
      </c>
      <c r="G77" s="19">
        <f t="shared" ca="1" si="2"/>
        <v>233</v>
      </c>
      <c r="H77" s="17" t="s">
        <v>46</v>
      </c>
      <c r="I77" s="17" t="s">
        <v>90</v>
      </c>
      <c r="J77" s="16" t="s">
        <v>295</v>
      </c>
      <c r="K77" s="20">
        <v>0.72</v>
      </c>
      <c r="L77" s="17"/>
    </row>
    <row r="78" spans="1:12" x14ac:dyDescent="0.25">
      <c r="A78" s="17" t="s">
        <v>296</v>
      </c>
      <c r="B78" s="17" t="s">
        <v>88</v>
      </c>
      <c r="C78" s="18">
        <v>52500</v>
      </c>
      <c r="D78" s="17" t="s">
        <v>5</v>
      </c>
      <c r="E78" s="16" t="s">
        <v>266</v>
      </c>
      <c r="F78" s="16" t="s">
        <v>279</v>
      </c>
      <c r="G78" s="19">
        <f t="shared" ca="1" si="2"/>
        <v>231</v>
      </c>
      <c r="H78" s="17" t="s">
        <v>46</v>
      </c>
      <c r="I78" s="17" t="s">
        <v>191</v>
      </c>
      <c r="J78" s="16" t="s">
        <v>287</v>
      </c>
      <c r="K78" s="20">
        <v>0.55000000000000004</v>
      </c>
      <c r="L78" s="17"/>
    </row>
    <row r="79" spans="1:12" x14ac:dyDescent="0.25">
      <c r="A79" s="17" t="s">
        <v>297</v>
      </c>
      <c r="B79" s="17" t="s">
        <v>73</v>
      </c>
      <c r="C79" s="18">
        <v>45500</v>
      </c>
      <c r="D79" s="17" t="s">
        <v>3</v>
      </c>
      <c r="E79" s="16" t="s">
        <v>283</v>
      </c>
      <c r="F79" s="16" t="s">
        <v>294</v>
      </c>
      <c r="G79" s="19">
        <f t="shared" ca="1" si="2"/>
        <v>233</v>
      </c>
      <c r="H79" s="17" t="s">
        <v>46</v>
      </c>
      <c r="I79" s="17" t="s">
        <v>93</v>
      </c>
      <c r="J79" s="16" t="s">
        <v>298</v>
      </c>
      <c r="K79" s="20">
        <v>0.22</v>
      </c>
      <c r="L79" s="17"/>
    </row>
    <row r="80" spans="1:12" x14ac:dyDescent="0.25">
      <c r="A80" s="17" t="s">
        <v>299</v>
      </c>
      <c r="B80" s="17" t="s">
        <v>83</v>
      </c>
      <c r="C80" s="18">
        <v>44000</v>
      </c>
      <c r="D80" s="17" t="s">
        <v>4</v>
      </c>
      <c r="E80" s="16" t="s">
        <v>286</v>
      </c>
      <c r="F80" s="16" t="s">
        <v>300</v>
      </c>
      <c r="G80" s="19">
        <f t="shared" ca="1" si="2"/>
        <v>221</v>
      </c>
      <c r="H80" s="17" t="s">
        <v>46</v>
      </c>
      <c r="I80" s="17" t="s">
        <v>85</v>
      </c>
      <c r="J80" s="16" t="s">
        <v>301</v>
      </c>
      <c r="K80" s="20">
        <v>0.35</v>
      </c>
      <c r="L80" s="17"/>
    </row>
    <row r="81" spans="1:12" x14ac:dyDescent="0.25">
      <c r="A81" s="17" t="s">
        <v>302</v>
      </c>
      <c r="B81" s="17" t="s">
        <v>62</v>
      </c>
      <c r="C81" s="18">
        <v>43000</v>
      </c>
      <c r="D81" s="17" t="s">
        <v>3</v>
      </c>
      <c r="E81" s="16" t="s">
        <v>274</v>
      </c>
      <c r="F81" s="16" t="s">
        <v>303</v>
      </c>
      <c r="G81" s="19">
        <f t="shared" ca="1" si="2"/>
        <v>211</v>
      </c>
      <c r="H81" s="17" t="s">
        <v>46</v>
      </c>
      <c r="I81" s="17" t="s">
        <v>93</v>
      </c>
      <c r="J81" s="16" t="s">
        <v>304</v>
      </c>
      <c r="K81" s="20">
        <v>0.22</v>
      </c>
      <c r="L81" s="17"/>
    </row>
    <row r="82" spans="1:12" x14ac:dyDescent="0.25">
      <c r="A82" s="17" t="s">
        <v>305</v>
      </c>
      <c r="B82" s="17" t="s">
        <v>50</v>
      </c>
      <c r="C82" s="18">
        <v>30500</v>
      </c>
      <c r="D82" s="17" t="s">
        <v>4</v>
      </c>
      <c r="E82" s="16" t="s">
        <v>306</v>
      </c>
      <c r="F82" s="16" t="s">
        <v>307</v>
      </c>
      <c r="G82" s="19">
        <f t="shared" ca="1" si="2"/>
        <v>220</v>
      </c>
      <c r="H82" s="17" t="s">
        <v>46</v>
      </c>
      <c r="I82" s="17" t="s">
        <v>85</v>
      </c>
      <c r="J82" s="16" t="s">
        <v>308</v>
      </c>
      <c r="K82" s="20">
        <v>0.35</v>
      </c>
      <c r="L82" s="17"/>
    </row>
    <row r="83" spans="1:12" x14ac:dyDescent="0.25">
      <c r="A83" s="17" t="s">
        <v>309</v>
      </c>
      <c r="B83" s="17" t="s">
        <v>43</v>
      </c>
      <c r="C83" s="18">
        <v>35000</v>
      </c>
      <c r="D83" s="17" t="s">
        <v>3</v>
      </c>
      <c r="E83" s="16" t="s">
        <v>292</v>
      </c>
      <c r="F83" s="16" t="s">
        <v>310</v>
      </c>
      <c r="G83" s="19">
        <f t="shared" ca="1" si="2"/>
        <v>210</v>
      </c>
      <c r="H83" s="17" t="s">
        <v>46</v>
      </c>
      <c r="I83" s="17" t="s">
        <v>93</v>
      </c>
      <c r="J83" s="16" t="s">
        <v>311</v>
      </c>
      <c r="K83" s="20">
        <v>0.22</v>
      </c>
      <c r="L83" s="17"/>
    </row>
    <row r="84" spans="1:12" x14ac:dyDescent="0.25">
      <c r="A84" s="17" t="s">
        <v>312</v>
      </c>
      <c r="B84" s="17" t="s">
        <v>56</v>
      </c>
      <c r="C84" s="18">
        <v>51000</v>
      </c>
      <c r="D84" s="17" t="s">
        <v>4</v>
      </c>
      <c r="E84" s="16" t="s">
        <v>287</v>
      </c>
      <c r="F84" s="16" t="s">
        <v>313</v>
      </c>
      <c r="G84" s="19">
        <f t="shared" ca="1" si="2"/>
        <v>204</v>
      </c>
      <c r="H84" s="17" t="s">
        <v>46</v>
      </c>
      <c r="I84" s="17" t="s">
        <v>85</v>
      </c>
      <c r="J84" s="16" t="s">
        <v>314</v>
      </c>
      <c r="K84" s="20">
        <v>0.35</v>
      </c>
      <c r="L84" s="17"/>
    </row>
    <row r="85" spans="1:12" x14ac:dyDescent="0.25">
      <c r="A85" s="17" t="s">
        <v>315</v>
      </c>
      <c r="B85" s="17" t="s">
        <v>88</v>
      </c>
      <c r="C85" s="18">
        <v>19000</v>
      </c>
      <c r="D85" s="17" t="s">
        <v>5</v>
      </c>
      <c r="E85" s="16" t="s">
        <v>295</v>
      </c>
      <c r="F85" s="16" t="s">
        <v>311</v>
      </c>
      <c r="G85" s="19">
        <f t="shared" ca="1" si="2"/>
        <v>199</v>
      </c>
      <c r="H85" s="17" t="s">
        <v>46</v>
      </c>
      <c r="I85" s="17" t="s">
        <v>191</v>
      </c>
      <c r="J85" s="16" t="s">
        <v>316</v>
      </c>
      <c r="K85" s="20">
        <v>0.55000000000000004</v>
      </c>
      <c r="L85" s="17"/>
    </row>
    <row r="86" spans="1:12" x14ac:dyDescent="0.25">
      <c r="A86" s="17" t="s">
        <v>317</v>
      </c>
      <c r="B86" s="17" t="s">
        <v>73</v>
      </c>
      <c r="C86" s="18">
        <v>27000</v>
      </c>
      <c r="D86" s="17" t="s">
        <v>4</v>
      </c>
      <c r="E86" s="16" t="s">
        <v>307</v>
      </c>
      <c r="F86" s="16" t="s">
        <v>318</v>
      </c>
      <c r="G86" s="19">
        <f t="shared" ca="1" si="2"/>
        <v>206</v>
      </c>
      <c r="H86" s="17" t="s">
        <v>46</v>
      </c>
      <c r="I86" s="17" t="s">
        <v>85</v>
      </c>
      <c r="J86" s="16" t="s">
        <v>319</v>
      </c>
      <c r="K86" s="20">
        <v>0.35</v>
      </c>
      <c r="L86" s="17"/>
    </row>
    <row r="87" spans="1:12" x14ac:dyDescent="0.25">
      <c r="A87" s="17" t="s">
        <v>320</v>
      </c>
      <c r="B87" s="17" t="s">
        <v>83</v>
      </c>
      <c r="C87" s="18">
        <v>31500</v>
      </c>
      <c r="D87" s="17" t="s">
        <v>4</v>
      </c>
      <c r="E87" s="16" t="s">
        <v>321</v>
      </c>
      <c r="F87" s="16" t="s">
        <v>310</v>
      </c>
      <c r="G87" s="19">
        <f t="shared" ca="1" si="2"/>
        <v>210</v>
      </c>
      <c r="H87" s="17" t="s">
        <v>46</v>
      </c>
      <c r="I87" s="17" t="s">
        <v>85</v>
      </c>
      <c r="J87" s="16" t="s">
        <v>322</v>
      </c>
      <c r="K87" s="20">
        <v>0.35</v>
      </c>
      <c r="L87" s="17"/>
    </row>
    <row r="88" spans="1:12" x14ac:dyDescent="0.25">
      <c r="A88" s="17" t="s">
        <v>323</v>
      </c>
      <c r="B88" s="17" t="s">
        <v>62</v>
      </c>
      <c r="C88" s="18">
        <v>43000</v>
      </c>
      <c r="D88" s="17" t="s">
        <v>8</v>
      </c>
      <c r="E88" s="16" t="s">
        <v>324</v>
      </c>
      <c r="F88" s="16" t="s">
        <v>319</v>
      </c>
      <c r="G88" s="19">
        <f t="shared" ca="1" si="2"/>
        <v>202</v>
      </c>
      <c r="H88" s="17" t="s">
        <v>46</v>
      </c>
      <c r="I88" s="17" t="s">
        <v>166</v>
      </c>
      <c r="J88" s="16"/>
      <c r="K88" s="20">
        <v>0</v>
      </c>
      <c r="L88" s="17" t="s">
        <v>174</v>
      </c>
    </row>
    <row r="89" spans="1:12" x14ac:dyDescent="0.25">
      <c r="A89" s="17" t="s">
        <v>325</v>
      </c>
      <c r="B89" s="17" t="s">
        <v>50</v>
      </c>
      <c r="C89" s="18">
        <v>12000</v>
      </c>
      <c r="D89" s="17" t="s">
        <v>4</v>
      </c>
      <c r="E89" s="16" t="s">
        <v>303</v>
      </c>
      <c r="F89" s="16" t="s">
        <v>326</v>
      </c>
      <c r="G89" s="19">
        <f t="shared" ca="1" si="2"/>
        <v>180</v>
      </c>
      <c r="H89" s="17" t="s">
        <v>46</v>
      </c>
      <c r="I89" s="17" t="s">
        <v>85</v>
      </c>
      <c r="J89" s="16" t="s">
        <v>327</v>
      </c>
      <c r="K89" s="20">
        <v>0.35</v>
      </c>
      <c r="L89" s="17"/>
    </row>
    <row r="90" spans="1:12" x14ac:dyDescent="0.25">
      <c r="A90" s="17" t="s">
        <v>328</v>
      </c>
      <c r="B90" s="17" t="s">
        <v>43</v>
      </c>
      <c r="C90" s="18">
        <v>41500</v>
      </c>
      <c r="D90" s="17" t="s">
        <v>5</v>
      </c>
      <c r="E90" s="16" t="s">
        <v>329</v>
      </c>
      <c r="F90" s="16" t="s">
        <v>330</v>
      </c>
      <c r="G90" s="19">
        <f t="shared" ca="1" si="2"/>
        <v>177</v>
      </c>
      <c r="H90" s="17" t="s">
        <v>46</v>
      </c>
      <c r="I90" s="17" t="s">
        <v>191</v>
      </c>
      <c r="J90" s="16" t="s">
        <v>331</v>
      </c>
      <c r="K90" s="20">
        <v>0.55000000000000004</v>
      </c>
      <c r="L90" s="17"/>
    </row>
    <row r="91" spans="1:12" x14ac:dyDescent="0.25">
      <c r="A91" s="17" t="s">
        <v>332</v>
      </c>
      <c r="B91" s="17" t="s">
        <v>56</v>
      </c>
      <c r="C91" s="18">
        <v>39000</v>
      </c>
      <c r="D91" s="17" t="s">
        <v>5</v>
      </c>
      <c r="E91" s="16" t="s">
        <v>333</v>
      </c>
      <c r="F91" s="16" t="s">
        <v>334</v>
      </c>
      <c r="G91" s="19">
        <f t="shared" ca="1" si="2"/>
        <v>191</v>
      </c>
      <c r="H91" s="17" t="s">
        <v>46</v>
      </c>
      <c r="I91" s="17" t="s">
        <v>191</v>
      </c>
      <c r="J91" s="16" t="s">
        <v>335</v>
      </c>
      <c r="K91" s="20">
        <v>0.55000000000000004</v>
      </c>
      <c r="L91" s="17"/>
    </row>
    <row r="92" spans="1:12" x14ac:dyDescent="0.25">
      <c r="A92" s="17" t="s">
        <v>336</v>
      </c>
      <c r="B92" s="17" t="s">
        <v>88</v>
      </c>
      <c r="C92" s="18">
        <v>39000</v>
      </c>
      <c r="D92" s="17" t="s">
        <v>3</v>
      </c>
      <c r="E92" s="16" t="s">
        <v>319</v>
      </c>
      <c r="F92" s="16" t="s">
        <v>337</v>
      </c>
      <c r="G92" s="19">
        <f t="shared" ca="1" si="2"/>
        <v>197</v>
      </c>
      <c r="H92" s="17" t="s">
        <v>46</v>
      </c>
      <c r="I92" s="17" t="s">
        <v>93</v>
      </c>
      <c r="J92" s="16" t="s">
        <v>335</v>
      </c>
      <c r="K92" s="20">
        <v>0.22</v>
      </c>
      <c r="L92" s="17"/>
    </row>
    <row r="93" spans="1:12" x14ac:dyDescent="0.25">
      <c r="A93" s="17" t="s">
        <v>338</v>
      </c>
      <c r="B93" s="17" t="s">
        <v>73</v>
      </c>
      <c r="C93" s="18">
        <v>37000</v>
      </c>
      <c r="D93" s="17" t="s">
        <v>5</v>
      </c>
      <c r="E93" s="16" t="s">
        <v>311</v>
      </c>
      <c r="F93" s="16" t="s">
        <v>339</v>
      </c>
      <c r="G93" s="19">
        <f t="shared" ca="1" si="2"/>
        <v>192</v>
      </c>
      <c r="H93" s="17" t="s">
        <v>46</v>
      </c>
      <c r="I93" s="17" t="s">
        <v>191</v>
      </c>
      <c r="J93" s="16" t="s">
        <v>340</v>
      </c>
      <c r="K93" s="20">
        <v>0.55000000000000004</v>
      </c>
      <c r="L93" s="17"/>
    </row>
    <row r="94" spans="1:12" x14ac:dyDescent="0.25">
      <c r="A94" s="17" t="s">
        <v>341</v>
      </c>
      <c r="B94" s="17" t="s">
        <v>83</v>
      </c>
      <c r="C94" s="18">
        <v>34500</v>
      </c>
      <c r="D94" s="17" t="s">
        <v>7</v>
      </c>
      <c r="E94" s="16" t="s">
        <v>316</v>
      </c>
      <c r="F94" s="16" t="s">
        <v>327</v>
      </c>
      <c r="G94" s="19">
        <f t="shared" ca="1" si="2"/>
        <v>173</v>
      </c>
      <c r="H94" s="17" t="s">
        <v>46</v>
      </c>
      <c r="I94" s="17" t="s">
        <v>171</v>
      </c>
      <c r="J94" s="16"/>
      <c r="K94" s="20">
        <v>0.92</v>
      </c>
      <c r="L94" s="17" t="s">
        <v>342</v>
      </c>
    </row>
    <row r="95" spans="1:12" x14ac:dyDescent="0.25">
      <c r="A95" s="17" t="s">
        <v>343</v>
      </c>
      <c r="B95" s="17" t="s">
        <v>62</v>
      </c>
      <c r="C95" s="18">
        <v>18000</v>
      </c>
      <c r="D95" s="17" t="s">
        <v>3</v>
      </c>
      <c r="E95" s="16" t="s">
        <v>314</v>
      </c>
      <c r="F95" s="16" t="s">
        <v>344</v>
      </c>
      <c r="G95" s="19">
        <f t="shared" ca="1" si="2"/>
        <v>172</v>
      </c>
      <c r="H95" s="17" t="s">
        <v>46</v>
      </c>
      <c r="I95" s="17" t="s">
        <v>93</v>
      </c>
      <c r="J95" s="16" t="s">
        <v>345</v>
      </c>
      <c r="K95" s="20">
        <v>0.22</v>
      </c>
      <c r="L95" s="17"/>
    </row>
    <row r="96" spans="1:12" x14ac:dyDescent="0.25">
      <c r="A96" s="17" t="s">
        <v>346</v>
      </c>
      <c r="B96" s="17" t="s">
        <v>50</v>
      </c>
      <c r="C96" s="18">
        <v>42000</v>
      </c>
      <c r="D96" s="17" t="s">
        <v>3</v>
      </c>
      <c r="E96" s="16" t="s">
        <v>347</v>
      </c>
      <c r="F96" s="16" t="s">
        <v>348</v>
      </c>
      <c r="G96" s="19">
        <f t="shared" ca="1" si="2"/>
        <v>158</v>
      </c>
      <c r="H96" s="17" t="s">
        <v>46</v>
      </c>
      <c r="I96" s="17" t="s">
        <v>93</v>
      </c>
      <c r="J96" s="16" t="s">
        <v>349</v>
      </c>
      <c r="K96" s="20">
        <v>0.22</v>
      </c>
      <c r="L96" s="17"/>
    </row>
    <row r="97" spans="1:12" x14ac:dyDescent="0.25">
      <c r="A97" s="17" t="s">
        <v>350</v>
      </c>
      <c r="B97" s="17" t="s">
        <v>43</v>
      </c>
      <c r="C97" s="18">
        <v>36500</v>
      </c>
      <c r="D97" s="17" t="s">
        <v>4</v>
      </c>
      <c r="E97" s="16" t="s">
        <v>335</v>
      </c>
      <c r="F97" s="16" t="s">
        <v>351</v>
      </c>
      <c r="G97" s="19">
        <f t="shared" ca="1" si="2"/>
        <v>159</v>
      </c>
      <c r="H97" s="17" t="s">
        <v>46</v>
      </c>
      <c r="I97" s="17" t="s">
        <v>85</v>
      </c>
      <c r="J97" s="16" t="s">
        <v>352</v>
      </c>
      <c r="K97" s="20">
        <v>0.35</v>
      </c>
      <c r="L97" s="17"/>
    </row>
    <row r="98" spans="1:12" x14ac:dyDescent="0.25">
      <c r="A98" s="17" t="s">
        <v>353</v>
      </c>
      <c r="B98" s="17" t="s">
        <v>56</v>
      </c>
      <c r="C98" s="18">
        <v>24000</v>
      </c>
      <c r="D98" s="17" t="s">
        <v>3</v>
      </c>
      <c r="E98" s="16" t="s">
        <v>354</v>
      </c>
      <c r="F98" s="16" t="s">
        <v>330</v>
      </c>
      <c r="G98" s="19">
        <f t="shared" ca="1" si="2"/>
        <v>177</v>
      </c>
      <c r="H98" s="17" t="s">
        <v>46</v>
      </c>
      <c r="I98" s="17" t="s">
        <v>93</v>
      </c>
      <c r="J98" s="16" t="s">
        <v>355</v>
      </c>
      <c r="K98" s="20">
        <v>0.22</v>
      </c>
      <c r="L98" s="17"/>
    </row>
    <row r="99" spans="1:12" x14ac:dyDescent="0.25">
      <c r="A99" s="17" t="s">
        <v>356</v>
      </c>
      <c r="B99" s="17" t="s">
        <v>88</v>
      </c>
      <c r="C99" s="18">
        <v>49000</v>
      </c>
      <c r="D99" s="17" t="s">
        <v>7</v>
      </c>
      <c r="E99" s="16" t="s">
        <v>357</v>
      </c>
      <c r="F99" s="16" t="s">
        <v>331</v>
      </c>
      <c r="G99" s="19">
        <f t="shared" ca="1" si="2"/>
        <v>166</v>
      </c>
      <c r="H99" s="17" t="s">
        <v>46</v>
      </c>
      <c r="I99" s="17" t="s">
        <v>171</v>
      </c>
      <c r="J99" s="16"/>
      <c r="K99" s="20">
        <v>0.92</v>
      </c>
      <c r="L99" s="17" t="s">
        <v>104</v>
      </c>
    </row>
    <row r="100" spans="1:12" x14ac:dyDescent="0.25">
      <c r="A100" s="17" t="s">
        <v>358</v>
      </c>
      <c r="B100" s="17" t="s">
        <v>73</v>
      </c>
      <c r="C100" s="18">
        <v>25000</v>
      </c>
      <c r="D100" s="17" t="s">
        <v>5</v>
      </c>
      <c r="E100" s="16" t="s">
        <v>359</v>
      </c>
      <c r="F100" s="16" t="s">
        <v>360</v>
      </c>
      <c r="G100" s="19">
        <f t="shared" ref="G100:G131" ca="1" si="3">IF(F100="","",TODAY()-F100)</f>
        <v>146</v>
      </c>
      <c r="H100" s="17" t="s">
        <v>46</v>
      </c>
      <c r="I100" s="17" t="s">
        <v>191</v>
      </c>
      <c r="J100" s="16" t="s">
        <v>361</v>
      </c>
      <c r="K100" s="20">
        <v>0.55000000000000004</v>
      </c>
      <c r="L100" s="17"/>
    </row>
    <row r="101" spans="1:12" x14ac:dyDescent="0.25">
      <c r="A101" s="17" t="s">
        <v>362</v>
      </c>
      <c r="B101" s="17" t="s">
        <v>83</v>
      </c>
      <c r="C101" s="18">
        <v>25000</v>
      </c>
      <c r="D101" s="17" t="s">
        <v>6</v>
      </c>
      <c r="E101" s="16" t="s">
        <v>363</v>
      </c>
      <c r="F101" s="16" t="s">
        <v>364</v>
      </c>
      <c r="G101" s="19">
        <f t="shared" ca="1" si="3"/>
        <v>153</v>
      </c>
      <c r="H101" s="17" t="s">
        <v>46</v>
      </c>
      <c r="I101" s="17" t="s">
        <v>90</v>
      </c>
      <c r="J101" s="16" t="s">
        <v>365</v>
      </c>
      <c r="K101" s="20">
        <v>0.72</v>
      </c>
      <c r="L101" s="17"/>
    </row>
    <row r="102" spans="1:12" x14ac:dyDescent="0.25">
      <c r="A102" s="17" t="s">
        <v>366</v>
      </c>
      <c r="B102" s="17" t="s">
        <v>62</v>
      </c>
      <c r="C102" s="18">
        <v>21000</v>
      </c>
      <c r="D102" s="17" t="s">
        <v>7</v>
      </c>
      <c r="E102" s="16" t="s">
        <v>344</v>
      </c>
      <c r="F102" s="16" t="s">
        <v>367</v>
      </c>
      <c r="G102" s="19">
        <f t="shared" ca="1" si="3"/>
        <v>152</v>
      </c>
      <c r="H102" s="17" t="s">
        <v>46</v>
      </c>
      <c r="I102" s="17" t="s">
        <v>171</v>
      </c>
      <c r="J102" s="16"/>
      <c r="K102" s="20">
        <v>0.92</v>
      </c>
      <c r="L102" s="17" t="s">
        <v>104</v>
      </c>
    </row>
    <row r="103" spans="1:12" x14ac:dyDescent="0.25">
      <c r="A103" s="17" t="s">
        <v>368</v>
      </c>
      <c r="B103" s="17" t="s">
        <v>50</v>
      </c>
      <c r="C103" s="18">
        <v>27500</v>
      </c>
      <c r="D103" s="17" t="s">
        <v>6</v>
      </c>
      <c r="E103" s="16" t="s">
        <v>369</v>
      </c>
      <c r="F103" s="16" t="s">
        <v>370</v>
      </c>
      <c r="G103" s="19">
        <f t="shared" ca="1" si="3"/>
        <v>148</v>
      </c>
      <c r="H103" s="17" t="s">
        <v>46</v>
      </c>
      <c r="I103" s="17" t="s">
        <v>90</v>
      </c>
      <c r="J103" s="16" t="s">
        <v>371</v>
      </c>
      <c r="K103" s="20">
        <v>0.72</v>
      </c>
      <c r="L103" s="17"/>
    </row>
    <row r="104" spans="1:12" x14ac:dyDescent="0.25">
      <c r="A104" s="17" t="s">
        <v>372</v>
      </c>
      <c r="B104" s="17" t="s">
        <v>43</v>
      </c>
      <c r="C104" s="18">
        <v>29500</v>
      </c>
      <c r="D104" s="17" t="s">
        <v>4</v>
      </c>
      <c r="E104" s="16" t="s">
        <v>331</v>
      </c>
      <c r="F104" s="16" t="s">
        <v>370</v>
      </c>
      <c r="G104" s="19">
        <f t="shared" ca="1" si="3"/>
        <v>148</v>
      </c>
      <c r="H104" s="17" t="s">
        <v>46</v>
      </c>
      <c r="I104" s="17" t="s">
        <v>85</v>
      </c>
      <c r="J104" s="16" t="s">
        <v>373</v>
      </c>
      <c r="K104" s="20">
        <v>0.35</v>
      </c>
      <c r="L104" s="17"/>
    </row>
    <row r="105" spans="1:12" x14ac:dyDescent="0.25">
      <c r="A105" s="17" t="s">
        <v>374</v>
      </c>
      <c r="B105" s="17" t="s">
        <v>56</v>
      </c>
      <c r="C105" s="18">
        <v>55000</v>
      </c>
      <c r="D105" s="17" t="s">
        <v>6</v>
      </c>
      <c r="E105" s="16" t="s">
        <v>375</v>
      </c>
      <c r="F105" s="16" t="s">
        <v>376</v>
      </c>
      <c r="G105" s="19">
        <f t="shared" ca="1" si="3"/>
        <v>156</v>
      </c>
      <c r="H105" s="17" t="s">
        <v>46</v>
      </c>
      <c r="I105" s="17" t="s">
        <v>90</v>
      </c>
      <c r="J105" s="16" t="s">
        <v>352</v>
      </c>
      <c r="K105" s="20">
        <v>0.72</v>
      </c>
      <c r="L105" s="17"/>
    </row>
    <row r="106" spans="1:12" x14ac:dyDescent="0.25">
      <c r="A106" s="17" t="s">
        <v>377</v>
      </c>
      <c r="B106" s="17" t="s">
        <v>88</v>
      </c>
      <c r="C106" s="18">
        <v>35000</v>
      </c>
      <c r="D106" s="17" t="s">
        <v>5</v>
      </c>
      <c r="E106" s="16" t="s">
        <v>378</v>
      </c>
      <c r="F106" s="16" t="s">
        <v>349</v>
      </c>
      <c r="G106" s="19">
        <f t="shared" ca="1" si="3"/>
        <v>147</v>
      </c>
      <c r="H106" s="17" t="s">
        <v>46</v>
      </c>
      <c r="I106" s="17" t="s">
        <v>191</v>
      </c>
      <c r="J106" s="16" t="s">
        <v>365</v>
      </c>
      <c r="K106" s="20">
        <v>0.55000000000000004</v>
      </c>
      <c r="L106" s="17"/>
    </row>
    <row r="107" spans="1:12" x14ac:dyDescent="0.25">
      <c r="A107" s="17" t="s">
        <v>379</v>
      </c>
      <c r="B107" s="17" t="s">
        <v>73</v>
      </c>
      <c r="C107" s="18">
        <v>22500</v>
      </c>
      <c r="D107" s="17" t="s">
        <v>3</v>
      </c>
      <c r="E107" s="16" t="s">
        <v>380</v>
      </c>
      <c r="F107" s="16" t="s">
        <v>371</v>
      </c>
      <c r="G107" s="19">
        <f t="shared" ca="1" si="3"/>
        <v>141</v>
      </c>
      <c r="H107" s="17" t="s">
        <v>46</v>
      </c>
      <c r="I107" s="17" t="s">
        <v>93</v>
      </c>
      <c r="J107" s="16" t="s">
        <v>381</v>
      </c>
      <c r="K107" s="20">
        <v>0.22</v>
      </c>
      <c r="L107" s="17"/>
    </row>
    <row r="108" spans="1:12" x14ac:dyDescent="0.25">
      <c r="A108" s="17" t="s">
        <v>382</v>
      </c>
      <c r="B108" s="17" t="s">
        <v>83</v>
      </c>
      <c r="C108" s="18">
        <v>23500</v>
      </c>
      <c r="D108" s="17" t="s">
        <v>4</v>
      </c>
      <c r="E108" s="16" t="s">
        <v>383</v>
      </c>
      <c r="F108" s="16" t="s">
        <v>384</v>
      </c>
      <c r="G108" s="19">
        <f t="shared" ca="1" si="3"/>
        <v>145</v>
      </c>
      <c r="H108" s="17" t="s">
        <v>46</v>
      </c>
      <c r="I108" s="17" t="s">
        <v>85</v>
      </c>
      <c r="J108" s="16" t="s">
        <v>385</v>
      </c>
      <c r="K108" s="20">
        <v>0.35</v>
      </c>
      <c r="L108" s="17"/>
    </row>
    <row r="109" spans="1:12" x14ac:dyDescent="0.25">
      <c r="A109" s="17" t="s">
        <v>386</v>
      </c>
      <c r="B109" s="17" t="s">
        <v>62</v>
      </c>
      <c r="C109" s="18">
        <v>41500</v>
      </c>
      <c r="D109" s="17" t="s">
        <v>5</v>
      </c>
      <c r="E109" s="16" t="s">
        <v>387</v>
      </c>
      <c r="F109" s="16" t="s">
        <v>388</v>
      </c>
      <c r="G109" s="19">
        <f t="shared" ca="1" si="3"/>
        <v>119</v>
      </c>
      <c r="H109" s="17" t="s">
        <v>46</v>
      </c>
      <c r="I109" s="17" t="s">
        <v>191</v>
      </c>
      <c r="J109" s="16" t="s">
        <v>389</v>
      </c>
      <c r="K109" s="20">
        <v>0.55000000000000004</v>
      </c>
      <c r="L109" s="17"/>
    </row>
    <row r="110" spans="1:12" x14ac:dyDescent="0.25">
      <c r="A110" s="17" t="s">
        <v>390</v>
      </c>
      <c r="B110" s="17" t="s">
        <v>50</v>
      </c>
      <c r="C110" s="18">
        <v>36500</v>
      </c>
      <c r="D110" s="17" t="s">
        <v>6</v>
      </c>
      <c r="E110" s="16" t="s">
        <v>370</v>
      </c>
      <c r="F110" s="16" t="s">
        <v>391</v>
      </c>
      <c r="G110" s="19">
        <f t="shared" ca="1" si="3"/>
        <v>143</v>
      </c>
      <c r="H110" s="17" t="s">
        <v>46</v>
      </c>
      <c r="I110" s="17" t="s">
        <v>90</v>
      </c>
      <c r="J110" s="16" t="s">
        <v>392</v>
      </c>
      <c r="K110" s="20">
        <v>0.72</v>
      </c>
      <c r="L110" s="17"/>
    </row>
    <row r="111" spans="1:12" x14ac:dyDescent="0.25">
      <c r="A111" s="17" t="s">
        <v>393</v>
      </c>
      <c r="B111" s="17" t="s">
        <v>43</v>
      </c>
      <c r="C111" s="18">
        <v>33500</v>
      </c>
      <c r="D111" s="17" t="s">
        <v>3</v>
      </c>
      <c r="E111" s="16" t="s">
        <v>384</v>
      </c>
      <c r="F111" s="16" t="s">
        <v>394</v>
      </c>
      <c r="G111" s="19">
        <f t="shared" ca="1" si="3"/>
        <v>125</v>
      </c>
      <c r="H111" s="17" t="s">
        <v>46</v>
      </c>
      <c r="I111" s="17" t="s">
        <v>93</v>
      </c>
      <c r="J111" s="16" t="s">
        <v>395</v>
      </c>
      <c r="K111" s="20">
        <v>0.22</v>
      </c>
      <c r="L111" s="17"/>
    </row>
    <row r="112" spans="1:12" x14ac:dyDescent="0.25">
      <c r="A112" s="17" t="s">
        <v>396</v>
      </c>
      <c r="B112" s="17" t="s">
        <v>56</v>
      </c>
      <c r="C112" s="18">
        <v>38500</v>
      </c>
      <c r="D112" s="17" t="s">
        <v>3</v>
      </c>
      <c r="E112" s="16" t="s">
        <v>365</v>
      </c>
      <c r="F112" s="16" t="s">
        <v>395</v>
      </c>
      <c r="G112" s="19">
        <f t="shared" ca="1" si="3"/>
        <v>121</v>
      </c>
      <c r="H112" s="17" t="s">
        <v>46</v>
      </c>
      <c r="I112" s="17" t="s">
        <v>93</v>
      </c>
      <c r="J112" s="16" t="s">
        <v>397</v>
      </c>
      <c r="K112" s="20">
        <v>0.22</v>
      </c>
      <c r="L112" s="17"/>
    </row>
    <row r="113" spans="1:12" x14ac:dyDescent="0.25">
      <c r="A113" s="17" t="s">
        <v>398</v>
      </c>
      <c r="B113" s="17" t="s">
        <v>88</v>
      </c>
      <c r="C113" s="18">
        <v>38500</v>
      </c>
      <c r="D113" s="17" t="s">
        <v>6</v>
      </c>
      <c r="E113" s="16" t="s">
        <v>361</v>
      </c>
      <c r="F113" s="16" t="s">
        <v>397</v>
      </c>
      <c r="G113" s="19">
        <f t="shared" ca="1" si="3"/>
        <v>110</v>
      </c>
      <c r="H113" s="17" t="s">
        <v>46</v>
      </c>
      <c r="I113" s="17" t="s">
        <v>90</v>
      </c>
      <c r="J113" s="16" t="s">
        <v>399</v>
      </c>
      <c r="K113" s="20">
        <v>0.72</v>
      </c>
      <c r="L113" s="17"/>
    </row>
    <row r="114" spans="1:12" x14ac:dyDescent="0.25">
      <c r="A114" s="17" t="s">
        <v>400</v>
      </c>
      <c r="B114" s="17" t="s">
        <v>73</v>
      </c>
      <c r="C114" s="18">
        <v>15500</v>
      </c>
      <c r="D114" s="17" t="s">
        <v>4</v>
      </c>
      <c r="E114" s="16" t="s">
        <v>401</v>
      </c>
      <c r="F114" s="16" t="s">
        <v>402</v>
      </c>
      <c r="G114" s="19">
        <f t="shared" ca="1" si="3"/>
        <v>114</v>
      </c>
      <c r="H114" s="17" t="s">
        <v>46</v>
      </c>
      <c r="I114" s="17" t="s">
        <v>85</v>
      </c>
      <c r="J114" s="16" t="s">
        <v>399</v>
      </c>
      <c r="K114" s="20">
        <v>0.35</v>
      </c>
      <c r="L114" s="17"/>
    </row>
    <row r="115" spans="1:12" x14ac:dyDescent="0.25">
      <c r="A115" s="17" t="s">
        <v>403</v>
      </c>
      <c r="B115" s="17" t="s">
        <v>83</v>
      </c>
      <c r="C115" s="18">
        <v>12000</v>
      </c>
      <c r="D115" s="17" t="s">
        <v>6</v>
      </c>
      <c r="E115" s="16" t="s">
        <v>392</v>
      </c>
      <c r="F115" s="16" t="s">
        <v>395</v>
      </c>
      <c r="G115" s="19">
        <f t="shared" ca="1" si="3"/>
        <v>121</v>
      </c>
      <c r="H115" s="17" t="s">
        <v>46</v>
      </c>
      <c r="I115" s="17" t="s">
        <v>90</v>
      </c>
      <c r="J115" s="16" t="s">
        <v>404</v>
      </c>
      <c r="K115" s="20">
        <v>0.72</v>
      </c>
      <c r="L115" s="17"/>
    </row>
    <row r="116" spans="1:12" x14ac:dyDescent="0.25">
      <c r="A116" s="17" t="s">
        <v>405</v>
      </c>
      <c r="B116" s="17" t="s">
        <v>62</v>
      </c>
      <c r="C116" s="18">
        <v>54000</v>
      </c>
      <c r="D116" s="17" t="s">
        <v>5</v>
      </c>
      <c r="E116" s="16" t="s">
        <v>406</v>
      </c>
      <c r="F116" s="16" t="s">
        <v>404</v>
      </c>
      <c r="G116" s="19">
        <f t="shared" ca="1" si="3"/>
        <v>112</v>
      </c>
      <c r="H116" s="17" t="s">
        <v>46</v>
      </c>
      <c r="I116" s="17" t="s">
        <v>191</v>
      </c>
      <c r="J116" s="16" t="s">
        <v>399</v>
      </c>
      <c r="K116" s="20">
        <v>0.55000000000000004</v>
      </c>
      <c r="L116" s="17"/>
    </row>
    <row r="117" spans="1:12" x14ac:dyDescent="0.25">
      <c r="A117" s="17" t="s">
        <v>407</v>
      </c>
      <c r="B117" s="17" t="s">
        <v>50</v>
      </c>
      <c r="C117" s="18">
        <v>15000</v>
      </c>
      <c r="D117" s="17" t="s">
        <v>4</v>
      </c>
      <c r="E117" s="16" t="s">
        <v>408</v>
      </c>
      <c r="F117" s="16" t="s">
        <v>409</v>
      </c>
      <c r="G117" s="19">
        <f t="shared" ca="1" si="3"/>
        <v>108</v>
      </c>
      <c r="H117" s="17" t="s">
        <v>46</v>
      </c>
      <c r="I117" s="17" t="s">
        <v>85</v>
      </c>
      <c r="J117" s="16" t="s">
        <v>410</v>
      </c>
      <c r="K117" s="20">
        <v>0.35</v>
      </c>
      <c r="L117" s="17"/>
    </row>
    <row r="118" spans="1:12" x14ac:dyDescent="0.25">
      <c r="A118" s="17" t="s">
        <v>411</v>
      </c>
      <c r="B118" s="17" t="s">
        <v>43</v>
      </c>
      <c r="C118" s="18">
        <v>55000</v>
      </c>
      <c r="D118" s="17" t="s">
        <v>6</v>
      </c>
      <c r="E118" s="16" t="s">
        <v>412</v>
      </c>
      <c r="F118" s="16" t="s">
        <v>413</v>
      </c>
      <c r="G118" s="19">
        <f t="shared" ca="1" si="3"/>
        <v>97</v>
      </c>
      <c r="H118" s="17" t="s">
        <v>46</v>
      </c>
      <c r="I118" s="17" t="s">
        <v>90</v>
      </c>
      <c r="J118" s="16" t="s">
        <v>414</v>
      </c>
      <c r="K118" s="20">
        <v>0.72</v>
      </c>
      <c r="L118" s="17"/>
    </row>
    <row r="119" spans="1:12" x14ac:dyDescent="0.25">
      <c r="A119" s="17" t="s">
        <v>415</v>
      </c>
      <c r="B119" s="17" t="s">
        <v>56</v>
      </c>
      <c r="C119" s="18">
        <v>40000</v>
      </c>
      <c r="D119" s="17" t="s">
        <v>8</v>
      </c>
      <c r="E119" s="16" t="s">
        <v>395</v>
      </c>
      <c r="F119" s="16" t="s">
        <v>416</v>
      </c>
      <c r="G119" s="19">
        <f t="shared" ca="1" si="3"/>
        <v>113</v>
      </c>
      <c r="H119" s="17" t="s">
        <v>46</v>
      </c>
      <c r="I119" s="17" t="s">
        <v>166</v>
      </c>
      <c r="J119" s="16"/>
      <c r="K119" s="20">
        <v>0</v>
      </c>
      <c r="L119" s="17" t="s">
        <v>417</v>
      </c>
    </row>
    <row r="120" spans="1:12" x14ac:dyDescent="0.25">
      <c r="A120" s="17" t="s">
        <v>418</v>
      </c>
      <c r="B120" s="17" t="s">
        <v>88</v>
      </c>
      <c r="C120" s="18">
        <v>44500</v>
      </c>
      <c r="D120" s="17" t="s">
        <v>3</v>
      </c>
      <c r="E120" s="16" t="s">
        <v>419</v>
      </c>
      <c r="F120" s="16" t="s">
        <v>420</v>
      </c>
      <c r="G120" s="19">
        <f t="shared" ca="1" si="3"/>
        <v>87</v>
      </c>
      <c r="H120" s="17" t="s">
        <v>46</v>
      </c>
      <c r="I120" s="17" t="s">
        <v>93</v>
      </c>
      <c r="J120" s="16" t="s">
        <v>421</v>
      </c>
      <c r="K120" s="20">
        <v>0.22</v>
      </c>
      <c r="L120" s="17"/>
    </row>
    <row r="121" spans="1:12" x14ac:dyDescent="0.25">
      <c r="A121" s="17" t="s">
        <v>422</v>
      </c>
      <c r="B121" s="17" t="s">
        <v>73</v>
      </c>
      <c r="C121" s="18">
        <v>28000</v>
      </c>
      <c r="D121" s="17" t="s">
        <v>3</v>
      </c>
      <c r="E121" s="16" t="s">
        <v>423</v>
      </c>
      <c r="F121" s="16" t="s">
        <v>414</v>
      </c>
      <c r="G121" s="19">
        <f t="shared" ca="1" si="3"/>
        <v>91</v>
      </c>
      <c r="H121" s="17" t="s">
        <v>46</v>
      </c>
      <c r="I121" s="17" t="s">
        <v>93</v>
      </c>
      <c r="J121" s="16" t="s">
        <v>420</v>
      </c>
      <c r="K121" s="20">
        <v>0.22</v>
      </c>
      <c r="L121" s="17"/>
    </row>
    <row r="122" spans="1:12" x14ac:dyDescent="0.25">
      <c r="A122" s="17" t="s">
        <v>424</v>
      </c>
      <c r="B122" s="17" t="s">
        <v>83</v>
      </c>
      <c r="C122" s="18">
        <v>46500</v>
      </c>
      <c r="D122" s="17" t="s">
        <v>4</v>
      </c>
      <c r="E122" s="16" t="s">
        <v>404</v>
      </c>
      <c r="F122" s="16" t="s">
        <v>425</v>
      </c>
      <c r="G122" s="19">
        <f t="shared" ca="1" si="3"/>
        <v>84</v>
      </c>
      <c r="H122" s="17" t="s">
        <v>46</v>
      </c>
      <c r="I122" s="17" t="s">
        <v>85</v>
      </c>
      <c r="J122" s="16" t="s">
        <v>426</v>
      </c>
      <c r="K122" s="20">
        <v>0.35</v>
      </c>
      <c r="L122" s="17"/>
    </row>
    <row r="123" spans="1:12" x14ac:dyDescent="0.25">
      <c r="A123" s="17" t="s">
        <v>427</v>
      </c>
      <c r="B123" s="17" t="s">
        <v>62</v>
      </c>
      <c r="C123" s="18">
        <v>19000</v>
      </c>
      <c r="D123" s="17" t="s">
        <v>6</v>
      </c>
      <c r="E123" s="16" t="s">
        <v>428</v>
      </c>
      <c r="F123" s="16" t="s">
        <v>429</v>
      </c>
      <c r="G123" s="19">
        <f t="shared" ca="1" si="3"/>
        <v>81</v>
      </c>
      <c r="H123" s="17" t="s">
        <v>46</v>
      </c>
      <c r="I123" s="17" t="s">
        <v>90</v>
      </c>
      <c r="J123" s="16" t="s">
        <v>430</v>
      </c>
      <c r="K123" s="20">
        <v>0.72</v>
      </c>
      <c r="L123" s="17"/>
    </row>
    <row r="124" spans="1:12" x14ac:dyDescent="0.25">
      <c r="A124" s="17" t="s">
        <v>431</v>
      </c>
      <c r="B124" s="17" t="s">
        <v>50</v>
      </c>
      <c r="C124" s="18">
        <v>30500</v>
      </c>
      <c r="D124" s="17" t="s">
        <v>5</v>
      </c>
      <c r="E124" s="16" t="s">
        <v>432</v>
      </c>
      <c r="F124" s="16" t="s">
        <v>433</v>
      </c>
      <c r="G124" s="19">
        <f t="shared" ca="1" si="3"/>
        <v>86</v>
      </c>
      <c r="H124" s="17" t="s">
        <v>46</v>
      </c>
      <c r="I124" s="17" t="s">
        <v>191</v>
      </c>
      <c r="J124" s="16" t="s">
        <v>434</v>
      </c>
      <c r="K124" s="20">
        <v>0.55000000000000004</v>
      </c>
      <c r="L124" s="17"/>
    </row>
    <row r="125" spans="1:12" x14ac:dyDescent="0.25">
      <c r="A125" s="17" t="s">
        <v>435</v>
      </c>
      <c r="B125" s="17" t="s">
        <v>43</v>
      </c>
      <c r="C125" s="18">
        <v>48000</v>
      </c>
      <c r="D125" s="17" t="s">
        <v>6</v>
      </c>
      <c r="E125" s="16" t="s">
        <v>436</v>
      </c>
      <c r="F125" s="16" t="s">
        <v>437</v>
      </c>
      <c r="G125" s="19">
        <f t="shared" ca="1" si="3"/>
        <v>89</v>
      </c>
      <c r="H125" s="17" t="s">
        <v>46</v>
      </c>
      <c r="I125" s="17" t="s">
        <v>90</v>
      </c>
      <c r="J125" s="16" t="s">
        <v>429</v>
      </c>
      <c r="K125" s="20">
        <v>0.72</v>
      </c>
      <c r="L125" s="17"/>
    </row>
    <row r="126" spans="1:12" x14ac:dyDescent="0.25">
      <c r="A126" s="17" t="s">
        <v>438</v>
      </c>
      <c r="B126" s="17" t="s">
        <v>56</v>
      </c>
      <c r="C126" s="18">
        <v>45500</v>
      </c>
      <c r="D126" s="17" t="s">
        <v>4</v>
      </c>
      <c r="E126" s="16" t="s">
        <v>439</v>
      </c>
      <c r="F126" s="16" t="s">
        <v>440</v>
      </c>
      <c r="G126" s="19">
        <f t="shared" ca="1" si="3"/>
        <v>90</v>
      </c>
      <c r="H126" s="17" t="s">
        <v>46</v>
      </c>
      <c r="I126" s="17" t="s">
        <v>85</v>
      </c>
      <c r="J126" s="16" t="s">
        <v>433</v>
      </c>
      <c r="K126" s="20">
        <v>0.35</v>
      </c>
      <c r="L126" s="17"/>
    </row>
    <row r="127" spans="1:12" x14ac:dyDescent="0.25">
      <c r="A127" s="17" t="s">
        <v>441</v>
      </c>
      <c r="B127" s="17" t="s">
        <v>88</v>
      </c>
      <c r="C127" s="18">
        <v>25000</v>
      </c>
      <c r="D127" s="17" t="s">
        <v>3</v>
      </c>
      <c r="E127" s="16" t="s">
        <v>413</v>
      </c>
      <c r="F127" s="16" t="s">
        <v>442</v>
      </c>
      <c r="G127" s="19">
        <f t="shared" ca="1" si="3"/>
        <v>92</v>
      </c>
      <c r="H127" s="17" t="s">
        <v>46</v>
      </c>
      <c r="I127" s="17" t="s">
        <v>93</v>
      </c>
      <c r="J127" s="16" t="s">
        <v>434</v>
      </c>
      <c r="K127" s="20">
        <v>0.22</v>
      </c>
      <c r="L127" s="17"/>
    </row>
    <row r="128" spans="1:12" x14ac:dyDescent="0.25">
      <c r="A128" s="17" t="s">
        <v>443</v>
      </c>
      <c r="B128" s="17" t="s">
        <v>73</v>
      </c>
      <c r="C128" s="18">
        <v>46000</v>
      </c>
      <c r="D128" s="17" t="s">
        <v>5</v>
      </c>
      <c r="E128" s="16" t="s">
        <v>444</v>
      </c>
      <c r="F128" s="16" t="s">
        <v>425</v>
      </c>
      <c r="G128" s="19">
        <f t="shared" ca="1" si="3"/>
        <v>84</v>
      </c>
      <c r="H128" s="17" t="s">
        <v>46</v>
      </c>
      <c r="I128" s="17" t="s">
        <v>191</v>
      </c>
      <c r="J128" s="16" t="s">
        <v>430</v>
      </c>
      <c r="K128" s="20">
        <v>0.55000000000000004</v>
      </c>
      <c r="L128" s="17"/>
    </row>
    <row r="129" spans="1:12" x14ac:dyDescent="0.25">
      <c r="A129" s="17" t="s">
        <v>445</v>
      </c>
      <c r="B129" s="17" t="s">
        <v>83</v>
      </c>
      <c r="C129" s="18">
        <v>46000</v>
      </c>
      <c r="D129" s="17" t="s">
        <v>3</v>
      </c>
      <c r="E129" s="16" t="s">
        <v>414</v>
      </c>
      <c r="F129" s="16" t="s">
        <v>446</v>
      </c>
      <c r="G129" s="19">
        <f t="shared" ca="1" si="3"/>
        <v>65</v>
      </c>
      <c r="H129" s="17" t="s">
        <v>46</v>
      </c>
      <c r="I129" s="17" t="s">
        <v>93</v>
      </c>
      <c r="J129" s="16" t="s">
        <v>447</v>
      </c>
      <c r="K129" s="20">
        <v>0.22</v>
      </c>
      <c r="L129" s="17"/>
    </row>
    <row r="130" spans="1:12" x14ac:dyDescent="0.25">
      <c r="A130" s="17" t="s">
        <v>448</v>
      </c>
      <c r="B130" s="17" t="s">
        <v>62</v>
      </c>
      <c r="C130" s="18">
        <v>57500</v>
      </c>
      <c r="D130" s="17" t="s">
        <v>5</v>
      </c>
      <c r="E130" s="16" t="s">
        <v>449</v>
      </c>
      <c r="F130" s="16" t="s">
        <v>425</v>
      </c>
      <c r="G130" s="19">
        <f t="shared" ca="1" si="3"/>
        <v>84</v>
      </c>
      <c r="H130" s="17" t="s">
        <v>46</v>
      </c>
      <c r="I130" s="17" t="s">
        <v>191</v>
      </c>
      <c r="J130" s="16" t="s">
        <v>450</v>
      </c>
      <c r="K130" s="20">
        <v>0.55000000000000004</v>
      </c>
      <c r="L130" s="17"/>
    </row>
    <row r="131" spans="1:12" x14ac:dyDescent="0.25">
      <c r="A131" s="17" t="s">
        <v>451</v>
      </c>
      <c r="B131" s="17" t="s">
        <v>50</v>
      </c>
      <c r="C131" s="18">
        <v>45500</v>
      </c>
      <c r="D131" s="17" t="s">
        <v>4</v>
      </c>
      <c r="E131" s="16" t="s">
        <v>452</v>
      </c>
      <c r="F131" s="16" t="s">
        <v>453</v>
      </c>
      <c r="G131" s="19">
        <f t="shared" ca="1" si="3"/>
        <v>56</v>
      </c>
      <c r="H131" s="17" t="s">
        <v>46</v>
      </c>
      <c r="I131" s="17" t="s">
        <v>85</v>
      </c>
      <c r="J131" s="16" t="s">
        <v>454</v>
      </c>
      <c r="K131" s="20">
        <v>0.35</v>
      </c>
      <c r="L131" s="17"/>
    </row>
    <row r="132" spans="1:12" x14ac:dyDescent="0.25">
      <c r="A132" s="17" t="s">
        <v>455</v>
      </c>
      <c r="B132" s="17" t="s">
        <v>43</v>
      </c>
      <c r="C132" s="18">
        <v>26000</v>
      </c>
      <c r="D132" s="17" t="s">
        <v>3</v>
      </c>
      <c r="E132" s="16" t="s">
        <v>456</v>
      </c>
      <c r="F132" s="16" t="s">
        <v>457</v>
      </c>
      <c r="G132" s="19">
        <f t="shared" ref="G132:G163" ca="1" si="4">IF(F132="","",TODAY()-F132)</f>
        <v>70</v>
      </c>
      <c r="H132" s="17" t="s">
        <v>46</v>
      </c>
      <c r="I132" s="17" t="s">
        <v>93</v>
      </c>
      <c r="J132" s="16" t="s">
        <v>458</v>
      </c>
      <c r="K132" s="20">
        <v>0.22</v>
      </c>
      <c r="L132" s="17"/>
    </row>
    <row r="133" spans="1:12" x14ac:dyDescent="0.25">
      <c r="A133" s="17" t="s">
        <v>459</v>
      </c>
      <c r="B133" s="17" t="s">
        <v>56</v>
      </c>
      <c r="C133" s="18">
        <v>31500</v>
      </c>
      <c r="D133" s="17" t="s">
        <v>6</v>
      </c>
      <c r="E133" s="16" t="s">
        <v>421</v>
      </c>
      <c r="F133" s="16" t="s">
        <v>460</v>
      </c>
      <c r="G133" s="19">
        <f t="shared" ca="1" si="4"/>
        <v>48</v>
      </c>
      <c r="H133" s="17" t="s">
        <v>46</v>
      </c>
      <c r="I133" s="17" t="s">
        <v>90</v>
      </c>
      <c r="J133" s="16" t="s">
        <v>461</v>
      </c>
      <c r="K133" s="20">
        <v>0.72</v>
      </c>
      <c r="L133" s="17"/>
    </row>
    <row r="134" spans="1:12" x14ac:dyDescent="0.25">
      <c r="A134" s="17" t="s">
        <v>462</v>
      </c>
      <c r="B134" s="17" t="s">
        <v>88</v>
      </c>
      <c r="C134" s="18">
        <v>12000</v>
      </c>
      <c r="D134" s="17" t="s">
        <v>3</v>
      </c>
      <c r="E134" s="16" t="s">
        <v>426</v>
      </c>
      <c r="F134" s="16" t="s">
        <v>447</v>
      </c>
      <c r="G134" s="19">
        <f t="shared" ca="1" si="4"/>
        <v>62</v>
      </c>
      <c r="H134" s="17" t="s">
        <v>46</v>
      </c>
      <c r="I134" s="17" t="s">
        <v>93</v>
      </c>
      <c r="J134" s="16" t="s">
        <v>463</v>
      </c>
      <c r="K134" s="20">
        <v>0.22</v>
      </c>
      <c r="L134" s="17"/>
    </row>
    <row r="135" spans="1:12" x14ac:dyDescent="0.25">
      <c r="A135" s="17" t="s">
        <v>464</v>
      </c>
      <c r="B135" s="17" t="s">
        <v>73</v>
      </c>
      <c r="C135" s="18">
        <v>12000</v>
      </c>
      <c r="D135" s="17" t="s">
        <v>8</v>
      </c>
      <c r="E135" s="16" t="s">
        <v>430</v>
      </c>
      <c r="F135" s="16" t="s">
        <v>465</v>
      </c>
      <c r="G135" s="19">
        <f t="shared" ca="1" si="4"/>
        <v>69</v>
      </c>
      <c r="H135" s="17" t="s">
        <v>46</v>
      </c>
      <c r="I135" s="17" t="s">
        <v>166</v>
      </c>
      <c r="J135" s="16"/>
      <c r="K135" s="20">
        <v>0</v>
      </c>
      <c r="L135" s="17" t="s">
        <v>174</v>
      </c>
    </row>
    <row r="136" spans="1:12" x14ac:dyDescent="0.25">
      <c r="A136" s="17" t="s">
        <v>466</v>
      </c>
      <c r="B136" s="17" t="s">
        <v>83</v>
      </c>
      <c r="C136" s="18">
        <v>50000</v>
      </c>
      <c r="D136" s="17" t="s">
        <v>5</v>
      </c>
      <c r="E136" s="16" t="s">
        <v>457</v>
      </c>
      <c r="F136" s="16" t="s">
        <v>458</v>
      </c>
      <c r="G136" s="19">
        <f t="shared" ca="1" si="4"/>
        <v>64</v>
      </c>
      <c r="H136" s="17" t="s">
        <v>46</v>
      </c>
      <c r="I136" s="17" t="s">
        <v>191</v>
      </c>
      <c r="J136" s="16" t="s">
        <v>467</v>
      </c>
      <c r="K136" s="20">
        <v>0.55000000000000004</v>
      </c>
      <c r="L136" s="17"/>
    </row>
    <row r="137" spans="1:12" x14ac:dyDescent="0.25">
      <c r="A137" s="17" t="s">
        <v>468</v>
      </c>
      <c r="B137" s="17" t="s">
        <v>62</v>
      </c>
      <c r="C137" s="18">
        <v>41000</v>
      </c>
      <c r="D137" s="17" t="s">
        <v>3</v>
      </c>
      <c r="E137" s="16" t="s">
        <v>469</v>
      </c>
      <c r="F137" s="16" t="s">
        <v>470</v>
      </c>
      <c r="G137" s="19">
        <f t="shared" ca="1" si="4"/>
        <v>37</v>
      </c>
      <c r="H137" s="17" t="s">
        <v>46</v>
      </c>
      <c r="I137" s="17" t="s">
        <v>93</v>
      </c>
      <c r="J137" s="16" t="s">
        <v>471</v>
      </c>
      <c r="K137" s="20">
        <v>0.22</v>
      </c>
      <c r="L137" s="17"/>
    </row>
    <row r="138" spans="1:12" x14ac:dyDescent="0.25">
      <c r="A138" s="17" t="s">
        <v>472</v>
      </c>
      <c r="B138" s="17" t="s">
        <v>50</v>
      </c>
      <c r="C138" s="18">
        <v>22500</v>
      </c>
      <c r="D138" s="17" t="s">
        <v>5</v>
      </c>
      <c r="E138" s="16" t="s">
        <v>458</v>
      </c>
      <c r="F138" s="16" t="s">
        <v>460</v>
      </c>
      <c r="G138" s="19">
        <f t="shared" ca="1" si="4"/>
        <v>48</v>
      </c>
      <c r="H138" s="17" t="s">
        <v>46</v>
      </c>
      <c r="I138" s="17" t="s">
        <v>191</v>
      </c>
      <c r="J138" s="16" t="s">
        <v>473</v>
      </c>
      <c r="K138" s="20">
        <v>0.55000000000000004</v>
      </c>
      <c r="L138" s="17"/>
    </row>
    <row r="139" spans="1:12" x14ac:dyDescent="0.25">
      <c r="A139" s="17" t="s">
        <v>474</v>
      </c>
      <c r="B139" s="17" t="s">
        <v>43</v>
      </c>
      <c r="C139" s="18">
        <v>38000</v>
      </c>
      <c r="D139" s="17" t="s">
        <v>3</v>
      </c>
      <c r="E139" s="16" t="s">
        <v>475</v>
      </c>
      <c r="F139" s="16" t="s">
        <v>454</v>
      </c>
      <c r="G139" s="19">
        <f t="shared" ca="1" si="4"/>
        <v>46</v>
      </c>
      <c r="H139" s="17" t="s">
        <v>46</v>
      </c>
      <c r="I139" s="17" t="s">
        <v>93</v>
      </c>
      <c r="J139" s="16" t="s">
        <v>476</v>
      </c>
      <c r="K139" s="20">
        <v>0.22</v>
      </c>
      <c r="L139" s="17"/>
    </row>
    <row r="140" spans="1:12" x14ac:dyDescent="0.25">
      <c r="A140" s="17" t="s">
        <v>477</v>
      </c>
      <c r="B140" s="17" t="s">
        <v>56</v>
      </c>
      <c r="C140" s="18">
        <v>49500</v>
      </c>
      <c r="D140" s="17" t="s">
        <v>8</v>
      </c>
      <c r="E140" s="16" t="s">
        <v>467</v>
      </c>
      <c r="F140" s="16" t="s">
        <v>478</v>
      </c>
      <c r="G140" s="19">
        <f t="shared" ca="1" si="4"/>
        <v>30</v>
      </c>
      <c r="H140" s="17" t="s">
        <v>46</v>
      </c>
      <c r="I140" s="17" t="s">
        <v>166</v>
      </c>
      <c r="J140" s="16"/>
      <c r="K140" s="20">
        <v>0</v>
      </c>
      <c r="L140" s="17" t="s">
        <v>230</v>
      </c>
    </row>
    <row r="141" spans="1:12" x14ac:dyDescent="0.25">
      <c r="A141" s="17" t="s">
        <v>479</v>
      </c>
      <c r="B141" s="17" t="s">
        <v>88</v>
      </c>
      <c r="C141" s="18">
        <v>38000</v>
      </c>
      <c r="D141" s="17" t="s">
        <v>5</v>
      </c>
      <c r="E141" s="16" t="s">
        <v>480</v>
      </c>
      <c r="F141" s="16" t="s">
        <v>481</v>
      </c>
      <c r="G141" s="19">
        <f t="shared" ca="1" si="4"/>
        <v>45</v>
      </c>
      <c r="H141" s="17" t="s">
        <v>46</v>
      </c>
      <c r="I141" s="17" t="s">
        <v>191</v>
      </c>
      <c r="J141" s="16" t="s">
        <v>482</v>
      </c>
      <c r="K141" s="20">
        <v>0.55000000000000004</v>
      </c>
      <c r="L141" s="17"/>
    </row>
    <row r="142" spans="1:12" x14ac:dyDescent="0.25">
      <c r="A142" s="17" t="s">
        <v>483</v>
      </c>
      <c r="B142" s="17" t="s">
        <v>73</v>
      </c>
      <c r="C142" s="18">
        <v>39000</v>
      </c>
      <c r="D142" s="17" t="s">
        <v>3</v>
      </c>
      <c r="E142" s="16" t="s">
        <v>484</v>
      </c>
      <c r="F142" s="16" t="s">
        <v>485</v>
      </c>
      <c r="G142" s="19">
        <f t="shared" ca="1" si="4"/>
        <v>32</v>
      </c>
      <c r="H142" s="17" t="s">
        <v>46</v>
      </c>
      <c r="I142" s="17" t="s">
        <v>93</v>
      </c>
      <c r="J142" s="16" t="s">
        <v>486</v>
      </c>
      <c r="K142" s="20">
        <v>0.22</v>
      </c>
      <c r="L142" s="17"/>
    </row>
    <row r="143" spans="1:12" x14ac:dyDescent="0.25">
      <c r="A143" s="17" t="s">
        <v>487</v>
      </c>
      <c r="B143" s="17" t="s">
        <v>83</v>
      </c>
      <c r="C143" s="18">
        <v>48500</v>
      </c>
      <c r="D143" s="17" t="s">
        <v>7</v>
      </c>
      <c r="E143" s="16" t="s">
        <v>488</v>
      </c>
      <c r="F143" s="16" t="s">
        <v>473</v>
      </c>
      <c r="G143" s="19">
        <f t="shared" ca="1" si="4"/>
        <v>42</v>
      </c>
      <c r="H143" s="17" t="s">
        <v>46</v>
      </c>
      <c r="I143" s="17" t="s">
        <v>171</v>
      </c>
      <c r="J143" s="16"/>
      <c r="K143" s="20">
        <v>0.92</v>
      </c>
      <c r="L143" s="17" t="s">
        <v>104</v>
      </c>
    </row>
    <row r="144" spans="1:12" x14ac:dyDescent="0.25">
      <c r="A144" s="17" t="s">
        <v>489</v>
      </c>
      <c r="B144" s="17" t="s">
        <v>62</v>
      </c>
      <c r="C144" s="18">
        <v>43000</v>
      </c>
      <c r="D144" s="17" t="s">
        <v>6</v>
      </c>
      <c r="E144" s="16" t="s">
        <v>454</v>
      </c>
      <c r="F144" s="16" t="s">
        <v>482</v>
      </c>
      <c r="G144" s="19">
        <f t="shared" ca="1" si="4"/>
        <v>40</v>
      </c>
      <c r="H144" s="17" t="s">
        <v>46</v>
      </c>
      <c r="I144" s="17" t="s">
        <v>90</v>
      </c>
      <c r="J144" s="16" t="s">
        <v>490</v>
      </c>
      <c r="K144" s="20">
        <v>0.72</v>
      </c>
      <c r="L144" s="17"/>
    </row>
    <row r="145" spans="1:12" x14ac:dyDescent="0.25">
      <c r="A145" s="17" t="s">
        <v>491</v>
      </c>
      <c r="B145" s="17" t="s">
        <v>50</v>
      </c>
      <c r="C145" s="18">
        <v>33500</v>
      </c>
      <c r="D145" s="17" t="s">
        <v>4</v>
      </c>
      <c r="E145" s="16" t="s">
        <v>492</v>
      </c>
      <c r="F145" s="16" t="s">
        <v>493</v>
      </c>
      <c r="G145" s="19">
        <f t="shared" ca="1" si="4"/>
        <v>22</v>
      </c>
      <c r="H145" s="17" t="s">
        <v>46</v>
      </c>
      <c r="I145" s="17" t="s">
        <v>85</v>
      </c>
      <c r="J145" s="16" t="s">
        <v>494</v>
      </c>
      <c r="K145" s="20">
        <v>0.35</v>
      </c>
      <c r="L145" s="17"/>
    </row>
    <row r="146" spans="1:12" x14ac:dyDescent="0.25">
      <c r="A146" s="17" t="s">
        <v>495</v>
      </c>
      <c r="B146" s="17" t="s">
        <v>43</v>
      </c>
      <c r="C146" s="18">
        <v>22000</v>
      </c>
      <c r="D146" s="17" t="s">
        <v>3</v>
      </c>
      <c r="E146" s="16" t="s">
        <v>482</v>
      </c>
      <c r="F146" s="16" t="s">
        <v>496</v>
      </c>
      <c r="G146" s="19">
        <f t="shared" ca="1" si="4"/>
        <v>9</v>
      </c>
      <c r="H146" s="17" t="s">
        <v>46</v>
      </c>
      <c r="I146" s="17" t="s">
        <v>93</v>
      </c>
      <c r="J146" s="16" t="s">
        <v>497</v>
      </c>
      <c r="K146" s="20">
        <v>0.22</v>
      </c>
      <c r="L146" s="17"/>
    </row>
    <row r="147" spans="1:12" x14ac:dyDescent="0.25">
      <c r="A147" s="17" t="s">
        <v>498</v>
      </c>
      <c r="B147" s="17" t="s">
        <v>56</v>
      </c>
      <c r="C147" s="18">
        <v>19000</v>
      </c>
      <c r="D147" s="17" t="s">
        <v>4</v>
      </c>
      <c r="E147" s="16" t="s">
        <v>470</v>
      </c>
      <c r="F147" s="16" t="s">
        <v>499</v>
      </c>
      <c r="G147" s="19">
        <f t="shared" ca="1" si="4"/>
        <v>31</v>
      </c>
      <c r="H147" s="17" t="s">
        <v>46</v>
      </c>
      <c r="I147" s="17" t="s">
        <v>85</v>
      </c>
      <c r="J147" s="16" t="s">
        <v>500</v>
      </c>
      <c r="K147" s="20">
        <v>0.35</v>
      </c>
      <c r="L147" s="17"/>
    </row>
    <row r="148" spans="1:12" x14ac:dyDescent="0.25">
      <c r="A148" s="17" t="s">
        <v>501</v>
      </c>
      <c r="B148" s="17" t="s">
        <v>88</v>
      </c>
      <c r="C148" s="18">
        <v>26000</v>
      </c>
      <c r="D148" s="17" t="s">
        <v>3</v>
      </c>
      <c r="E148" s="16" t="s">
        <v>502</v>
      </c>
      <c r="F148" s="16" t="s">
        <v>503</v>
      </c>
      <c r="G148" s="19">
        <f t="shared" ca="1" si="4"/>
        <v>4</v>
      </c>
      <c r="H148" s="17" t="s">
        <v>46</v>
      </c>
      <c r="I148" s="17" t="s">
        <v>93</v>
      </c>
      <c r="J148" s="16" t="s">
        <v>504</v>
      </c>
      <c r="K148" s="20">
        <v>0.22</v>
      </c>
      <c r="L148" s="17"/>
    </row>
    <row r="149" spans="1:12" x14ac:dyDescent="0.25">
      <c r="A149" s="17" t="s">
        <v>505</v>
      </c>
      <c r="B149" s="17" t="s">
        <v>73</v>
      </c>
      <c r="C149" s="18">
        <v>24500</v>
      </c>
      <c r="D149" s="17" t="s">
        <v>7</v>
      </c>
      <c r="E149" s="16" t="s">
        <v>499</v>
      </c>
      <c r="F149" s="16" t="s">
        <v>496</v>
      </c>
      <c r="G149" s="19">
        <f t="shared" ca="1" si="4"/>
        <v>9</v>
      </c>
      <c r="H149" s="17" t="s">
        <v>46</v>
      </c>
      <c r="I149" s="17" t="s">
        <v>171</v>
      </c>
      <c r="J149" s="16"/>
      <c r="K149" s="20">
        <v>0.92</v>
      </c>
      <c r="L149" s="17" t="s">
        <v>342</v>
      </c>
    </row>
    <row r="150" spans="1:12" x14ac:dyDescent="0.25">
      <c r="A150" s="17" t="s">
        <v>506</v>
      </c>
      <c r="B150" s="17" t="s">
        <v>83</v>
      </c>
      <c r="C150" s="18">
        <v>37000</v>
      </c>
      <c r="D150" s="17" t="s">
        <v>6</v>
      </c>
      <c r="E150" s="16" t="s">
        <v>507</v>
      </c>
      <c r="F150" s="16" t="s">
        <v>508</v>
      </c>
      <c r="G150" s="19">
        <f t="shared" ca="1" si="4"/>
        <v>20</v>
      </c>
      <c r="H150" s="17" t="s">
        <v>46</v>
      </c>
      <c r="I150" s="17" t="s">
        <v>90</v>
      </c>
      <c r="J150" s="16" t="s">
        <v>509</v>
      </c>
      <c r="K150" s="20">
        <v>0.72</v>
      </c>
      <c r="L150" s="17"/>
    </row>
    <row r="151" spans="1:12" x14ac:dyDescent="0.25">
      <c r="A151" s="17" t="s">
        <v>510</v>
      </c>
      <c r="B151" s="17" t="s">
        <v>62</v>
      </c>
      <c r="C151" s="18">
        <v>49500</v>
      </c>
      <c r="D151" s="17" t="s">
        <v>3</v>
      </c>
      <c r="E151" s="16" t="s">
        <v>511</v>
      </c>
      <c r="F151" s="16" t="s">
        <v>512</v>
      </c>
      <c r="G151" s="19">
        <f t="shared" ca="1" si="4"/>
        <v>5</v>
      </c>
      <c r="H151" s="17" t="s">
        <v>46</v>
      </c>
      <c r="I151" s="17" t="s">
        <v>93</v>
      </c>
      <c r="J151" s="16" t="s">
        <v>497</v>
      </c>
      <c r="K151" s="20">
        <v>0.22</v>
      </c>
      <c r="L151" s="17"/>
    </row>
    <row r="152" spans="1:12" x14ac:dyDescent="0.25">
      <c r="A152" s="17" t="s">
        <v>513</v>
      </c>
      <c r="B152" s="17" t="s">
        <v>50</v>
      </c>
      <c r="C152" s="18">
        <v>17000</v>
      </c>
      <c r="D152" s="17" t="s">
        <v>4</v>
      </c>
      <c r="E152" s="16" t="s">
        <v>493</v>
      </c>
      <c r="F152" s="16" t="s">
        <v>494</v>
      </c>
      <c r="G152" s="19">
        <f t="shared" ca="1" si="4"/>
        <v>17</v>
      </c>
      <c r="H152" s="17" t="s">
        <v>46</v>
      </c>
      <c r="I152" s="17" t="s">
        <v>85</v>
      </c>
      <c r="J152" s="16" t="s">
        <v>496</v>
      </c>
      <c r="K152" s="20">
        <v>0.35</v>
      </c>
      <c r="L152" s="17"/>
    </row>
    <row r="153" spans="1:12" x14ac:dyDescent="0.25">
      <c r="A153" s="17" t="s">
        <v>514</v>
      </c>
      <c r="B153" s="17" t="s">
        <v>43</v>
      </c>
      <c r="C153" s="18">
        <v>33500</v>
      </c>
      <c r="D153" s="17" t="s">
        <v>7</v>
      </c>
      <c r="E153" s="16" t="s">
        <v>515</v>
      </c>
      <c r="F153" s="16" t="s">
        <v>516</v>
      </c>
      <c r="G153" s="19">
        <f t="shared" ca="1" si="4"/>
        <v>-11</v>
      </c>
      <c r="H153" s="17" t="s">
        <v>46</v>
      </c>
      <c r="I153" s="17" t="s">
        <v>171</v>
      </c>
      <c r="J153" s="16"/>
      <c r="K153" s="20">
        <v>0.92</v>
      </c>
      <c r="L153" s="17" t="s">
        <v>113</v>
      </c>
    </row>
    <row r="154" spans="1:12" x14ac:dyDescent="0.25">
      <c r="A154" s="17" t="s">
        <v>517</v>
      </c>
      <c r="B154" s="17" t="s">
        <v>56</v>
      </c>
      <c r="C154" s="18">
        <v>33500</v>
      </c>
      <c r="D154" s="17" t="s">
        <v>5</v>
      </c>
      <c r="E154" s="16" t="s">
        <v>518</v>
      </c>
      <c r="F154" s="16" t="s">
        <v>519</v>
      </c>
      <c r="G154" s="19">
        <f t="shared" ca="1" si="4"/>
        <v>-8</v>
      </c>
      <c r="H154" s="17" t="s">
        <v>46</v>
      </c>
      <c r="I154" s="17" t="s">
        <v>191</v>
      </c>
      <c r="J154" s="16" t="s">
        <v>520</v>
      </c>
      <c r="K154" s="20">
        <v>0.55000000000000004</v>
      </c>
      <c r="L154" s="17"/>
    </row>
    <row r="155" spans="1:12" x14ac:dyDescent="0.25">
      <c r="A155" s="17" t="s">
        <v>521</v>
      </c>
      <c r="B155" s="17" t="s">
        <v>88</v>
      </c>
      <c r="C155" s="18">
        <v>52500</v>
      </c>
      <c r="D155" s="17" t="s">
        <v>4</v>
      </c>
      <c r="E155" s="16" t="s">
        <v>522</v>
      </c>
      <c r="F155" s="16" t="s">
        <v>523</v>
      </c>
      <c r="G155" s="19">
        <f t="shared" ca="1" si="4"/>
        <v>-6</v>
      </c>
      <c r="H155" s="17" t="s">
        <v>46</v>
      </c>
      <c r="I155" s="17" t="s">
        <v>85</v>
      </c>
      <c r="J155" s="16" t="s">
        <v>524</v>
      </c>
      <c r="K155" s="20">
        <v>0.35</v>
      </c>
      <c r="L155" s="17"/>
    </row>
    <row r="156" spans="1:12" x14ac:dyDescent="0.25">
      <c r="A156" s="17" t="s">
        <v>525</v>
      </c>
      <c r="B156" s="17" t="s">
        <v>73</v>
      </c>
      <c r="C156" s="18">
        <v>24000</v>
      </c>
      <c r="D156" s="17" t="s">
        <v>4</v>
      </c>
      <c r="E156" s="16" t="s">
        <v>509</v>
      </c>
      <c r="F156" s="16" t="s">
        <v>526</v>
      </c>
      <c r="G156" s="19">
        <f t="shared" ca="1" si="4"/>
        <v>-12</v>
      </c>
      <c r="H156" s="17" t="s">
        <v>46</v>
      </c>
      <c r="I156" s="17" t="s">
        <v>85</v>
      </c>
      <c r="J156" s="16" t="s">
        <v>527</v>
      </c>
      <c r="K156" s="20">
        <v>0.35</v>
      </c>
      <c r="L156" s="17"/>
    </row>
    <row r="157" spans="1:12" x14ac:dyDescent="0.25">
      <c r="A157" s="17" t="s">
        <v>528</v>
      </c>
      <c r="B157" s="17" t="s">
        <v>83</v>
      </c>
      <c r="C157" s="18">
        <v>30000</v>
      </c>
      <c r="D157" s="17" t="s">
        <v>5</v>
      </c>
      <c r="E157" s="16" t="s">
        <v>529</v>
      </c>
      <c r="F157" s="16" t="s">
        <v>530</v>
      </c>
      <c r="G157" s="19">
        <f t="shared" ca="1" si="4"/>
        <v>-24</v>
      </c>
      <c r="H157" s="17" t="s">
        <v>46</v>
      </c>
      <c r="I157" s="17" t="s">
        <v>191</v>
      </c>
      <c r="J157" s="16" t="s">
        <v>531</v>
      </c>
      <c r="K157" s="20">
        <v>0.55000000000000004</v>
      </c>
      <c r="L157" s="17"/>
    </row>
    <row r="158" spans="1:12" x14ac:dyDescent="0.25">
      <c r="A158" s="17" t="s">
        <v>532</v>
      </c>
      <c r="B158" s="17" t="s">
        <v>62</v>
      </c>
      <c r="C158" s="18">
        <v>12500</v>
      </c>
      <c r="D158" s="17" t="s">
        <v>5</v>
      </c>
      <c r="E158" s="16" t="s">
        <v>503</v>
      </c>
      <c r="F158" s="16" t="s">
        <v>526</v>
      </c>
      <c r="G158" s="19">
        <f t="shared" ca="1" si="4"/>
        <v>-12</v>
      </c>
      <c r="H158" s="17" t="s">
        <v>46</v>
      </c>
      <c r="I158" s="17" t="s">
        <v>191</v>
      </c>
      <c r="J158" s="16" t="s">
        <v>533</v>
      </c>
      <c r="K158" s="20">
        <v>0.55000000000000004</v>
      </c>
      <c r="L158" s="17"/>
    </row>
    <row r="159" spans="1:12" x14ac:dyDescent="0.25">
      <c r="A159" s="17" t="s">
        <v>534</v>
      </c>
      <c r="B159" s="17" t="s">
        <v>50</v>
      </c>
      <c r="C159" s="18">
        <v>27500</v>
      </c>
      <c r="D159" s="17" t="s">
        <v>3</v>
      </c>
      <c r="E159" s="16" t="s">
        <v>535</v>
      </c>
      <c r="F159" s="16" t="s">
        <v>536</v>
      </c>
      <c r="G159" s="19">
        <f t="shared" ca="1" si="4"/>
        <v>-27</v>
      </c>
      <c r="H159" s="17" t="s">
        <v>46</v>
      </c>
      <c r="I159" s="17" t="s">
        <v>93</v>
      </c>
      <c r="J159" s="16" t="s">
        <v>537</v>
      </c>
      <c r="K159" s="20">
        <v>0.22</v>
      </c>
      <c r="L159" s="17"/>
    </row>
    <row r="160" spans="1:12" x14ac:dyDescent="0.25">
      <c r="A160" s="17" t="s">
        <v>538</v>
      </c>
      <c r="B160" s="17" t="s">
        <v>43</v>
      </c>
      <c r="C160" s="18">
        <v>31500</v>
      </c>
      <c r="D160" s="17" t="s">
        <v>6</v>
      </c>
      <c r="E160" s="16" t="s">
        <v>539</v>
      </c>
      <c r="F160" s="16" t="s">
        <v>536</v>
      </c>
      <c r="G160" s="19">
        <f t="shared" ca="1" si="4"/>
        <v>-27</v>
      </c>
      <c r="H160" s="17" t="s">
        <v>46</v>
      </c>
      <c r="I160" s="17" t="s">
        <v>90</v>
      </c>
      <c r="J160" s="16" t="s">
        <v>540</v>
      </c>
      <c r="K160" s="20">
        <v>0.72</v>
      </c>
      <c r="L160" s="17"/>
    </row>
    <row r="161" spans="1:12" x14ac:dyDescent="0.25">
      <c r="A161" s="17" t="s">
        <v>541</v>
      </c>
      <c r="B161" s="17" t="s">
        <v>56</v>
      </c>
      <c r="C161" s="18">
        <v>50500</v>
      </c>
      <c r="D161" s="17" t="s">
        <v>8</v>
      </c>
      <c r="E161" s="16" t="s">
        <v>542</v>
      </c>
      <c r="F161" s="16" t="s">
        <v>543</v>
      </c>
      <c r="G161" s="19">
        <f t="shared" ca="1" si="4"/>
        <v>-36</v>
      </c>
      <c r="H161" s="17" t="s">
        <v>46</v>
      </c>
      <c r="I161" s="17" t="s">
        <v>166</v>
      </c>
      <c r="J161" s="16"/>
      <c r="K161" s="20">
        <v>0</v>
      </c>
      <c r="L161" s="17" t="s">
        <v>230</v>
      </c>
    </row>
    <row r="162" spans="1:12" x14ac:dyDescent="0.25">
      <c r="A162" s="17" t="s">
        <v>544</v>
      </c>
      <c r="B162" s="17" t="s">
        <v>88</v>
      </c>
      <c r="C162" s="18">
        <v>37000</v>
      </c>
      <c r="D162" s="17" t="s">
        <v>7</v>
      </c>
      <c r="E162" s="16" t="s">
        <v>519</v>
      </c>
      <c r="F162" s="16" t="s">
        <v>545</v>
      </c>
      <c r="G162" s="19">
        <f t="shared" ca="1" si="4"/>
        <v>-16</v>
      </c>
      <c r="H162" s="17" t="s">
        <v>46</v>
      </c>
      <c r="I162" s="17" t="s">
        <v>171</v>
      </c>
      <c r="J162" s="16"/>
      <c r="K162" s="20">
        <v>0.92</v>
      </c>
      <c r="L162" s="17" t="s">
        <v>113</v>
      </c>
    </row>
    <row r="163" spans="1:12" x14ac:dyDescent="0.25">
      <c r="A163" s="17" t="s">
        <v>546</v>
      </c>
      <c r="B163" s="17" t="s">
        <v>73</v>
      </c>
      <c r="C163" s="18">
        <v>17000</v>
      </c>
      <c r="D163" s="17" t="s">
        <v>6</v>
      </c>
      <c r="E163" s="16" t="s">
        <v>516</v>
      </c>
      <c r="F163" s="16" t="s">
        <v>547</v>
      </c>
      <c r="G163" s="19">
        <f t="shared" ca="1" si="4"/>
        <v>-37</v>
      </c>
      <c r="H163" s="17" t="s">
        <v>46</v>
      </c>
      <c r="I163" s="17" t="s">
        <v>90</v>
      </c>
      <c r="J163" s="16" t="s">
        <v>548</v>
      </c>
      <c r="K163" s="20">
        <v>0.72</v>
      </c>
      <c r="L163" s="17"/>
    </row>
    <row r="164" spans="1:12" x14ac:dyDescent="0.25">
      <c r="A164" s="17" t="s">
        <v>549</v>
      </c>
      <c r="B164" s="17" t="s">
        <v>83</v>
      </c>
      <c r="C164" s="18">
        <v>48000</v>
      </c>
      <c r="D164" s="17" t="s">
        <v>8</v>
      </c>
      <c r="E164" s="16" t="s">
        <v>550</v>
      </c>
      <c r="F164" s="16" t="s">
        <v>551</v>
      </c>
      <c r="G164" s="19">
        <f t="shared" ref="G164:G185" ca="1" si="5">IF(F164="","",TODAY()-F164)</f>
        <v>-32</v>
      </c>
      <c r="H164" s="17" t="s">
        <v>46</v>
      </c>
      <c r="I164" s="17" t="s">
        <v>166</v>
      </c>
      <c r="J164" s="16"/>
      <c r="K164" s="20">
        <v>0</v>
      </c>
      <c r="L164" s="17" t="s">
        <v>167</v>
      </c>
    </row>
    <row r="165" spans="1:12" x14ac:dyDescent="0.25">
      <c r="A165" s="17" t="s">
        <v>552</v>
      </c>
      <c r="B165" s="17" t="s">
        <v>62</v>
      </c>
      <c r="C165" s="18">
        <v>43000</v>
      </c>
      <c r="D165" s="17" t="s">
        <v>5</v>
      </c>
      <c r="E165" s="16" t="s">
        <v>553</v>
      </c>
      <c r="F165" s="16" t="s">
        <v>554</v>
      </c>
      <c r="G165" s="19">
        <f t="shared" ca="1" si="5"/>
        <v>-47</v>
      </c>
      <c r="H165" s="17" t="s">
        <v>46</v>
      </c>
      <c r="I165" s="17" t="s">
        <v>191</v>
      </c>
      <c r="J165" s="16" t="s">
        <v>555</v>
      </c>
      <c r="K165" s="20">
        <v>0.55000000000000004</v>
      </c>
      <c r="L165" s="17"/>
    </row>
    <row r="166" spans="1:12" x14ac:dyDescent="0.25">
      <c r="A166" s="17" t="s">
        <v>556</v>
      </c>
      <c r="B166" s="17" t="s">
        <v>50</v>
      </c>
      <c r="C166" s="18">
        <v>46000</v>
      </c>
      <c r="D166" s="17" t="s">
        <v>7</v>
      </c>
      <c r="E166" s="16" t="s">
        <v>557</v>
      </c>
      <c r="F166" s="16" t="s">
        <v>558</v>
      </c>
      <c r="G166" s="19">
        <f t="shared" ca="1" si="5"/>
        <v>-48</v>
      </c>
      <c r="H166" s="17" t="s">
        <v>46</v>
      </c>
      <c r="I166" s="17" t="s">
        <v>171</v>
      </c>
      <c r="J166" s="16"/>
      <c r="K166" s="20">
        <v>0.92</v>
      </c>
      <c r="L166" s="17" t="s">
        <v>104</v>
      </c>
    </row>
    <row r="167" spans="1:12" x14ac:dyDescent="0.25">
      <c r="A167" s="17" t="s">
        <v>559</v>
      </c>
      <c r="B167" s="17" t="s">
        <v>43</v>
      </c>
      <c r="C167" s="18">
        <v>34500</v>
      </c>
      <c r="D167" s="17" t="s">
        <v>8</v>
      </c>
      <c r="E167" s="16" t="s">
        <v>560</v>
      </c>
      <c r="F167" s="16" t="s">
        <v>561</v>
      </c>
      <c r="G167" s="19">
        <f t="shared" ca="1" si="5"/>
        <v>-50</v>
      </c>
      <c r="H167" s="17" t="s">
        <v>46</v>
      </c>
      <c r="I167" s="17" t="s">
        <v>166</v>
      </c>
      <c r="J167" s="16"/>
      <c r="K167" s="20">
        <v>0</v>
      </c>
      <c r="L167" s="17" t="s">
        <v>167</v>
      </c>
    </row>
    <row r="168" spans="1:12" x14ac:dyDescent="0.25">
      <c r="A168" s="17" t="s">
        <v>562</v>
      </c>
      <c r="B168" s="17" t="s">
        <v>56</v>
      </c>
      <c r="C168" s="18">
        <v>34000</v>
      </c>
      <c r="D168" s="17" t="s">
        <v>4</v>
      </c>
      <c r="E168" s="16" t="s">
        <v>563</v>
      </c>
      <c r="F168" s="16" t="s">
        <v>555</v>
      </c>
      <c r="G168" s="19">
        <f t="shared" ca="1" si="5"/>
        <v>-53</v>
      </c>
      <c r="H168" s="17" t="s">
        <v>46</v>
      </c>
      <c r="I168" s="17" t="s">
        <v>85</v>
      </c>
      <c r="J168" s="16" t="s">
        <v>564</v>
      </c>
      <c r="K168" s="20">
        <v>0.35</v>
      </c>
      <c r="L168" s="17"/>
    </row>
    <row r="169" spans="1:12" x14ac:dyDescent="0.25">
      <c r="A169" s="17" t="s">
        <v>565</v>
      </c>
      <c r="B169" s="17" t="s">
        <v>88</v>
      </c>
      <c r="C169" s="18">
        <v>53000</v>
      </c>
      <c r="D169" s="17" t="s">
        <v>5</v>
      </c>
      <c r="E169" s="16" t="s">
        <v>566</v>
      </c>
      <c r="F169" s="16" t="s">
        <v>567</v>
      </c>
      <c r="G169" s="19">
        <f t="shared" ca="1" si="5"/>
        <v>-52</v>
      </c>
      <c r="H169" s="17" t="s">
        <v>46</v>
      </c>
      <c r="I169" s="17" t="s">
        <v>191</v>
      </c>
      <c r="J169" s="16" t="s">
        <v>568</v>
      </c>
      <c r="K169" s="20">
        <v>0.55000000000000004</v>
      </c>
      <c r="L169" s="17"/>
    </row>
    <row r="170" spans="1:12" x14ac:dyDescent="0.25">
      <c r="A170" s="17" t="s">
        <v>569</v>
      </c>
      <c r="B170" s="17" t="s">
        <v>73</v>
      </c>
      <c r="C170" s="18">
        <v>24000</v>
      </c>
      <c r="D170" s="17" t="s">
        <v>7</v>
      </c>
      <c r="E170" s="16" t="s">
        <v>551</v>
      </c>
      <c r="F170" s="16" t="s">
        <v>570</v>
      </c>
      <c r="G170" s="19">
        <f t="shared" ca="1" si="5"/>
        <v>-38</v>
      </c>
      <c r="H170" s="17" t="s">
        <v>46</v>
      </c>
      <c r="I170" s="17" t="s">
        <v>171</v>
      </c>
      <c r="J170" s="16"/>
      <c r="K170" s="20">
        <v>0.92</v>
      </c>
      <c r="L170" s="17" t="s">
        <v>113</v>
      </c>
    </row>
    <row r="171" spans="1:12" x14ac:dyDescent="0.25">
      <c r="A171" s="17" t="s">
        <v>571</v>
      </c>
      <c r="B171" s="17" t="s">
        <v>83</v>
      </c>
      <c r="C171" s="18">
        <v>23000</v>
      </c>
      <c r="D171" s="17" t="s">
        <v>5</v>
      </c>
      <c r="E171" s="16" t="s">
        <v>572</v>
      </c>
      <c r="F171" s="16" t="s">
        <v>573</v>
      </c>
      <c r="G171" s="19">
        <f t="shared" ca="1" si="5"/>
        <v>-67</v>
      </c>
      <c r="H171" s="17" t="s">
        <v>46</v>
      </c>
      <c r="I171" s="17" t="s">
        <v>191</v>
      </c>
      <c r="J171" s="16" t="s">
        <v>574</v>
      </c>
      <c r="K171" s="20">
        <v>0.55000000000000004</v>
      </c>
      <c r="L171" s="17"/>
    </row>
    <row r="172" spans="1:12" x14ac:dyDescent="0.25">
      <c r="A172" s="17" t="s">
        <v>575</v>
      </c>
      <c r="B172" s="17" t="s">
        <v>62</v>
      </c>
      <c r="C172" s="18">
        <v>29000</v>
      </c>
      <c r="D172" s="17" t="s">
        <v>4</v>
      </c>
      <c r="E172" s="16" t="s">
        <v>570</v>
      </c>
      <c r="F172" s="16" t="s">
        <v>576</v>
      </c>
      <c r="G172" s="19">
        <f t="shared" ca="1" si="5"/>
        <v>-46</v>
      </c>
      <c r="H172" s="17" t="s">
        <v>46</v>
      </c>
      <c r="I172" s="17" t="s">
        <v>85</v>
      </c>
      <c r="J172" s="16" t="s">
        <v>568</v>
      </c>
      <c r="K172" s="20">
        <v>0.35</v>
      </c>
      <c r="L172" s="17"/>
    </row>
    <row r="173" spans="1:12" x14ac:dyDescent="0.25">
      <c r="A173" s="17" t="s">
        <v>577</v>
      </c>
      <c r="B173" s="17" t="s">
        <v>50</v>
      </c>
      <c r="C173" s="18">
        <v>24000</v>
      </c>
      <c r="D173" s="17" t="s">
        <v>5</v>
      </c>
      <c r="E173" s="16" t="s">
        <v>578</v>
      </c>
      <c r="F173" s="16" t="s">
        <v>579</v>
      </c>
      <c r="G173" s="19">
        <f t="shared" ca="1" si="5"/>
        <v>-72</v>
      </c>
      <c r="H173" s="17" t="s">
        <v>46</v>
      </c>
      <c r="I173" s="17" t="s">
        <v>191</v>
      </c>
      <c r="J173" s="16" t="s">
        <v>580</v>
      </c>
      <c r="K173" s="20">
        <v>0.55000000000000004</v>
      </c>
      <c r="L173" s="17"/>
    </row>
    <row r="174" spans="1:12" x14ac:dyDescent="0.25">
      <c r="A174" s="17" t="s">
        <v>581</v>
      </c>
      <c r="B174" s="17" t="s">
        <v>43</v>
      </c>
      <c r="C174" s="18">
        <v>21000</v>
      </c>
      <c r="D174" s="17" t="s">
        <v>5</v>
      </c>
      <c r="E174" s="16" t="s">
        <v>582</v>
      </c>
      <c r="F174" s="16" t="s">
        <v>564</v>
      </c>
      <c r="G174" s="19">
        <f t="shared" ca="1" si="5"/>
        <v>-65</v>
      </c>
      <c r="H174" s="17" t="s">
        <v>46</v>
      </c>
      <c r="I174" s="17" t="s">
        <v>191</v>
      </c>
      <c r="J174" s="16" t="s">
        <v>583</v>
      </c>
      <c r="K174" s="20">
        <v>0.55000000000000004</v>
      </c>
      <c r="L174" s="17"/>
    </row>
    <row r="175" spans="1:12" x14ac:dyDescent="0.25">
      <c r="A175" s="17" t="s">
        <v>584</v>
      </c>
      <c r="B175" s="17" t="s">
        <v>56</v>
      </c>
      <c r="C175" s="18">
        <v>12500</v>
      </c>
      <c r="D175" s="17" t="s">
        <v>6</v>
      </c>
      <c r="E175" s="16" t="s">
        <v>554</v>
      </c>
      <c r="F175" s="16" t="s">
        <v>585</v>
      </c>
      <c r="G175" s="19">
        <f t="shared" ca="1" si="5"/>
        <v>-78</v>
      </c>
      <c r="H175" s="17" t="s">
        <v>46</v>
      </c>
      <c r="I175" s="17" t="s">
        <v>90</v>
      </c>
      <c r="J175" s="16" t="s">
        <v>580</v>
      </c>
      <c r="K175" s="20">
        <v>0.72</v>
      </c>
      <c r="L175" s="17"/>
    </row>
    <row r="176" spans="1:12" x14ac:dyDescent="0.25">
      <c r="A176" s="17" t="s">
        <v>586</v>
      </c>
      <c r="B176" s="17" t="s">
        <v>88</v>
      </c>
      <c r="C176" s="18">
        <v>17000</v>
      </c>
      <c r="D176" s="17" t="s">
        <v>6</v>
      </c>
      <c r="E176" s="16" t="s">
        <v>561</v>
      </c>
      <c r="F176" s="16" t="s">
        <v>587</v>
      </c>
      <c r="G176" s="19">
        <f t="shared" ca="1" si="5"/>
        <v>-76</v>
      </c>
      <c r="H176" s="17" t="s">
        <v>46</v>
      </c>
      <c r="I176" s="17" t="s">
        <v>90</v>
      </c>
      <c r="J176" s="16" t="s">
        <v>588</v>
      </c>
      <c r="K176" s="20">
        <v>0.72</v>
      </c>
      <c r="L176" s="17"/>
    </row>
    <row r="177" spans="1:12" x14ac:dyDescent="0.25">
      <c r="A177" s="17" t="s">
        <v>589</v>
      </c>
      <c r="B177" s="17" t="s">
        <v>73</v>
      </c>
      <c r="C177" s="18">
        <v>16000</v>
      </c>
      <c r="D177" s="17" t="s">
        <v>4</v>
      </c>
      <c r="E177" s="16" t="s">
        <v>555</v>
      </c>
      <c r="F177" s="16" t="s">
        <v>590</v>
      </c>
      <c r="G177" s="19">
        <f t="shared" ca="1" si="5"/>
        <v>-74</v>
      </c>
      <c r="H177" s="17" t="s">
        <v>46</v>
      </c>
      <c r="I177" s="17" t="s">
        <v>85</v>
      </c>
      <c r="J177" s="16" t="s">
        <v>591</v>
      </c>
      <c r="K177" s="20">
        <v>0.35</v>
      </c>
      <c r="L177" s="17"/>
    </row>
    <row r="178" spans="1:12" x14ac:dyDescent="0.25">
      <c r="A178" s="17" t="s">
        <v>592</v>
      </c>
      <c r="B178" s="17" t="s">
        <v>83</v>
      </c>
      <c r="C178" s="18">
        <v>35500</v>
      </c>
      <c r="D178" s="17" t="s">
        <v>7</v>
      </c>
      <c r="E178" s="16" t="s">
        <v>593</v>
      </c>
      <c r="F178" s="16" t="s">
        <v>594</v>
      </c>
      <c r="G178" s="19">
        <f t="shared" ca="1" si="5"/>
        <v>-61</v>
      </c>
      <c r="H178" s="17" t="s">
        <v>46</v>
      </c>
      <c r="I178" s="17" t="s">
        <v>171</v>
      </c>
      <c r="J178" s="16"/>
      <c r="K178" s="20">
        <v>0.92</v>
      </c>
      <c r="L178" s="17" t="s">
        <v>104</v>
      </c>
    </row>
    <row r="179" spans="1:12" x14ac:dyDescent="0.25">
      <c r="A179" s="17" t="s">
        <v>595</v>
      </c>
      <c r="B179" s="17" t="s">
        <v>62</v>
      </c>
      <c r="C179" s="18">
        <v>33500</v>
      </c>
      <c r="D179" s="17" t="s">
        <v>5</v>
      </c>
      <c r="E179" s="16" t="s">
        <v>596</v>
      </c>
      <c r="F179" s="16" t="s">
        <v>587</v>
      </c>
      <c r="G179" s="19">
        <f t="shared" ca="1" si="5"/>
        <v>-76</v>
      </c>
      <c r="H179" s="17" t="s">
        <v>46</v>
      </c>
      <c r="I179" s="17" t="s">
        <v>191</v>
      </c>
      <c r="J179" s="16" t="s">
        <v>597</v>
      </c>
      <c r="K179" s="20">
        <v>0.55000000000000004</v>
      </c>
      <c r="L179" s="17"/>
    </row>
    <row r="180" spans="1:12" x14ac:dyDescent="0.25">
      <c r="A180" s="17" t="s">
        <v>598</v>
      </c>
      <c r="B180" s="17" t="s">
        <v>50</v>
      </c>
      <c r="C180" s="18">
        <v>53500</v>
      </c>
      <c r="D180" s="17" t="s">
        <v>3</v>
      </c>
      <c r="E180" s="16" t="s">
        <v>599</v>
      </c>
      <c r="F180" s="16" t="s">
        <v>600</v>
      </c>
      <c r="G180" s="19">
        <f t="shared" ca="1" si="5"/>
        <v>-71</v>
      </c>
      <c r="H180" s="17" t="s">
        <v>46</v>
      </c>
      <c r="I180" s="17" t="s">
        <v>93</v>
      </c>
      <c r="J180" s="16" t="s">
        <v>585</v>
      </c>
      <c r="K180" s="20">
        <v>0.22</v>
      </c>
      <c r="L180" s="17"/>
    </row>
    <row r="181" spans="1:12" x14ac:dyDescent="0.25">
      <c r="A181" s="17" t="s">
        <v>601</v>
      </c>
      <c r="B181" s="17" t="s">
        <v>43</v>
      </c>
      <c r="C181" s="18">
        <v>38000</v>
      </c>
      <c r="D181" s="17" t="s">
        <v>3</v>
      </c>
      <c r="E181" s="16" t="s">
        <v>564</v>
      </c>
      <c r="F181" s="16" t="s">
        <v>602</v>
      </c>
      <c r="G181" s="19">
        <f t="shared" ca="1" si="5"/>
        <v>-88</v>
      </c>
      <c r="H181" s="17" t="s">
        <v>46</v>
      </c>
      <c r="I181" s="17" t="s">
        <v>93</v>
      </c>
      <c r="J181" s="16" t="s">
        <v>603</v>
      </c>
      <c r="K181" s="20">
        <v>0.22</v>
      </c>
      <c r="L181" s="17"/>
    </row>
    <row r="182" spans="1:12" x14ac:dyDescent="0.25">
      <c r="A182" s="17" t="s">
        <v>604</v>
      </c>
      <c r="B182" s="17" t="s">
        <v>56</v>
      </c>
      <c r="C182" s="18">
        <v>28000</v>
      </c>
      <c r="D182" s="17" t="s">
        <v>4</v>
      </c>
      <c r="E182" s="16" t="s">
        <v>605</v>
      </c>
      <c r="F182" s="16" t="s">
        <v>588</v>
      </c>
      <c r="G182" s="19">
        <f t="shared" ca="1" si="5"/>
        <v>-84</v>
      </c>
      <c r="H182" s="17" t="s">
        <v>46</v>
      </c>
      <c r="I182" s="17" t="s">
        <v>85</v>
      </c>
      <c r="J182" s="16" t="s">
        <v>606</v>
      </c>
      <c r="K182" s="20">
        <v>0.35</v>
      </c>
      <c r="L182" s="17"/>
    </row>
    <row r="183" spans="1:12" x14ac:dyDescent="0.25">
      <c r="A183" s="17" t="s">
        <v>607</v>
      </c>
      <c r="B183" s="17" t="s">
        <v>88</v>
      </c>
      <c r="C183" s="18">
        <v>22500</v>
      </c>
      <c r="D183" s="17" t="s">
        <v>4</v>
      </c>
      <c r="E183" s="16" t="s">
        <v>600</v>
      </c>
      <c r="F183" s="16" t="s">
        <v>587</v>
      </c>
      <c r="G183" s="19">
        <f t="shared" ca="1" si="5"/>
        <v>-76</v>
      </c>
      <c r="H183" s="17" t="s">
        <v>46</v>
      </c>
      <c r="I183" s="17" t="s">
        <v>85</v>
      </c>
      <c r="J183" s="16" t="s">
        <v>580</v>
      </c>
      <c r="K183" s="20">
        <v>0.35</v>
      </c>
      <c r="L183" s="17"/>
    </row>
    <row r="184" spans="1:12" x14ac:dyDescent="0.25">
      <c r="A184" s="17" t="s">
        <v>608</v>
      </c>
      <c r="B184" s="17" t="s">
        <v>73</v>
      </c>
      <c r="C184" s="18">
        <v>56000</v>
      </c>
      <c r="D184" s="17" t="s">
        <v>5</v>
      </c>
      <c r="E184" s="16" t="s">
        <v>590</v>
      </c>
      <c r="F184" s="16" t="s">
        <v>588</v>
      </c>
      <c r="G184" s="19">
        <f t="shared" ca="1" si="5"/>
        <v>-84</v>
      </c>
      <c r="H184" s="17" t="s">
        <v>46</v>
      </c>
      <c r="I184" s="17" t="s">
        <v>191</v>
      </c>
      <c r="J184" s="16" t="s">
        <v>609</v>
      </c>
      <c r="K184" s="20">
        <v>0.55000000000000004</v>
      </c>
      <c r="L184" s="17"/>
    </row>
    <row r="185" spans="1:12" x14ac:dyDescent="0.25">
      <c r="A185" s="17" t="s">
        <v>610</v>
      </c>
      <c r="B185" s="17" t="s">
        <v>83</v>
      </c>
      <c r="C185" s="18">
        <v>39500</v>
      </c>
      <c r="D185" s="17" t="s">
        <v>6</v>
      </c>
      <c r="E185" s="16" t="s">
        <v>587</v>
      </c>
      <c r="F185" s="16" t="s">
        <v>611</v>
      </c>
      <c r="G185" s="19">
        <f t="shared" ca="1" si="5"/>
        <v>-89</v>
      </c>
      <c r="H185" s="17" t="s">
        <v>46</v>
      </c>
      <c r="I185" s="17" t="s">
        <v>90</v>
      </c>
      <c r="J185" s="16" t="s">
        <v>612</v>
      </c>
      <c r="K185" s="20">
        <v>0.72</v>
      </c>
      <c r="L185" s="17"/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zoomScaleNormal="100" workbookViewId="0">
      <selection activeCell="K7" sqref="K7"/>
    </sheetView>
  </sheetViews>
  <sheetFormatPr defaultRowHeight="15" x14ac:dyDescent="0.25"/>
  <cols>
    <col min="1" max="1" width="14" style="24" customWidth="1"/>
    <col min="2" max="2" width="16" style="24" customWidth="1"/>
    <col min="3" max="3" width="20" style="24" customWidth="1"/>
    <col min="4" max="4" width="70.42578125" style="24" bestFit="1" customWidth="1"/>
    <col min="5" max="16384" width="9.140625" style="24"/>
  </cols>
  <sheetData>
    <row r="1" spans="1:4" ht="30" customHeight="1" x14ac:dyDescent="0.25">
      <c r="A1" s="22" t="s">
        <v>613</v>
      </c>
      <c r="B1" s="23"/>
      <c r="C1" s="23"/>
      <c r="D1" s="23"/>
    </row>
    <row r="2" spans="1:4" ht="15.95" customHeight="1" x14ac:dyDescent="0.25">
      <c r="A2" s="25" t="s">
        <v>614</v>
      </c>
      <c r="B2" s="23"/>
      <c r="C2" s="23"/>
      <c r="D2" s="23"/>
    </row>
    <row r="3" spans="1:4" ht="21.95" customHeight="1" x14ac:dyDescent="0.25">
      <c r="A3" s="5" t="s">
        <v>615</v>
      </c>
      <c r="B3" s="5" t="s">
        <v>616</v>
      </c>
      <c r="C3" s="5" t="s">
        <v>617</v>
      </c>
      <c r="D3" s="5" t="s">
        <v>618</v>
      </c>
    </row>
    <row r="4" spans="1:4" x14ac:dyDescent="0.25">
      <c r="A4" s="37" t="s">
        <v>3</v>
      </c>
      <c r="B4" s="3" t="s">
        <v>619</v>
      </c>
      <c r="C4" s="3" t="s">
        <v>46</v>
      </c>
      <c r="D4" s="3" t="s">
        <v>620</v>
      </c>
    </row>
    <row r="5" spans="1:4" x14ac:dyDescent="0.25">
      <c r="A5" s="34" t="s">
        <v>4</v>
      </c>
      <c r="B5" s="4" t="s">
        <v>621</v>
      </c>
      <c r="C5" s="4" t="s">
        <v>46</v>
      </c>
      <c r="D5" s="4" t="s">
        <v>622</v>
      </c>
    </row>
    <row r="6" spans="1:4" x14ac:dyDescent="0.25">
      <c r="A6" s="37" t="s">
        <v>5</v>
      </c>
      <c r="B6" s="3" t="s">
        <v>623</v>
      </c>
      <c r="C6" s="3" t="s">
        <v>624</v>
      </c>
      <c r="D6" s="3" t="s">
        <v>625</v>
      </c>
    </row>
    <row r="7" spans="1:4" x14ac:dyDescent="0.25">
      <c r="A7" s="34" t="s">
        <v>6</v>
      </c>
      <c r="B7" s="4" t="s">
        <v>626</v>
      </c>
      <c r="C7" s="4" t="s">
        <v>46</v>
      </c>
      <c r="D7" s="4" t="s">
        <v>627</v>
      </c>
    </row>
    <row r="8" spans="1:4" x14ac:dyDescent="0.25">
      <c r="A8" s="37" t="s">
        <v>7</v>
      </c>
      <c r="B8" s="3" t="s">
        <v>628</v>
      </c>
      <c r="C8" s="3" t="s">
        <v>624</v>
      </c>
      <c r="D8" s="3" t="s">
        <v>629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Pipeline Log</vt:lpstr>
      <vt:lpstr>Stage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truenorth</cp:lastModifiedBy>
  <dcterms:created xsi:type="dcterms:W3CDTF">2026-03-28T14:09:26Z</dcterms:created>
  <dcterms:modified xsi:type="dcterms:W3CDTF">2026-03-30T03:06:06Z</dcterms:modified>
</cp:coreProperties>
</file>