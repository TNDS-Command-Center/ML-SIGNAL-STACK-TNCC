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270" windowWidth="29040" windowHeight="15720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ipeline Log" sheetId="2" state="visible" r:id="rId2"/>
    <sheet xmlns:r="http://schemas.openxmlformats.org/officeDocument/2006/relationships" name="Stage Reference" sheetId="3" state="visible" r:id="rId3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5">
    <numFmt numFmtId="164" formatCode="\$#,##0"/>
    <numFmt numFmtId="165" formatCode="mm/dd/yyyy"/>
    <numFmt numFmtId="166" formatCode="0.0%"/>
    <numFmt numFmtId="167" formatCode="#,##0.0"/>
    <numFmt numFmtId="168" formatCode="$#,##0"/>
  </numFmts>
  <fonts count="11">
    <font>
      <name val="Calibri"/>
      <family val="2"/>
      <color theme="1"/>
      <sz val="11"/>
      <scheme val="minor"/>
    </font>
    <font>
      <name val="Arial"/>
      <b val="1"/>
      <color rgb="FFFFFFFF"/>
      <sz val="13"/>
    </font>
    <font>
      <name val="Arial"/>
      <i val="1"/>
      <color rgb="FF1A3A5C"/>
      <sz val="9"/>
    </font>
    <font>
      <name val="Arial"/>
      <b val="1"/>
      <color rgb="FFFFFFFF"/>
      <sz val="10"/>
    </font>
    <font>
      <name val="Arial"/>
      <b val="1"/>
      <color rgb="FFFFFFFF"/>
      <sz val="9"/>
    </font>
    <font>
      <name val="Arial"/>
      <b val="1"/>
      <color rgb="FF1A3A5C"/>
      <sz val="14"/>
    </font>
    <font>
      <name val="Arial"/>
      <color rgb="FF000000"/>
      <sz val="10"/>
    </font>
    <font>
      <name val="Arial"/>
      <b val="1"/>
      <color rgb="FF000000"/>
      <sz val="10"/>
    </font>
    <font>
      <name val="Arial"/>
      <color rgb="FF1A3A5C"/>
      <sz val="10"/>
    </font>
    <font>
      <name val="Arial"/>
      <b val="1"/>
      <color rgb="FF3B6D11"/>
      <sz val="10"/>
    </font>
    <font>
      <name val="Arial"/>
      <color rgb="FFA32D2D"/>
      <sz val="10"/>
    </font>
  </fonts>
  <fills count="8">
    <fill>
      <patternFill/>
    </fill>
    <fill>
      <patternFill patternType="gray125"/>
    </fill>
    <fill>
      <patternFill patternType="solid">
        <fgColor rgb="FF1A3A5C"/>
      </patternFill>
    </fill>
    <fill>
      <patternFill patternType="solid">
        <fgColor rgb="FFD6E8F5"/>
      </patternFill>
    </fill>
    <fill>
      <patternFill patternType="solid">
        <fgColor rgb="FFFFFFFF"/>
      </patternFill>
    </fill>
    <fill>
      <patternFill patternType="solid">
        <fgColor rgb="FFF7F9FB"/>
      </patternFill>
    </fill>
    <fill>
      <patternFill patternType="solid">
        <fgColor rgb="FF3D8EB9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3" fontId="5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6" borderId="5" applyAlignment="1" pivotButton="0" quotePrefix="0" xfId="0">
      <alignment horizontal="center" vertical="center" wrapText="1"/>
    </xf>
    <xf numFmtId="0" fontId="6" fillId="7" borderId="4" applyAlignment="1" pivotButton="0" quotePrefix="0" xfId="0">
      <alignment horizontal="center" vertical="center"/>
    </xf>
    <xf numFmtId="3" fontId="6" fillId="7" borderId="4" applyAlignment="1" pivotButton="0" quotePrefix="0" xfId="0">
      <alignment horizontal="center" vertical="center"/>
    </xf>
    <xf numFmtId="9" fontId="6" fillId="7" borderId="4" applyAlignment="1" pivotButton="0" quotePrefix="0" xfId="0">
      <alignment horizontal="center" vertical="center"/>
    </xf>
    <xf numFmtId="0" fontId="8" fillId="7" borderId="4" applyAlignment="1" pivotButton="0" quotePrefix="0" xfId="0">
      <alignment horizontal="center" vertical="center"/>
    </xf>
    <xf numFmtId="0" fontId="9" fillId="7" borderId="4" applyAlignment="1" pivotButton="0" quotePrefix="0" xfId="0">
      <alignment horizontal="center" vertical="center"/>
    </xf>
    <xf numFmtId="0" fontId="10" fillId="7" borderId="4" applyAlignment="1" pivotButton="0" quotePrefix="0" xfId="0">
      <alignment horizontal="center" vertical="center"/>
    </xf>
    <xf numFmtId="0" fontId="7" fillId="7" borderId="4" applyAlignment="1" pivotButton="0" quotePrefix="0" xfId="0">
      <alignment horizontal="center" vertical="center"/>
    </xf>
    <xf numFmtId="164" fontId="6" fillId="7" borderId="4" applyAlignment="1" pivotButton="0" quotePrefix="0" xfId="0">
      <alignment horizontal="center" vertical="center"/>
    </xf>
    <xf numFmtId="165" fontId="6" fillId="7" borderId="4" applyAlignment="1" pivotButton="0" quotePrefix="0" xfId="0">
      <alignment horizontal="center" vertical="center"/>
    </xf>
    <xf numFmtId="165" fontId="0" fillId="7" borderId="4" applyAlignment="1" pivotButton="0" quotePrefix="0" xfId="0">
      <alignment horizontal="center"/>
    </xf>
    <xf numFmtId="0" fontId="0" fillId="7" borderId="4" applyAlignment="1" pivotButton="0" quotePrefix="0" xfId="0">
      <alignment horizontal="center"/>
    </xf>
    <xf numFmtId="164" fontId="0" fillId="7" borderId="4" applyAlignment="1" pivotButton="0" quotePrefix="0" xfId="0">
      <alignment horizontal="center"/>
    </xf>
    <xf numFmtId="3" fontId="0" fillId="7" borderId="4" applyAlignment="1" pivotButton="0" quotePrefix="0" xfId="0">
      <alignment horizontal="center"/>
    </xf>
    <xf numFmtId="9" fontId="0" fillId="7" borderId="4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7" fillId="4" borderId="1" applyAlignment="1" pivotButton="0" quotePrefix="0" xfId="0">
      <alignment horizontal="center" vertical="center"/>
    </xf>
    <xf numFmtId="166" fontId="7" fillId="5" borderId="1" applyAlignment="1" pivotButton="0" quotePrefix="0" xfId="0">
      <alignment horizontal="center" vertical="center"/>
    </xf>
    <xf numFmtId="3" fontId="7" fillId="5" borderId="1" applyAlignment="1" pivotButton="0" quotePrefix="0" xfId="0">
      <alignment horizontal="center" vertical="center"/>
    </xf>
    <xf numFmtId="166" fontId="7" fillId="4" borderId="1" applyAlignment="1" pivotButton="0" quotePrefix="0" xfId="0">
      <alignment horizontal="center" vertical="center"/>
    </xf>
    <xf numFmtId="164" fontId="7" fillId="5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167" fontId="7" fillId="4" borderId="1" applyAlignment="1" pivotButton="0" quotePrefix="0" xfId="0">
      <alignment horizontal="center" vertical="center"/>
    </xf>
    <xf numFmtId="165" fontId="7" fillId="5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1" fillId="2" borderId="0" applyAlignment="1" pivotButton="0" quotePrefix="0" xfId="0">
      <alignment horizontal="center" vertical="center"/>
    </xf>
    <xf numFmtId="168" fontId="6" fillId="7" borderId="4" applyAlignment="1" pivotButton="0" quotePrefix="0" xfId="0">
      <alignment horizontal="center" vertical="center"/>
    </xf>
    <xf numFmtId="168" fontId="0" fillId="7" borderId="4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tabSelected="1" zoomScaleNormal="100" workbookViewId="0">
      <pane ySplit="8" topLeftCell="A9" activePane="bottomLeft" state="frozen"/>
      <selection pane="bottomLeft" activeCell="G24" sqref="G24:G25"/>
    </sheetView>
  </sheetViews>
  <sheetFormatPr baseColWidth="8" defaultRowHeight="15"/>
  <cols>
    <col width="28" customWidth="1" style="33" min="1" max="1"/>
    <col width="16" customWidth="1" style="33" min="2" max="2"/>
    <col width="10" customWidth="1" style="33" min="3" max="5"/>
    <col width="28" customWidth="1" style="33" min="6" max="6"/>
    <col width="23.140625" customWidth="1" style="33" min="7" max="7"/>
    <col width="10" customWidth="1" style="33" min="8" max="9"/>
    <col width="9.140625" customWidth="1" style="33" min="10" max="10"/>
    <col width="9.140625" customWidth="1" style="33" min="11" max="16384"/>
  </cols>
  <sheetData>
    <row r="1" ht="30" customHeight="1">
      <c r="A1" s="37" t="inlineStr">
        <is>
          <t>SignalStack | Pipeline Pulse — Direction Protocol Sales Tracker</t>
        </is>
      </c>
    </row>
    <row r="2" ht="15.95" customHeight="1">
      <c r="A2" s="32" t="inlineStr">
        <is>
          <t xml:space="preserve">  Track every prospect through Identify → Assess → Map → Chart → Launch. Enter data in the Pipeline Log tab.</t>
        </is>
      </c>
    </row>
    <row r="3" ht="8.1" customHeight="1"/>
    <row r="4" ht="21.95" customHeight="1">
      <c r="A4" s="34" t="inlineStr">
        <is>
          <t>DIRECTION PROTOCOL — STAGE COUNTS</t>
        </is>
      </c>
      <c r="B4" s="35" t="n"/>
      <c r="C4" s="35" t="n"/>
      <c r="D4" s="35" t="n"/>
      <c r="E4" s="35" t="n"/>
      <c r="F4" s="35" t="n"/>
      <c r="G4" s="35" t="n"/>
      <c r="H4" s="35" t="n"/>
      <c r="I4" s="36" t="n"/>
    </row>
    <row r="5" ht="18" customHeight="1">
      <c r="A5" s="1" t="inlineStr">
        <is>
          <t>Identify</t>
        </is>
      </c>
      <c r="B5" s="1" t="inlineStr">
        <is>
          <t>Assess</t>
        </is>
      </c>
      <c r="C5" s="1" t="inlineStr">
        <is>
          <t>Map</t>
        </is>
      </c>
      <c r="D5" s="1" t="inlineStr">
        <is>
          <t>Chart</t>
        </is>
      </c>
      <c r="E5" s="1" t="inlineStr">
        <is>
          <t>Launch</t>
        </is>
      </c>
      <c r="F5" s="1" t="inlineStr">
        <is>
          <t>Closed Lost</t>
        </is>
      </c>
    </row>
    <row r="6" ht="27.95" customHeight="1">
      <c r="A6" s="2">
        <f>COUNTIFS('Pipeline Log'!D:D,A5,'Pipeline Log'!A:A,"&lt;&gt;")</f>
        <v/>
      </c>
      <c r="B6" s="2">
        <f>COUNTIFS('Pipeline Log'!D:D,B5,'Pipeline Log'!A:A,"&lt;&gt;")</f>
        <v/>
      </c>
      <c r="C6" s="2">
        <f>COUNTIFS('Pipeline Log'!D:D,C5,'Pipeline Log'!A:A,"&lt;&gt;")</f>
        <v/>
      </c>
      <c r="D6" s="2">
        <f>COUNTIFS('Pipeline Log'!D:D,D5,'Pipeline Log'!A:A,"&lt;&gt;")</f>
        <v/>
      </c>
      <c r="E6" s="2">
        <f>COUNTIFS('Pipeline Log'!D:D,E5,'Pipeline Log'!A:A,"&lt;&gt;")</f>
        <v/>
      </c>
      <c r="F6" s="2">
        <f>COUNTIFS('Pipeline Log'!D:D,F5,'Pipeline Log'!A:A,"&lt;&gt;")</f>
        <v/>
      </c>
    </row>
    <row r="7" ht="9.949999999999999" customHeight="1"/>
    <row r="8" ht="21.95" customHeight="1">
      <c r="A8" s="34" t="inlineStr">
        <is>
          <t>FUNNEL METRICS</t>
        </is>
      </c>
      <c r="B8" s="35" t="n"/>
      <c r="C8" s="35" t="n"/>
      <c r="D8" s="35" t="n"/>
      <c r="E8" s="36" t="n"/>
      <c r="F8" s="34" t="inlineStr">
        <is>
          <t>WIN/LOSS ANALYSIS — MTD</t>
        </is>
      </c>
      <c r="G8" s="35" t="n"/>
      <c r="H8" s="35" t="n"/>
      <c r="I8" s="36" t="n"/>
    </row>
    <row r="9">
      <c r="A9" s="3" t="inlineStr">
        <is>
          <t>Total Active Prospects</t>
        </is>
      </c>
      <c r="B9" s="22">
        <f>COUNTIFS('Pipeline Log'!A:A,"&lt;&gt;",'Pipeline Log'!D:D,"&lt;&gt;Closed Lost")</f>
        <v/>
      </c>
      <c r="C9" s="3" t="n"/>
      <c r="D9" s="3" t="n"/>
      <c r="E9" s="3" t="n"/>
      <c r="F9" s="3" t="inlineStr">
        <is>
          <t>Deals Won MTD</t>
        </is>
      </c>
      <c r="G9" s="22">
        <f>COUNTIFS('Pipeline Log'!D:D,"Launch",'Pipeline Log'!F:F,"&gt;="&amp;EOMONTH(TODAY(),-1)+1,'Pipeline Log'!F:F,"&lt;="&amp;EOMONTH(TODAY(),0))</f>
        <v/>
      </c>
    </row>
    <row r="10">
      <c r="A10" s="4" t="inlineStr">
        <is>
          <t>Identify → Assess Conv.</t>
        </is>
      </c>
      <c r="B10" s="23">
        <f>IF(A6=0,0,B6/A6)</f>
        <v/>
      </c>
      <c r="C10" s="4" t="n"/>
      <c r="D10" s="4" t="n"/>
      <c r="E10" s="4" t="n"/>
      <c r="F10" s="4" t="inlineStr">
        <is>
          <t>Deals Lost MTD</t>
        </is>
      </c>
      <c r="G10" s="24">
        <f>COUNTIFS('Pipeline Log'!D:D,"Closed Lost",'Pipeline Log'!F:F,"&gt;="&amp;EOMONTH(TODAY(),-1)+1,'Pipeline Log'!F:F,"&lt;="&amp;EOMONTH(TODAY(),0))</f>
        <v/>
      </c>
    </row>
    <row r="11">
      <c r="A11" s="3" t="inlineStr">
        <is>
          <t>Assess → Map Conv.</t>
        </is>
      </c>
      <c r="B11" s="25">
        <f>IF(B6=0,0,C6/B6)</f>
        <v/>
      </c>
      <c r="C11" s="3" t="n"/>
      <c r="D11" s="3" t="n"/>
      <c r="E11" s="3" t="n"/>
      <c r="F11" s="3" t="inlineStr">
        <is>
          <t>Win Rate MTD</t>
        </is>
      </c>
      <c r="G11" s="25">
        <f>IF(G9+G10=0,0,G9/(G9+G10))</f>
        <v/>
      </c>
    </row>
    <row r="12">
      <c r="A12" s="4" t="inlineStr">
        <is>
          <t>Map → Chart Conv.</t>
        </is>
      </c>
      <c r="B12" s="26">
        <f>IF(C6=0,0,D6/C6)</f>
        <v/>
      </c>
      <c r="C12" s="4" t="n"/>
      <c r="D12" s="4" t="n"/>
      <c r="E12" s="4" t="n"/>
      <c r="F12" s="4" t="inlineStr">
        <is>
          <t>Avg Deal Size (Won)</t>
        </is>
      </c>
      <c r="G12" s="26">
        <f>IFERROR(AVERAGEIFS('Pipeline Log'!C:C,'Pipeline Log'!D:D,"Launch",'Pipeline Log'!F:F,"&gt;="&amp;EOMONTH(TODAY(),-1)+1,'Pipeline Log'!F:F,"&lt;="&amp;EOMONTH(TODAY(),0)),0)</f>
        <v/>
      </c>
    </row>
    <row r="13">
      <c r="A13" s="3" t="inlineStr">
        <is>
          <t>Chart → Launch Conv.</t>
        </is>
      </c>
      <c r="B13" s="27">
        <f>IF(D6=0,0,E6/D6)</f>
        <v/>
      </c>
      <c r="C13" s="3" t="n"/>
      <c r="D13" s="3" t="n"/>
      <c r="E13" s="3" t="n"/>
      <c r="F13" s="3" t="inlineStr">
        <is>
          <t>Avg Deal Size (Lost)</t>
        </is>
      </c>
      <c r="G13" s="27">
        <f>IFERROR(AVERAGEIFS('Pipeline Log'!C:C,'Pipeline Log'!D:D,"Closed Lost",'Pipeline Log'!F:F,"&gt;="&amp;EOMONTH(TODAY(),-1)+1,'Pipeline Log'!F:F,"&lt;="&amp;EOMONTH(TODAY(),0)),0)</f>
        <v/>
      </c>
    </row>
    <row r="14">
      <c r="A14" s="4" t="inlineStr">
        <is>
          <t>Overall Close Rate</t>
        </is>
      </c>
      <c r="B14" s="23">
        <f>IF(E6+F6=0,0,E6/(E6+F6))</f>
        <v/>
      </c>
      <c r="C14" s="4" t="n"/>
      <c r="D14" s="4" t="n"/>
      <c r="E14" s="4" t="n"/>
      <c r="F14" s="4" t="inlineStr">
        <is>
          <t>Top Loss Reason</t>
        </is>
      </c>
      <c r="G14" s="28" t="inlineStr">
        <is>
          <t>Price</t>
        </is>
      </c>
    </row>
    <row r="15">
      <c r="A15" s="3" t="inlineStr">
        <is>
          <t>Avg Days Identify→Launch</t>
        </is>
      </c>
      <c r="B15" s="29">
        <f>IFERROR(AVERAGEIFS('Pipeline Log'!G:G,'Pipeline Log'!D:D,"Launch"),0)</f>
        <v/>
      </c>
      <c r="C15" s="3" t="n"/>
      <c r="D15" s="3" t="n"/>
      <c r="E15" s="3" t="n"/>
      <c r="F15" s="3" t="inlineStr">
        <is>
          <t>Avg Sales Cycle (days)</t>
        </is>
      </c>
      <c r="G15" s="29">
        <f>IFERROR(AVERAGEIFS('Pipeline Log'!G:G,'Pipeline Log'!D:D,"Launch"),0)</f>
        <v/>
      </c>
    </row>
    <row r="16">
      <c r="A16" s="4" t="inlineStr">
        <is>
          <t>Pipeline Value (est.)</t>
        </is>
      </c>
      <c r="B16" s="26">
        <f>SUMIFS('Pipeline Log'!C:C,'Pipeline Log'!D:D,"&lt;&gt;Closed Lost")</f>
        <v/>
      </c>
      <c r="C16" s="4" t="n"/>
      <c r="D16" s="4" t="n"/>
      <c r="E16" s="4" t="n"/>
      <c r="F16" s="4" t="inlineStr">
        <is>
          <t>Next Follow-Up Due</t>
        </is>
      </c>
      <c r="G16" s="30">
        <f>IFERROR(AGGREGATE(15,6,'Pipeline Log'!J:J/(('Pipeline Log'!J:J&gt;=TODAY())*('Pipeline Log'!D:D&lt;&gt;"Closed Lost")),1),"")</f>
        <v/>
      </c>
    </row>
  </sheetData>
  <mergeCells count="5">
    <mergeCell ref="A2:I2"/>
    <mergeCell ref="F8:I8"/>
    <mergeCell ref="A1:I1"/>
    <mergeCell ref="A8:E8"/>
    <mergeCell ref="A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5"/>
  <sheetViews>
    <sheetView zoomScaleNormal="100" workbookViewId="0">
      <pane ySplit="3" topLeftCell="A4" activePane="bottomLeft" state="frozen"/>
      <selection pane="bottomLeft" activeCell="A1" sqref="A1:XFD1048576"/>
    </sheetView>
  </sheetViews>
  <sheetFormatPr baseColWidth="8" defaultRowHeight="15"/>
  <cols>
    <col width="22" customWidth="1" style="33" min="1" max="1"/>
    <col width="16" customWidth="1" style="33" min="2" max="2"/>
    <col width="13" customWidth="1" style="33" min="3" max="3"/>
    <col width="14" customWidth="1" style="33" min="4" max="4"/>
    <col width="13" customWidth="1" style="33" min="5" max="5"/>
    <col width="14" customWidth="1" style="33" min="6" max="6"/>
    <col width="12" customWidth="1" style="33" min="7" max="7"/>
    <col width="10" customWidth="1" style="33" min="8" max="8"/>
    <col width="30" customWidth="1" style="33" min="9" max="9"/>
    <col width="16" customWidth="1" style="33" min="10" max="10"/>
    <col width="11" customWidth="1" style="33" min="11" max="11"/>
    <col width="28" customWidth="1" style="33" min="12" max="12"/>
    <col width="9.140625" customWidth="1" style="33" min="13" max="13"/>
    <col width="9.140625" customWidth="1" style="33" min="14" max="16384"/>
  </cols>
  <sheetData>
    <row r="1" ht="30" customHeight="1">
      <c r="A1" s="37" t="inlineStr">
        <is>
          <t>SignalStack | Pipeline Pulse — Prospect Log</t>
        </is>
      </c>
    </row>
    <row r="2" ht="15.95" customHeight="1">
      <c r="A2" s="32" t="inlineStr">
        <is>
          <t xml:space="preserve">  One row per prospect. Update Stage as they move through the Direction Protocol.</t>
        </is>
      </c>
    </row>
    <row r="3" ht="39.95" customHeight="1">
      <c r="A3" s="6" t="inlineStr">
        <is>
          <t>Prospect</t>
        </is>
      </c>
      <c r="B3" s="6" t="inlineStr">
        <is>
          <t>Industry</t>
        </is>
      </c>
      <c r="C3" s="6" t="inlineStr">
        <is>
          <t>Est. Value</t>
        </is>
      </c>
      <c r="D3" s="6" t="inlineStr">
        <is>
          <t>Current Stage</t>
        </is>
      </c>
      <c r="E3" s="6" t="inlineStr">
        <is>
          <t>Date Entered</t>
        </is>
      </c>
      <c r="F3" s="6" t="inlineStr">
        <is>
          <t>Last Activity</t>
        </is>
      </c>
      <c r="G3" s="6" t="inlineStr">
        <is>
          <t>Days in Stage</t>
        </is>
      </c>
      <c r="H3" s="6" t="inlineStr">
        <is>
          <t>Owner</t>
        </is>
      </c>
      <c r="I3" s="6" t="inlineStr">
        <is>
          <t>Next Action</t>
        </is>
      </c>
      <c r="J3" s="6" t="inlineStr">
        <is>
          <t>Next Action Date</t>
        </is>
      </c>
      <c r="K3" s="6" t="inlineStr">
        <is>
          <t>Win Prob %</t>
        </is>
      </c>
      <c r="L3" s="6" t="inlineStr">
        <is>
          <t>Notes</t>
        </is>
      </c>
    </row>
    <row r="4">
      <c r="A4" s="13" t="inlineStr">
        <is>
          <t>Acme Petroleum</t>
        </is>
      </c>
      <c r="B4" s="7" t="inlineStr">
        <is>
          <t>Energy</t>
        </is>
      </c>
      <c r="C4" s="38" t="n">
        <v>35000</v>
      </c>
      <c r="D4" s="7" t="inlineStr">
        <is>
          <t>Map</t>
        </is>
      </c>
      <c r="E4" s="15" t="n">
        <v>45672</v>
      </c>
      <c r="F4" s="15" t="n">
        <v>45736</v>
      </c>
      <c r="G4" s="8">
        <f>IF(F4="","",TODAY()-F4)</f>
        <v/>
      </c>
      <c r="H4" s="7" t="inlineStr">
        <is>
          <t>Jacob</t>
        </is>
      </c>
      <c r="I4" s="7" t="inlineStr">
        <is>
          <t>Schedule Map session</t>
        </is>
      </c>
      <c r="J4" s="15" t="n">
        <v>45748</v>
      </c>
      <c r="K4" s="9" t="n">
        <v>0.65</v>
      </c>
      <c r="L4" s="7" t="n"/>
    </row>
    <row r="5">
      <c r="A5" s="13" t="inlineStr">
        <is>
          <t>Summit Logistics</t>
        </is>
      </c>
      <c r="B5" s="7" t="inlineStr">
        <is>
          <t>Transportation</t>
        </is>
      </c>
      <c r="C5" s="38" t="n">
        <v>18000</v>
      </c>
      <c r="D5" s="10" t="inlineStr">
        <is>
          <t>Chart</t>
        </is>
      </c>
      <c r="E5" s="15" t="n">
        <v>45689</v>
      </c>
      <c r="F5" s="15" t="n">
        <v>45741</v>
      </c>
      <c r="G5" s="8">
        <f>IF(F5="","",TODAY()-F5)</f>
        <v/>
      </c>
      <c r="H5" s="7" t="inlineStr">
        <is>
          <t>Jacob</t>
        </is>
      </c>
      <c r="I5" s="7" t="inlineStr">
        <is>
          <t>Send proposal</t>
        </is>
      </c>
      <c r="J5" s="15" t="n">
        <v>45747</v>
      </c>
      <c r="K5" s="9" t="n">
        <v>0.75</v>
      </c>
      <c r="L5" s="7" t="n"/>
    </row>
    <row r="6">
      <c r="A6" s="13" t="inlineStr">
        <is>
          <t>High Plains Co</t>
        </is>
      </c>
      <c r="B6" s="7" t="inlineStr">
        <is>
          <t>Agriculture</t>
        </is>
      </c>
      <c r="C6" s="38" t="n">
        <v>12000</v>
      </c>
      <c r="D6" s="7" t="inlineStr">
        <is>
          <t>Assess</t>
        </is>
      </c>
      <c r="E6" s="15" t="n">
        <v>45708</v>
      </c>
      <c r="F6" s="15" t="n">
        <v>45738</v>
      </c>
      <c r="G6" s="8">
        <f>IF(F6="","",TODAY()-F6)</f>
        <v/>
      </c>
      <c r="H6" s="7" t="inlineStr">
        <is>
          <t>Jacob</t>
        </is>
      </c>
      <c r="I6" s="7" t="inlineStr">
        <is>
          <t>Follow up call</t>
        </is>
      </c>
      <c r="J6" s="15" t="n">
        <v>45749</v>
      </c>
      <c r="K6" s="9" t="n">
        <v>0.4</v>
      </c>
      <c r="L6" s="7" t="n"/>
    </row>
    <row r="7">
      <c r="A7" s="13" t="inlineStr">
        <is>
          <t>Front Range Inc</t>
        </is>
      </c>
      <c r="B7" s="7" t="inlineStr">
        <is>
          <t>Construction</t>
        </is>
      </c>
      <c r="C7" s="38" t="n">
        <v>28000</v>
      </c>
      <c r="D7" s="11" t="inlineStr">
        <is>
          <t>Launch</t>
        </is>
      </c>
      <c r="E7" s="15" t="n">
        <v>45662</v>
      </c>
      <c r="F7" s="15" t="n">
        <v>45744</v>
      </c>
      <c r="G7" s="8">
        <f>IF(F7="","",TODAY()-F7)</f>
        <v/>
      </c>
      <c r="H7" s="7" t="inlineStr">
        <is>
          <t>Jacob</t>
        </is>
      </c>
      <c r="I7" s="7" t="inlineStr">
        <is>
          <t>Kickoff meeting</t>
        </is>
      </c>
      <c r="J7" s="15" t="n">
        <v>45752</v>
      </c>
      <c r="K7" s="9" t="n">
        <v>0.9</v>
      </c>
      <c r="L7" s="7" t="n"/>
    </row>
    <row r="8">
      <c r="A8" s="13" t="inlineStr">
        <is>
          <t>Mountain Fuel</t>
        </is>
      </c>
      <c r="B8" s="7" t="inlineStr">
        <is>
          <t>Energy</t>
        </is>
      </c>
      <c r="C8" s="38" t="n">
        <v>22000</v>
      </c>
      <c r="D8" s="7" t="inlineStr">
        <is>
          <t>Identify</t>
        </is>
      </c>
      <c r="E8" s="15" t="n">
        <v>45726</v>
      </c>
      <c r="F8" s="15" t="n">
        <v>45742</v>
      </c>
      <c r="G8" s="8">
        <f>IF(F8="","",TODAY()-F8)</f>
        <v/>
      </c>
      <c r="H8" s="7" t="inlineStr">
        <is>
          <t>Jacob</t>
        </is>
      </c>
      <c r="I8" s="7" t="inlineStr">
        <is>
          <t>Confirm fit call</t>
        </is>
      </c>
      <c r="J8" s="15" t="n">
        <v>45755</v>
      </c>
      <c r="K8" s="9" t="n">
        <v>0.25</v>
      </c>
      <c r="L8" s="7" t="n"/>
    </row>
    <row r="9">
      <c r="A9" s="13" t="inlineStr">
        <is>
          <t>Valley Services</t>
        </is>
      </c>
      <c r="B9" s="7" t="inlineStr">
        <is>
          <t>Field Service</t>
        </is>
      </c>
      <c r="C9" s="38" t="n">
        <v>15000</v>
      </c>
      <c r="D9" s="12" t="inlineStr">
        <is>
          <t>Closed Lost</t>
        </is>
      </c>
      <c r="E9" s="15" t="n">
        <v>45677</v>
      </c>
      <c r="F9" s="15" t="n">
        <v>45717</v>
      </c>
      <c r="G9" s="8">
        <f>IF(F9="","",TODAY()-F9)</f>
        <v/>
      </c>
      <c r="H9" s="7" t="inlineStr">
        <is>
          <t>Jacob</t>
        </is>
      </c>
      <c r="I9" s="7" t="inlineStr">
        <is>
          <t>N/A — Lost on price</t>
        </is>
      </c>
      <c r="J9" s="16" t="n"/>
      <c r="K9" s="9" t="n">
        <v>0</v>
      </c>
      <c r="L9" s="7" t="n"/>
    </row>
    <row r="10">
      <c r="A10" s="13" t="inlineStr">
        <is>
          <t>Peak Operations</t>
        </is>
      </c>
      <c r="B10" s="7" t="inlineStr">
        <is>
          <t>Field Service</t>
        </is>
      </c>
      <c r="C10" s="38" t="n">
        <v>31000</v>
      </c>
      <c r="D10" s="7" t="inlineStr">
        <is>
          <t>Map</t>
        </is>
      </c>
      <c r="E10" s="15" t="n">
        <v>45698</v>
      </c>
      <c r="F10" s="15" t="n">
        <v>45740</v>
      </c>
      <c r="G10" s="8">
        <f>IF(F10="","",TODAY()-F10)</f>
        <v/>
      </c>
      <c r="H10" s="7" t="inlineStr">
        <is>
          <t>Jacob</t>
        </is>
      </c>
      <c r="I10" s="7" t="inlineStr">
        <is>
          <t>Deliver findings</t>
        </is>
      </c>
      <c r="J10" s="15" t="n">
        <v>45757</v>
      </c>
      <c r="K10" s="9" t="n">
        <v>0.6</v>
      </c>
      <c r="L10" s="7" t="n"/>
    </row>
    <row r="11">
      <c r="A11" s="13" t="inlineStr">
        <is>
          <t>Ridge Mechanical</t>
        </is>
      </c>
      <c r="B11" s="7" t="inlineStr">
        <is>
          <t>HVAC</t>
        </is>
      </c>
      <c r="C11" s="38" t="n">
        <v>19500</v>
      </c>
      <c r="D11" s="7" t="inlineStr">
        <is>
          <t>Assess</t>
        </is>
      </c>
      <c r="E11" s="15" t="n">
        <v>45717</v>
      </c>
      <c r="F11" s="15" t="n">
        <v>45743</v>
      </c>
      <c r="G11" s="8">
        <f>IF(F11="","",TODAY()-F11)</f>
        <v/>
      </c>
      <c r="H11" s="7" t="inlineStr">
        <is>
          <t>Jacob</t>
        </is>
      </c>
      <c r="I11" s="7" t="inlineStr">
        <is>
          <t>Discovery call</t>
        </is>
      </c>
      <c r="J11" s="15" t="n">
        <v>45750</v>
      </c>
      <c r="K11" s="9" t="n">
        <v>0.35</v>
      </c>
      <c r="L11" s="7" t="n"/>
    </row>
    <row r="12">
      <c r="A12" s="13" t="inlineStr">
        <is>
          <t>Frontier Electric</t>
        </is>
      </c>
      <c r="B12" s="7" t="inlineStr">
        <is>
          <t>Utilities</t>
        </is>
      </c>
      <c r="C12" s="38" t="n">
        <v>42000</v>
      </c>
      <c r="D12" s="10" t="inlineStr">
        <is>
          <t>Chart</t>
        </is>
      </c>
      <c r="E12" s="15" t="n">
        <v>45713</v>
      </c>
      <c r="F12" s="15" t="n">
        <v>45742</v>
      </c>
      <c r="G12" s="8">
        <f>IF(F12="","",TODAY()-F12)</f>
        <v/>
      </c>
      <c r="H12" s="7" t="inlineStr">
        <is>
          <t>Jacob</t>
        </is>
      </c>
      <c r="I12" s="7" t="inlineStr">
        <is>
          <t>Present Command Center</t>
        </is>
      </c>
      <c r="J12" s="15" t="n">
        <v>45748</v>
      </c>
      <c r="K12" s="9" t="n">
        <v>0.8</v>
      </c>
      <c r="L12" s="7" t="n"/>
    </row>
    <row r="13">
      <c r="A13" s="13" t="inlineStr">
        <is>
          <t>Basin Water Co</t>
        </is>
      </c>
      <c r="B13" s="7" t="inlineStr">
        <is>
          <t>Utilities</t>
        </is>
      </c>
      <c r="C13" s="38" t="n">
        <v>27000</v>
      </c>
      <c r="D13" s="7" t="inlineStr">
        <is>
          <t>Identify</t>
        </is>
      </c>
      <c r="E13" s="15" t="n">
        <v>45731</v>
      </c>
      <c r="F13" s="15" t="n">
        <v>45744</v>
      </c>
      <c r="G13" s="8">
        <f>IF(F13="","",TODAY()-F13)</f>
        <v/>
      </c>
      <c r="H13" s="7" t="inlineStr">
        <is>
          <t>Jacob</t>
        </is>
      </c>
      <c r="I13" s="7" t="inlineStr">
        <is>
          <t>Initial qualifying call</t>
        </is>
      </c>
      <c r="J13" s="15" t="n">
        <v>45756</v>
      </c>
      <c r="K13" s="9" t="n">
        <v>0.2</v>
      </c>
      <c r="L13" s="7" t="n"/>
    </row>
    <row r="14">
      <c r="A14" s="17" t="inlineStr">
        <is>
          <t>Redstone Hauling</t>
        </is>
      </c>
      <c r="B14" s="17" t="inlineStr">
        <is>
          <t>Transportation</t>
        </is>
      </c>
      <c r="C14" s="39" t="n">
        <v>24000</v>
      </c>
      <c r="D14" s="17" t="inlineStr">
        <is>
          <t>Closed Lost</t>
        </is>
      </c>
      <c r="E14" s="16" t="n">
        <v>45543</v>
      </c>
      <c r="F14" s="16" t="n">
        <v>45580</v>
      </c>
      <c r="G14" s="19">
        <f>IF(F14="","",TODAY()-F14)</f>
        <v/>
      </c>
      <c r="H14" s="17" t="inlineStr">
        <is>
          <t>Jacob</t>
        </is>
      </c>
      <c r="I14" s="17" t="inlineStr">
        <is>
          <t>N/A — No budget</t>
        </is>
      </c>
      <c r="J14" s="16" t="n"/>
      <c r="K14" s="20" t="n">
        <v>0</v>
      </c>
      <c r="L14" s="17" t="inlineStr">
        <is>
          <t>Lost Q3</t>
        </is>
      </c>
    </row>
    <row r="15">
      <c r="A15" s="17" t="inlineStr">
        <is>
          <t>Foothills HVAC</t>
        </is>
      </c>
      <c r="B15" s="17" t="inlineStr">
        <is>
          <t>HVAC</t>
        </is>
      </c>
      <c r="C15" s="39" t="n">
        <v>17500</v>
      </c>
      <c r="D15" s="17" t="inlineStr">
        <is>
          <t>Launch</t>
        </is>
      </c>
      <c r="E15" s="16" t="n">
        <v>45550</v>
      </c>
      <c r="F15" s="16" t="n">
        <v>45597</v>
      </c>
      <c r="G15" s="19">
        <f>IF(F15="","",TODAY()-F15)</f>
        <v/>
      </c>
      <c r="H15" s="17" t="inlineStr">
        <is>
          <t>Jacob</t>
        </is>
      </c>
      <c r="I15" s="17" t="inlineStr">
        <is>
          <t>Completed onboarding</t>
        </is>
      </c>
      <c r="J15" s="16" t="n"/>
      <c r="K15" s="20" t="n">
        <v>1</v>
      </c>
      <c r="L15" s="17" t="inlineStr">
        <is>
          <t>Won Q3</t>
        </is>
      </c>
    </row>
    <row r="16">
      <c r="A16" s="17" t="inlineStr">
        <is>
          <t>Pikes Mechanical</t>
        </is>
      </c>
      <c r="B16" s="17" t="inlineStr">
        <is>
          <t>Field Service</t>
        </is>
      </c>
      <c r="C16" s="39" t="n">
        <v>29000</v>
      </c>
      <c r="D16" s="17" t="inlineStr">
        <is>
          <t>Closed Lost</t>
        </is>
      </c>
      <c r="E16" s="16" t="n">
        <v>45557</v>
      </c>
      <c r="F16" s="16" t="n">
        <v>45593</v>
      </c>
      <c r="G16" s="19">
        <f>IF(F16="","",TODAY()-F16)</f>
        <v/>
      </c>
      <c r="H16" s="17" t="inlineStr">
        <is>
          <t>Jacob</t>
        </is>
      </c>
      <c r="I16" s="17" t="inlineStr">
        <is>
          <t>N/A — Went with competitor</t>
        </is>
      </c>
      <c r="J16" s="16" t="n"/>
      <c r="K16" s="20" t="n">
        <v>0</v>
      </c>
      <c r="L16" s="17" t="n"/>
    </row>
    <row r="17">
      <c r="A17" s="17" t="inlineStr">
        <is>
          <t>Summit Grading</t>
        </is>
      </c>
      <c r="B17" s="17" t="inlineStr">
        <is>
          <t>Construction</t>
        </is>
      </c>
      <c r="C17" s="39" t="n">
        <v>33000</v>
      </c>
      <c r="D17" s="17" t="inlineStr">
        <is>
          <t>Launch</t>
        </is>
      </c>
      <c r="E17" s="16" t="n">
        <v>45572</v>
      </c>
      <c r="F17" s="16" t="n">
        <v>45614</v>
      </c>
      <c r="G17" s="19">
        <f>IF(F17="","",TODAY()-F17)</f>
        <v/>
      </c>
      <c r="H17" s="17" t="inlineStr">
        <is>
          <t>Jacob</t>
        </is>
      </c>
      <c r="I17" s="17" t="inlineStr">
        <is>
          <t>Delivered Command Center</t>
        </is>
      </c>
      <c r="J17" s="16" t="n"/>
      <c r="K17" s="20" t="n">
        <v>1</v>
      </c>
      <c r="L17" s="17" t="inlineStr">
        <is>
          <t>Won Q4</t>
        </is>
      </c>
    </row>
    <row r="18">
      <c r="A18" s="17" t="inlineStr">
        <is>
          <t>Centennial Fleet</t>
        </is>
      </c>
      <c r="B18" s="17" t="inlineStr">
        <is>
          <t>Transportation</t>
        </is>
      </c>
      <c r="C18" s="39" t="n">
        <v>21000</v>
      </c>
      <c r="D18" s="17" t="inlineStr">
        <is>
          <t>Closed Lost</t>
        </is>
      </c>
      <c r="E18" s="16" t="n">
        <v>45579</v>
      </c>
      <c r="F18" s="16" t="n">
        <v>45600</v>
      </c>
      <c r="G18" s="19">
        <f>IF(F18="","",TODAY()-F18)</f>
        <v/>
      </c>
      <c r="H18" s="17" t="inlineStr">
        <is>
          <t>Jacob</t>
        </is>
      </c>
      <c r="I18" s="17" t="inlineStr">
        <is>
          <t>N/A — Not ready</t>
        </is>
      </c>
      <c r="J18" s="16" t="n"/>
      <c r="K18" s="20" t="n">
        <v>0</v>
      </c>
      <c r="L18" s="17" t="n"/>
    </row>
    <row r="19">
      <c r="A19" s="17" t="inlineStr">
        <is>
          <t>Rocky Mtn Plumbing</t>
        </is>
      </c>
      <c r="B19" s="17" t="inlineStr">
        <is>
          <t>Field Service</t>
        </is>
      </c>
      <c r="C19" s="39" t="n">
        <v>18500</v>
      </c>
      <c r="D19" s="17" t="inlineStr">
        <is>
          <t>Launch</t>
        </is>
      </c>
      <c r="E19" s="16" t="n">
        <v>45586</v>
      </c>
      <c r="F19" s="16" t="n">
        <v>45628</v>
      </c>
      <c r="G19" s="19">
        <f>IF(F19="","",TODAY()-F19)</f>
        <v/>
      </c>
      <c r="H19" s="17" t="inlineStr">
        <is>
          <t>Jacob</t>
        </is>
      </c>
      <c r="I19" s="17" t="inlineStr">
        <is>
          <t>Live on platform</t>
        </is>
      </c>
      <c r="J19" s="16" t="n"/>
      <c r="K19" s="20" t="n">
        <v>1</v>
      </c>
      <c r="L19" s="17" t="inlineStr">
        <is>
          <t>Won Q4</t>
        </is>
      </c>
    </row>
    <row r="20">
      <c r="A20" s="17" t="inlineStr">
        <is>
          <t>Horizon Electric</t>
        </is>
      </c>
      <c r="B20" s="17" t="inlineStr">
        <is>
          <t>Utilities</t>
        </is>
      </c>
      <c r="C20" s="39" t="n">
        <v>38000</v>
      </c>
      <c r="D20" s="17" t="inlineStr">
        <is>
          <t>Closed Lost</t>
        </is>
      </c>
      <c r="E20" s="16" t="n">
        <v>45593</v>
      </c>
      <c r="F20" s="16" t="n">
        <v>45621</v>
      </c>
      <c r="G20" s="19">
        <f>IF(F20="","",TODAY()-F20)</f>
        <v/>
      </c>
      <c r="H20" s="17" t="inlineStr">
        <is>
          <t>Jacob</t>
        </is>
      </c>
      <c r="I20" s="17" t="inlineStr">
        <is>
          <t>N/A — Budget frozen</t>
        </is>
      </c>
      <c r="J20" s="16" t="n"/>
      <c r="K20" s="20" t="n">
        <v>0</v>
      </c>
      <c r="L20" s="17" t="n"/>
    </row>
    <row r="21">
      <c r="A21" s="17" t="inlineStr">
        <is>
          <t>Timberline HVAC</t>
        </is>
      </c>
      <c r="B21" s="17" t="inlineStr">
        <is>
          <t>HVAC</t>
        </is>
      </c>
      <c r="C21" s="39" t="n">
        <v>22500</v>
      </c>
      <c r="D21" s="17" t="inlineStr">
        <is>
          <t>Launch</t>
        </is>
      </c>
      <c r="E21" s="16" t="n">
        <v>45600</v>
      </c>
      <c r="F21" s="16" t="n">
        <v>45635</v>
      </c>
      <c r="G21" s="19">
        <f>IF(F21="","",TODAY()-F21)</f>
        <v/>
      </c>
      <c r="H21" s="17" t="inlineStr">
        <is>
          <t>Jacob</t>
        </is>
      </c>
      <c r="I21" s="17" t="inlineStr">
        <is>
          <t>Battle Rhythm installed</t>
        </is>
      </c>
      <c r="J21" s="16" t="n"/>
      <c r="K21" s="20" t="n">
        <v>1</v>
      </c>
      <c r="L21" s="17" t="inlineStr">
        <is>
          <t>Won Q4</t>
        </is>
      </c>
    </row>
    <row r="22">
      <c r="A22" s="17" t="inlineStr">
        <is>
          <t>Cascade Services</t>
        </is>
      </c>
      <c r="B22" s="17" t="inlineStr">
        <is>
          <t>Field Service</t>
        </is>
      </c>
      <c r="C22" s="39" t="n">
        <v>16000</v>
      </c>
      <c r="D22" s="17" t="inlineStr">
        <is>
          <t>Closed Lost</t>
        </is>
      </c>
      <c r="E22" s="16" t="n">
        <v>45607</v>
      </c>
      <c r="F22" s="16" t="n">
        <v>45628</v>
      </c>
      <c r="G22" s="19">
        <f>IF(F22="","",TODAY()-F22)</f>
        <v/>
      </c>
      <c r="H22" s="17" t="inlineStr">
        <is>
          <t>Jacob</t>
        </is>
      </c>
      <c r="I22" s="17" t="inlineStr">
        <is>
          <t>N/A — Lost on price</t>
        </is>
      </c>
      <c r="J22" s="16" t="n"/>
      <c r="K22" s="20" t="n">
        <v>0</v>
      </c>
      <c r="L22" s="17" t="n"/>
    </row>
    <row r="23">
      <c r="A23" s="17" t="inlineStr">
        <is>
          <t>Palmer Fuel Co</t>
        </is>
      </c>
      <c r="B23" s="17" t="inlineStr">
        <is>
          <t>Energy</t>
        </is>
      </c>
      <c r="C23" s="39" t="n">
        <v>41000</v>
      </c>
      <c r="D23" s="17" t="inlineStr">
        <is>
          <t>Launch</t>
        </is>
      </c>
      <c r="E23" s="16" t="n">
        <v>45614</v>
      </c>
      <c r="F23" s="16" t="n">
        <v>45663</v>
      </c>
      <c r="G23" s="19">
        <f>IF(F23="","",TODAY()-F23)</f>
        <v/>
      </c>
      <c r="H23" s="17" t="inlineStr">
        <is>
          <t>Jacob</t>
        </is>
      </c>
      <c r="I23" s="17" t="inlineStr">
        <is>
          <t>Ongoing Command Partner</t>
        </is>
      </c>
      <c r="J23" s="16" t="n"/>
      <c r="K23" s="20" t="n">
        <v>1</v>
      </c>
      <c r="L23" s="17" t="inlineStr">
        <is>
          <t>Won Q4</t>
        </is>
      </c>
    </row>
    <row r="24">
      <c r="A24" s="17" t="inlineStr">
        <is>
          <t>Northgate Logistics</t>
        </is>
      </c>
      <c r="B24" s="17" t="inlineStr">
        <is>
          <t>Transportation</t>
        </is>
      </c>
      <c r="C24" s="39" t="n">
        <v>19500</v>
      </c>
      <c r="D24" s="17" t="inlineStr">
        <is>
          <t>Closed Lost</t>
        </is>
      </c>
      <c r="E24" s="16" t="n">
        <v>45621</v>
      </c>
      <c r="F24" s="16" t="n">
        <v>45642</v>
      </c>
      <c r="G24" s="19">
        <f>IF(F24="","",TODAY()-F24)</f>
        <v/>
      </c>
      <c r="H24" s="17" t="inlineStr">
        <is>
          <t>Jacob</t>
        </is>
      </c>
      <c r="I24" s="17" t="inlineStr">
        <is>
          <t>N/A — No decision maker</t>
        </is>
      </c>
      <c r="J24" s="16" t="n"/>
      <c r="K24" s="20" t="n">
        <v>0</v>
      </c>
      <c r="L24" s="17" t="n"/>
    </row>
    <row r="25">
      <c r="A25" s="17" t="inlineStr">
        <is>
          <t>Cimarron Electric</t>
        </is>
      </c>
      <c r="B25" s="17" t="inlineStr">
        <is>
          <t>Utilities</t>
        </is>
      </c>
      <c r="C25" s="39" t="n">
        <v>27500</v>
      </c>
      <c r="D25" s="17" t="inlineStr">
        <is>
          <t>Launch</t>
        </is>
      </c>
      <c r="E25" s="16" t="n">
        <v>45628</v>
      </c>
      <c r="F25" s="16" t="n">
        <v>45670</v>
      </c>
      <c r="G25" s="19">
        <f>IF(F25="","",TODAY()-F25)</f>
        <v/>
      </c>
      <c r="H25" s="17" t="inlineStr">
        <is>
          <t>Jacob</t>
        </is>
      </c>
      <c r="I25" s="17" t="inlineStr">
        <is>
          <t>Command Center delivered</t>
        </is>
      </c>
      <c r="J25" s="16" t="n"/>
      <c r="K25" s="20" t="n">
        <v>1</v>
      </c>
      <c r="L25" s="17" t="inlineStr">
        <is>
          <t>Won Q4</t>
        </is>
      </c>
    </row>
    <row r="26">
      <c r="A26" s="17" t="inlineStr">
        <is>
          <t>Pueblo Mechanical</t>
        </is>
      </c>
      <c r="B26" s="17" t="inlineStr">
        <is>
          <t>Field Service</t>
        </is>
      </c>
      <c r="C26" s="39" t="n">
        <v>14000</v>
      </c>
      <c r="D26" s="17" t="inlineStr">
        <is>
          <t>Closed Lost</t>
        </is>
      </c>
      <c r="E26" s="16" t="n">
        <v>45635</v>
      </c>
      <c r="F26" s="16" t="n">
        <v>45663</v>
      </c>
      <c r="G26" s="19">
        <f>IF(F26="","",TODAY()-F26)</f>
        <v/>
      </c>
      <c r="H26" s="17" t="inlineStr">
        <is>
          <t>Jacob</t>
        </is>
      </c>
      <c r="I26" s="17" t="inlineStr">
        <is>
          <t>N/A — Price</t>
        </is>
      </c>
      <c r="J26" s="16" t="n"/>
      <c r="K26" s="20" t="n">
        <v>0</v>
      </c>
      <c r="L26" s="17" t="n"/>
    </row>
    <row r="27">
      <c r="A27" s="17" t="inlineStr">
        <is>
          <t>Mesa Verde Grading</t>
        </is>
      </c>
      <c r="B27" s="17" t="inlineStr">
        <is>
          <t>Construction</t>
        </is>
      </c>
      <c r="C27" s="39" t="n">
        <v>36000</v>
      </c>
      <c r="D27" s="17" t="inlineStr">
        <is>
          <t>Launch</t>
        </is>
      </c>
      <c r="E27" s="16" t="n">
        <v>45642</v>
      </c>
      <c r="F27" s="16" t="n">
        <v>45691</v>
      </c>
      <c r="G27" s="19">
        <f>IF(F27="","",TODAY()-F27)</f>
        <v/>
      </c>
      <c r="H27" s="17" t="inlineStr">
        <is>
          <t>Jacob</t>
        </is>
      </c>
      <c r="I27" s="17" t="inlineStr">
        <is>
          <t>Full install complete</t>
        </is>
      </c>
      <c r="J27" s="16" t="n"/>
      <c r="K27" s="20" t="n">
        <v>1</v>
      </c>
      <c r="L27" s="17" t="inlineStr">
        <is>
          <t>Won Q1</t>
        </is>
      </c>
    </row>
    <row r="28">
      <c r="A28" s="17" t="inlineStr">
        <is>
          <t>Durango Fleet</t>
        </is>
      </c>
      <c r="B28" s="17" t="inlineStr">
        <is>
          <t>Transportation</t>
        </is>
      </c>
      <c r="C28" s="39" t="n">
        <v>23000</v>
      </c>
      <c r="D28" s="17" t="inlineStr">
        <is>
          <t>Closed Lost</t>
        </is>
      </c>
      <c r="E28" s="16" t="n">
        <v>45663</v>
      </c>
      <c r="F28" s="16" t="n">
        <v>45698</v>
      </c>
      <c r="G28" s="19">
        <f>IF(F28="","",TODAY()-F28)</f>
        <v/>
      </c>
      <c r="H28" s="17" t="inlineStr">
        <is>
          <t>Jacob</t>
        </is>
      </c>
      <c r="I28" s="17" t="inlineStr">
        <is>
          <t>N/A — Timing</t>
        </is>
      </c>
      <c r="J28" s="16" t="n"/>
      <c r="K28" s="20" t="n">
        <v>0</v>
      </c>
      <c r="L28" s="17" t="n"/>
    </row>
    <row r="29">
      <c r="A29" s="17" t="inlineStr">
        <is>
          <t>Sangre Plumbing</t>
        </is>
      </c>
      <c r="B29" s="17" t="inlineStr">
        <is>
          <t>Field Service</t>
        </is>
      </c>
      <c r="C29" s="39" t="n">
        <v>20000</v>
      </c>
      <c r="D29" s="17" t="inlineStr">
        <is>
          <t>Launch</t>
        </is>
      </c>
      <c r="E29" s="16" t="n">
        <v>45670</v>
      </c>
      <c r="F29" s="16" t="n">
        <v>45705</v>
      </c>
      <c r="G29" s="19">
        <f>IF(F29="","",TODAY()-F29)</f>
        <v/>
      </c>
      <c r="H29" s="17" t="inlineStr">
        <is>
          <t>Jacob</t>
        </is>
      </c>
      <c r="I29" s="17" t="inlineStr">
        <is>
          <t>Active Command Partner</t>
        </is>
      </c>
      <c r="J29" s="16" t="n"/>
      <c r="K29" s="20" t="n">
        <v>1</v>
      </c>
      <c r="L29" s="17" t="inlineStr">
        <is>
          <t>Won Q1</t>
        </is>
      </c>
    </row>
    <row r="30">
      <c r="A30" s="17" t="inlineStr">
        <is>
          <t>Canon City HVAC</t>
        </is>
      </c>
      <c r="B30" s="17" t="inlineStr">
        <is>
          <t>HVAC</t>
        </is>
      </c>
      <c r="C30" s="39" t="n">
        <v>25500</v>
      </c>
      <c r="D30" s="17" t="inlineStr">
        <is>
          <t>Closed Lost</t>
        </is>
      </c>
      <c r="E30" s="16" t="n">
        <v>45677</v>
      </c>
      <c r="F30" s="16" t="n">
        <v>45712</v>
      </c>
      <c r="G30" s="19">
        <f>IF(F30="","",TODAY()-F30)</f>
        <v/>
      </c>
      <c r="H30" s="17" t="inlineStr">
        <is>
          <t>Jacob</t>
        </is>
      </c>
      <c r="I30" s="17" t="inlineStr">
        <is>
          <t>N/A — Budget</t>
        </is>
      </c>
      <c r="J30" s="16" t="n"/>
      <c r="K30" s="20" t="n">
        <v>0</v>
      </c>
      <c r="L30" s="17" t="n"/>
    </row>
    <row r="31">
      <c r="A31" s="17" t="inlineStr">
        <is>
          <t>Elk Ridge Services</t>
        </is>
      </c>
      <c r="B31" s="17" t="inlineStr">
        <is>
          <t>Field Service</t>
        </is>
      </c>
      <c r="C31" s="39" t="n">
        <v>32000</v>
      </c>
      <c r="D31" s="17" t="inlineStr">
        <is>
          <t>Launch</t>
        </is>
      </c>
      <c r="E31" s="16" t="n">
        <v>45684</v>
      </c>
      <c r="F31" s="16" t="n">
        <v>45719</v>
      </c>
      <c r="G31" s="19">
        <f>IF(F31="","",TODAY()-F31)</f>
        <v/>
      </c>
      <c r="H31" s="17" t="inlineStr">
        <is>
          <t>Jacob</t>
        </is>
      </c>
      <c r="I31" s="17" t="inlineStr">
        <is>
          <t>Onboarding complete</t>
        </is>
      </c>
      <c r="J31" s="16" t="n"/>
      <c r="K31" s="20" t="n">
        <v>1</v>
      </c>
      <c r="L31" s="17" t="inlineStr">
        <is>
          <t>Won Q1</t>
        </is>
      </c>
    </row>
    <row r="32">
      <c r="A32" s="17" t="inlineStr">
        <is>
          <t>Ponderosa Fuel</t>
        </is>
      </c>
      <c r="B32" s="17" t="inlineStr">
        <is>
          <t>Energy</t>
        </is>
      </c>
      <c r="C32" s="39" t="n">
        <v>28500</v>
      </c>
      <c r="D32" s="17" t="inlineStr">
        <is>
          <t>Closed Lost</t>
        </is>
      </c>
      <c r="E32" s="16" t="n">
        <v>45691</v>
      </c>
      <c r="F32" s="16" t="n">
        <v>45712</v>
      </c>
      <c r="G32" s="19">
        <f>IF(F32="","",TODAY()-F32)</f>
        <v/>
      </c>
      <c r="H32" s="17" t="inlineStr">
        <is>
          <t>Jacob</t>
        </is>
      </c>
      <c r="I32" s="17" t="inlineStr">
        <is>
          <t>N/A — Lost to incumbent</t>
        </is>
      </c>
      <c r="J32" s="16" t="n"/>
      <c r="K32" s="20" t="n">
        <v>0</v>
      </c>
      <c r="L32" s="17" t="n"/>
    </row>
    <row r="33">
      <c r="A33" s="17" t="inlineStr">
        <is>
          <t>Cheyenne Electric</t>
        </is>
      </c>
      <c r="B33" s="17" t="inlineStr">
        <is>
          <t>Utilities</t>
        </is>
      </c>
      <c r="C33" s="39" t="n">
        <v>44000</v>
      </c>
      <c r="D33" s="17" t="inlineStr">
        <is>
          <t>Map</t>
        </is>
      </c>
      <c r="E33" s="16" t="n">
        <v>45698</v>
      </c>
      <c r="F33" s="16" t="n">
        <v>45733</v>
      </c>
      <c r="G33" s="19">
        <f>IF(F33="","",TODAY()-F33)</f>
        <v/>
      </c>
      <c r="H33" s="17" t="inlineStr">
        <is>
          <t>Jacob</t>
        </is>
      </c>
      <c r="I33" s="17" t="inlineStr">
        <is>
          <t>Map session scheduled</t>
        </is>
      </c>
      <c r="J33" s="16" t="n">
        <v>45762</v>
      </c>
      <c r="K33" s="20" t="n">
        <v>0.55</v>
      </c>
      <c r="L33" s="17" t="inlineStr">
        <is>
          <t>Strong fit</t>
        </is>
      </c>
    </row>
    <row r="34">
      <c r="A34" s="17" t="inlineStr">
        <is>
          <t>Granite Utilities 01</t>
        </is>
      </c>
      <c r="B34" s="17" t="inlineStr">
        <is>
          <t>Utilities</t>
        </is>
      </c>
      <c r="C34" s="39" t="n">
        <v>39500</v>
      </c>
      <c r="D34" s="17" t="inlineStr">
        <is>
          <t>Closed Lost</t>
        </is>
      </c>
      <c r="E34" s="16" t="n">
        <v>45734</v>
      </c>
      <c r="F34" s="16" t="n">
        <v>45757</v>
      </c>
      <c r="G34" s="19">
        <f>IF(F34="","",TODAY()-F34)</f>
        <v/>
      </c>
      <c r="H34" s="17" t="inlineStr">
        <is>
          <t>Jacob</t>
        </is>
      </c>
      <c r="I34" s="17" t="inlineStr">
        <is>
          <t>N/A — Lost opportunity</t>
        </is>
      </c>
      <c r="J34" s="16" t="n"/>
      <c r="K34" s="20" t="n">
        <v>0</v>
      </c>
      <c r="L34" s="17" t="inlineStr">
        <is>
          <t>Lost on price</t>
        </is>
      </c>
    </row>
    <row r="35">
      <c r="A35" s="17" t="inlineStr">
        <is>
          <t>Prairie Field Service 02</t>
        </is>
      </c>
      <c r="B35" s="17" t="inlineStr">
        <is>
          <t>Field Service</t>
        </is>
      </c>
      <c r="C35" s="39" t="n">
        <v>33000</v>
      </c>
      <c r="D35" s="17" t="inlineStr">
        <is>
          <t>Identify</t>
        </is>
      </c>
      <c r="E35" s="16" t="n">
        <v>45737</v>
      </c>
      <c r="F35" s="16" t="n">
        <v>45750</v>
      </c>
      <c r="G35" s="19">
        <f>IF(F35="","",TODAY()-F35)</f>
        <v/>
      </c>
      <c r="H35" s="17" t="inlineStr">
        <is>
          <t>Jacob</t>
        </is>
      </c>
      <c r="I35" s="17" t="inlineStr">
        <is>
          <t>Initial qualifying call</t>
        </is>
      </c>
      <c r="J35" s="16" t="n">
        <v>45755</v>
      </c>
      <c r="K35" s="20" t="n">
        <v>0.22</v>
      </c>
      <c r="L35" s="17" t="n"/>
    </row>
    <row r="36">
      <c r="A36" s="17" t="inlineStr">
        <is>
          <t>Ironhorse HVAC 03</t>
        </is>
      </c>
      <c r="B36" s="17" t="inlineStr">
        <is>
          <t>HVAC</t>
        </is>
      </c>
      <c r="C36" s="39" t="n">
        <v>41500</v>
      </c>
      <c r="D36" s="17" t="inlineStr">
        <is>
          <t>Launch</t>
        </is>
      </c>
      <c r="E36" s="16" t="n">
        <v>45740</v>
      </c>
      <c r="F36" s="16" t="n">
        <v>45748</v>
      </c>
      <c r="G36" s="19">
        <f>IF(F36="","",TODAY()-F36)</f>
        <v/>
      </c>
      <c r="H36" s="17" t="inlineStr">
        <is>
          <t>Jacob</t>
        </is>
      </c>
      <c r="I36" s="17" t="inlineStr">
        <is>
          <t>Kickoff planning</t>
        </is>
      </c>
      <c r="J36" s="16" t="n"/>
      <c r="K36" s="20" t="n">
        <v>0.92</v>
      </c>
      <c r="L36" s="17" t="inlineStr">
        <is>
          <t>Won Q2</t>
        </is>
      </c>
    </row>
    <row r="37">
      <c r="A37" s="17" t="inlineStr">
        <is>
          <t>Blue Mesa Construction 04</t>
        </is>
      </c>
      <c r="B37" s="17" t="inlineStr">
        <is>
          <t>Construction</t>
        </is>
      </c>
      <c r="C37" s="39" t="n">
        <v>24000</v>
      </c>
      <c r="D37" s="17" t="inlineStr">
        <is>
          <t>Closed Lost</t>
        </is>
      </c>
      <c r="E37" s="16" t="n">
        <v>45743</v>
      </c>
      <c r="F37" s="16" t="n">
        <v>45752</v>
      </c>
      <c r="G37" s="19">
        <f>IF(F37="","",TODAY()-F37)</f>
        <v/>
      </c>
      <c r="H37" s="17" t="inlineStr">
        <is>
          <t>Jacob</t>
        </is>
      </c>
      <c r="I37" s="17" t="inlineStr">
        <is>
          <t>N/A — Lost opportunity</t>
        </is>
      </c>
      <c r="J37" s="16" t="n"/>
      <c r="K37" s="20" t="n">
        <v>0</v>
      </c>
      <c r="L37" s="17" t="inlineStr">
        <is>
          <t>Went with incumbent</t>
        </is>
      </c>
    </row>
    <row r="38">
      <c r="A38" s="17" t="inlineStr">
        <is>
          <t>Highland Transportation 05</t>
        </is>
      </c>
      <c r="B38" s="17" t="inlineStr">
        <is>
          <t>Transportation</t>
        </is>
      </c>
      <c r="C38" s="39" t="n">
        <v>31000</v>
      </c>
      <c r="D38" s="17" t="inlineStr">
        <is>
          <t>Launch</t>
        </is>
      </c>
      <c r="E38" s="16" t="n">
        <v>45746</v>
      </c>
      <c r="F38" s="16" t="n">
        <v>45758</v>
      </c>
      <c r="G38" s="19">
        <f>IF(F38="","",TODAY()-F38)</f>
        <v/>
      </c>
      <c r="H38" s="17" t="inlineStr">
        <is>
          <t>Jacob</t>
        </is>
      </c>
      <c r="I38" s="17" t="inlineStr">
        <is>
          <t>Kickoff planning</t>
        </is>
      </c>
      <c r="J38" s="16" t="n"/>
      <c r="K38" s="20" t="n">
        <v>0.92</v>
      </c>
      <c r="L38" s="17" t="inlineStr">
        <is>
          <t>Won Q2</t>
        </is>
      </c>
    </row>
    <row r="39">
      <c r="A39" s="17" t="inlineStr">
        <is>
          <t>Summit Energy 06</t>
        </is>
      </c>
      <c r="B39" s="17" t="inlineStr">
        <is>
          <t>Energy</t>
        </is>
      </c>
      <c r="C39" s="39" t="n">
        <v>39000</v>
      </c>
      <c r="D39" s="17" t="inlineStr">
        <is>
          <t>Chart</t>
        </is>
      </c>
      <c r="E39" s="16" t="n">
        <v>45749</v>
      </c>
      <c r="F39" s="16" t="n">
        <v>45753</v>
      </c>
      <c r="G39" s="19">
        <f>IF(F39="","",TODAY()-F39)</f>
        <v/>
      </c>
      <c r="H39" s="17" t="inlineStr">
        <is>
          <t>Jacob</t>
        </is>
      </c>
      <c r="I39" s="17" t="inlineStr">
        <is>
          <t>Present Command Center</t>
        </is>
      </c>
      <c r="J39" s="16" t="n">
        <v>45757</v>
      </c>
      <c r="K39" s="20" t="n">
        <v>0.72</v>
      </c>
      <c r="L39" s="17" t="n"/>
    </row>
    <row r="40">
      <c r="A40" s="17" t="inlineStr">
        <is>
          <t>Canyon Agriculture 07</t>
        </is>
      </c>
      <c r="B40" s="17" t="inlineStr">
        <is>
          <t>Agriculture</t>
        </is>
      </c>
      <c r="C40" s="39" t="n">
        <v>23000</v>
      </c>
      <c r="D40" s="17" t="inlineStr">
        <is>
          <t>Launch</t>
        </is>
      </c>
      <c r="E40" s="16" t="n">
        <v>45752</v>
      </c>
      <c r="F40" s="16" t="n">
        <v>45759</v>
      </c>
      <c r="G40" s="19">
        <f>IF(F40="","",TODAY()-F40)</f>
        <v/>
      </c>
      <c r="H40" s="17" t="inlineStr">
        <is>
          <t>Jacob</t>
        </is>
      </c>
      <c r="I40" s="17" t="inlineStr">
        <is>
          <t>Kickoff planning</t>
        </is>
      </c>
      <c r="J40" s="16" t="n"/>
      <c r="K40" s="20" t="n">
        <v>0.92</v>
      </c>
      <c r="L40" s="17" t="inlineStr">
        <is>
          <t>Won Q2</t>
        </is>
      </c>
    </row>
    <row r="41">
      <c r="A41" s="17" t="inlineStr">
        <is>
          <t>Pioneer Utilities 08</t>
        </is>
      </c>
      <c r="B41" s="17" t="inlineStr">
        <is>
          <t>Utilities</t>
        </is>
      </c>
      <c r="C41" s="39" t="n">
        <v>23000</v>
      </c>
      <c r="D41" s="17" t="inlineStr">
        <is>
          <t>Chart</t>
        </is>
      </c>
      <c r="E41" s="16" t="n">
        <v>45755</v>
      </c>
      <c r="F41" s="16" t="n">
        <v>45777</v>
      </c>
      <c r="G41" s="19">
        <f>IF(F41="","",TODAY()-F41)</f>
        <v/>
      </c>
      <c r="H41" s="17" t="inlineStr">
        <is>
          <t>Jacob</t>
        </is>
      </c>
      <c r="I41" s="17" t="inlineStr">
        <is>
          <t>Present Command Center</t>
        </is>
      </c>
      <c r="J41" s="16" t="n">
        <v>45787</v>
      </c>
      <c r="K41" s="20" t="n">
        <v>0.72</v>
      </c>
      <c r="L41" s="17" t="n"/>
    </row>
    <row r="42">
      <c r="A42" s="17" t="inlineStr">
        <is>
          <t>Arrowhead Field Service 09</t>
        </is>
      </c>
      <c r="B42" s="17" t="inlineStr">
        <is>
          <t>Field Service</t>
        </is>
      </c>
      <c r="C42" s="39" t="n">
        <v>28000</v>
      </c>
      <c r="D42" s="17" t="inlineStr">
        <is>
          <t>Chart</t>
        </is>
      </c>
      <c r="E42" s="16" t="n">
        <v>45758</v>
      </c>
      <c r="F42" s="16" t="n">
        <v>45764</v>
      </c>
      <c r="G42" s="19">
        <f>IF(F42="","",TODAY()-F42)</f>
        <v/>
      </c>
      <c r="H42" s="17" t="inlineStr">
        <is>
          <t>Jacob</t>
        </is>
      </c>
      <c r="I42" s="17" t="inlineStr">
        <is>
          <t>Present Command Center</t>
        </is>
      </c>
      <c r="J42" s="16" t="n">
        <v>45772</v>
      </c>
      <c r="K42" s="20" t="n">
        <v>0.72</v>
      </c>
      <c r="L42" s="17" t="n"/>
    </row>
    <row r="43">
      <c r="A43" s="17" t="inlineStr">
        <is>
          <t>Falcon HVAC 10</t>
        </is>
      </c>
      <c r="B43" s="17" t="inlineStr">
        <is>
          <t>HVAC</t>
        </is>
      </c>
      <c r="C43" s="39" t="n">
        <v>30500</v>
      </c>
      <c r="D43" s="17" t="inlineStr">
        <is>
          <t>Map</t>
        </is>
      </c>
      <c r="E43" s="16" t="n">
        <v>45761</v>
      </c>
      <c r="F43" s="16" t="n">
        <v>45769</v>
      </c>
      <c r="G43" s="19">
        <f>IF(F43="","",TODAY()-F43)</f>
        <v/>
      </c>
      <c r="H43" s="17" t="inlineStr">
        <is>
          <t>Jacob</t>
        </is>
      </c>
      <c r="I43" s="17" t="inlineStr">
        <is>
          <t>Schedule map session</t>
        </is>
      </c>
      <c r="J43" s="16" t="n">
        <v>45778</v>
      </c>
      <c r="K43" s="20" t="n">
        <v>0.55</v>
      </c>
      <c r="L43" s="17" t="n"/>
    </row>
    <row r="44">
      <c r="A44" s="17" t="inlineStr">
        <is>
          <t>Red Rock Construction 11</t>
        </is>
      </c>
      <c r="B44" s="17" t="inlineStr">
        <is>
          <t>Construction</t>
        </is>
      </c>
      <c r="C44" s="39" t="n">
        <v>24000</v>
      </c>
      <c r="D44" s="17" t="inlineStr">
        <is>
          <t>Map</t>
        </is>
      </c>
      <c r="E44" s="16" t="n">
        <v>45764</v>
      </c>
      <c r="F44" s="16" t="n">
        <v>45790</v>
      </c>
      <c r="G44" s="19">
        <f>IF(F44="","",TODAY()-F44)</f>
        <v/>
      </c>
      <c r="H44" s="17" t="inlineStr">
        <is>
          <t>Jacob</t>
        </is>
      </c>
      <c r="I44" s="17" t="inlineStr">
        <is>
          <t>Schedule map session</t>
        </is>
      </c>
      <c r="J44" s="16" t="n">
        <v>45794</v>
      </c>
      <c r="K44" s="20" t="n">
        <v>0.55</v>
      </c>
      <c r="L44" s="17" t="n"/>
    </row>
    <row r="45">
      <c r="A45" s="17" t="inlineStr">
        <is>
          <t>Westline Transportation 12</t>
        </is>
      </c>
      <c r="B45" s="17" t="inlineStr">
        <is>
          <t>Transportation</t>
        </is>
      </c>
      <c r="C45" s="39" t="n">
        <v>33500</v>
      </c>
      <c r="D45" s="17" t="inlineStr">
        <is>
          <t>Assess</t>
        </is>
      </c>
      <c r="E45" s="16" t="n">
        <v>45767</v>
      </c>
      <c r="F45" s="16" t="n">
        <v>45788</v>
      </c>
      <c r="G45" s="19">
        <f>IF(F45="","",TODAY()-F45)</f>
        <v/>
      </c>
      <c r="H45" s="17" t="inlineStr">
        <is>
          <t>Jacob</t>
        </is>
      </c>
      <c r="I45" s="17" t="inlineStr">
        <is>
          <t>Discovery call</t>
        </is>
      </c>
      <c r="J45" s="16" t="n">
        <v>45793</v>
      </c>
      <c r="K45" s="20" t="n">
        <v>0.35</v>
      </c>
      <c r="L45" s="17" t="n"/>
    </row>
    <row r="46">
      <c r="A46" s="17" t="inlineStr">
        <is>
          <t>Northstar Energy 13</t>
        </is>
      </c>
      <c r="B46" s="17" t="inlineStr">
        <is>
          <t>Energy</t>
        </is>
      </c>
      <c r="C46" s="39" t="n">
        <v>18000</v>
      </c>
      <c r="D46" s="17" t="inlineStr">
        <is>
          <t>Chart</t>
        </is>
      </c>
      <c r="E46" s="16" t="n">
        <v>45770</v>
      </c>
      <c r="F46" s="16" t="n">
        <v>45781</v>
      </c>
      <c r="G46" s="19">
        <f>IF(F46="","",TODAY()-F46)</f>
        <v/>
      </c>
      <c r="H46" s="17" t="inlineStr">
        <is>
          <t>Jacob</t>
        </is>
      </c>
      <c r="I46" s="17" t="inlineStr">
        <is>
          <t>Present Command Center</t>
        </is>
      </c>
      <c r="J46" s="16" t="n">
        <v>45788</v>
      </c>
      <c r="K46" s="20" t="n">
        <v>0.72</v>
      </c>
      <c r="L46" s="17" t="n"/>
    </row>
    <row r="47">
      <c r="A47" s="17" t="inlineStr">
        <is>
          <t>Silver Peak Agriculture 14</t>
        </is>
      </c>
      <c r="B47" s="17" t="inlineStr">
        <is>
          <t>Agriculture</t>
        </is>
      </c>
      <c r="C47" s="39" t="n">
        <v>47500</v>
      </c>
      <c r="D47" s="17" t="inlineStr">
        <is>
          <t>Assess</t>
        </is>
      </c>
      <c r="E47" s="16" t="n">
        <v>45773</v>
      </c>
      <c r="F47" s="16" t="n">
        <v>45791</v>
      </c>
      <c r="G47" s="19">
        <f>IF(F47="","",TODAY()-F47)</f>
        <v/>
      </c>
      <c r="H47" s="17" t="inlineStr">
        <is>
          <t>Jacob</t>
        </is>
      </c>
      <c r="I47" s="17" t="inlineStr">
        <is>
          <t>Discovery call</t>
        </is>
      </c>
      <c r="J47" s="16" t="n">
        <v>45795</v>
      </c>
      <c r="K47" s="20" t="n">
        <v>0.35</v>
      </c>
      <c r="L47" s="17" t="n"/>
    </row>
    <row r="48">
      <c r="A48" s="17" t="inlineStr">
        <is>
          <t>Trailhead Utilities 15</t>
        </is>
      </c>
      <c r="B48" s="17" t="inlineStr">
        <is>
          <t>Utilities</t>
        </is>
      </c>
      <c r="C48" s="39" t="n">
        <v>25500</v>
      </c>
      <c r="D48" s="17" t="inlineStr">
        <is>
          <t>Assess</t>
        </is>
      </c>
      <c r="E48" s="16" t="n">
        <v>45776</v>
      </c>
      <c r="F48" s="16" t="n">
        <v>45800</v>
      </c>
      <c r="G48" s="19">
        <f>IF(F48="","",TODAY()-F48)</f>
        <v/>
      </c>
      <c r="H48" s="17" t="inlineStr">
        <is>
          <t>Jacob</t>
        </is>
      </c>
      <c r="I48" s="17" t="inlineStr">
        <is>
          <t>Discovery call</t>
        </is>
      </c>
      <c r="J48" s="16" t="n">
        <v>45805</v>
      </c>
      <c r="K48" s="20" t="n">
        <v>0.35</v>
      </c>
      <c r="L48" s="17" t="n"/>
    </row>
    <row r="49">
      <c r="A49" s="17" t="inlineStr">
        <is>
          <t>Frontline Field Service 16</t>
        </is>
      </c>
      <c r="B49" s="17" t="inlineStr">
        <is>
          <t>Field Service</t>
        </is>
      </c>
      <c r="C49" s="39" t="n">
        <v>34500</v>
      </c>
      <c r="D49" s="17" t="inlineStr">
        <is>
          <t>Assess</t>
        </is>
      </c>
      <c r="E49" s="16" t="n">
        <v>45779</v>
      </c>
      <c r="F49" s="16" t="n">
        <v>45793</v>
      </c>
      <c r="G49" s="19">
        <f>IF(F49="","",TODAY()-F49)</f>
        <v/>
      </c>
      <c r="H49" s="17" t="inlineStr">
        <is>
          <t>Jacob</t>
        </is>
      </c>
      <c r="I49" s="17" t="inlineStr">
        <is>
          <t>Discovery call</t>
        </is>
      </c>
      <c r="J49" s="16" t="n">
        <v>45802</v>
      </c>
      <c r="K49" s="20" t="n">
        <v>0.35</v>
      </c>
      <c r="L49" s="17" t="n"/>
    </row>
    <row r="50">
      <c r="A50" s="17" t="inlineStr">
        <is>
          <t>Keystone HVAC 17</t>
        </is>
      </c>
      <c r="B50" s="17" t="inlineStr">
        <is>
          <t>HVAC</t>
        </is>
      </c>
      <c r="C50" s="39" t="n">
        <v>42000</v>
      </c>
      <c r="D50" s="17" t="inlineStr">
        <is>
          <t>Identify</t>
        </is>
      </c>
      <c r="E50" s="16" t="n">
        <v>45782</v>
      </c>
      <c r="F50" s="16" t="n">
        <v>45791</v>
      </c>
      <c r="G50" s="19">
        <f>IF(F50="","",TODAY()-F50)</f>
        <v/>
      </c>
      <c r="H50" s="17" t="inlineStr">
        <is>
          <t>Jacob</t>
        </is>
      </c>
      <c r="I50" s="17" t="inlineStr">
        <is>
          <t>Initial qualifying call</t>
        </is>
      </c>
      <c r="J50" s="16" t="n">
        <v>45801</v>
      </c>
      <c r="K50" s="20" t="n">
        <v>0.22</v>
      </c>
      <c r="L50" s="17" t="n"/>
    </row>
    <row r="51">
      <c r="A51" s="17" t="inlineStr">
        <is>
          <t>Meridian Construction 18</t>
        </is>
      </c>
      <c r="B51" s="17" t="inlineStr">
        <is>
          <t>Construction</t>
        </is>
      </c>
      <c r="C51" s="39" t="n">
        <v>18000</v>
      </c>
      <c r="D51" s="17" t="inlineStr">
        <is>
          <t>Assess</t>
        </is>
      </c>
      <c r="E51" s="16" t="n">
        <v>45785</v>
      </c>
      <c r="F51" s="16" t="n">
        <v>45809</v>
      </c>
      <c r="G51" s="19">
        <f>IF(F51="","",TODAY()-F51)</f>
        <v/>
      </c>
      <c r="H51" s="17" t="inlineStr">
        <is>
          <t>Jacob</t>
        </is>
      </c>
      <c r="I51" s="17" t="inlineStr">
        <is>
          <t>Discovery call</t>
        </is>
      </c>
      <c r="J51" s="16" t="n">
        <v>45818</v>
      </c>
      <c r="K51" s="20" t="n">
        <v>0.35</v>
      </c>
      <c r="L51" s="17" t="n"/>
    </row>
    <row r="52">
      <c r="A52" s="17" t="inlineStr">
        <is>
          <t>Atlas Transportation 19</t>
        </is>
      </c>
      <c r="B52" s="17" t="inlineStr">
        <is>
          <t>Transportation</t>
        </is>
      </c>
      <c r="C52" s="39" t="n">
        <v>34000</v>
      </c>
      <c r="D52" s="17" t="inlineStr">
        <is>
          <t>Identify</t>
        </is>
      </c>
      <c r="E52" s="16" t="n">
        <v>45788</v>
      </c>
      <c r="F52" s="16" t="n">
        <v>45794</v>
      </c>
      <c r="G52" s="19">
        <f>IF(F52="","",TODAY()-F52)</f>
        <v/>
      </c>
      <c r="H52" s="17" t="inlineStr">
        <is>
          <t>Jacob</t>
        </is>
      </c>
      <c r="I52" s="17" t="inlineStr">
        <is>
          <t>Initial qualifying call</t>
        </is>
      </c>
      <c r="J52" s="16" t="n">
        <v>45801</v>
      </c>
      <c r="K52" s="20" t="n">
        <v>0.22</v>
      </c>
      <c r="L52" s="17" t="n"/>
    </row>
    <row r="53">
      <c r="A53" s="17" t="inlineStr">
        <is>
          <t>Copper Ridge Energy 20</t>
        </is>
      </c>
      <c r="B53" s="17" t="inlineStr">
        <is>
          <t>Energy</t>
        </is>
      </c>
      <c r="C53" s="39" t="n">
        <v>33000</v>
      </c>
      <c r="D53" s="17" t="inlineStr">
        <is>
          <t>Assess</t>
        </is>
      </c>
      <c r="E53" s="16" t="n">
        <v>45791</v>
      </c>
      <c r="F53" s="16" t="n">
        <v>45801</v>
      </c>
      <c r="G53" s="19">
        <f>IF(F53="","",TODAY()-F53)</f>
        <v/>
      </c>
      <c r="H53" s="17" t="inlineStr">
        <is>
          <t>Jacob</t>
        </is>
      </c>
      <c r="I53" s="17" t="inlineStr">
        <is>
          <t>Discovery call</t>
        </is>
      </c>
      <c r="J53" s="16" t="n">
        <v>45805</v>
      </c>
      <c r="K53" s="20" t="n">
        <v>0.35</v>
      </c>
      <c r="L53" s="17" t="n"/>
    </row>
    <row r="54">
      <c r="A54" s="17" t="inlineStr">
        <is>
          <t>Granite Agriculture 21</t>
        </is>
      </c>
      <c r="B54" s="17" t="inlineStr">
        <is>
          <t>Agriculture</t>
        </is>
      </c>
      <c r="C54" s="39" t="n">
        <v>16000</v>
      </c>
      <c r="D54" s="17" t="inlineStr">
        <is>
          <t>Launch</t>
        </is>
      </c>
      <c r="E54" s="16" t="n">
        <v>45794</v>
      </c>
      <c r="F54" s="16" t="n">
        <v>45815</v>
      </c>
      <c r="G54" s="19">
        <f>IF(F54="","",TODAY()-F54)</f>
        <v/>
      </c>
      <c r="H54" s="17" t="inlineStr">
        <is>
          <t>Jacob</t>
        </is>
      </c>
      <c r="I54" s="17" t="inlineStr">
        <is>
          <t>Kickoff planning</t>
        </is>
      </c>
      <c r="J54" s="16" t="n"/>
      <c r="K54" s="20" t="n">
        <v>0.92</v>
      </c>
      <c r="L54" s="17" t="inlineStr">
        <is>
          <t>Won Q3</t>
        </is>
      </c>
    </row>
    <row r="55">
      <c r="A55" s="17" t="inlineStr">
        <is>
          <t>Prairie Utilities 22</t>
        </is>
      </c>
      <c r="B55" s="17" t="inlineStr">
        <is>
          <t>Utilities</t>
        </is>
      </c>
      <c r="C55" s="39" t="n">
        <v>16000</v>
      </c>
      <c r="D55" s="17" t="inlineStr">
        <is>
          <t>Launch</t>
        </is>
      </c>
      <c r="E55" s="16" t="n">
        <v>45797</v>
      </c>
      <c r="F55" s="16" t="n">
        <v>45811</v>
      </c>
      <c r="G55" s="19">
        <f>IF(F55="","",TODAY()-F55)</f>
        <v/>
      </c>
      <c r="H55" s="17" t="inlineStr">
        <is>
          <t>Jacob</t>
        </is>
      </c>
      <c r="I55" s="17" t="inlineStr">
        <is>
          <t>Kickoff planning</t>
        </is>
      </c>
      <c r="J55" s="16" t="n"/>
      <c r="K55" s="20" t="n">
        <v>0.92</v>
      </c>
      <c r="L55" s="17" t="inlineStr">
        <is>
          <t>Won Q3</t>
        </is>
      </c>
    </row>
    <row r="56">
      <c r="A56" s="17" t="inlineStr">
        <is>
          <t>Ironhorse Field Service 23</t>
        </is>
      </c>
      <c r="B56" s="17" t="inlineStr">
        <is>
          <t>Field Service</t>
        </is>
      </c>
      <c r="C56" s="39" t="n">
        <v>41000</v>
      </c>
      <c r="D56" s="17" t="inlineStr">
        <is>
          <t>Closed Lost</t>
        </is>
      </c>
      <c r="E56" s="16" t="n">
        <v>45800</v>
      </c>
      <c r="F56" s="16" t="n">
        <v>45826</v>
      </c>
      <c r="G56" s="19">
        <f>IF(F56="","",TODAY()-F56)</f>
        <v/>
      </c>
      <c r="H56" s="17" t="inlineStr">
        <is>
          <t>Jacob</t>
        </is>
      </c>
      <c r="I56" s="17" t="inlineStr">
        <is>
          <t>N/A — Lost opportunity</t>
        </is>
      </c>
      <c r="J56" s="16" t="n"/>
      <c r="K56" s="20" t="n">
        <v>0</v>
      </c>
      <c r="L56" s="17" t="inlineStr">
        <is>
          <t>No budget</t>
        </is>
      </c>
    </row>
    <row r="57">
      <c r="A57" s="17" t="inlineStr">
        <is>
          <t>Blue Mesa HVAC 24</t>
        </is>
      </c>
      <c r="B57" s="17" t="inlineStr">
        <is>
          <t>HVAC</t>
        </is>
      </c>
      <c r="C57" s="39" t="n">
        <v>27000</v>
      </c>
      <c r="D57" s="17" t="inlineStr">
        <is>
          <t>Identify</t>
        </is>
      </c>
      <c r="E57" s="16" t="n">
        <v>45803</v>
      </c>
      <c r="F57" s="16" t="n">
        <v>45828</v>
      </c>
      <c r="G57" s="19">
        <f>IF(F57="","",TODAY()-F57)</f>
        <v/>
      </c>
      <c r="H57" s="17" t="inlineStr">
        <is>
          <t>Jacob</t>
        </is>
      </c>
      <c r="I57" s="17" t="inlineStr">
        <is>
          <t>Initial qualifying call</t>
        </is>
      </c>
      <c r="J57" s="16" t="n">
        <v>45833</v>
      </c>
      <c r="K57" s="20" t="n">
        <v>0.22</v>
      </c>
      <c r="L57" s="17" t="n"/>
    </row>
    <row r="58">
      <c r="A58" s="17" t="inlineStr">
        <is>
          <t>Highland Construction 25</t>
        </is>
      </c>
      <c r="B58" s="17" t="inlineStr">
        <is>
          <t>Construction</t>
        </is>
      </c>
      <c r="C58" s="39" t="n">
        <v>36000</v>
      </c>
      <c r="D58" s="17" t="inlineStr">
        <is>
          <t>Assess</t>
        </is>
      </c>
      <c r="E58" s="16" t="n">
        <v>45806</v>
      </c>
      <c r="F58" s="16" t="n">
        <v>45817</v>
      </c>
      <c r="G58" s="19">
        <f>IF(F58="","",TODAY()-F58)</f>
        <v/>
      </c>
      <c r="H58" s="17" t="inlineStr">
        <is>
          <t>Jacob</t>
        </is>
      </c>
      <c r="I58" s="17" t="inlineStr">
        <is>
          <t>Discovery call</t>
        </is>
      </c>
      <c r="J58" s="16" t="n">
        <v>45826</v>
      </c>
      <c r="K58" s="20" t="n">
        <v>0.35</v>
      </c>
      <c r="L58" s="17" t="n"/>
    </row>
    <row r="59">
      <c r="A59" s="17" t="inlineStr">
        <is>
          <t>Summit Transportation 26</t>
        </is>
      </c>
      <c r="B59" s="17" t="inlineStr">
        <is>
          <t>Transportation</t>
        </is>
      </c>
      <c r="C59" s="39" t="n">
        <v>23500</v>
      </c>
      <c r="D59" s="17" t="inlineStr">
        <is>
          <t>Closed Lost</t>
        </is>
      </c>
      <c r="E59" s="16" t="n">
        <v>45809</v>
      </c>
      <c r="F59" s="16" t="n">
        <v>45821</v>
      </c>
      <c r="G59" s="19">
        <f>IF(F59="","",TODAY()-F59)</f>
        <v/>
      </c>
      <c r="H59" s="17" t="inlineStr">
        <is>
          <t>Jacob</t>
        </is>
      </c>
      <c r="I59" s="17" t="inlineStr">
        <is>
          <t>N/A — Lost opportunity</t>
        </is>
      </c>
      <c r="J59" s="16" t="n"/>
      <c r="K59" s="20" t="n">
        <v>0</v>
      </c>
      <c r="L59" s="17" t="inlineStr">
        <is>
          <t>No decision maker</t>
        </is>
      </c>
    </row>
    <row r="60">
      <c r="A60" s="17" t="inlineStr">
        <is>
          <t>Canyon Energy 27</t>
        </is>
      </c>
      <c r="B60" s="17" t="inlineStr">
        <is>
          <t>Energy</t>
        </is>
      </c>
      <c r="C60" s="39" t="n">
        <v>39500</v>
      </c>
      <c r="D60" s="17" t="inlineStr">
        <is>
          <t>Chart</t>
        </is>
      </c>
      <c r="E60" s="16" t="n">
        <v>45812</v>
      </c>
      <c r="F60" s="16" t="n">
        <v>45819</v>
      </c>
      <c r="G60" s="19">
        <f>IF(F60="","",TODAY()-F60)</f>
        <v/>
      </c>
      <c r="H60" s="17" t="inlineStr">
        <is>
          <t>Jacob</t>
        </is>
      </c>
      <c r="I60" s="17" t="inlineStr">
        <is>
          <t>Present Command Center</t>
        </is>
      </c>
      <c r="J60" s="16" t="n">
        <v>45830</v>
      </c>
      <c r="K60" s="20" t="n">
        <v>0.72</v>
      </c>
      <c r="L60" s="17" t="n"/>
    </row>
    <row r="61">
      <c r="A61" s="17" t="inlineStr">
        <is>
          <t>Pioneer Agriculture 28</t>
        </is>
      </c>
      <c r="B61" s="17" t="inlineStr">
        <is>
          <t>Agriculture</t>
        </is>
      </c>
      <c r="C61" s="39" t="n">
        <v>39500</v>
      </c>
      <c r="D61" s="17" t="inlineStr">
        <is>
          <t>Assess</t>
        </is>
      </c>
      <c r="E61" s="16" t="n">
        <v>45815</v>
      </c>
      <c r="F61" s="16" t="n">
        <v>45819</v>
      </c>
      <c r="G61" s="19">
        <f>IF(F61="","",TODAY()-F61)</f>
        <v/>
      </c>
      <c r="H61" s="17" t="inlineStr">
        <is>
          <t>Jacob</t>
        </is>
      </c>
      <c r="I61" s="17" t="inlineStr">
        <is>
          <t>Discovery call</t>
        </is>
      </c>
      <c r="J61" s="16" t="n">
        <v>45829</v>
      </c>
      <c r="K61" s="20" t="n">
        <v>0.35</v>
      </c>
      <c r="L61" s="17" t="n"/>
    </row>
    <row r="62">
      <c r="A62" s="17" t="inlineStr">
        <is>
          <t>Arrowhead Utilities 29</t>
        </is>
      </c>
      <c r="B62" s="17" t="inlineStr">
        <is>
          <t>Utilities</t>
        </is>
      </c>
      <c r="C62" s="39" t="n">
        <v>31500</v>
      </c>
      <c r="D62" s="17" t="inlineStr">
        <is>
          <t>Assess</t>
        </is>
      </c>
      <c r="E62" s="16" t="n">
        <v>45818</v>
      </c>
      <c r="F62" s="16" t="n">
        <v>45841</v>
      </c>
      <c r="G62" s="19">
        <f>IF(F62="","",TODAY()-F62)</f>
        <v/>
      </c>
      <c r="H62" s="17" t="inlineStr">
        <is>
          <t>Jacob</t>
        </is>
      </c>
      <c r="I62" s="17" t="inlineStr">
        <is>
          <t>Discovery call</t>
        </is>
      </c>
      <c r="J62" s="16" t="n">
        <v>45846</v>
      </c>
      <c r="K62" s="20" t="n">
        <v>0.35</v>
      </c>
      <c r="L62" s="17" t="n"/>
    </row>
    <row r="63">
      <c r="A63" s="17" t="inlineStr">
        <is>
          <t>Falcon Field Service 30</t>
        </is>
      </c>
      <c r="B63" s="17" t="inlineStr">
        <is>
          <t>Field Service</t>
        </is>
      </c>
      <c r="C63" s="39" t="n">
        <v>30000</v>
      </c>
      <c r="D63" s="17" t="inlineStr">
        <is>
          <t>Launch</t>
        </is>
      </c>
      <c r="E63" s="16" t="n">
        <v>45821</v>
      </c>
      <c r="F63" s="16" t="n">
        <v>45832</v>
      </c>
      <c r="G63" s="19">
        <f>IF(F63="","",TODAY()-F63)</f>
        <v/>
      </c>
      <c r="H63" s="17" t="inlineStr">
        <is>
          <t>Jacob</t>
        </is>
      </c>
      <c r="I63" s="17" t="inlineStr">
        <is>
          <t>Kickoff planning</t>
        </is>
      </c>
      <c r="J63" s="16" t="n"/>
      <c r="K63" s="20" t="n">
        <v>0.92</v>
      </c>
      <c r="L63" s="17" t="inlineStr">
        <is>
          <t>Won Q3</t>
        </is>
      </c>
    </row>
    <row r="64">
      <c r="A64" s="17" t="inlineStr">
        <is>
          <t>Granite Partners 001</t>
        </is>
      </c>
      <c r="B64" s="17" t="inlineStr">
        <is>
          <t>Utilities</t>
        </is>
      </c>
      <c r="C64" s="39" t="n">
        <v>18500</v>
      </c>
      <c r="D64" s="17" t="inlineStr">
        <is>
          <t>Map</t>
        </is>
      </c>
      <c r="E64" s="16" t="n">
        <v>45824</v>
      </c>
      <c r="F64" s="16" t="n">
        <v>45836</v>
      </c>
      <c r="G64" s="19">
        <f>IF(F64="","",TODAY()-F64)</f>
        <v/>
      </c>
      <c r="H64" s="17" t="inlineStr">
        <is>
          <t>Jacob</t>
        </is>
      </c>
      <c r="I64" s="17" t="inlineStr">
        <is>
          <t>Schedule map session</t>
        </is>
      </c>
      <c r="J64" s="16" t="n">
        <v>45844</v>
      </c>
      <c r="K64" s="20" t="n">
        <v>0.55</v>
      </c>
      <c r="L64" s="17" t="n"/>
    </row>
    <row r="65">
      <c r="A65" s="17" t="inlineStr">
        <is>
          <t>Prairie Partners 002</t>
        </is>
      </c>
      <c r="B65" s="17" t="inlineStr">
        <is>
          <t>Field Service</t>
        </is>
      </c>
      <c r="C65" s="39" t="n">
        <v>23500</v>
      </c>
      <c r="D65" s="17" t="inlineStr">
        <is>
          <t>Chart</t>
        </is>
      </c>
      <c r="E65" s="16" t="n">
        <v>45827</v>
      </c>
      <c r="F65" s="16" t="n">
        <v>45836</v>
      </c>
      <c r="G65" s="19">
        <f>IF(F65="","",TODAY()-F65)</f>
        <v/>
      </c>
      <c r="H65" s="17" t="inlineStr">
        <is>
          <t>Jacob</t>
        </is>
      </c>
      <c r="I65" s="17" t="inlineStr">
        <is>
          <t>Present Command Center</t>
        </is>
      </c>
      <c r="J65" s="16" t="n">
        <v>45845</v>
      </c>
      <c r="K65" s="20" t="n">
        <v>0.72</v>
      </c>
      <c r="L65" s="17" t="n"/>
    </row>
    <row r="66">
      <c r="A66" s="17" t="inlineStr">
        <is>
          <t>Ironhorse Partners 003</t>
        </is>
      </c>
      <c r="B66" s="17" t="inlineStr">
        <is>
          <t>HVAC</t>
        </is>
      </c>
      <c r="C66" s="39" t="n">
        <v>14500</v>
      </c>
      <c r="D66" s="17" t="inlineStr">
        <is>
          <t>Identify</t>
        </is>
      </c>
      <c r="E66" s="16" t="n">
        <v>45830</v>
      </c>
      <c r="F66" s="16" t="n">
        <v>45859</v>
      </c>
      <c r="G66" s="19">
        <f>IF(F66="","",TODAY()-F66)</f>
        <v/>
      </c>
      <c r="H66" s="17" t="inlineStr">
        <is>
          <t>Jacob</t>
        </is>
      </c>
      <c r="I66" s="17" t="inlineStr">
        <is>
          <t>Initial qualifying call</t>
        </is>
      </c>
      <c r="J66" s="16" t="n">
        <v>45871</v>
      </c>
      <c r="K66" s="20" t="n">
        <v>0.22</v>
      </c>
      <c r="L66" s="17" t="n"/>
    </row>
    <row r="67">
      <c r="A67" s="17" t="inlineStr">
        <is>
          <t>Blue Mesa Partners 004</t>
        </is>
      </c>
      <c r="B67" s="17" t="inlineStr">
        <is>
          <t>Construction</t>
        </is>
      </c>
      <c r="C67" s="39" t="n">
        <v>12000</v>
      </c>
      <c r="D67" s="17" t="inlineStr">
        <is>
          <t>Chart</t>
        </is>
      </c>
      <c r="E67" s="16" t="n">
        <v>45833</v>
      </c>
      <c r="F67" s="16" t="n">
        <v>45850</v>
      </c>
      <c r="G67" s="19">
        <f>IF(F67="","",TODAY()-F67)</f>
        <v/>
      </c>
      <c r="H67" s="17" t="inlineStr">
        <is>
          <t>Jacob</t>
        </is>
      </c>
      <c r="I67" s="17" t="inlineStr">
        <is>
          <t>Present Command Center</t>
        </is>
      </c>
      <c r="J67" s="16" t="n">
        <v>45861</v>
      </c>
      <c r="K67" s="20" t="n">
        <v>0.72</v>
      </c>
      <c r="L67" s="17" t="n"/>
    </row>
    <row r="68">
      <c r="A68" s="17" t="inlineStr">
        <is>
          <t>Highland Partners 005</t>
        </is>
      </c>
      <c r="B68" s="17" t="inlineStr">
        <is>
          <t>Transportation</t>
        </is>
      </c>
      <c r="C68" s="39" t="n">
        <v>25000</v>
      </c>
      <c r="D68" s="17" t="inlineStr">
        <is>
          <t>Assess</t>
        </is>
      </c>
      <c r="E68" s="16" t="n">
        <v>45836</v>
      </c>
      <c r="F68" s="16" t="n">
        <v>45861</v>
      </c>
      <c r="G68" s="19">
        <f>IF(F68="","",TODAY()-F68)</f>
        <v/>
      </c>
      <c r="H68" s="17" t="inlineStr">
        <is>
          <t>Jacob</t>
        </is>
      </c>
      <c r="I68" s="17" t="inlineStr">
        <is>
          <t>Discovery call</t>
        </is>
      </c>
      <c r="J68" s="16" t="n">
        <v>45866</v>
      </c>
      <c r="K68" s="20" t="n">
        <v>0.35</v>
      </c>
      <c r="L68" s="17" t="n"/>
    </row>
    <row r="69">
      <c r="A69" s="17" t="inlineStr">
        <is>
          <t>Summit Partners 006</t>
        </is>
      </c>
      <c r="B69" s="17" t="inlineStr">
        <is>
          <t>Energy</t>
        </is>
      </c>
      <c r="C69" s="39" t="n">
        <v>20000</v>
      </c>
      <c r="D69" s="17" t="inlineStr">
        <is>
          <t>Chart</t>
        </is>
      </c>
      <c r="E69" s="16" t="n">
        <v>45839</v>
      </c>
      <c r="F69" s="16" t="n">
        <v>45855</v>
      </c>
      <c r="G69" s="19">
        <f>IF(F69="","",TODAY()-F69)</f>
        <v/>
      </c>
      <c r="H69" s="17" t="inlineStr">
        <is>
          <t>Jacob</t>
        </is>
      </c>
      <c r="I69" s="17" t="inlineStr">
        <is>
          <t>Present Command Center</t>
        </is>
      </c>
      <c r="J69" s="16" t="n">
        <v>45858</v>
      </c>
      <c r="K69" s="20" t="n">
        <v>0.72</v>
      </c>
      <c r="L69" s="17" t="n"/>
    </row>
    <row r="70">
      <c r="A70" s="17" t="inlineStr">
        <is>
          <t>Canyon Partners 007</t>
        </is>
      </c>
      <c r="B70" s="17" t="inlineStr">
        <is>
          <t>Agriculture</t>
        </is>
      </c>
      <c r="C70" s="39" t="n">
        <v>50500</v>
      </c>
      <c r="D70" s="17" t="inlineStr">
        <is>
          <t>Chart</t>
        </is>
      </c>
      <c r="E70" s="16" t="n">
        <v>45842</v>
      </c>
      <c r="F70" s="16" t="n">
        <v>45863</v>
      </c>
      <c r="G70" s="19">
        <f>IF(F70="","",TODAY()-F70)</f>
        <v/>
      </c>
      <c r="H70" s="17" t="inlineStr">
        <is>
          <t>Jacob</t>
        </is>
      </c>
      <c r="I70" s="17" t="inlineStr">
        <is>
          <t>Present Command Center</t>
        </is>
      </c>
      <c r="J70" s="16" t="n">
        <v>45875</v>
      </c>
      <c r="K70" s="20" t="n">
        <v>0.72</v>
      </c>
      <c r="L70" s="17" t="n"/>
    </row>
    <row r="71">
      <c r="A71" s="17" t="inlineStr">
        <is>
          <t>Pioneer Partners 008</t>
        </is>
      </c>
      <c r="B71" s="17" t="inlineStr">
        <is>
          <t>Utilities</t>
        </is>
      </c>
      <c r="C71" s="39" t="n">
        <v>48000</v>
      </c>
      <c r="D71" s="17" t="inlineStr">
        <is>
          <t>Launch</t>
        </is>
      </c>
      <c r="E71" s="16" t="n">
        <v>45845</v>
      </c>
      <c r="F71" s="16" t="n">
        <v>45857</v>
      </c>
      <c r="G71" s="19">
        <f>IF(F71="","",TODAY()-F71)</f>
        <v/>
      </c>
      <c r="H71" s="17" t="inlineStr">
        <is>
          <t>Jacob</t>
        </is>
      </c>
      <c r="I71" s="17" t="inlineStr">
        <is>
          <t>Kickoff planning</t>
        </is>
      </c>
      <c r="J71" s="16" t="n"/>
      <c r="K71" s="20" t="n">
        <v>0.92</v>
      </c>
      <c r="L71" s="17" t="inlineStr">
        <is>
          <t>Won Q4</t>
        </is>
      </c>
    </row>
    <row r="72">
      <c r="A72" s="17" t="inlineStr">
        <is>
          <t>Arrowhead Partners 009</t>
        </is>
      </c>
      <c r="B72" s="17" t="inlineStr">
        <is>
          <t>Field Service</t>
        </is>
      </c>
      <c r="C72" s="39" t="n">
        <v>20500</v>
      </c>
      <c r="D72" s="17" t="inlineStr">
        <is>
          <t>Assess</t>
        </is>
      </c>
      <c r="E72" s="16" t="n">
        <v>45848</v>
      </c>
      <c r="F72" s="16" t="n">
        <v>45879</v>
      </c>
      <c r="G72" s="19">
        <f>IF(F72="","",TODAY()-F72)</f>
        <v/>
      </c>
      <c r="H72" s="17" t="inlineStr">
        <is>
          <t>Jacob</t>
        </is>
      </c>
      <c r="I72" s="17" t="inlineStr">
        <is>
          <t>Discovery call</t>
        </is>
      </c>
      <c r="J72" s="16" t="n">
        <v>45882</v>
      </c>
      <c r="K72" s="20" t="n">
        <v>0.35</v>
      </c>
      <c r="L72" s="17" t="n"/>
    </row>
    <row r="73">
      <c r="A73" s="17" t="inlineStr">
        <is>
          <t>Falcon Partners 010</t>
        </is>
      </c>
      <c r="B73" s="17" t="inlineStr">
        <is>
          <t>HVAC</t>
        </is>
      </c>
      <c r="C73" s="39" t="n">
        <v>27500</v>
      </c>
      <c r="D73" s="17" t="inlineStr">
        <is>
          <t>Assess</t>
        </is>
      </c>
      <c r="E73" s="16" t="n">
        <v>45851</v>
      </c>
      <c r="F73" s="16" t="n">
        <v>45866</v>
      </c>
      <c r="G73" s="19">
        <f>IF(F73="","",TODAY()-F73)</f>
        <v/>
      </c>
      <c r="H73" s="17" t="inlineStr">
        <is>
          <t>Jacob</t>
        </is>
      </c>
      <c r="I73" s="17" t="inlineStr">
        <is>
          <t>Discovery call</t>
        </is>
      </c>
      <c r="J73" s="16" t="n">
        <v>45869</v>
      </c>
      <c r="K73" s="20" t="n">
        <v>0.35</v>
      </c>
      <c r="L73" s="17" t="n"/>
    </row>
    <row r="74">
      <c r="A74" s="17" t="inlineStr">
        <is>
          <t>Red Rock Partners 011</t>
        </is>
      </c>
      <c r="B74" s="17" t="inlineStr">
        <is>
          <t>Construction</t>
        </is>
      </c>
      <c r="C74" s="39" t="n">
        <v>42000</v>
      </c>
      <c r="D74" s="17" t="inlineStr">
        <is>
          <t>Assess</t>
        </is>
      </c>
      <c r="E74" s="16" t="n">
        <v>45854</v>
      </c>
      <c r="F74" s="16" t="n">
        <v>45872</v>
      </c>
      <c r="G74" s="19">
        <f>IF(F74="","",TODAY()-F74)</f>
        <v/>
      </c>
      <c r="H74" s="17" t="inlineStr">
        <is>
          <t>Jacob</t>
        </is>
      </c>
      <c r="I74" s="17" t="inlineStr">
        <is>
          <t>Discovery call</t>
        </is>
      </c>
      <c r="J74" s="16" t="n">
        <v>45884</v>
      </c>
      <c r="K74" s="20" t="n">
        <v>0.35</v>
      </c>
      <c r="L74" s="17" t="n"/>
    </row>
    <row r="75">
      <c r="A75" s="17" t="inlineStr">
        <is>
          <t>Westline Partners 012</t>
        </is>
      </c>
      <c r="B75" s="17" t="inlineStr">
        <is>
          <t>Transportation</t>
        </is>
      </c>
      <c r="C75" s="39" t="n">
        <v>15500</v>
      </c>
      <c r="D75" s="17" t="inlineStr">
        <is>
          <t>Chart</t>
        </is>
      </c>
      <c r="E75" s="16" t="n">
        <v>45857</v>
      </c>
      <c r="F75" s="16" t="n">
        <v>45872</v>
      </c>
      <c r="G75" s="19">
        <f>IF(F75="","",TODAY()-F75)</f>
        <v/>
      </c>
      <c r="H75" s="17" t="inlineStr">
        <is>
          <t>Jacob</t>
        </is>
      </c>
      <c r="I75" s="17" t="inlineStr">
        <is>
          <t>Present Command Center</t>
        </is>
      </c>
      <c r="J75" s="16" t="n">
        <v>45880</v>
      </c>
      <c r="K75" s="20" t="n">
        <v>0.72</v>
      </c>
      <c r="L75" s="17" t="n"/>
    </row>
    <row r="76">
      <c r="A76" s="17" t="inlineStr">
        <is>
          <t>Northstar Partners 013</t>
        </is>
      </c>
      <c r="B76" s="17" t="inlineStr">
        <is>
          <t>Energy</t>
        </is>
      </c>
      <c r="C76" s="39" t="n">
        <v>37500</v>
      </c>
      <c r="D76" s="17" t="inlineStr">
        <is>
          <t>Map</t>
        </is>
      </c>
      <c r="E76" s="16" t="n">
        <v>45860</v>
      </c>
      <c r="F76" s="16" t="n">
        <v>45871</v>
      </c>
      <c r="G76" s="19">
        <f>IF(F76="","",TODAY()-F76)</f>
        <v/>
      </c>
      <c r="H76" s="17" t="inlineStr">
        <is>
          <t>Jacob</t>
        </is>
      </c>
      <c r="I76" s="17" t="inlineStr">
        <is>
          <t>Schedule map session</t>
        </is>
      </c>
      <c r="J76" s="16" t="n">
        <v>45881</v>
      </c>
      <c r="K76" s="20" t="n">
        <v>0.55</v>
      </c>
      <c r="L76" s="17" t="n"/>
    </row>
    <row r="77">
      <c r="A77" s="17" t="inlineStr">
        <is>
          <t>Silver Peak Partners 014</t>
        </is>
      </c>
      <c r="B77" s="17" t="inlineStr">
        <is>
          <t>Agriculture</t>
        </is>
      </c>
      <c r="C77" s="39" t="n">
        <v>19500</v>
      </c>
      <c r="D77" s="17" t="inlineStr">
        <is>
          <t>Chart</t>
        </is>
      </c>
      <c r="E77" s="16" t="n">
        <v>45863</v>
      </c>
      <c r="F77" s="16" t="n">
        <v>45877</v>
      </c>
      <c r="G77" s="19">
        <f>IF(F77="","",TODAY()-F77)</f>
        <v/>
      </c>
      <c r="H77" s="17" t="inlineStr">
        <is>
          <t>Jacob</t>
        </is>
      </c>
      <c r="I77" s="17" t="inlineStr">
        <is>
          <t>Present Command Center</t>
        </is>
      </c>
      <c r="J77" s="16" t="n">
        <v>45887</v>
      </c>
      <c r="K77" s="20" t="n">
        <v>0.72</v>
      </c>
      <c r="L77" s="17" t="n"/>
    </row>
    <row r="78">
      <c r="A78" s="17" t="inlineStr">
        <is>
          <t>Trailhead Partners 015</t>
        </is>
      </c>
      <c r="B78" s="17" t="inlineStr">
        <is>
          <t>Utilities</t>
        </is>
      </c>
      <c r="C78" s="39" t="n">
        <v>52500</v>
      </c>
      <c r="D78" s="17" t="inlineStr">
        <is>
          <t>Map</t>
        </is>
      </c>
      <c r="E78" s="16" t="n">
        <v>45866</v>
      </c>
      <c r="F78" s="16" t="n">
        <v>45879</v>
      </c>
      <c r="G78" s="19">
        <f>IF(F78="","",TODAY()-F78)</f>
        <v/>
      </c>
      <c r="H78" s="17" t="inlineStr">
        <is>
          <t>Jacob</t>
        </is>
      </c>
      <c r="I78" s="17" t="inlineStr">
        <is>
          <t>Schedule map session</t>
        </is>
      </c>
      <c r="J78" s="16" t="n">
        <v>45884</v>
      </c>
      <c r="K78" s="20" t="n">
        <v>0.55</v>
      </c>
      <c r="L78" s="17" t="n"/>
    </row>
    <row r="79">
      <c r="A79" s="17" t="inlineStr">
        <is>
          <t>Frontline Partners 016</t>
        </is>
      </c>
      <c r="B79" s="17" t="inlineStr">
        <is>
          <t>Field Service</t>
        </is>
      </c>
      <c r="C79" s="39" t="n">
        <v>45500</v>
      </c>
      <c r="D79" s="17" t="inlineStr">
        <is>
          <t>Identify</t>
        </is>
      </c>
      <c r="E79" s="16" t="n">
        <v>45869</v>
      </c>
      <c r="F79" s="16" t="n">
        <v>45877</v>
      </c>
      <c r="G79" s="19">
        <f>IF(F79="","",TODAY()-F79)</f>
        <v/>
      </c>
      <c r="H79" s="17" t="inlineStr">
        <is>
          <t>Jacob</t>
        </is>
      </c>
      <c r="I79" s="17" t="inlineStr">
        <is>
          <t>Initial qualifying call</t>
        </is>
      </c>
      <c r="J79" s="16" t="n">
        <v>45888</v>
      </c>
      <c r="K79" s="20" t="n">
        <v>0.22</v>
      </c>
      <c r="L79" s="17" t="n"/>
    </row>
    <row r="80">
      <c r="A80" s="17" t="inlineStr">
        <is>
          <t>Keystone Partners 017</t>
        </is>
      </c>
      <c r="B80" s="17" t="inlineStr">
        <is>
          <t>HVAC</t>
        </is>
      </c>
      <c r="C80" s="39" t="n">
        <v>44000</v>
      </c>
      <c r="D80" s="17" t="inlineStr">
        <is>
          <t>Assess</t>
        </is>
      </c>
      <c r="E80" s="16" t="n">
        <v>45872</v>
      </c>
      <c r="F80" s="16" t="n">
        <v>45889</v>
      </c>
      <c r="G80" s="19">
        <f>IF(F80="","",TODAY()-F80)</f>
        <v/>
      </c>
      <c r="H80" s="17" t="inlineStr">
        <is>
          <t>Jacob</t>
        </is>
      </c>
      <c r="I80" s="17" t="inlineStr">
        <is>
          <t>Discovery call</t>
        </is>
      </c>
      <c r="J80" s="16" t="n">
        <v>45892</v>
      </c>
      <c r="K80" s="20" t="n">
        <v>0.35</v>
      </c>
      <c r="L80" s="17" t="n"/>
    </row>
    <row r="81">
      <c r="A81" s="17" t="inlineStr">
        <is>
          <t>Meridian Partners 018</t>
        </is>
      </c>
      <c r="B81" s="17" t="inlineStr">
        <is>
          <t>Construction</t>
        </is>
      </c>
      <c r="C81" s="39" t="n">
        <v>43000</v>
      </c>
      <c r="D81" s="17" t="inlineStr">
        <is>
          <t>Identify</t>
        </is>
      </c>
      <c r="E81" s="16" t="n">
        <v>45875</v>
      </c>
      <c r="F81" s="16" t="n">
        <v>45899</v>
      </c>
      <c r="G81" s="19">
        <f>IF(F81="","",TODAY()-F81)</f>
        <v/>
      </c>
      <c r="H81" s="17" t="inlineStr">
        <is>
          <t>Jacob</t>
        </is>
      </c>
      <c r="I81" s="17" t="inlineStr">
        <is>
          <t>Initial qualifying call</t>
        </is>
      </c>
      <c r="J81" s="16" t="n">
        <v>45909</v>
      </c>
      <c r="K81" s="20" t="n">
        <v>0.22</v>
      </c>
      <c r="L81" s="17" t="n"/>
    </row>
    <row r="82">
      <c r="A82" s="17" t="inlineStr">
        <is>
          <t>Atlas Partners 019</t>
        </is>
      </c>
      <c r="B82" s="17" t="inlineStr">
        <is>
          <t>Transportation</t>
        </is>
      </c>
      <c r="C82" s="39" t="n">
        <v>30500</v>
      </c>
      <c r="D82" s="17" t="inlineStr">
        <is>
          <t>Assess</t>
        </is>
      </c>
      <c r="E82" s="16" t="n">
        <v>45878</v>
      </c>
      <c r="F82" s="16" t="n">
        <v>45890</v>
      </c>
      <c r="G82" s="19">
        <f>IF(F82="","",TODAY()-F82)</f>
        <v/>
      </c>
      <c r="H82" s="17" t="inlineStr">
        <is>
          <t>Jacob</t>
        </is>
      </c>
      <c r="I82" s="17" t="inlineStr">
        <is>
          <t>Discovery call</t>
        </is>
      </c>
      <c r="J82" s="16" t="n">
        <v>45901</v>
      </c>
      <c r="K82" s="20" t="n">
        <v>0.35</v>
      </c>
      <c r="L82" s="17" t="n"/>
    </row>
    <row r="83">
      <c r="A83" s="17" t="inlineStr">
        <is>
          <t>Copper Ridge Partners 020</t>
        </is>
      </c>
      <c r="B83" s="17" t="inlineStr">
        <is>
          <t>Energy</t>
        </is>
      </c>
      <c r="C83" s="39" t="n">
        <v>35000</v>
      </c>
      <c r="D83" s="17" t="inlineStr">
        <is>
          <t>Identify</t>
        </is>
      </c>
      <c r="E83" s="16" t="n">
        <v>45881</v>
      </c>
      <c r="F83" s="16" t="n">
        <v>45900</v>
      </c>
      <c r="G83" s="19">
        <f>IF(F83="","",TODAY()-F83)</f>
        <v/>
      </c>
      <c r="H83" s="17" t="inlineStr">
        <is>
          <t>Jacob</t>
        </is>
      </c>
      <c r="I83" s="17" t="inlineStr">
        <is>
          <t>Initial qualifying call</t>
        </is>
      </c>
      <c r="J83" s="16" t="n">
        <v>45911</v>
      </c>
      <c r="K83" s="20" t="n">
        <v>0.22</v>
      </c>
      <c r="L83" s="17" t="n"/>
    </row>
    <row r="84">
      <c r="A84" s="17" t="inlineStr">
        <is>
          <t>Granite Systems 021</t>
        </is>
      </c>
      <c r="B84" s="17" t="inlineStr">
        <is>
          <t>Agriculture</t>
        </is>
      </c>
      <c r="C84" s="39" t="n">
        <v>51000</v>
      </c>
      <c r="D84" s="17" t="inlineStr">
        <is>
          <t>Assess</t>
        </is>
      </c>
      <c r="E84" s="16" t="n">
        <v>45884</v>
      </c>
      <c r="F84" s="16" t="n">
        <v>45906</v>
      </c>
      <c r="G84" s="19">
        <f>IF(F84="","",TODAY()-F84)</f>
        <v/>
      </c>
      <c r="H84" s="17" t="inlineStr">
        <is>
          <t>Jacob</t>
        </is>
      </c>
      <c r="I84" s="17" t="inlineStr">
        <is>
          <t>Discovery call</t>
        </is>
      </c>
      <c r="J84" s="16" t="n">
        <v>45917</v>
      </c>
      <c r="K84" s="20" t="n">
        <v>0.35</v>
      </c>
      <c r="L84" s="17" t="n"/>
    </row>
    <row r="85">
      <c r="A85" s="17" t="inlineStr">
        <is>
          <t>Prairie Systems 022</t>
        </is>
      </c>
      <c r="B85" s="17" t="inlineStr">
        <is>
          <t>Utilities</t>
        </is>
      </c>
      <c r="C85" s="39" t="n">
        <v>19000</v>
      </c>
      <c r="D85" s="17" t="inlineStr">
        <is>
          <t>Map</t>
        </is>
      </c>
      <c r="E85" s="16" t="n">
        <v>45887</v>
      </c>
      <c r="F85" s="16" t="n">
        <v>45911</v>
      </c>
      <c r="G85" s="19">
        <f>IF(F85="","",TODAY()-F85)</f>
        <v/>
      </c>
      <c r="H85" s="17" t="inlineStr">
        <is>
          <t>Jacob</t>
        </is>
      </c>
      <c r="I85" s="17" t="inlineStr">
        <is>
          <t>Schedule map session</t>
        </is>
      </c>
      <c r="J85" s="16" t="n">
        <v>45914</v>
      </c>
      <c r="K85" s="20" t="n">
        <v>0.55</v>
      </c>
      <c r="L85" s="17" t="n"/>
    </row>
    <row r="86">
      <c r="A86" s="17" t="inlineStr">
        <is>
          <t>Ironhorse Systems 023</t>
        </is>
      </c>
      <c r="B86" s="17" t="inlineStr">
        <is>
          <t>Field Service</t>
        </is>
      </c>
      <c r="C86" s="39" t="n">
        <v>27000</v>
      </c>
      <c r="D86" s="17" t="inlineStr">
        <is>
          <t>Assess</t>
        </is>
      </c>
      <c r="E86" s="16" t="n">
        <v>45890</v>
      </c>
      <c r="F86" s="16" t="n">
        <v>45904</v>
      </c>
      <c r="G86" s="19">
        <f>IF(F86="","",TODAY()-F86)</f>
        <v/>
      </c>
      <c r="H86" s="17" t="inlineStr">
        <is>
          <t>Jacob</t>
        </is>
      </c>
      <c r="I86" s="17" t="inlineStr">
        <is>
          <t>Discovery call</t>
        </is>
      </c>
      <c r="J86" s="16" t="n">
        <v>45908</v>
      </c>
      <c r="K86" s="20" t="n">
        <v>0.35</v>
      </c>
      <c r="L86" s="17" t="n"/>
    </row>
    <row r="87">
      <c r="A87" s="17" t="inlineStr">
        <is>
          <t>Blue Mesa Systems 024</t>
        </is>
      </c>
      <c r="B87" s="17" t="inlineStr">
        <is>
          <t>HVAC</t>
        </is>
      </c>
      <c r="C87" s="39" t="n">
        <v>31500</v>
      </c>
      <c r="D87" s="17" t="inlineStr">
        <is>
          <t>Assess</t>
        </is>
      </c>
      <c r="E87" s="16" t="n">
        <v>45893</v>
      </c>
      <c r="F87" s="16" t="n">
        <v>45900</v>
      </c>
      <c r="G87" s="19">
        <f>IF(F87="","",TODAY()-F87)</f>
        <v/>
      </c>
      <c r="H87" s="17" t="inlineStr">
        <is>
          <t>Jacob</t>
        </is>
      </c>
      <c r="I87" s="17" t="inlineStr">
        <is>
          <t>Discovery call</t>
        </is>
      </c>
      <c r="J87" s="16" t="n">
        <v>45903</v>
      </c>
      <c r="K87" s="20" t="n">
        <v>0.35</v>
      </c>
      <c r="L87" s="17" t="n"/>
    </row>
    <row r="88">
      <c r="A88" s="17" t="inlineStr">
        <is>
          <t>Highland Systems 025</t>
        </is>
      </c>
      <c r="B88" s="17" t="inlineStr">
        <is>
          <t>Construction</t>
        </is>
      </c>
      <c r="C88" s="39" t="n">
        <v>43000</v>
      </c>
      <c r="D88" s="17" t="inlineStr">
        <is>
          <t>Closed Lost</t>
        </is>
      </c>
      <c r="E88" s="16" t="n">
        <v>45896</v>
      </c>
      <c r="F88" s="16" t="n">
        <v>45908</v>
      </c>
      <c r="G88" s="19">
        <f>IF(F88="","",TODAY()-F88)</f>
        <v/>
      </c>
      <c r="H88" s="17" t="inlineStr">
        <is>
          <t>Jacob</t>
        </is>
      </c>
      <c r="I88" s="17" t="inlineStr">
        <is>
          <t>N/A — Lost opportunity</t>
        </is>
      </c>
      <c r="J88" s="16" t="n"/>
      <c r="K88" s="20" t="n">
        <v>0</v>
      </c>
      <c r="L88" s="17" t="inlineStr">
        <is>
          <t>Went with incumbent</t>
        </is>
      </c>
    </row>
    <row r="89">
      <c r="A89" s="17" t="inlineStr">
        <is>
          <t>Summit Systems 026</t>
        </is>
      </c>
      <c r="B89" s="17" t="inlineStr">
        <is>
          <t>Transportation</t>
        </is>
      </c>
      <c r="C89" s="39" t="n">
        <v>12000</v>
      </c>
      <c r="D89" s="17" t="inlineStr">
        <is>
          <t>Assess</t>
        </is>
      </c>
      <c r="E89" s="16" t="n">
        <v>45899</v>
      </c>
      <c r="F89" s="16" t="n">
        <v>45930</v>
      </c>
      <c r="G89" s="19">
        <f>IF(F89="","",TODAY()-F89)</f>
        <v/>
      </c>
      <c r="H89" s="17" t="inlineStr">
        <is>
          <t>Jacob</t>
        </is>
      </c>
      <c r="I89" s="17" t="inlineStr">
        <is>
          <t>Discovery call</t>
        </is>
      </c>
      <c r="J89" s="16" t="n">
        <v>45937</v>
      </c>
      <c r="K89" s="20" t="n">
        <v>0.35</v>
      </c>
      <c r="L89" s="17" t="n"/>
    </row>
    <row r="90">
      <c r="A90" s="17" t="inlineStr">
        <is>
          <t>Canyon Systems 027</t>
        </is>
      </c>
      <c r="B90" s="17" t="inlineStr">
        <is>
          <t>Energy</t>
        </is>
      </c>
      <c r="C90" s="39" t="n">
        <v>41500</v>
      </c>
      <c r="D90" s="17" t="inlineStr">
        <is>
          <t>Map</t>
        </is>
      </c>
      <c r="E90" s="16" t="n">
        <v>45902</v>
      </c>
      <c r="F90" s="16" t="n">
        <v>45933</v>
      </c>
      <c r="G90" s="19">
        <f>IF(F90="","",TODAY()-F90)</f>
        <v/>
      </c>
      <c r="H90" s="17" t="inlineStr">
        <is>
          <t>Jacob</t>
        </is>
      </c>
      <c r="I90" s="17" t="inlineStr">
        <is>
          <t>Schedule map session</t>
        </is>
      </c>
      <c r="J90" s="16" t="n">
        <v>45944</v>
      </c>
      <c r="K90" s="20" t="n">
        <v>0.55</v>
      </c>
      <c r="L90" s="17" t="n"/>
    </row>
    <row r="91">
      <c r="A91" s="17" t="inlineStr">
        <is>
          <t>Pioneer Systems 028</t>
        </is>
      </c>
      <c r="B91" s="17" t="inlineStr">
        <is>
          <t>Agriculture</t>
        </is>
      </c>
      <c r="C91" s="39" t="n">
        <v>39000</v>
      </c>
      <c r="D91" s="17" t="inlineStr">
        <is>
          <t>Map</t>
        </is>
      </c>
      <c r="E91" s="16" t="n">
        <v>45905</v>
      </c>
      <c r="F91" s="16" t="n">
        <v>45919</v>
      </c>
      <c r="G91" s="19">
        <f>IF(F91="","",TODAY()-F91)</f>
        <v/>
      </c>
      <c r="H91" s="17" t="inlineStr">
        <is>
          <t>Jacob</t>
        </is>
      </c>
      <c r="I91" s="17" t="inlineStr">
        <is>
          <t>Schedule map session</t>
        </is>
      </c>
      <c r="J91" s="16" t="n">
        <v>45923</v>
      </c>
      <c r="K91" s="20" t="n">
        <v>0.55</v>
      </c>
      <c r="L91" s="17" t="n"/>
    </row>
    <row r="92">
      <c r="A92" s="17" t="inlineStr">
        <is>
          <t>Arrowhead Systems 029</t>
        </is>
      </c>
      <c r="B92" s="17" t="inlineStr">
        <is>
          <t>Utilities</t>
        </is>
      </c>
      <c r="C92" s="39" t="n">
        <v>39000</v>
      </c>
      <c r="D92" s="17" t="inlineStr">
        <is>
          <t>Identify</t>
        </is>
      </c>
      <c r="E92" s="16" t="n">
        <v>45908</v>
      </c>
      <c r="F92" s="16" t="n">
        <v>45913</v>
      </c>
      <c r="G92" s="19">
        <f>IF(F92="","",TODAY()-F92)</f>
        <v/>
      </c>
      <c r="H92" s="17" t="inlineStr">
        <is>
          <t>Jacob</t>
        </is>
      </c>
      <c r="I92" s="17" t="inlineStr">
        <is>
          <t>Initial qualifying call</t>
        </is>
      </c>
      <c r="J92" s="16" t="n">
        <v>45923</v>
      </c>
      <c r="K92" s="20" t="n">
        <v>0.22</v>
      </c>
      <c r="L92" s="17" t="n"/>
    </row>
    <row r="93">
      <c r="A93" s="17" t="inlineStr">
        <is>
          <t>Falcon Systems 030</t>
        </is>
      </c>
      <c r="B93" s="17" t="inlineStr">
        <is>
          <t>Field Service</t>
        </is>
      </c>
      <c r="C93" s="39" t="n">
        <v>37000</v>
      </c>
      <c r="D93" s="17" t="inlineStr">
        <is>
          <t>Map</t>
        </is>
      </c>
      <c r="E93" s="16" t="n">
        <v>45911</v>
      </c>
      <c r="F93" s="16" t="n">
        <v>45918</v>
      </c>
      <c r="G93" s="19">
        <f>IF(F93="","",TODAY()-F93)</f>
        <v/>
      </c>
      <c r="H93" s="17" t="inlineStr">
        <is>
          <t>Jacob</t>
        </is>
      </c>
      <c r="I93" s="17" t="inlineStr">
        <is>
          <t>Schedule map session</t>
        </is>
      </c>
      <c r="J93" s="16" t="n">
        <v>45928</v>
      </c>
      <c r="K93" s="20" t="n">
        <v>0.55</v>
      </c>
      <c r="L93" s="17" t="n"/>
    </row>
    <row r="94">
      <c r="A94" s="17" t="inlineStr">
        <is>
          <t>Red Rock Systems 031</t>
        </is>
      </c>
      <c r="B94" s="17" t="inlineStr">
        <is>
          <t>HVAC</t>
        </is>
      </c>
      <c r="C94" s="39" t="n">
        <v>34500</v>
      </c>
      <c r="D94" s="17" t="inlineStr">
        <is>
          <t>Launch</t>
        </is>
      </c>
      <c r="E94" s="16" t="n">
        <v>45914</v>
      </c>
      <c r="F94" s="16" t="n">
        <v>45937</v>
      </c>
      <c r="G94" s="19">
        <f>IF(F94="","",TODAY()-F94)</f>
        <v/>
      </c>
      <c r="H94" s="17" t="inlineStr">
        <is>
          <t>Jacob</t>
        </is>
      </c>
      <c r="I94" s="17" t="inlineStr">
        <is>
          <t>Kickoff planning</t>
        </is>
      </c>
      <c r="J94" s="16" t="n"/>
      <c r="K94" s="20" t="n">
        <v>0.92</v>
      </c>
      <c r="L94" s="17" t="inlineStr">
        <is>
          <t>Won FY close</t>
        </is>
      </c>
    </row>
    <row r="95">
      <c r="A95" s="17" t="inlineStr">
        <is>
          <t>Westline Systems 032</t>
        </is>
      </c>
      <c r="B95" s="17" t="inlineStr">
        <is>
          <t>Construction</t>
        </is>
      </c>
      <c r="C95" s="39" t="n">
        <v>18000</v>
      </c>
      <c r="D95" s="17" t="inlineStr">
        <is>
          <t>Identify</t>
        </is>
      </c>
      <c r="E95" s="16" t="n">
        <v>45917</v>
      </c>
      <c r="F95" s="16" t="n">
        <v>45938</v>
      </c>
      <c r="G95" s="19">
        <f>IF(F95="","",TODAY()-F95)</f>
        <v/>
      </c>
      <c r="H95" s="17" t="inlineStr">
        <is>
          <t>Jacob</t>
        </is>
      </c>
      <c r="I95" s="17" t="inlineStr">
        <is>
          <t>Initial qualifying call</t>
        </is>
      </c>
      <c r="J95" s="16" t="n">
        <v>45945</v>
      </c>
      <c r="K95" s="20" t="n">
        <v>0.22</v>
      </c>
      <c r="L95" s="17" t="n"/>
    </row>
    <row r="96">
      <c r="A96" s="17" t="inlineStr">
        <is>
          <t>Northstar Systems 033</t>
        </is>
      </c>
      <c r="B96" s="17" t="inlineStr">
        <is>
          <t>Transportation</t>
        </is>
      </c>
      <c r="C96" s="39" t="n">
        <v>42000</v>
      </c>
      <c r="D96" s="17" t="inlineStr">
        <is>
          <t>Identify</t>
        </is>
      </c>
      <c r="E96" s="16" t="n">
        <v>45920</v>
      </c>
      <c r="F96" s="16" t="n">
        <v>45952</v>
      </c>
      <c r="G96" s="19">
        <f>IF(F96="","",TODAY()-F96)</f>
        <v/>
      </c>
      <c r="H96" s="17" t="inlineStr">
        <is>
          <t>Jacob</t>
        </is>
      </c>
      <c r="I96" s="17" t="inlineStr">
        <is>
          <t>Initial qualifying call</t>
        </is>
      </c>
      <c r="J96" s="16" t="n">
        <v>45963</v>
      </c>
      <c r="K96" s="20" t="n">
        <v>0.22</v>
      </c>
      <c r="L96" s="17" t="n"/>
    </row>
    <row r="97">
      <c r="A97" s="17" t="inlineStr">
        <is>
          <t>Silver Peak Systems 034</t>
        </is>
      </c>
      <c r="B97" s="17" t="inlineStr">
        <is>
          <t>Energy</t>
        </is>
      </c>
      <c r="C97" s="39" t="n">
        <v>36500</v>
      </c>
      <c r="D97" s="17" t="inlineStr">
        <is>
          <t>Assess</t>
        </is>
      </c>
      <c r="E97" s="16" t="n">
        <v>45923</v>
      </c>
      <c r="F97" s="16" t="n">
        <v>45951</v>
      </c>
      <c r="G97" s="19">
        <f>IF(F97="","",TODAY()-F97)</f>
        <v/>
      </c>
      <c r="H97" s="17" t="inlineStr">
        <is>
          <t>Jacob</t>
        </is>
      </c>
      <c r="I97" s="17" t="inlineStr">
        <is>
          <t>Discovery call</t>
        </is>
      </c>
      <c r="J97" s="16" t="n">
        <v>45961</v>
      </c>
      <c r="K97" s="20" t="n">
        <v>0.35</v>
      </c>
      <c r="L97" s="17" t="n"/>
    </row>
    <row r="98">
      <c r="A98" s="17" t="inlineStr">
        <is>
          <t>Trailhead Systems 035</t>
        </is>
      </c>
      <c r="B98" s="17" t="inlineStr">
        <is>
          <t>Agriculture</t>
        </is>
      </c>
      <c r="C98" s="39" t="n">
        <v>24000</v>
      </c>
      <c r="D98" s="17" t="inlineStr">
        <is>
          <t>Identify</t>
        </is>
      </c>
      <c r="E98" s="16" t="n">
        <v>45926</v>
      </c>
      <c r="F98" s="16" t="n">
        <v>45933</v>
      </c>
      <c r="G98" s="19">
        <f>IF(F98="","",TODAY()-F98)</f>
        <v/>
      </c>
      <c r="H98" s="17" t="inlineStr">
        <is>
          <t>Jacob</t>
        </is>
      </c>
      <c r="I98" s="17" t="inlineStr">
        <is>
          <t>Initial qualifying call</t>
        </is>
      </c>
      <c r="J98" s="16" t="n">
        <v>45943</v>
      </c>
      <c r="K98" s="20" t="n">
        <v>0.22</v>
      </c>
      <c r="L98" s="17" t="n"/>
    </row>
    <row r="99">
      <c r="A99" s="17" t="inlineStr">
        <is>
          <t>Frontline Systems 036</t>
        </is>
      </c>
      <c r="B99" s="17" t="inlineStr">
        <is>
          <t>Utilities</t>
        </is>
      </c>
      <c r="C99" s="39" t="n">
        <v>49000</v>
      </c>
      <c r="D99" s="17" t="inlineStr">
        <is>
          <t>Launch</t>
        </is>
      </c>
      <c r="E99" s="16" t="n">
        <v>45929</v>
      </c>
      <c r="F99" s="16" t="n">
        <v>45944</v>
      </c>
      <c r="G99" s="19">
        <f>IF(F99="","",TODAY()-F99)</f>
        <v/>
      </c>
      <c r="H99" s="17" t="inlineStr">
        <is>
          <t>Jacob</t>
        </is>
      </c>
      <c r="I99" s="17" t="inlineStr">
        <is>
          <t>Kickoff planning</t>
        </is>
      </c>
      <c r="J99" s="16" t="n"/>
      <c r="K99" s="20" t="n">
        <v>0.92</v>
      </c>
      <c r="L99" s="17" t="inlineStr">
        <is>
          <t>Won Q3</t>
        </is>
      </c>
    </row>
    <row r="100">
      <c r="A100" s="17" t="inlineStr">
        <is>
          <t>Keystone Systems 037</t>
        </is>
      </c>
      <c r="B100" s="17" t="inlineStr">
        <is>
          <t>Field Service</t>
        </is>
      </c>
      <c r="C100" s="39" t="n">
        <v>25000</v>
      </c>
      <c r="D100" s="17" t="inlineStr">
        <is>
          <t>Map</t>
        </is>
      </c>
      <c r="E100" s="16" t="n">
        <v>45932</v>
      </c>
      <c r="F100" s="16" t="n">
        <v>45964</v>
      </c>
      <c r="G100" s="19">
        <f>IF(F100="","",TODAY()-F100)</f>
        <v/>
      </c>
      <c r="H100" s="17" t="inlineStr">
        <is>
          <t>Jacob</t>
        </is>
      </c>
      <c r="I100" s="17" t="inlineStr">
        <is>
          <t>Schedule map session</t>
        </is>
      </c>
      <c r="J100" s="16" t="n">
        <v>45971</v>
      </c>
      <c r="K100" s="20" t="n">
        <v>0.55</v>
      </c>
      <c r="L100" s="17" t="n"/>
    </row>
    <row r="101">
      <c r="A101" s="17" t="inlineStr">
        <is>
          <t>Meridian Systems 038</t>
        </is>
      </c>
      <c r="B101" s="17" t="inlineStr">
        <is>
          <t>HVAC</t>
        </is>
      </c>
      <c r="C101" s="39" t="n">
        <v>25000</v>
      </c>
      <c r="D101" s="17" t="inlineStr">
        <is>
          <t>Chart</t>
        </is>
      </c>
      <c r="E101" s="16" t="n">
        <v>45935</v>
      </c>
      <c r="F101" s="16" t="n">
        <v>45957</v>
      </c>
      <c r="G101" s="19">
        <f>IF(F101="","",TODAY()-F101)</f>
        <v/>
      </c>
      <c r="H101" s="17" t="inlineStr">
        <is>
          <t>Jacob</t>
        </is>
      </c>
      <c r="I101" s="17" t="inlineStr">
        <is>
          <t>Present Command Center</t>
        </is>
      </c>
      <c r="J101" s="16" t="n">
        <v>45968</v>
      </c>
      <c r="K101" s="20" t="n">
        <v>0.72</v>
      </c>
      <c r="L101" s="17" t="n"/>
    </row>
    <row r="102">
      <c r="A102" s="17" t="inlineStr">
        <is>
          <t>Atlas Systems 039</t>
        </is>
      </c>
      <c r="B102" s="17" t="inlineStr">
        <is>
          <t>Construction</t>
        </is>
      </c>
      <c r="C102" s="39" t="n">
        <v>21000</v>
      </c>
      <c r="D102" s="17" t="inlineStr">
        <is>
          <t>Launch</t>
        </is>
      </c>
      <c r="E102" s="16" t="n">
        <v>45938</v>
      </c>
      <c r="F102" s="16" t="n">
        <v>45958</v>
      </c>
      <c r="G102" s="19">
        <f>IF(F102="","",TODAY()-F102)</f>
        <v/>
      </c>
      <c r="H102" s="17" t="inlineStr">
        <is>
          <t>Jacob</t>
        </is>
      </c>
      <c r="I102" s="17" t="inlineStr">
        <is>
          <t>Kickoff planning</t>
        </is>
      </c>
      <c r="J102" s="16" t="n"/>
      <c r="K102" s="20" t="n">
        <v>0.92</v>
      </c>
      <c r="L102" s="17" t="inlineStr">
        <is>
          <t>Won Q3</t>
        </is>
      </c>
    </row>
    <row r="103">
      <c r="A103" s="17" t="inlineStr">
        <is>
          <t>Copper Ridge Systems 040</t>
        </is>
      </c>
      <c r="B103" s="17" t="inlineStr">
        <is>
          <t>Transportation</t>
        </is>
      </c>
      <c r="C103" s="39" t="n">
        <v>27500</v>
      </c>
      <c r="D103" s="17" t="inlineStr">
        <is>
          <t>Chart</t>
        </is>
      </c>
      <c r="E103" s="16" t="n">
        <v>45941</v>
      </c>
      <c r="F103" s="16" t="n">
        <v>45962</v>
      </c>
      <c r="G103" s="19">
        <f>IF(F103="","",TODAY()-F103)</f>
        <v/>
      </c>
      <c r="H103" s="17" t="inlineStr">
        <is>
          <t>Jacob</t>
        </is>
      </c>
      <c r="I103" s="17" t="inlineStr">
        <is>
          <t>Present Command Center</t>
        </is>
      </c>
      <c r="J103" s="16" t="n">
        <v>45969</v>
      </c>
      <c r="K103" s="20" t="n">
        <v>0.72</v>
      </c>
      <c r="L103" s="17" t="n"/>
    </row>
    <row r="104">
      <c r="A104" s="17" t="inlineStr">
        <is>
          <t>Granite Logistics 041</t>
        </is>
      </c>
      <c r="B104" s="17" t="inlineStr">
        <is>
          <t>Energy</t>
        </is>
      </c>
      <c r="C104" s="39" t="n">
        <v>29500</v>
      </c>
      <c r="D104" s="17" t="inlineStr">
        <is>
          <t>Assess</t>
        </is>
      </c>
      <c r="E104" s="16" t="n">
        <v>45944</v>
      </c>
      <c r="F104" s="16" t="n">
        <v>45962</v>
      </c>
      <c r="G104" s="19">
        <f>IF(F104="","",TODAY()-F104)</f>
        <v/>
      </c>
      <c r="H104" s="17" t="inlineStr">
        <is>
          <t>Jacob</t>
        </is>
      </c>
      <c r="I104" s="17" t="inlineStr">
        <is>
          <t>Discovery call</t>
        </is>
      </c>
      <c r="J104" s="16" t="n">
        <v>45972</v>
      </c>
      <c r="K104" s="20" t="n">
        <v>0.35</v>
      </c>
      <c r="L104" s="17" t="n"/>
    </row>
    <row r="105">
      <c r="A105" s="17" t="inlineStr">
        <is>
          <t>Prairie Logistics 042</t>
        </is>
      </c>
      <c r="B105" s="17" t="inlineStr">
        <is>
          <t>Agriculture</t>
        </is>
      </c>
      <c r="C105" s="39" t="n">
        <v>55000</v>
      </c>
      <c r="D105" s="17" t="inlineStr">
        <is>
          <t>Chart</t>
        </is>
      </c>
      <c r="E105" s="16" t="n">
        <v>45947</v>
      </c>
      <c r="F105" s="16" t="n">
        <v>45954</v>
      </c>
      <c r="G105" s="19">
        <f>IF(F105="","",TODAY()-F105)</f>
        <v/>
      </c>
      <c r="H105" s="17" t="inlineStr">
        <is>
          <t>Jacob</t>
        </is>
      </c>
      <c r="I105" s="17" t="inlineStr">
        <is>
          <t>Present Command Center</t>
        </is>
      </c>
      <c r="J105" s="16" t="n">
        <v>45961</v>
      </c>
      <c r="K105" s="20" t="n">
        <v>0.72</v>
      </c>
      <c r="L105" s="17" t="n"/>
    </row>
    <row r="106">
      <c r="A106" s="17" t="inlineStr">
        <is>
          <t>Ironhorse Logistics 043</t>
        </is>
      </c>
      <c r="B106" s="17" t="inlineStr">
        <is>
          <t>Utilities</t>
        </is>
      </c>
      <c r="C106" s="39" t="n">
        <v>35000</v>
      </c>
      <c r="D106" s="17" t="inlineStr">
        <is>
          <t>Map</t>
        </is>
      </c>
      <c r="E106" s="16" t="n">
        <v>45950</v>
      </c>
      <c r="F106" s="16" t="n">
        <v>45963</v>
      </c>
      <c r="G106" s="19">
        <f>IF(F106="","",TODAY()-F106)</f>
        <v/>
      </c>
      <c r="H106" s="17" t="inlineStr">
        <is>
          <t>Jacob</t>
        </is>
      </c>
      <c r="I106" s="17" t="inlineStr">
        <is>
          <t>Schedule map session</t>
        </is>
      </c>
      <c r="J106" s="16" t="n">
        <v>45968</v>
      </c>
      <c r="K106" s="20" t="n">
        <v>0.55</v>
      </c>
      <c r="L106" s="17" t="n"/>
    </row>
    <row r="107">
      <c r="A107" s="17" t="inlineStr">
        <is>
          <t>Blue Mesa Logistics 044</t>
        </is>
      </c>
      <c r="B107" s="17" t="inlineStr">
        <is>
          <t>Field Service</t>
        </is>
      </c>
      <c r="C107" s="39" t="n">
        <v>22500</v>
      </c>
      <c r="D107" s="17" t="inlineStr">
        <is>
          <t>Identify</t>
        </is>
      </c>
      <c r="E107" s="16" t="n">
        <v>45953</v>
      </c>
      <c r="F107" s="16" t="n">
        <v>45969</v>
      </c>
      <c r="G107" s="19">
        <f>IF(F107="","",TODAY()-F107)</f>
        <v/>
      </c>
      <c r="H107" s="17" t="inlineStr">
        <is>
          <t>Jacob</t>
        </is>
      </c>
      <c r="I107" s="17" t="inlineStr">
        <is>
          <t>Initial qualifying call</t>
        </is>
      </c>
      <c r="J107" s="16" t="n">
        <v>45978</v>
      </c>
      <c r="K107" s="20" t="n">
        <v>0.22</v>
      </c>
      <c r="L107" s="17" t="n"/>
    </row>
    <row r="108">
      <c r="A108" s="17" t="inlineStr">
        <is>
          <t>Highland Logistics 045</t>
        </is>
      </c>
      <c r="B108" s="17" t="inlineStr">
        <is>
          <t>HVAC</t>
        </is>
      </c>
      <c r="C108" s="39" t="n">
        <v>23500</v>
      </c>
      <c r="D108" s="17" t="inlineStr">
        <is>
          <t>Assess</t>
        </is>
      </c>
      <c r="E108" s="16" t="n">
        <v>45956</v>
      </c>
      <c r="F108" s="16" t="n">
        <v>45965</v>
      </c>
      <c r="G108" s="19">
        <f>IF(F108="","",TODAY()-F108)</f>
        <v/>
      </c>
      <c r="H108" s="17" t="inlineStr">
        <is>
          <t>Jacob</t>
        </is>
      </c>
      <c r="I108" s="17" t="inlineStr">
        <is>
          <t>Discovery call</t>
        </is>
      </c>
      <c r="J108" s="16" t="n">
        <v>45976</v>
      </c>
      <c r="K108" s="20" t="n">
        <v>0.35</v>
      </c>
      <c r="L108" s="17" t="n"/>
    </row>
    <row r="109">
      <c r="A109" s="17" t="inlineStr">
        <is>
          <t>Summit Logistics 046</t>
        </is>
      </c>
      <c r="B109" s="17" t="inlineStr">
        <is>
          <t>Construction</t>
        </is>
      </c>
      <c r="C109" s="39" t="n">
        <v>41500</v>
      </c>
      <c r="D109" s="17" t="inlineStr">
        <is>
          <t>Map</t>
        </is>
      </c>
      <c r="E109" s="16" t="n">
        <v>45959</v>
      </c>
      <c r="F109" s="16" t="n">
        <v>45991</v>
      </c>
      <c r="G109" s="19">
        <f>IF(F109="","",TODAY()-F109)</f>
        <v/>
      </c>
      <c r="H109" s="17" t="inlineStr">
        <is>
          <t>Jacob</t>
        </is>
      </c>
      <c r="I109" s="17" t="inlineStr">
        <is>
          <t>Schedule map session</t>
        </is>
      </c>
      <c r="J109" s="16" t="n">
        <v>45994</v>
      </c>
      <c r="K109" s="20" t="n">
        <v>0.55</v>
      </c>
      <c r="L109" s="17" t="n"/>
    </row>
    <row r="110">
      <c r="A110" s="17" t="inlineStr">
        <is>
          <t>Canyon Logistics 047</t>
        </is>
      </c>
      <c r="B110" s="17" t="inlineStr">
        <is>
          <t>Transportation</t>
        </is>
      </c>
      <c r="C110" s="39" t="n">
        <v>36500</v>
      </c>
      <c r="D110" s="17" t="inlineStr">
        <is>
          <t>Chart</t>
        </is>
      </c>
      <c r="E110" s="16" t="n">
        <v>45962</v>
      </c>
      <c r="F110" s="16" t="n">
        <v>45967</v>
      </c>
      <c r="G110" s="19">
        <f>IF(F110="","",TODAY()-F110)</f>
        <v/>
      </c>
      <c r="H110" s="17" t="inlineStr">
        <is>
          <t>Jacob</t>
        </is>
      </c>
      <c r="I110" s="17" t="inlineStr">
        <is>
          <t>Present Command Center</t>
        </is>
      </c>
      <c r="J110" s="16" t="n">
        <v>45977</v>
      </c>
      <c r="K110" s="20" t="n">
        <v>0.72</v>
      </c>
      <c r="L110" s="17" t="n"/>
    </row>
    <row r="111">
      <c r="A111" s="17" t="inlineStr">
        <is>
          <t>Pioneer Logistics 048</t>
        </is>
      </c>
      <c r="B111" s="17" t="inlineStr">
        <is>
          <t>Energy</t>
        </is>
      </c>
      <c r="C111" s="39" t="n">
        <v>33500</v>
      </c>
      <c r="D111" s="17" t="inlineStr">
        <is>
          <t>Identify</t>
        </is>
      </c>
      <c r="E111" s="16" t="n">
        <v>45965</v>
      </c>
      <c r="F111" s="16" t="n">
        <v>45985</v>
      </c>
      <c r="G111" s="19">
        <f>IF(F111="","",TODAY()-F111)</f>
        <v/>
      </c>
      <c r="H111" s="17" t="inlineStr">
        <is>
          <t>Jacob</t>
        </is>
      </c>
      <c r="I111" s="17" t="inlineStr">
        <is>
          <t>Initial qualifying call</t>
        </is>
      </c>
      <c r="J111" s="16" t="n">
        <v>45989</v>
      </c>
      <c r="K111" s="20" t="n">
        <v>0.22</v>
      </c>
      <c r="L111" s="17" t="n"/>
    </row>
    <row r="112">
      <c r="A112" s="17" t="inlineStr">
        <is>
          <t>Arrowhead Logistics 049</t>
        </is>
      </c>
      <c r="B112" s="17" t="inlineStr">
        <is>
          <t>Agriculture</t>
        </is>
      </c>
      <c r="C112" s="39" t="n">
        <v>38500</v>
      </c>
      <c r="D112" s="17" t="inlineStr">
        <is>
          <t>Identify</t>
        </is>
      </c>
      <c r="E112" s="16" t="n">
        <v>45968</v>
      </c>
      <c r="F112" s="16" t="n">
        <v>45989</v>
      </c>
      <c r="G112" s="19">
        <f>IF(F112="","",TODAY()-F112)</f>
        <v/>
      </c>
      <c r="H112" s="17" t="inlineStr">
        <is>
          <t>Jacob</t>
        </is>
      </c>
      <c r="I112" s="17" t="inlineStr">
        <is>
          <t>Initial qualifying call</t>
        </is>
      </c>
      <c r="J112" s="16" t="n">
        <v>46000</v>
      </c>
      <c r="K112" s="20" t="n">
        <v>0.22</v>
      </c>
      <c r="L112" s="17" t="n"/>
    </row>
    <row r="113">
      <c r="A113" s="17" t="inlineStr">
        <is>
          <t>Falcon Logistics 050</t>
        </is>
      </c>
      <c r="B113" s="17" t="inlineStr">
        <is>
          <t>Utilities</t>
        </is>
      </c>
      <c r="C113" s="39" t="n">
        <v>38500</v>
      </c>
      <c r="D113" s="17" t="inlineStr">
        <is>
          <t>Chart</t>
        </is>
      </c>
      <c r="E113" s="16" t="n">
        <v>45971</v>
      </c>
      <c r="F113" s="16" t="n">
        <v>46000</v>
      </c>
      <c r="G113" s="19">
        <f>IF(F113="","",TODAY()-F113)</f>
        <v/>
      </c>
      <c r="H113" s="17" t="inlineStr">
        <is>
          <t>Jacob</t>
        </is>
      </c>
      <c r="I113" s="17" t="inlineStr">
        <is>
          <t>Present Command Center</t>
        </is>
      </c>
      <c r="J113" s="16" t="n">
        <v>46005</v>
      </c>
      <c r="K113" s="20" t="n">
        <v>0.72</v>
      </c>
      <c r="L113" s="17" t="n"/>
    </row>
    <row r="114">
      <c r="A114" s="17" t="inlineStr">
        <is>
          <t>Red Rock Logistics 051</t>
        </is>
      </c>
      <c r="B114" s="17" t="inlineStr">
        <is>
          <t>Field Service</t>
        </is>
      </c>
      <c r="C114" s="39" t="n">
        <v>15500</v>
      </c>
      <c r="D114" s="17" t="inlineStr">
        <is>
          <t>Assess</t>
        </is>
      </c>
      <c r="E114" s="16" t="n">
        <v>45974</v>
      </c>
      <c r="F114" s="16" t="n">
        <v>45996</v>
      </c>
      <c r="G114" s="19">
        <f>IF(F114="","",TODAY()-F114)</f>
        <v/>
      </c>
      <c r="H114" s="17" t="inlineStr">
        <is>
          <t>Jacob</t>
        </is>
      </c>
      <c r="I114" s="17" t="inlineStr">
        <is>
          <t>Discovery call</t>
        </is>
      </c>
      <c r="J114" s="16" t="n">
        <v>46005</v>
      </c>
      <c r="K114" s="20" t="n">
        <v>0.35</v>
      </c>
      <c r="L114" s="17" t="n"/>
    </row>
    <row r="115">
      <c r="A115" s="17" t="inlineStr">
        <is>
          <t>Westline Logistics 052</t>
        </is>
      </c>
      <c r="B115" s="17" t="inlineStr">
        <is>
          <t>HVAC</t>
        </is>
      </c>
      <c r="C115" s="39" t="n">
        <v>12000</v>
      </c>
      <c r="D115" s="17" t="inlineStr">
        <is>
          <t>Chart</t>
        </is>
      </c>
      <c r="E115" s="16" t="n">
        <v>45977</v>
      </c>
      <c r="F115" s="16" t="n">
        <v>45989</v>
      </c>
      <c r="G115" s="19">
        <f>IF(F115="","",TODAY()-F115)</f>
        <v/>
      </c>
      <c r="H115" s="17" t="inlineStr">
        <is>
          <t>Jacob</t>
        </is>
      </c>
      <c r="I115" s="17" t="inlineStr">
        <is>
          <t>Present Command Center</t>
        </is>
      </c>
      <c r="J115" s="16" t="n">
        <v>45998</v>
      </c>
      <c r="K115" s="20" t="n">
        <v>0.72</v>
      </c>
      <c r="L115" s="17" t="n"/>
    </row>
    <row r="116">
      <c r="A116" s="17" t="inlineStr">
        <is>
          <t>Northstar Logistics 053</t>
        </is>
      </c>
      <c r="B116" s="17" t="inlineStr">
        <is>
          <t>Construction</t>
        </is>
      </c>
      <c r="C116" s="39" t="n">
        <v>54000</v>
      </c>
      <c r="D116" s="17" t="inlineStr">
        <is>
          <t>Map</t>
        </is>
      </c>
      <c r="E116" s="16" t="n">
        <v>45980</v>
      </c>
      <c r="F116" s="16" t="n">
        <v>45998</v>
      </c>
      <c r="G116" s="19">
        <f>IF(F116="","",TODAY()-F116)</f>
        <v/>
      </c>
      <c r="H116" s="17" t="inlineStr">
        <is>
          <t>Jacob</t>
        </is>
      </c>
      <c r="I116" s="17" t="inlineStr">
        <is>
          <t>Schedule map session</t>
        </is>
      </c>
      <c r="J116" s="16" t="n">
        <v>46005</v>
      </c>
      <c r="K116" s="20" t="n">
        <v>0.55</v>
      </c>
      <c r="L116" s="17" t="n"/>
    </row>
    <row r="117">
      <c r="A117" s="17" t="inlineStr">
        <is>
          <t>Silver Peak Logistics 054</t>
        </is>
      </c>
      <c r="B117" s="17" t="inlineStr">
        <is>
          <t>Transportation</t>
        </is>
      </c>
      <c r="C117" s="39" t="n">
        <v>15000</v>
      </c>
      <c r="D117" s="17" t="inlineStr">
        <is>
          <t>Assess</t>
        </is>
      </c>
      <c r="E117" s="16" t="n">
        <v>45983</v>
      </c>
      <c r="F117" s="16" t="n">
        <v>46002</v>
      </c>
      <c r="G117" s="19">
        <f>IF(F117="","",TODAY()-F117)</f>
        <v/>
      </c>
      <c r="H117" s="17" t="inlineStr">
        <is>
          <t>Jacob</t>
        </is>
      </c>
      <c r="I117" s="17" t="inlineStr">
        <is>
          <t>Discovery call</t>
        </is>
      </c>
      <c r="J117" s="16" t="n">
        <v>46014</v>
      </c>
      <c r="K117" s="20" t="n">
        <v>0.35</v>
      </c>
      <c r="L117" s="17" t="n"/>
    </row>
    <row r="118">
      <c r="A118" s="17" t="inlineStr">
        <is>
          <t>Trailhead Logistics 055</t>
        </is>
      </c>
      <c r="B118" s="17" t="inlineStr">
        <is>
          <t>Energy</t>
        </is>
      </c>
      <c r="C118" s="39" t="n">
        <v>55000</v>
      </c>
      <c r="D118" s="17" t="inlineStr">
        <is>
          <t>Chart</t>
        </is>
      </c>
      <c r="E118" s="16" t="n">
        <v>45986</v>
      </c>
      <c r="F118" s="16" t="n">
        <v>46013</v>
      </c>
      <c r="G118" s="19">
        <f>IF(F118="","",TODAY()-F118)</f>
        <v/>
      </c>
      <c r="H118" s="17" t="inlineStr">
        <is>
          <t>Jacob</t>
        </is>
      </c>
      <c r="I118" s="17" t="inlineStr">
        <is>
          <t>Present Command Center</t>
        </is>
      </c>
      <c r="J118" s="16" t="n">
        <v>46019</v>
      </c>
      <c r="K118" s="20" t="n">
        <v>0.72</v>
      </c>
      <c r="L118" s="17" t="n"/>
    </row>
    <row r="119">
      <c r="A119" s="17" t="inlineStr">
        <is>
          <t>Frontline Logistics 056</t>
        </is>
      </c>
      <c r="B119" s="17" t="inlineStr">
        <is>
          <t>Agriculture</t>
        </is>
      </c>
      <c r="C119" s="39" t="n">
        <v>40000</v>
      </c>
      <c r="D119" s="17" t="inlineStr">
        <is>
          <t>Closed Lost</t>
        </is>
      </c>
      <c r="E119" s="16" t="n">
        <v>45989</v>
      </c>
      <c r="F119" s="16" t="n">
        <v>45997</v>
      </c>
      <c r="G119" s="19">
        <f>IF(F119="","",TODAY()-F119)</f>
        <v/>
      </c>
      <c r="H119" s="17" t="inlineStr">
        <is>
          <t>Jacob</t>
        </is>
      </c>
      <c r="I119" s="17" t="inlineStr">
        <is>
          <t>N/A — Lost opportunity</t>
        </is>
      </c>
      <c r="J119" s="16" t="n"/>
      <c r="K119" s="20" t="n">
        <v>0</v>
      </c>
      <c r="L119" s="17" t="inlineStr">
        <is>
          <t>Timing</t>
        </is>
      </c>
    </row>
    <row r="120">
      <c r="A120" s="17" t="inlineStr">
        <is>
          <t>Keystone Logistics 057</t>
        </is>
      </c>
      <c r="B120" s="17" t="inlineStr">
        <is>
          <t>Utilities</t>
        </is>
      </c>
      <c r="C120" s="39" t="n">
        <v>44500</v>
      </c>
      <c r="D120" s="17" t="inlineStr">
        <is>
          <t>Identify</t>
        </is>
      </c>
      <c r="E120" s="16" t="n">
        <v>45992</v>
      </c>
      <c r="F120" s="16" t="n">
        <v>46023</v>
      </c>
      <c r="G120" s="19">
        <f>IF(F120="","",TODAY()-F120)</f>
        <v/>
      </c>
      <c r="H120" s="17" t="inlineStr">
        <is>
          <t>Jacob</t>
        </is>
      </c>
      <c r="I120" s="17" t="inlineStr">
        <is>
          <t>Initial qualifying call</t>
        </is>
      </c>
      <c r="J120" s="16" t="n">
        <v>46031</v>
      </c>
      <c r="K120" s="20" t="n">
        <v>0.22</v>
      </c>
      <c r="L120" s="17" t="n"/>
    </row>
    <row r="121">
      <c r="A121" s="17" t="inlineStr">
        <is>
          <t>Meridian Logistics 058</t>
        </is>
      </c>
      <c r="B121" s="17" t="inlineStr">
        <is>
          <t>Field Service</t>
        </is>
      </c>
      <c r="C121" s="39" t="n">
        <v>28000</v>
      </c>
      <c r="D121" s="17" t="inlineStr">
        <is>
          <t>Identify</t>
        </is>
      </c>
      <c r="E121" s="16" t="n">
        <v>45995</v>
      </c>
      <c r="F121" s="16" t="n">
        <v>46019</v>
      </c>
      <c r="G121" s="19">
        <f>IF(F121="","",TODAY()-F121)</f>
        <v/>
      </c>
      <c r="H121" s="17" t="inlineStr">
        <is>
          <t>Jacob</t>
        </is>
      </c>
      <c r="I121" s="17" t="inlineStr">
        <is>
          <t>Initial qualifying call</t>
        </is>
      </c>
      <c r="J121" s="16" t="n">
        <v>46023</v>
      </c>
      <c r="K121" s="20" t="n">
        <v>0.22</v>
      </c>
      <c r="L121" s="17" t="n"/>
    </row>
    <row r="122">
      <c r="A122" s="17" t="inlineStr">
        <is>
          <t>Atlas Logistics 059</t>
        </is>
      </c>
      <c r="B122" s="17" t="inlineStr">
        <is>
          <t>HVAC</t>
        </is>
      </c>
      <c r="C122" s="39" t="n">
        <v>46500</v>
      </c>
      <c r="D122" s="17" t="inlineStr">
        <is>
          <t>Assess</t>
        </is>
      </c>
      <c r="E122" s="16" t="n">
        <v>45998</v>
      </c>
      <c r="F122" s="16" t="n">
        <v>46026</v>
      </c>
      <c r="G122" s="19">
        <f>IF(F122="","",TODAY()-F122)</f>
        <v/>
      </c>
      <c r="H122" s="17" t="inlineStr">
        <is>
          <t>Jacob</t>
        </is>
      </c>
      <c r="I122" s="17" t="inlineStr">
        <is>
          <t>Discovery call</t>
        </is>
      </c>
      <c r="J122" s="16" t="n">
        <v>46034</v>
      </c>
      <c r="K122" s="20" t="n">
        <v>0.35</v>
      </c>
      <c r="L122" s="17" t="n"/>
    </row>
    <row r="123">
      <c r="A123" s="17" t="inlineStr">
        <is>
          <t>Copper Ridge Logistics 060</t>
        </is>
      </c>
      <c r="B123" s="17" t="inlineStr">
        <is>
          <t>Construction</t>
        </is>
      </c>
      <c r="C123" s="39" t="n">
        <v>19000</v>
      </c>
      <c r="D123" s="17" t="inlineStr">
        <is>
          <t>Chart</t>
        </is>
      </c>
      <c r="E123" s="16" t="n">
        <v>46001</v>
      </c>
      <c r="F123" s="16" t="n">
        <v>46029</v>
      </c>
      <c r="G123" s="19">
        <f>IF(F123="","",TODAY()-F123)</f>
        <v/>
      </c>
      <c r="H123" s="17" t="inlineStr">
        <is>
          <t>Jacob</t>
        </is>
      </c>
      <c r="I123" s="17" t="inlineStr">
        <is>
          <t>Present Command Center</t>
        </is>
      </c>
      <c r="J123" s="16" t="n">
        <v>46037</v>
      </c>
      <c r="K123" s="20" t="n">
        <v>0.72</v>
      </c>
      <c r="L123" s="17" t="n"/>
    </row>
    <row r="124">
      <c r="A124" s="17" t="inlineStr">
        <is>
          <t>Granite Mechanical 061</t>
        </is>
      </c>
      <c r="B124" s="17" t="inlineStr">
        <is>
          <t>Transportation</t>
        </is>
      </c>
      <c r="C124" s="39" t="n">
        <v>30500</v>
      </c>
      <c r="D124" s="17" t="inlineStr">
        <is>
          <t>Map</t>
        </is>
      </c>
      <c r="E124" s="16" t="n">
        <v>46004</v>
      </c>
      <c r="F124" s="16" t="n">
        <v>46024</v>
      </c>
      <c r="G124" s="19">
        <f>IF(F124="","",TODAY()-F124)</f>
        <v/>
      </c>
      <c r="H124" s="17" t="inlineStr">
        <is>
          <t>Jacob</t>
        </is>
      </c>
      <c r="I124" s="17" t="inlineStr">
        <is>
          <t>Schedule map session</t>
        </is>
      </c>
      <c r="J124" s="16" t="n">
        <v>46027</v>
      </c>
      <c r="K124" s="20" t="n">
        <v>0.55</v>
      </c>
      <c r="L124" s="17" t="n"/>
    </row>
    <row r="125">
      <c r="A125" s="17" t="inlineStr">
        <is>
          <t>Prairie Mechanical 062</t>
        </is>
      </c>
      <c r="B125" s="17" t="inlineStr">
        <is>
          <t>Energy</t>
        </is>
      </c>
      <c r="C125" s="39" t="n">
        <v>48000</v>
      </c>
      <c r="D125" s="17" t="inlineStr">
        <is>
          <t>Chart</t>
        </is>
      </c>
      <c r="E125" s="16" t="n">
        <v>46007</v>
      </c>
      <c r="F125" s="16" t="n">
        <v>46021</v>
      </c>
      <c r="G125" s="19">
        <f>IF(F125="","",TODAY()-F125)</f>
        <v/>
      </c>
      <c r="H125" s="17" t="inlineStr">
        <is>
          <t>Jacob</t>
        </is>
      </c>
      <c r="I125" s="17" t="inlineStr">
        <is>
          <t>Present Command Center</t>
        </is>
      </c>
      <c r="J125" s="16" t="n">
        <v>46029</v>
      </c>
      <c r="K125" s="20" t="n">
        <v>0.72</v>
      </c>
      <c r="L125" s="17" t="n"/>
    </row>
    <row r="126">
      <c r="A126" s="17" t="inlineStr">
        <is>
          <t>Ironhorse Mechanical 063</t>
        </is>
      </c>
      <c r="B126" s="17" t="inlineStr">
        <is>
          <t>Agriculture</t>
        </is>
      </c>
      <c r="C126" s="39" t="n">
        <v>45500</v>
      </c>
      <c r="D126" s="17" t="inlineStr">
        <is>
          <t>Assess</t>
        </is>
      </c>
      <c r="E126" s="16" t="n">
        <v>46010</v>
      </c>
      <c r="F126" s="16" t="n">
        <v>46020</v>
      </c>
      <c r="G126" s="19">
        <f>IF(F126="","",TODAY()-F126)</f>
        <v/>
      </c>
      <c r="H126" s="17" t="inlineStr">
        <is>
          <t>Jacob</t>
        </is>
      </c>
      <c r="I126" s="17" t="inlineStr">
        <is>
          <t>Discovery call</t>
        </is>
      </c>
      <c r="J126" s="16" t="n">
        <v>46024</v>
      </c>
      <c r="K126" s="20" t="n">
        <v>0.35</v>
      </c>
      <c r="L126" s="17" t="n"/>
    </row>
    <row r="127">
      <c r="A127" s="17" t="inlineStr">
        <is>
          <t>Blue Mesa Mechanical 064</t>
        </is>
      </c>
      <c r="B127" s="17" t="inlineStr">
        <is>
          <t>Utilities</t>
        </is>
      </c>
      <c r="C127" s="39" t="n">
        <v>25000</v>
      </c>
      <c r="D127" s="17" t="inlineStr">
        <is>
          <t>Identify</t>
        </is>
      </c>
      <c r="E127" s="16" t="n">
        <v>46013</v>
      </c>
      <c r="F127" s="16" t="n">
        <v>46018</v>
      </c>
      <c r="G127" s="19">
        <f>IF(F127="","",TODAY()-F127)</f>
        <v/>
      </c>
      <c r="H127" s="17" t="inlineStr">
        <is>
          <t>Jacob</t>
        </is>
      </c>
      <c r="I127" s="17" t="inlineStr">
        <is>
          <t>Initial qualifying call</t>
        </is>
      </c>
      <c r="J127" s="16" t="n">
        <v>46027</v>
      </c>
      <c r="K127" s="20" t="n">
        <v>0.22</v>
      </c>
      <c r="L127" s="17" t="n"/>
    </row>
    <row r="128">
      <c r="A128" s="17" t="inlineStr">
        <is>
          <t>Highland Mechanical 065</t>
        </is>
      </c>
      <c r="B128" s="17" t="inlineStr">
        <is>
          <t>Field Service</t>
        </is>
      </c>
      <c r="C128" s="39" t="n">
        <v>46000</v>
      </c>
      <c r="D128" s="17" t="inlineStr">
        <is>
          <t>Map</t>
        </is>
      </c>
      <c r="E128" s="16" t="n">
        <v>46016</v>
      </c>
      <c r="F128" s="16" t="n">
        <v>46026</v>
      </c>
      <c r="G128" s="19">
        <f>IF(F128="","",TODAY()-F128)</f>
        <v/>
      </c>
      <c r="H128" s="17" t="inlineStr">
        <is>
          <t>Jacob</t>
        </is>
      </c>
      <c r="I128" s="17" t="inlineStr">
        <is>
          <t>Schedule map session</t>
        </is>
      </c>
      <c r="J128" s="16" t="n">
        <v>46037</v>
      </c>
      <c r="K128" s="20" t="n">
        <v>0.55</v>
      </c>
      <c r="L128" s="17" t="n"/>
    </row>
    <row r="129">
      <c r="A129" s="17" t="inlineStr">
        <is>
          <t>Summit Mechanical 066</t>
        </is>
      </c>
      <c r="B129" s="17" t="inlineStr">
        <is>
          <t>HVAC</t>
        </is>
      </c>
      <c r="C129" s="39" t="n">
        <v>46000</v>
      </c>
      <c r="D129" s="17" t="inlineStr">
        <is>
          <t>Identify</t>
        </is>
      </c>
      <c r="E129" s="16" t="n">
        <v>46019</v>
      </c>
      <c r="F129" s="16" t="n">
        <v>46045</v>
      </c>
      <c r="G129" s="19">
        <f>IF(F129="","",TODAY()-F129)</f>
        <v/>
      </c>
      <c r="H129" s="17" t="inlineStr">
        <is>
          <t>Jacob</t>
        </is>
      </c>
      <c r="I129" s="17" t="inlineStr">
        <is>
          <t>Initial qualifying call</t>
        </is>
      </c>
      <c r="J129" s="16" t="n">
        <v>46048</v>
      </c>
      <c r="K129" s="20" t="n">
        <v>0.22</v>
      </c>
      <c r="L129" s="17" t="n"/>
    </row>
    <row r="130">
      <c r="A130" s="17" t="inlineStr">
        <is>
          <t>Canyon Mechanical 067</t>
        </is>
      </c>
      <c r="B130" s="17" t="inlineStr">
        <is>
          <t>Construction</t>
        </is>
      </c>
      <c r="C130" s="39" t="n">
        <v>57500</v>
      </c>
      <c r="D130" s="17" t="inlineStr">
        <is>
          <t>Map</t>
        </is>
      </c>
      <c r="E130" s="16" t="n">
        <v>46022</v>
      </c>
      <c r="F130" s="16" t="n">
        <v>46026</v>
      </c>
      <c r="G130" s="19">
        <f>IF(F130="","",TODAY()-F130)</f>
        <v/>
      </c>
      <c r="H130" s="17" t="inlineStr">
        <is>
          <t>Jacob</t>
        </is>
      </c>
      <c r="I130" s="17" t="inlineStr">
        <is>
          <t>Schedule map session</t>
        </is>
      </c>
      <c r="J130" s="16" t="n">
        <v>46032</v>
      </c>
      <c r="K130" s="20" t="n">
        <v>0.55</v>
      </c>
      <c r="L130" s="17" t="n"/>
    </row>
    <row r="131">
      <c r="A131" s="17" t="inlineStr">
        <is>
          <t>Pioneer Mechanical 068</t>
        </is>
      </c>
      <c r="B131" s="17" t="inlineStr">
        <is>
          <t>Transportation</t>
        </is>
      </c>
      <c r="C131" s="39" t="n">
        <v>45500</v>
      </c>
      <c r="D131" s="17" t="inlineStr">
        <is>
          <t>Assess</t>
        </is>
      </c>
      <c r="E131" s="16" t="n">
        <v>46025</v>
      </c>
      <c r="F131" s="16" t="n">
        <v>46054</v>
      </c>
      <c r="G131" s="19">
        <f>IF(F131="","",TODAY()-F131)</f>
        <v/>
      </c>
      <c r="H131" s="17" t="inlineStr">
        <is>
          <t>Jacob</t>
        </is>
      </c>
      <c r="I131" s="17" t="inlineStr">
        <is>
          <t>Discovery call</t>
        </is>
      </c>
      <c r="J131" s="16" t="n">
        <v>46064</v>
      </c>
      <c r="K131" s="20" t="n">
        <v>0.35</v>
      </c>
      <c r="L131" s="17" t="n"/>
    </row>
    <row r="132">
      <c r="A132" s="17" t="inlineStr">
        <is>
          <t>Arrowhead Mechanical 069</t>
        </is>
      </c>
      <c r="B132" s="17" t="inlineStr">
        <is>
          <t>Energy</t>
        </is>
      </c>
      <c r="C132" s="39" t="n">
        <v>26000</v>
      </c>
      <c r="D132" s="17" t="inlineStr">
        <is>
          <t>Identify</t>
        </is>
      </c>
      <c r="E132" s="16" t="n">
        <v>46028</v>
      </c>
      <c r="F132" s="16" t="n">
        <v>46040</v>
      </c>
      <c r="G132" s="19">
        <f>IF(F132="","",TODAY()-F132)</f>
        <v/>
      </c>
      <c r="H132" s="17" t="inlineStr">
        <is>
          <t>Jacob</t>
        </is>
      </c>
      <c r="I132" s="17" t="inlineStr">
        <is>
          <t>Initial qualifying call</t>
        </is>
      </c>
      <c r="J132" s="16" t="n">
        <v>46046</v>
      </c>
      <c r="K132" s="20" t="n">
        <v>0.22</v>
      </c>
      <c r="L132" s="17" t="n"/>
    </row>
    <row r="133">
      <c r="A133" s="17" t="inlineStr">
        <is>
          <t>Falcon Mechanical 070</t>
        </is>
      </c>
      <c r="B133" s="17" t="inlineStr">
        <is>
          <t>Agriculture</t>
        </is>
      </c>
      <c r="C133" s="39" t="n">
        <v>31500</v>
      </c>
      <c r="D133" s="17" t="inlineStr">
        <is>
          <t>Chart</t>
        </is>
      </c>
      <c r="E133" s="16" t="n">
        <v>46031</v>
      </c>
      <c r="F133" s="16" t="n">
        <v>46062</v>
      </c>
      <c r="G133" s="19">
        <f>IF(F133="","",TODAY()-F133)</f>
        <v/>
      </c>
      <c r="H133" s="17" t="inlineStr">
        <is>
          <t>Jacob</t>
        </is>
      </c>
      <c r="I133" s="17" t="inlineStr">
        <is>
          <t>Present Command Center</t>
        </is>
      </c>
      <c r="J133" s="16" t="n">
        <v>46066</v>
      </c>
      <c r="K133" s="20" t="n">
        <v>0.72</v>
      </c>
      <c r="L133" s="17" t="n"/>
    </row>
    <row r="134">
      <c r="A134" s="17" t="inlineStr">
        <is>
          <t>Red Rock Mechanical 071</t>
        </is>
      </c>
      <c r="B134" s="17" t="inlineStr">
        <is>
          <t>Utilities</t>
        </is>
      </c>
      <c r="C134" s="39" t="n">
        <v>12000</v>
      </c>
      <c r="D134" s="17" t="inlineStr">
        <is>
          <t>Identify</t>
        </is>
      </c>
      <c r="E134" s="16" t="n">
        <v>46034</v>
      </c>
      <c r="F134" s="16" t="n">
        <v>46048</v>
      </c>
      <c r="G134" s="19">
        <f>IF(F134="","",TODAY()-F134)</f>
        <v/>
      </c>
      <c r="H134" s="17" t="inlineStr">
        <is>
          <t>Jacob</t>
        </is>
      </c>
      <c r="I134" s="17" t="inlineStr">
        <is>
          <t>Initial qualifying call</t>
        </is>
      </c>
      <c r="J134" s="16" t="n">
        <v>46059</v>
      </c>
      <c r="K134" s="20" t="n">
        <v>0.22</v>
      </c>
      <c r="L134" s="17" t="n"/>
    </row>
    <row r="135">
      <c r="A135" s="17" t="inlineStr">
        <is>
          <t>Westline Mechanical 072</t>
        </is>
      </c>
      <c r="B135" s="17" t="inlineStr">
        <is>
          <t>Field Service</t>
        </is>
      </c>
      <c r="C135" s="39" t="n">
        <v>12000</v>
      </c>
      <c r="D135" s="17" t="inlineStr">
        <is>
          <t>Closed Lost</t>
        </is>
      </c>
      <c r="E135" s="16" t="n">
        <v>46037</v>
      </c>
      <c r="F135" s="16" t="n">
        <v>46041</v>
      </c>
      <c r="G135" s="19">
        <f>IF(F135="","",TODAY()-F135)</f>
        <v/>
      </c>
      <c r="H135" s="17" t="inlineStr">
        <is>
          <t>Jacob</t>
        </is>
      </c>
      <c r="I135" s="17" t="inlineStr">
        <is>
          <t>N/A — Lost opportunity</t>
        </is>
      </c>
      <c r="J135" s="16" t="n"/>
      <c r="K135" s="20" t="n">
        <v>0</v>
      </c>
      <c r="L135" s="17" t="inlineStr">
        <is>
          <t>Went with incumbent</t>
        </is>
      </c>
    </row>
    <row r="136">
      <c r="A136" s="17" t="inlineStr">
        <is>
          <t>Northstar Mechanical 073</t>
        </is>
      </c>
      <c r="B136" s="17" t="inlineStr">
        <is>
          <t>HVAC</t>
        </is>
      </c>
      <c r="C136" s="39" t="n">
        <v>50000</v>
      </c>
      <c r="D136" s="17" t="inlineStr">
        <is>
          <t>Map</t>
        </is>
      </c>
      <c r="E136" s="16" t="n">
        <v>46040</v>
      </c>
      <c r="F136" s="16" t="n">
        <v>46046</v>
      </c>
      <c r="G136" s="19">
        <f>IF(F136="","",TODAY()-F136)</f>
        <v/>
      </c>
      <c r="H136" s="17" t="inlineStr">
        <is>
          <t>Jacob</t>
        </is>
      </c>
      <c r="I136" s="17" t="inlineStr">
        <is>
          <t>Schedule map session</t>
        </is>
      </c>
      <c r="J136" s="16" t="n">
        <v>46052</v>
      </c>
      <c r="K136" s="20" t="n">
        <v>0.55</v>
      </c>
      <c r="L136" s="17" t="n"/>
    </row>
    <row r="137">
      <c r="A137" s="17" t="inlineStr">
        <is>
          <t>Silver Peak Mechanical 074</t>
        </is>
      </c>
      <c r="B137" s="17" t="inlineStr">
        <is>
          <t>Construction</t>
        </is>
      </c>
      <c r="C137" s="39" t="n">
        <v>41000</v>
      </c>
      <c r="D137" s="17" t="inlineStr">
        <is>
          <t>Identify</t>
        </is>
      </c>
      <c r="E137" s="16" t="n">
        <v>46043</v>
      </c>
      <c r="F137" s="16" t="n">
        <v>46073</v>
      </c>
      <c r="G137" s="19">
        <f>IF(F137="","",TODAY()-F137)</f>
        <v/>
      </c>
      <c r="H137" s="17" t="inlineStr">
        <is>
          <t>Jacob</t>
        </is>
      </c>
      <c r="I137" s="17" t="inlineStr">
        <is>
          <t>Initial qualifying call</t>
        </is>
      </c>
      <c r="J137" s="16" t="n">
        <v>46077</v>
      </c>
      <c r="K137" s="20" t="n">
        <v>0.22</v>
      </c>
      <c r="L137" s="17" t="n"/>
    </row>
    <row r="138">
      <c r="A138" s="17" t="inlineStr">
        <is>
          <t>Trailhead Mechanical 075</t>
        </is>
      </c>
      <c r="B138" s="17" t="inlineStr">
        <is>
          <t>Transportation</t>
        </is>
      </c>
      <c r="C138" s="39" t="n">
        <v>22500</v>
      </c>
      <c r="D138" s="17" t="inlineStr">
        <is>
          <t>Map</t>
        </is>
      </c>
      <c r="E138" s="16" t="n">
        <v>46046</v>
      </c>
      <c r="F138" s="16" t="n">
        <v>46062</v>
      </c>
      <c r="G138" s="19">
        <f>IF(F138="","",TODAY()-F138)</f>
        <v/>
      </c>
      <c r="H138" s="17" t="inlineStr">
        <is>
          <t>Jacob</t>
        </is>
      </c>
      <c r="I138" s="17" t="inlineStr">
        <is>
          <t>Schedule map session</t>
        </is>
      </c>
      <c r="J138" s="16" t="n">
        <v>46068</v>
      </c>
      <c r="K138" s="20" t="n">
        <v>0.55</v>
      </c>
      <c r="L138" s="17" t="n"/>
    </row>
    <row r="139">
      <c r="A139" s="17" t="inlineStr">
        <is>
          <t>Frontline Mechanical 076</t>
        </is>
      </c>
      <c r="B139" s="17" t="inlineStr">
        <is>
          <t>Energy</t>
        </is>
      </c>
      <c r="C139" s="39" t="n">
        <v>38000</v>
      </c>
      <c r="D139" s="17" t="inlineStr">
        <is>
          <t>Identify</t>
        </is>
      </c>
      <c r="E139" s="16" t="n">
        <v>46049</v>
      </c>
      <c r="F139" s="16" t="n">
        <v>46064</v>
      </c>
      <c r="G139" s="19">
        <f>IF(F139="","",TODAY()-F139)</f>
        <v/>
      </c>
      <c r="H139" s="17" t="inlineStr">
        <is>
          <t>Jacob</t>
        </is>
      </c>
      <c r="I139" s="17" t="inlineStr">
        <is>
          <t>Initial qualifying call</t>
        </is>
      </c>
      <c r="J139" s="16" t="n">
        <v>46074</v>
      </c>
      <c r="K139" s="20" t="n">
        <v>0.22</v>
      </c>
      <c r="L139" s="17" t="n"/>
    </row>
    <row r="140">
      <c r="A140" s="17" t="inlineStr">
        <is>
          <t>Keystone Mechanical 077</t>
        </is>
      </c>
      <c r="B140" s="17" t="inlineStr">
        <is>
          <t>Agriculture</t>
        </is>
      </c>
      <c r="C140" s="39" t="n">
        <v>49500</v>
      </c>
      <c r="D140" s="17" t="inlineStr">
        <is>
          <t>Closed Lost</t>
        </is>
      </c>
      <c r="E140" s="16" t="n">
        <v>46052</v>
      </c>
      <c r="F140" s="16" t="n">
        <v>46080</v>
      </c>
      <c r="G140" s="19">
        <f>IF(F140="","",TODAY()-F140)</f>
        <v/>
      </c>
      <c r="H140" s="17" t="inlineStr">
        <is>
          <t>Jacob</t>
        </is>
      </c>
      <c r="I140" s="17" t="inlineStr">
        <is>
          <t>N/A — Lost opportunity</t>
        </is>
      </c>
      <c r="J140" s="16" t="n"/>
      <c r="K140" s="20" t="n">
        <v>0</v>
      </c>
      <c r="L140" s="17" t="inlineStr">
        <is>
          <t>No budget</t>
        </is>
      </c>
    </row>
    <row r="141">
      <c r="A141" s="17" t="inlineStr">
        <is>
          <t>Meridian Mechanical 078</t>
        </is>
      </c>
      <c r="B141" s="17" t="inlineStr">
        <is>
          <t>Utilities</t>
        </is>
      </c>
      <c r="C141" s="39" t="n">
        <v>38000</v>
      </c>
      <c r="D141" s="17" t="inlineStr">
        <is>
          <t>Map</t>
        </is>
      </c>
      <c r="E141" s="16" t="n">
        <v>46055</v>
      </c>
      <c r="F141" s="16" t="n">
        <v>46065</v>
      </c>
      <c r="G141" s="19">
        <f>IF(F141="","",TODAY()-F141)</f>
        <v/>
      </c>
      <c r="H141" s="17" t="inlineStr">
        <is>
          <t>Jacob</t>
        </is>
      </c>
      <c r="I141" s="17" t="inlineStr">
        <is>
          <t>Schedule map session</t>
        </is>
      </c>
      <c r="J141" s="16" t="n">
        <v>46070</v>
      </c>
      <c r="K141" s="20" t="n">
        <v>0.55</v>
      </c>
      <c r="L141" s="17" t="n"/>
    </row>
    <row r="142">
      <c r="A142" s="17" t="inlineStr">
        <is>
          <t>Atlas Mechanical 079</t>
        </is>
      </c>
      <c r="B142" s="17" t="inlineStr">
        <is>
          <t>Field Service</t>
        </is>
      </c>
      <c r="C142" s="39" t="n">
        <v>39000</v>
      </c>
      <c r="D142" s="17" t="inlineStr">
        <is>
          <t>Identify</t>
        </is>
      </c>
      <c r="E142" s="16" t="n">
        <v>46058</v>
      </c>
      <c r="F142" s="16" t="n">
        <v>46078</v>
      </c>
      <c r="G142" s="19">
        <f>IF(F142="","",TODAY()-F142)</f>
        <v/>
      </c>
      <c r="H142" s="17" t="inlineStr">
        <is>
          <t>Jacob</t>
        </is>
      </c>
      <c r="I142" s="17" t="inlineStr">
        <is>
          <t>Initial qualifying call</t>
        </is>
      </c>
      <c r="J142" s="16" t="n">
        <v>46087</v>
      </c>
      <c r="K142" s="20" t="n">
        <v>0.22</v>
      </c>
      <c r="L142" s="17" t="n"/>
    </row>
    <row r="143">
      <c r="A143" s="17" t="inlineStr">
        <is>
          <t>Copper Ridge Mechanical 080</t>
        </is>
      </c>
      <c r="B143" s="17" t="inlineStr">
        <is>
          <t>HVAC</t>
        </is>
      </c>
      <c r="C143" s="39" t="n">
        <v>48500</v>
      </c>
      <c r="D143" s="17" t="inlineStr">
        <is>
          <t>Launch</t>
        </is>
      </c>
      <c r="E143" s="16" t="n">
        <v>46061</v>
      </c>
      <c r="F143" s="16" t="n">
        <v>46068</v>
      </c>
      <c r="G143" s="19">
        <f>IF(F143="","",TODAY()-F143)</f>
        <v/>
      </c>
      <c r="H143" s="17" t="inlineStr">
        <is>
          <t>Jacob</t>
        </is>
      </c>
      <c r="I143" s="17" t="inlineStr">
        <is>
          <t>Kickoff planning</t>
        </is>
      </c>
      <c r="J143" s="16" t="n"/>
      <c r="K143" s="20" t="n">
        <v>0.92</v>
      </c>
      <c r="L143" s="17" t="inlineStr">
        <is>
          <t>Won Q3</t>
        </is>
      </c>
    </row>
    <row r="144">
      <c r="A144" s="17" t="inlineStr">
        <is>
          <t>Granite Solutions 081</t>
        </is>
      </c>
      <c r="B144" s="17" t="inlineStr">
        <is>
          <t>Construction</t>
        </is>
      </c>
      <c r="C144" s="39" t="n">
        <v>43000</v>
      </c>
      <c r="D144" s="17" t="inlineStr">
        <is>
          <t>Chart</t>
        </is>
      </c>
      <c r="E144" s="16" t="n">
        <v>46064</v>
      </c>
      <c r="F144" s="16" t="n">
        <v>46070</v>
      </c>
      <c r="G144" s="19">
        <f>IF(F144="","",TODAY()-F144)</f>
        <v/>
      </c>
      <c r="H144" s="17" t="inlineStr">
        <is>
          <t>Jacob</t>
        </is>
      </c>
      <c r="I144" s="17" t="inlineStr">
        <is>
          <t>Present Command Center</t>
        </is>
      </c>
      <c r="J144" s="16" t="n">
        <v>46081</v>
      </c>
      <c r="K144" s="20" t="n">
        <v>0.72</v>
      </c>
      <c r="L144" s="17" t="n"/>
    </row>
    <row r="145">
      <c r="A145" s="17" t="inlineStr">
        <is>
          <t>Prairie Solutions 082</t>
        </is>
      </c>
      <c r="B145" s="17" t="inlineStr">
        <is>
          <t>Transportation</t>
        </is>
      </c>
      <c r="C145" s="39" t="n">
        <v>33500</v>
      </c>
      <c r="D145" s="17" t="inlineStr">
        <is>
          <t>Assess</t>
        </is>
      </c>
      <c r="E145" s="16" t="n">
        <v>46067</v>
      </c>
      <c r="F145" s="16" t="n">
        <v>46088</v>
      </c>
      <c r="G145" s="19">
        <f>IF(F145="","",TODAY()-F145)</f>
        <v/>
      </c>
      <c r="H145" s="17" t="inlineStr">
        <is>
          <t>Jacob</t>
        </is>
      </c>
      <c r="I145" s="17" t="inlineStr">
        <is>
          <t>Discovery call</t>
        </is>
      </c>
      <c r="J145" s="16" t="n">
        <v>46093</v>
      </c>
      <c r="K145" s="20" t="n">
        <v>0.35</v>
      </c>
      <c r="L145" s="17" t="n"/>
    </row>
    <row r="146">
      <c r="A146" s="17" t="inlineStr">
        <is>
          <t>Ironhorse Solutions 083</t>
        </is>
      </c>
      <c r="B146" s="17" t="inlineStr">
        <is>
          <t>Energy</t>
        </is>
      </c>
      <c r="C146" s="39" t="n">
        <v>22000</v>
      </c>
      <c r="D146" s="17" t="inlineStr">
        <is>
          <t>Identify</t>
        </is>
      </c>
      <c r="E146" s="16" t="n">
        <v>46070</v>
      </c>
      <c r="F146" s="16" t="n">
        <v>46101</v>
      </c>
      <c r="G146" s="19">
        <f>IF(F146="","",TODAY()-F146)</f>
        <v/>
      </c>
      <c r="H146" s="17" t="inlineStr">
        <is>
          <t>Jacob</t>
        </is>
      </c>
      <c r="I146" s="17" t="inlineStr">
        <is>
          <t>Initial qualifying call</t>
        </is>
      </c>
      <c r="J146" s="16" t="n">
        <v>46108</v>
      </c>
      <c r="K146" s="20" t="n">
        <v>0.22</v>
      </c>
      <c r="L146" s="17" t="n"/>
    </row>
    <row r="147">
      <c r="A147" s="17" t="inlineStr">
        <is>
          <t>Blue Mesa Solutions 084</t>
        </is>
      </c>
      <c r="B147" s="17" t="inlineStr">
        <is>
          <t>Agriculture</t>
        </is>
      </c>
      <c r="C147" s="39" t="n">
        <v>19000</v>
      </c>
      <c r="D147" s="17" t="inlineStr">
        <is>
          <t>Assess</t>
        </is>
      </c>
      <c r="E147" s="16" t="n">
        <v>46073</v>
      </c>
      <c r="F147" s="16" t="n">
        <v>46079</v>
      </c>
      <c r="G147" s="19">
        <f>IF(F147="","",TODAY()-F147)</f>
        <v/>
      </c>
      <c r="H147" s="17" t="inlineStr">
        <is>
          <t>Jacob</t>
        </is>
      </c>
      <c r="I147" s="17" t="inlineStr">
        <is>
          <t>Discovery call</t>
        </is>
      </c>
      <c r="J147" s="16" t="n">
        <v>46089</v>
      </c>
      <c r="K147" s="20" t="n">
        <v>0.35</v>
      </c>
      <c r="L147" s="17" t="n"/>
    </row>
    <row r="148">
      <c r="A148" s="17" t="inlineStr">
        <is>
          <t>Highland Solutions 085</t>
        </is>
      </c>
      <c r="B148" s="17" t="inlineStr">
        <is>
          <t>Utilities</t>
        </is>
      </c>
      <c r="C148" s="39" t="n">
        <v>26000</v>
      </c>
      <c r="D148" s="17" t="inlineStr">
        <is>
          <t>Identify</t>
        </is>
      </c>
      <c r="E148" s="16" t="n">
        <v>46076</v>
      </c>
      <c r="F148" s="16" t="n">
        <v>46106</v>
      </c>
      <c r="G148" s="19">
        <f>IF(F148="","",TODAY()-F148)</f>
        <v/>
      </c>
      <c r="H148" s="17" t="inlineStr">
        <is>
          <t>Jacob</t>
        </is>
      </c>
      <c r="I148" s="17" t="inlineStr">
        <is>
          <t>Initial qualifying call</t>
        </is>
      </c>
      <c r="J148" s="16" t="n">
        <v>46117</v>
      </c>
      <c r="K148" s="20" t="n">
        <v>0.22</v>
      </c>
      <c r="L148" s="17" t="n"/>
    </row>
    <row r="149">
      <c r="A149" s="17" t="inlineStr">
        <is>
          <t>Summit Solutions 086</t>
        </is>
      </c>
      <c r="B149" s="17" t="inlineStr">
        <is>
          <t>Field Service</t>
        </is>
      </c>
      <c r="C149" s="39" t="n">
        <v>24500</v>
      </c>
      <c r="D149" s="17" t="inlineStr">
        <is>
          <t>Launch</t>
        </is>
      </c>
      <c r="E149" s="16" t="n">
        <v>46079</v>
      </c>
      <c r="F149" s="16" t="n">
        <v>46101</v>
      </c>
      <c r="G149" s="19">
        <f>IF(F149="","",TODAY()-F149)</f>
        <v/>
      </c>
      <c r="H149" s="17" t="inlineStr">
        <is>
          <t>Jacob</t>
        </is>
      </c>
      <c r="I149" s="17" t="inlineStr">
        <is>
          <t>Kickoff planning</t>
        </is>
      </c>
      <c r="J149" s="16" t="n"/>
      <c r="K149" s="20" t="n">
        <v>0.92</v>
      </c>
      <c r="L149" s="17" t="inlineStr">
        <is>
          <t>Won FY close</t>
        </is>
      </c>
    </row>
    <row r="150">
      <c r="A150" s="17" t="inlineStr">
        <is>
          <t>Canyon Solutions 087</t>
        </is>
      </c>
      <c r="B150" s="17" t="inlineStr">
        <is>
          <t>HVAC</t>
        </is>
      </c>
      <c r="C150" s="39" t="n">
        <v>37000</v>
      </c>
      <c r="D150" s="17" t="inlineStr">
        <is>
          <t>Chart</t>
        </is>
      </c>
      <c r="E150" s="16" t="n">
        <v>46082</v>
      </c>
      <c r="F150" s="16" t="n">
        <v>46090</v>
      </c>
      <c r="G150" s="19">
        <f>IF(F150="","",TODAY()-F150)</f>
        <v/>
      </c>
      <c r="H150" s="17" t="inlineStr">
        <is>
          <t>Jacob</t>
        </is>
      </c>
      <c r="I150" s="17" t="inlineStr">
        <is>
          <t>Present Command Center</t>
        </is>
      </c>
      <c r="J150" s="16" t="n">
        <v>46100</v>
      </c>
      <c r="K150" s="20" t="n">
        <v>0.72</v>
      </c>
      <c r="L150" s="17" t="n"/>
    </row>
    <row r="151">
      <c r="A151" s="17" t="inlineStr">
        <is>
          <t>Pioneer Solutions 088</t>
        </is>
      </c>
      <c r="B151" s="17" t="inlineStr">
        <is>
          <t>Construction</t>
        </is>
      </c>
      <c r="C151" s="39" t="n">
        <v>49500</v>
      </c>
      <c r="D151" s="17" t="inlineStr">
        <is>
          <t>Identify</t>
        </is>
      </c>
      <c r="E151" s="16" t="n">
        <v>46085</v>
      </c>
      <c r="F151" s="16" t="n">
        <v>46105</v>
      </c>
      <c r="G151" s="19">
        <f>IF(F151="","",TODAY()-F151)</f>
        <v/>
      </c>
      <c r="H151" s="17" t="inlineStr">
        <is>
          <t>Jacob</t>
        </is>
      </c>
      <c r="I151" s="17" t="inlineStr">
        <is>
          <t>Initial qualifying call</t>
        </is>
      </c>
      <c r="J151" s="16" t="n">
        <v>46108</v>
      </c>
      <c r="K151" s="20" t="n">
        <v>0.22</v>
      </c>
      <c r="L151" s="17" t="n"/>
    </row>
    <row r="152">
      <c r="A152" s="17" t="inlineStr">
        <is>
          <t>Arrowhead Solutions 089</t>
        </is>
      </c>
      <c r="B152" s="17" t="inlineStr">
        <is>
          <t>Transportation</t>
        </is>
      </c>
      <c r="C152" s="39" t="n">
        <v>17000</v>
      </c>
      <c r="D152" s="17" t="inlineStr">
        <is>
          <t>Assess</t>
        </is>
      </c>
      <c r="E152" s="16" t="n">
        <v>46088</v>
      </c>
      <c r="F152" s="16" t="n">
        <v>46093</v>
      </c>
      <c r="G152" s="19">
        <f>IF(F152="","",TODAY()-F152)</f>
        <v/>
      </c>
      <c r="H152" s="17" t="inlineStr">
        <is>
          <t>Jacob</t>
        </is>
      </c>
      <c r="I152" s="17" t="inlineStr">
        <is>
          <t>Discovery call</t>
        </is>
      </c>
      <c r="J152" s="16" t="n">
        <v>46101</v>
      </c>
      <c r="K152" s="20" t="n">
        <v>0.35</v>
      </c>
      <c r="L152" s="17" t="n"/>
    </row>
    <row r="153">
      <c r="A153" s="17" t="inlineStr">
        <is>
          <t>Falcon Solutions 090</t>
        </is>
      </c>
      <c r="B153" s="17" t="inlineStr">
        <is>
          <t>Energy</t>
        </is>
      </c>
      <c r="C153" s="39" t="n">
        <v>33500</v>
      </c>
      <c r="D153" s="17" t="inlineStr">
        <is>
          <t>Launch</t>
        </is>
      </c>
      <c r="E153" s="16" t="n">
        <v>46091</v>
      </c>
      <c r="F153" s="16" t="n">
        <v>46121</v>
      </c>
      <c r="G153" s="19">
        <f>IF(F153="","",TODAY()-F153)</f>
        <v/>
      </c>
      <c r="H153" s="17" t="inlineStr">
        <is>
          <t>Jacob</t>
        </is>
      </c>
      <c r="I153" s="17" t="inlineStr">
        <is>
          <t>Kickoff planning</t>
        </is>
      </c>
      <c r="J153" s="16" t="n"/>
      <c r="K153" s="20" t="n">
        <v>0.92</v>
      </c>
      <c r="L153" s="17" t="inlineStr">
        <is>
          <t>Won Q4</t>
        </is>
      </c>
    </row>
    <row r="154">
      <c r="A154" s="17" t="inlineStr">
        <is>
          <t>Red Rock Solutions 091</t>
        </is>
      </c>
      <c r="B154" s="17" t="inlineStr">
        <is>
          <t>Agriculture</t>
        </is>
      </c>
      <c r="C154" s="39" t="n">
        <v>33500</v>
      </c>
      <c r="D154" s="17" t="inlineStr">
        <is>
          <t>Map</t>
        </is>
      </c>
      <c r="E154" s="16" t="n">
        <v>46094</v>
      </c>
      <c r="F154" s="16" t="n">
        <v>46118</v>
      </c>
      <c r="G154" s="19">
        <f>IF(F154="","",TODAY()-F154)</f>
        <v/>
      </c>
      <c r="H154" s="17" t="inlineStr">
        <is>
          <t>Jacob</t>
        </is>
      </c>
      <c r="I154" s="17" t="inlineStr">
        <is>
          <t>Schedule map session</t>
        </is>
      </c>
      <c r="J154" s="16" t="n">
        <v>46128</v>
      </c>
      <c r="K154" s="20" t="n">
        <v>0.55</v>
      </c>
      <c r="L154" s="17" t="n"/>
    </row>
    <row r="155">
      <c r="A155" s="17" t="inlineStr">
        <is>
          <t>Westline Solutions 092</t>
        </is>
      </c>
      <c r="B155" s="17" t="inlineStr">
        <is>
          <t>Utilities</t>
        </is>
      </c>
      <c r="C155" s="39" t="n">
        <v>52500</v>
      </c>
      <c r="D155" s="17" t="inlineStr">
        <is>
          <t>Assess</t>
        </is>
      </c>
      <c r="E155" s="16" t="n">
        <v>46097</v>
      </c>
      <c r="F155" s="16" t="n">
        <v>46116</v>
      </c>
      <c r="G155" s="19">
        <f>IF(F155="","",TODAY()-F155)</f>
        <v/>
      </c>
      <c r="H155" s="17" t="inlineStr">
        <is>
          <t>Jacob</t>
        </is>
      </c>
      <c r="I155" s="17" t="inlineStr">
        <is>
          <t>Discovery call</t>
        </is>
      </c>
      <c r="J155" s="16" t="n">
        <v>46119</v>
      </c>
      <c r="K155" s="20" t="n">
        <v>0.35</v>
      </c>
      <c r="L155" s="17" t="n"/>
    </row>
    <row r="156">
      <c r="A156" s="17" t="inlineStr">
        <is>
          <t>Northstar Solutions 093</t>
        </is>
      </c>
      <c r="B156" s="17" t="inlineStr">
        <is>
          <t>Field Service</t>
        </is>
      </c>
      <c r="C156" s="39" t="n">
        <v>24000</v>
      </c>
      <c r="D156" s="17" t="inlineStr">
        <is>
          <t>Assess</t>
        </is>
      </c>
      <c r="E156" s="16" t="n">
        <v>46100</v>
      </c>
      <c r="F156" s="16" t="n">
        <v>46122</v>
      </c>
      <c r="G156" s="19">
        <f>IF(F156="","",TODAY()-F156)</f>
        <v/>
      </c>
      <c r="H156" s="17" t="inlineStr">
        <is>
          <t>Jacob</t>
        </is>
      </c>
      <c r="I156" s="17" t="inlineStr">
        <is>
          <t>Discovery call</t>
        </is>
      </c>
      <c r="J156" s="16" t="n">
        <v>46129</v>
      </c>
      <c r="K156" s="20" t="n">
        <v>0.35</v>
      </c>
      <c r="L156" s="17" t="n"/>
    </row>
    <row r="157">
      <c r="A157" s="17" t="inlineStr">
        <is>
          <t>Silver Peak Solutions 094</t>
        </is>
      </c>
      <c r="B157" s="17" t="inlineStr">
        <is>
          <t>HVAC</t>
        </is>
      </c>
      <c r="C157" s="39" t="n">
        <v>30000</v>
      </c>
      <c r="D157" s="17" t="inlineStr">
        <is>
          <t>Map</t>
        </is>
      </c>
      <c r="E157" s="16" t="n">
        <v>46103</v>
      </c>
      <c r="F157" s="16" t="n">
        <v>46134</v>
      </c>
      <c r="G157" s="19">
        <f>IF(F157="","",TODAY()-F157)</f>
        <v/>
      </c>
      <c r="H157" s="17" t="inlineStr">
        <is>
          <t>Jacob</t>
        </is>
      </c>
      <c r="I157" s="17" t="inlineStr">
        <is>
          <t>Schedule map session</t>
        </is>
      </c>
      <c r="J157" s="16" t="n">
        <v>46138</v>
      </c>
      <c r="K157" s="20" t="n">
        <v>0.55</v>
      </c>
      <c r="L157" s="17" t="n"/>
    </row>
    <row r="158">
      <c r="A158" s="17" t="inlineStr">
        <is>
          <t>Trailhead Solutions 095</t>
        </is>
      </c>
      <c r="B158" s="17" t="inlineStr">
        <is>
          <t>Construction</t>
        </is>
      </c>
      <c r="C158" s="39" t="n">
        <v>12500</v>
      </c>
      <c r="D158" s="17" t="inlineStr">
        <is>
          <t>Map</t>
        </is>
      </c>
      <c r="E158" s="16" t="n">
        <v>46106</v>
      </c>
      <c r="F158" s="16" t="n">
        <v>46122</v>
      </c>
      <c r="G158" s="19">
        <f>IF(F158="","",TODAY()-F158)</f>
        <v/>
      </c>
      <c r="H158" s="17" t="inlineStr">
        <is>
          <t>Jacob</t>
        </is>
      </c>
      <c r="I158" s="17" t="inlineStr">
        <is>
          <t>Schedule map session</t>
        </is>
      </c>
      <c r="J158" s="16" t="n">
        <v>46132</v>
      </c>
      <c r="K158" s="20" t="n">
        <v>0.55</v>
      </c>
      <c r="L158" s="17" t="n"/>
    </row>
    <row r="159">
      <c r="A159" s="17" t="inlineStr">
        <is>
          <t>Frontline Solutions 096</t>
        </is>
      </c>
      <c r="B159" s="17" t="inlineStr">
        <is>
          <t>Transportation</t>
        </is>
      </c>
      <c r="C159" s="39" t="n">
        <v>27500</v>
      </c>
      <c r="D159" s="17" t="inlineStr">
        <is>
          <t>Identify</t>
        </is>
      </c>
      <c r="E159" s="16" t="n">
        <v>46109</v>
      </c>
      <c r="F159" s="16" t="n">
        <v>46137</v>
      </c>
      <c r="G159" s="19">
        <f>IF(F159="","",TODAY()-F159)</f>
        <v/>
      </c>
      <c r="H159" s="17" t="inlineStr">
        <is>
          <t>Jacob</t>
        </is>
      </c>
      <c r="I159" s="17" t="inlineStr">
        <is>
          <t>Initial qualifying call</t>
        </is>
      </c>
      <c r="J159" s="16" t="n">
        <v>46140</v>
      </c>
      <c r="K159" s="20" t="n">
        <v>0.22</v>
      </c>
      <c r="L159" s="17" t="n"/>
    </row>
    <row r="160">
      <c r="A160" s="17" t="inlineStr">
        <is>
          <t>Keystone Solutions 097</t>
        </is>
      </c>
      <c r="B160" s="17" t="inlineStr">
        <is>
          <t>Energy</t>
        </is>
      </c>
      <c r="C160" s="39" t="n">
        <v>31500</v>
      </c>
      <c r="D160" s="17" t="inlineStr">
        <is>
          <t>Chart</t>
        </is>
      </c>
      <c r="E160" s="16" t="n">
        <v>46112</v>
      </c>
      <c r="F160" s="16" t="n">
        <v>46137</v>
      </c>
      <c r="G160" s="19">
        <f>IF(F160="","",TODAY()-F160)</f>
        <v/>
      </c>
      <c r="H160" s="17" t="inlineStr">
        <is>
          <t>Jacob</t>
        </is>
      </c>
      <c r="I160" s="17" t="inlineStr">
        <is>
          <t>Present Command Center</t>
        </is>
      </c>
      <c r="J160" s="16" t="n">
        <v>46144</v>
      </c>
      <c r="K160" s="20" t="n">
        <v>0.72</v>
      </c>
      <c r="L160" s="17" t="n"/>
    </row>
    <row r="161">
      <c r="A161" s="17" t="inlineStr">
        <is>
          <t>Meridian Solutions 098</t>
        </is>
      </c>
      <c r="B161" s="17" t="inlineStr">
        <is>
          <t>Agriculture</t>
        </is>
      </c>
      <c r="C161" s="39" t="n">
        <v>50500</v>
      </c>
      <c r="D161" s="17" t="inlineStr">
        <is>
          <t>Closed Lost</t>
        </is>
      </c>
      <c r="E161" s="16" t="n">
        <v>46115</v>
      </c>
      <c r="F161" s="16" t="n">
        <v>46146</v>
      </c>
      <c r="G161" s="19">
        <f>IF(F161="","",TODAY()-F161)</f>
        <v/>
      </c>
      <c r="H161" s="17" t="inlineStr">
        <is>
          <t>Jacob</t>
        </is>
      </c>
      <c r="I161" s="17" t="inlineStr">
        <is>
          <t>N/A — Lost opportunity</t>
        </is>
      </c>
      <c r="J161" s="16" t="n"/>
      <c r="K161" s="20" t="n">
        <v>0</v>
      </c>
      <c r="L161" s="17" t="inlineStr">
        <is>
          <t>No budget</t>
        </is>
      </c>
    </row>
    <row r="162">
      <c r="A162" s="17" t="inlineStr">
        <is>
          <t>Atlas Solutions 099</t>
        </is>
      </c>
      <c r="B162" s="17" t="inlineStr">
        <is>
          <t>Utilities</t>
        </is>
      </c>
      <c r="C162" s="39" t="n">
        <v>37000</v>
      </c>
      <c r="D162" s="17" t="inlineStr">
        <is>
          <t>Launch</t>
        </is>
      </c>
      <c r="E162" s="16" t="n">
        <v>46118</v>
      </c>
      <c r="F162" s="16" t="n">
        <v>46126</v>
      </c>
      <c r="G162" s="19">
        <f>IF(F162="","",TODAY()-F162)</f>
        <v/>
      </c>
      <c r="H162" s="17" t="inlineStr">
        <is>
          <t>Jacob</t>
        </is>
      </c>
      <c r="I162" s="17" t="inlineStr">
        <is>
          <t>Kickoff planning</t>
        </is>
      </c>
      <c r="J162" s="16" t="n"/>
      <c r="K162" s="20" t="n">
        <v>0.92</v>
      </c>
      <c r="L162" s="17" t="inlineStr">
        <is>
          <t>Won Q4</t>
        </is>
      </c>
    </row>
    <row r="163">
      <c r="A163" s="17" t="inlineStr">
        <is>
          <t>Copper Ridge Solutions 100</t>
        </is>
      </c>
      <c r="B163" s="17" t="inlineStr">
        <is>
          <t>Field Service</t>
        </is>
      </c>
      <c r="C163" s="39" t="n">
        <v>17000</v>
      </c>
      <c r="D163" s="17" t="inlineStr">
        <is>
          <t>Chart</t>
        </is>
      </c>
      <c r="E163" s="16" t="n">
        <v>46121</v>
      </c>
      <c r="F163" s="16" t="n">
        <v>46147</v>
      </c>
      <c r="G163" s="19">
        <f>IF(F163="","",TODAY()-F163)</f>
        <v/>
      </c>
      <c r="H163" s="17" t="inlineStr">
        <is>
          <t>Jacob</t>
        </is>
      </c>
      <c r="I163" s="17" t="inlineStr">
        <is>
          <t>Present Command Center</t>
        </is>
      </c>
      <c r="J163" s="16" t="n">
        <v>46152</v>
      </c>
      <c r="K163" s="20" t="n">
        <v>0.72</v>
      </c>
      <c r="L163" s="17" t="n"/>
    </row>
    <row r="164">
      <c r="A164" s="17" t="inlineStr">
        <is>
          <t>Granite Group 101</t>
        </is>
      </c>
      <c r="B164" s="17" t="inlineStr">
        <is>
          <t>HVAC</t>
        </is>
      </c>
      <c r="C164" s="39" t="n">
        <v>48000</v>
      </c>
      <c r="D164" s="17" t="inlineStr">
        <is>
          <t>Closed Lost</t>
        </is>
      </c>
      <c r="E164" s="16" t="n">
        <v>46124</v>
      </c>
      <c r="F164" s="16" t="n">
        <v>46142</v>
      </c>
      <c r="G164" s="19">
        <f>IF(F164="","",TODAY()-F164)</f>
        <v/>
      </c>
      <c r="H164" s="17" t="inlineStr">
        <is>
          <t>Jacob</t>
        </is>
      </c>
      <c r="I164" s="17" t="inlineStr">
        <is>
          <t>N/A — Lost opportunity</t>
        </is>
      </c>
      <c r="J164" s="16" t="n"/>
      <c r="K164" s="20" t="n">
        <v>0</v>
      </c>
      <c r="L164" s="17" t="inlineStr">
        <is>
          <t>Lost on price</t>
        </is>
      </c>
    </row>
    <row r="165">
      <c r="A165" s="17" t="inlineStr">
        <is>
          <t>Prairie Group 102</t>
        </is>
      </c>
      <c r="B165" s="17" t="inlineStr">
        <is>
          <t>Construction</t>
        </is>
      </c>
      <c r="C165" s="39" t="n">
        <v>43000</v>
      </c>
      <c r="D165" s="17" t="inlineStr">
        <is>
          <t>Map</t>
        </is>
      </c>
      <c r="E165" s="16" t="n">
        <v>46127</v>
      </c>
      <c r="F165" s="16" t="n">
        <v>46157</v>
      </c>
      <c r="G165" s="19">
        <f>IF(F165="","",TODAY()-F165)</f>
        <v/>
      </c>
      <c r="H165" s="17" t="inlineStr">
        <is>
          <t>Jacob</t>
        </is>
      </c>
      <c r="I165" s="17" t="inlineStr">
        <is>
          <t>Schedule map session</t>
        </is>
      </c>
      <c r="J165" s="16" t="n">
        <v>46163</v>
      </c>
      <c r="K165" s="20" t="n">
        <v>0.55</v>
      </c>
      <c r="L165" s="17" t="n"/>
    </row>
    <row r="166">
      <c r="A166" s="17" t="inlineStr">
        <is>
          <t>Ironhorse Group 103</t>
        </is>
      </c>
      <c r="B166" s="17" t="inlineStr">
        <is>
          <t>Transportation</t>
        </is>
      </c>
      <c r="C166" s="39" t="n">
        <v>46000</v>
      </c>
      <c r="D166" s="17" t="inlineStr">
        <is>
          <t>Launch</t>
        </is>
      </c>
      <c r="E166" s="16" t="n">
        <v>46130</v>
      </c>
      <c r="F166" s="16" t="n">
        <v>46158</v>
      </c>
      <c r="G166" s="19">
        <f>IF(F166="","",TODAY()-F166)</f>
        <v/>
      </c>
      <c r="H166" s="17" t="inlineStr">
        <is>
          <t>Jacob</t>
        </is>
      </c>
      <c r="I166" s="17" t="inlineStr">
        <is>
          <t>Kickoff planning</t>
        </is>
      </c>
      <c r="J166" s="16" t="n"/>
      <c r="K166" s="20" t="n">
        <v>0.92</v>
      </c>
      <c r="L166" s="17" t="inlineStr">
        <is>
          <t>Won Q3</t>
        </is>
      </c>
    </row>
    <row r="167">
      <c r="A167" s="17" t="inlineStr">
        <is>
          <t>Blue Mesa Group 104</t>
        </is>
      </c>
      <c r="B167" s="17" t="inlineStr">
        <is>
          <t>Energy</t>
        </is>
      </c>
      <c r="C167" s="39" t="n">
        <v>34500</v>
      </c>
      <c r="D167" s="17" t="inlineStr">
        <is>
          <t>Closed Lost</t>
        </is>
      </c>
      <c r="E167" s="16" t="n">
        <v>46133</v>
      </c>
      <c r="F167" s="16" t="n">
        <v>46160</v>
      </c>
      <c r="G167" s="19">
        <f>IF(F167="","",TODAY()-F167)</f>
        <v/>
      </c>
      <c r="H167" s="17" t="inlineStr">
        <is>
          <t>Jacob</t>
        </is>
      </c>
      <c r="I167" s="17" t="inlineStr">
        <is>
          <t>N/A — Lost opportunity</t>
        </is>
      </c>
      <c r="J167" s="16" t="n"/>
      <c r="K167" s="20" t="n">
        <v>0</v>
      </c>
      <c r="L167" s="17" t="inlineStr">
        <is>
          <t>Lost on price</t>
        </is>
      </c>
    </row>
    <row r="168">
      <c r="A168" s="17" t="inlineStr">
        <is>
          <t>Highland Group 105</t>
        </is>
      </c>
      <c r="B168" s="17" t="inlineStr">
        <is>
          <t>Agriculture</t>
        </is>
      </c>
      <c r="C168" s="39" t="n">
        <v>34000</v>
      </c>
      <c r="D168" s="17" t="inlineStr">
        <is>
          <t>Assess</t>
        </is>
      </c>
      <c r="E168" s="16" t="n">
        <v>46136</v>
      </c>
      <c r="F168" s="16" t="n">
        <v>46163</v>
      </c>
      <c r="G168" s="19">
        <f>IF(F168="","",TODAY()-F168)</f>
        <v/>
      </c>
      <c r="H168" s="17" t="inlineStr">
        <is>
          <t>Jacob</t>
        </is>
      </c>
      <c r="I168" s="17" t="inlineStr">
        <is>
          <t>Discovery call</t>
        </is>
      </c>
      <c r="J168" s="16" t="n">
        <v>46175</v>
      </c>
      <c r="K168" s="20" t="n">
        <v>0.35</v>
      </c>
      <c r="L168" s="17" t="n"/>
    </row>
    <row r="169">
      <c r="A169" s="17" t="inlineStr">
        <is>
          <t>Summit Group 106</t>
        </is>
      </c>
      <c r="B169" s="17" t="inlineStr">
        <is>
          <t>Utilities</t>
        </is>
      </c>
      <c r="C169" s="39" t="n">
        <v>53000</v>
      </c>
      <c r="D169" s="17" t="inlineStr">
        <is>
          <t>Map</t>
        </is>
      </c>
      <c r="E169" s="16" t="n">
        <v>46139</v>
      </c>
      <c r="F169" s="16" t="n">
        <v>46162</v>
      </c>
      <c r="G169" s="19">
        <f>IF(F169="","",TODAY()-F169)</f>
        <v/>
      </c>
      <c r="H169" s="17" t="inlineStr">
        <is>
          <t>Jacob</t>
        </is>
      </c>
      <c r="I169" s="17" t="inlineStr">
        <is>
          <t>Schedule map session</t>
        </is>
      </c>
      <c r="J169" s="16" t="n">
        <v>46168</v>
      </c>
      <c r="K169" s="20" t="n">
        <v>0.55</v>
      </c>
      <c r="L169" s="17" t="n"/>
    </row>
    <row r="170">
      <c r="A170" s="17" t="inlineStr">
        <is>
          <t>Canyon Group 107</t>
        </is>
      </c>
      <c r="B170" s="17" t="inlineStr">
        <is>
          <t>Field Service</t>
        </is>
      </c>
      <c r="C170" s="39" t="n">
        <v>24000</v>
      </c>
      <c r="D170" s="17" t="inlineStr">
        <is>
          <t>Launch</t>
        </is>
      </c>
      <c r="E170" s="16" t="n">
        <v>46142</v>
      </c>
      <c r="F170" s="16" t="n">
        <v>46148</v>
      </c>
      <c r="G170" s="19">
        <f>IF(F170="","",TODAY()-F170)</f>
        <v/>
      </c>
      <c r="H170" s="17" t="inlineStr">
        <is>
          <t>Jacob</t>
        </is>
      </c>
      <c r="I170" s="17" t="inlineStr">
        <is>
          <t>Kickoff planning</t>
        </is>
      </c>
      <c r="J170" s="16" t="n"/>
      <c r="K170" s="20" t="n">
        <v>0.92</v>
      </c>
      <c r="L170" s="17" t="inlineStr">
        <is>
          <t>Won Q4</t>
        </is>
      </c>
    </row>
    <row r="171">
      <c r="A171" s="17" t="inlineStr">
        <is>
          <t>Pioneer Group 108</t>
        </is>
      </c>
      <c r="B171" s="17" t="inlineStr">
        <is>
          <t>HVAC</t>
        </is>
      </c>
      <c r="C171" s="39" t="n">
        <v>23000</v>
      </c>
      <c r="D171" s="17" t="inlineStr">
        <is>
          <t>Map</t>
        </is>
      </c>
      <c r="E171" s="16" t="n">
        <v>46145</v>
      </c>
      <c r="F171" s="16" t="n">
        <v>46177</v>
      </c>
      <c r="G171" s="19">
        <f>IF(F171="","",TODAY()-F171)</f>
        <v/>
      </c>
      <c r="H171" s="17" t="inlineStr">
        <is>
          <t>Jacob</t>
        </is>
      </c>
      <c r="I171" s="17" t="inlineStr">
        <is>
          <t>Schedule map session</t>
        </is>
      </c>
      <c r="J171" s="16" t="n">
        <v>46187</v>
      </c>
      <c r="K171" s="20" t="n">
        <v>0.55</v>
      </c>
      <c r="L171" s="17" t="n"/>
    </row>
    <row r="172">
      <c r="A172" s="17" t="inlineStr">
        <is>
          <t>Arrowhead Group 109</t>
        </is>
      </c>
      <c r="B172" s="17" t="inlineStr">
        <is>
          <t>Construction</t>
        </is>
      </c>
      <c r="C172" s="39" t="n">
        <v>29000</v>
      </c>
      <c r="D172" s="17" t="inlineStr">
        <is>
          <t>Assess</t>
        </is>
      </c>
      <c r="E172" s="16" t="n">
        <v>46148</v>
      </c>
      <c r="F172" s="16" t="n">
        <v>46156</v>
      </c>
      <c r="G172" s="19">
        <f>IF(F172="","",TODAY()-F172)</f>
        <v/>
      </c>
      <c r="H172" s="17" t="inlineStr">
        <is>
          <t>Jacob</t>
        </is>
      </c>
      <c r="I172" s="17" t="inlineStr">
        <is>
          <t>Discovery call</t>
        </is>
      </c>
      <c r="J172" s="16" t="n">
        <v>46168</v>
      </c>
      <c r="K172" s="20" t="n">
        <v>0.35</v>
      </c>
      <c r="L172" s="17" t="n"/>
    </row>
    <row r="173">
      <c r="A173" s="17" t="inlineStr">
        <is>
          <t>Falcon Group 110</t>
        </is>
      </c>
      <c r="B173" s="17" t="inlineStr">
        <is>
          <t>Transportation</t>
        </is>
      </c>
      <c r="C173" s="39" t="n">
        <v>24000</v>
      </c>
      <c r="D173" s="17" t="inlineStr">
        <is>
          <t>Map</t>
        </is>
      </c>
      <c r="E173" s="16" t="n">
        <v>46151</v>
      </c>
      <c r="F173" s="16" t="n">
        <v>46182</v>
      </c>
      <c r="G173" s="19">
        <f>IF(F173="","",TODAY()-F173)</f>
        <v/>
      </c>
      <c r="H173" s="17" t="inlineStr">
        <is>
          <t>Jacob</t>
        </is>
      </c>
      <c r="I173" s="17" t="inlineStr">
        <is>
          <t>Schedule map session</t>
        </is>
      </c>
      <c r="J173" s="16" t="n">
        <v>46192</v>
      </c>
      <c r="K173" s="20" t="n">
        <v>0.55</v>
      </c>
      <c r="L173" s="17" t="n"/>
    </row>
    <row r="174">
      <c r="A174" s="17" t="inlineStr">
        <is>
          <t>Red Rock Group 111</t>
        </is>
      </c>
      <c r="B174" s="17" t="inlineStr">
        <is>
          <t>Energy</t>
        </is>
      </c>
      <c r="C174" s="39" t="n">
        <v>21000</v>
      </c>
      <c r="D174" s="17" t="inlineStr">
        <is>
          <t>Map</t>
        </is>
      </c>
      <c r="E174" s="16" t="n">
        <v>46154</v>
      </c>
      <c r="F174" s="16" t="n">
        <v>46175</v>
      </c>
      <c r="G174" s="19">
        <f>IF(F174="","",TODAY()-F174)</f>
        <v/>
      </c>
      <c r="H174" s="17" t="inlineStr">
        <is>
          <t>Jacob</t>
        </is>
      </c>
      <c r="I174" s="17" t="inlineStr">
        <is>
          <t>Schedule map session</t>
        </is>
      </c>
      <c r="J174" s="16" t="n">
        <v>46185</v>
      </c>
      <c r="K174" s="20" t="n">
        <v>0.55</v>
      </c>
      <c r="L174" s="17" t="n"/>
    </row>
    <row r="175">
      <c r="A175" s="17" t="inlineStr">
        <is>
          <t>Westline Group 112</t>
        </is>
      </c>
      <c r="B175" s="17" t="inlineStr">
        <is>
          <t>Agriculture</t>
        </is>
      </c>
      <c r="C175" s="39" t="n">
        <v>12500</v>
      </c>
      <c r="D175" s="17" t="inlineStr">
        <is>
          <t>Chart</t>
        </is>
      </c>
      <c r="E175" s="16" t="n">
        <v>46157</v>
      </c>
      <c r="F175" s="16" t="n">
        <v>46188</v>
      </c>
      <c r="G175" s="19">
        <f>IF(F175="","",TODAY()-F175)</f>
        <v/>
      </c>
      <c r="H175" s="17" t="inlineStr">
        <is>
          <t>Jacob</t>
        </is>
      </c>
      <c r="I175" s="17" t="inlineStr">
        <is>
          <t>Present Command Center</t>
        </is>
      </c>
      <c r="J175" s="16" t="n">
        <v>46192</v>
      </c>
      <c r="K175" s="20" t="n">
        <v>0.72</v>
      </c>
      <c r="L175" s="17" t="n"/>
    </row>
    <row r="176">
      <c r="A176" s="17" t="inlineStr">
        <is>
          <t>Northstar Group 113</t>
        </is>
      </c>
      <c r="B176" s="17" t="inlineStr">
        <is>
          <t>Utilities</t>
        </is>
      </c>
      <c r="C176" s="39" t="n">
        <v>17000</v>
      </c>
      <c r="D176" s="17" t="inlineStr">
        <is>
          <t>Chart</t>
        </is>
      </c>
      <c r="E176" s="16" t="n">
        <v>46160</v>
      </c>
      <c r="F176" s="16" t="n">
        <v>46186</v>
      </c>
      <c r="G176" s="19">
        <f>IF(F176="","",TODAY()-F176)</f>
        <v/>
      </c>
      <c r="H176" s="17" t="inlineStr">
        <is>
          <t>Jacob</t>
        </is>
      </c>
      <c r="I176" s="17" t="inlineStr">
        <is>
          <t>Present Command Center</t>
        </is>
      </c>
      <c r="J176" s="16" t="n">
        <v>46194</v>
      </c>
      <c r="K176" s="20" t="n">
        <v>0.72</v>
      </c>
      <c r="L176" s="17" t="n"/>
    </row>
    <row r="177">
      <c r="A177" s="17" t="inlineStr">
        <is>
          <t>Silver Peak Group 114</t>
        </is>
      </c>
      <c r="B177" s="17" t="inlineStr">
        <is>
          <t>Field Service</t>
        </is>
      </c>
      <c r="C177" s="39" t="n">
        <v>16000</v>
      </c>
      <c r="D177" s="17" t="inlineStr">
        <is>
          <t>Assess</t>
        </is>
      </c>
      <c r="E177" s="16" t="n">
        <v>46163</v>
      </c>
      <c r="F177" s="16" t="n">
        <v>46184</v>
      </c>
      <c r="G177" s="19">
        <f>IF(F177="","",TODAY()-F177)</f>
        <v/>
      </c>
      <c r="H177" s="17" t="inlineStr">
        <is>
          <t>Jacob</t>
        </is>
      </c>
      <c r="I177" s="17" t="inlineStr">
        <is>
          <t>Discovery call</t>
        </is>
      </c>
      <c r="J177" s="16" t="n">
        <v>46196</v>
      </c>
      <c r="K177" s="20" t="n">
        <v>0.35</v>
      </c>
      <c r="L177" s="17" t="n"/>
    </row>
    <row r="178">
      <c r="A178" s="17" t="inlineStr">
        <is>
          <t>Trailhead Group 115</t>
        </is>
      </c>
      <c r="B178" s="17" t="inlineStr">
        <is>
          <t>HVAC</t>
        </is>
      </c>
      <c r="C178" s="39" t="n">
        <v>35500</v>
      </c>
      <c r="D178" s="17" t="inlineStr">
        <is>
          <t>Launch</t>
        </is>
      </c>
      <c r="E178" s="16" t="n">
        <v>46166</v>
      </c>
      <c r="F178" s="16" t="n">
        <v>46171</v>
      </c>
      <c r="G178" s="19">
        <f>IF(F178="","",TODAY()-F178)</f>
        <v/>
      </c>
      <c r="H178" s="17" t="inlineStr">
        <is>
          <t>Jacob</t>
        </is>
      </c>
      <c r="I178" s="17" t="inlineStr">
        <is>
          <t>Kickoff planning</t>
        </is>
      </c>
      <c r="J178" s="16" t="n"/>
      <c r="K178" s="20" t="n">
        <v>0.92</v>
      </c>
      <c r="L178" s="17" t="inlineStr">
        <is>
          <t>Won Q3</t>
        </is>
      </c>
    </row>
    <row r="179">
      <c r="A179" s="17" t="inlineStr">
        <is>
          <t>Frontline Group 116</t>
        </is>
      </c>
      <c r="B179" s="17" t="inlineStr">
        <is>
          <t>Construction</t>
        </is>
      </c>
      <c r="C179" s="39" t="n">
        <v>33500</v>
      </c>
      <c r="D179" s="17" t="inlineStr">
        <is>
          <t>Map</t>
        </is>
      </c>
      <c r="E179" s="16" t="n">
        <v>46169</v>
      </c>
      <c r="F179" s="16" t="n">
        <v>46186</v>
      </c>
      <c r="G179" s="19">
        <f>IF(F179="","",TODAY()-F179)</f>
        <v/>
      </c>
      <c r="H179" s="17" t="inlineStr">
        <is>
          <t>Jacob</t>
        </is>
      </c>
      <c r="I179" s="17" t="inlineStr">
        <is>
          <t>Schedule map session</t>
        </is>
      </c>
      <c r="J179" s="16" t="n">
        <v>46189</v>
      </c>
      <c r="K179" s="20" t="n">
        <v>0.55</v>
      </c>
      <c r="L179" s="17" t="n"/>
    </row>
    <row r="180">
      <c r="A180" s="17" t="inlineStr">
        <is>
          <t>Keystone Group 117</t>
        </is>
      </c>
      <c r="B180" s="17" t="inlineStr">
        <is>
          <t>Transportation</t>
        </is>
      </c>
      <c r="C180" s="39" t="n">
        <v>53500</v>
      </c>
      <c r="D180" s="17" t="inlineStr">
        <is>
          <t>Identify</t>
        </is>
      </c>
      <c r="E180" s="16" t="n">
        <v>46172</v>
      </c>
      <c r="F180" s="16" t="n">
        <v>46181</v>
      </c>
      <c r="G180" s="19">
        <f>IF(F180="","",TODAY()-F180)</f>
        <v/>
      </c>
      <c r="H180" s="17" t="inlineStr">
        <is>
          <t>Jacob</t>
        </is>
      </c>
      <c r="I180" s="17" t="inlineStr">
        <is>
          <t>Initial qualifying call</t>
        </is>
      </c>
      <c r="J180" s="16" t="n">
        <v>46188</v>
      </c>
      <c r="K180" s="20" t="n">
        <v>0.22</v>
      </c>
      <c r="L180" s="17" t="n"/>
    </row>
    <row r="181">
      <c r="A181" s="17" t="inlineStr">
        <is>
          <t>Meridian Group 118</t>
        </is>
      </c>
      <c r="B181" s="17" t="inlineStr">
        <is>
          <t>Energy</t>
        </is>
      </c>
      <c r="C181" s="39" t="n">
        <v>38000</v>
      </c>
      <c r="D181" s="17" t="inlineStr">
        <is>
          <t>Identify</t>
        </is>
      </c>
      <c r="E181" s="16" t="n">
        <v>46175</v>
      </c>
      <c r="F181" s="16" t="n">
        <v>46198</v>
      </c>
      <c r="G181" s="19">
        <f>IF(F181="","",TODAY()-F181)</f>
        <v/>
      </c>
      <c r="H181" s="17" t="inlineStr">
        <is>
          <t>Jacob</t>
        </is>
      </c>
      <c r="I181" s="17" t="inlineStr">
        <is>
          <t>Initial qualifying call</t>
        </is>
      </c>
      <c r="J181" s="16" t="n">
        <v>46203</v>
      </c>
      <c r="K181" s="20" t="n">
        <v>0.22</v>
      </c>
      <c r="L181" s="17" t="n"/>
    </row>
    <row r="182">
      <c r="A182" s="17" t="inlineStr">
        <is>
          <t>Atlas Group 119</t>
        </is>
      </c>
      <c r="B182" s="17" t="inlineStr">
        <is>
          <t>Agriculture</t>
        </is>
      </c>
      <c r="C182" s="39" t="n">
        <v>28000</v>
      </c>
      <c r="D182" s="17" t="inlineStr">
        <is>
          <t>Assess</t>
        </is>
      </c>
      <c r="E182" s="16" t="n">
        <v>46178</v>
      </c>
      <c r="F182" s="16" t="n">
        <v>46194</v>
      </c>
      <c r="G182" s="19">
        <f>IF(F182="","",TODAY()-F182)</f>
        <v/>
      </c>
      <c r="H182" s="17" t="inlineStr">
        <is>
          <t>Jacob</t>
        </is>
      </c>
      <c r="I182" s="17" t="inlineStr">
        <is>
          <t>Discovery call</t>
        </is>
      </c>
      <c r="J182" s="16" t="n">
        <v>46197</v>
      </c>
      <c r="K182" s="20" t="n">
        <v>0.35</v>
      </c>
      <c r="L182" s="17" t="n"/>
    </row>
    <row r="183">
      <c r="A183" s="17" t="inlineStr">
        <is>
          <t>Copper Ridge Group 120</t>
        </is>
      </c>
      <c r="B183" s="17" t="inlineStr">
        <is>
          <t>Utilities</t>
        </is>
      </c>
      <c r="C183" s="39" t="n">
        <v>22500</v>
      </c>
      <c r="D183" s="17" t="inlineStr">
        <is>
          <t>Assess</t>
        </is>
      </c>
      <c r="E183" s="16" t="n">
        <v>46181</v>
      </c>
      <c r="F183" s="16" t="n">
        <v>46186</v>
      </c>
      <c r="G183" s="19">
        <f>IF(F183="","",TODAY()-F183)</f>
        <v/>
      </c>
      <c r="H183" s="17" t="inlineStr">
        <is>
          <t>Jacob</t>
        </is>
      </c>
      <c r="I183" s="17" t="inlineStr">
        <is>
          <t>Discovery call</t>
        </is>
      </c>
      <c r="J183" s="16" t="n">
        <v>46192</v>
      </c>
      <c r="K183" s="20" t="n">
        <v>0.35</v>
      </c>
      <c r="L183" s="17" t="n"/>
    </row>
    <row r="184">
      <c r="A184" s="17" t="inlineStr">
        <is>
          <t>Granite Operations 121</t>
        </is>
      </c>
      <c r="B184" s="17" t="inlineStr">
        <is>
          <t>Field Service</t>
        </is>
      </c>
      <c r="C184" s="39" t="n">
        <v>56000</v>
      </c>
      <c r="D184" s="17" t="inlineStr">
        <is>
          <t>Map</t>
        </is>
      </c>
      <c r="E184" s="16" t="n">
        <v>46184</v>
      </c>
      <c r="F184" s="16" t="n">
        <v>46194</v>
      </c>
      <c r="G184" s="19">
        <f>IF(F184="","",TODAY()-F184)</f>
        <v/>
      </c>
      <c r="H184" s="17" t="inlineStr">
        <is>
          <t>Jacob</t>
        </is>
      </c>
      <c r="I184" s="17" t="inlineStr">
        <is>
          <t>Schedule map session</t>
        </is>
      </c>
      <c r="J184" s="16" t="n">
        <v>46205</v>
      </c>
      <c r="K184" s="20" t="n">
        <v>0.55</v>
      </c>
      <c r="L184" s="17" t="n"/>
    </row>
    <row r="185">
      <c r="A185" s="17" t="inlineStr">
        <is>
          <t>Prairie Operations 122</t>
        </is>
      </c>
      <c r="B185" s="17" t="inlineStr">
        <is>
          <t>HVAC</t>
        </is>
      </c>
      <c r="C185" s="39" t="n">
        <v>39500</v>
      </c>
      <c r="D185" s="17" t="inlineStr">
        <is>
          <t>Chart</t>
        </is>
      </c>
      <c r="E185" s="16" t="n">
        <v>46186</v>
      </c>
      <c r="F185" s="16" t="n">
        <v>46199</v>
      </c>
      <c r="G185" s="19">
        <f>IF(F185="","",TODAY()-F185)</f>
        <v/>
      </c>
      <c r="H185" s="17" t="inlineStr">
        <is>
          <t>Jacob</t>
        </is>
      </c>
      <c r="I185" s="17" t="inlineStr">
        <is>
          <t>Present Command Center</t>
        </is>
      </c>
      <c r="J185" s="16" t="n">
        <v>46204</v>
      </c>
      <c r="K185" s="20" t="n">
        <v>0.72</v>
      </c>
      <c r="L18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zoomScaleNormal="100" workbookViewId="0">
      <selection activeCell="K7" sqref="K7"/>
    </sheetView>
  </sheetViews>
  <sheetFormatPr baseColWidth="8" defaultRowHeight="15"/>
  <cols>
    <col width="14" customWidth="1" style="33" min="1" max="1"/>
    <col width="16" customWidth="1" style="33" min="2" max="2"/>
    <col width="20" customWidth="1" style="33" min="3" max="3"/>
    <col width="70.42578125" bestFit="1" customWidth="1" style="33" min="4" max="4"/>
    <col width="9.140625" customWidth="1" style="33" min="5" max="5"/>
    <col width="9.140625" customWidth="1" style="33" min="6" max="16384"/>
  </cols>
  <sheetData>
    <row r="1" ht="30" customHeight="1">
      <c r="A1" s="37" t="inlineStr">
        <is>
          <t>SignalStack | Pipeline Pulse — Direction Protocol Reference</t>
        </is>
      </c>
    </row>
    <row r="2" ht="15.95" customHeight="1">
      <c r="A2" s="32" t="inlineStr">
        <is>
          <t xml:space="preserve">  What each stage means, who acts, and what outcome moves it forward.</t>
        </is>
      </c>
    </row>
    <row r="3" ht="21.95" customHeight="1">
      <c r="A3" s="5" t="inlineStr">
        <is>
          <t>Stage</t>
        </is>
      </c>
      <c r="B3" s="5" t="inlineStr">
        <is>
          <t>Duration Target</t>
        </is>
      </c>
      <c r="C3" s="5" t="inlineStr">
        <is>
          <t>Who Acts</t>
        </is>
      </c>
      <c r="D3" s="5" t="inlineStr">
        <is>
          <t>Exit Criteria</t>
        </is>
      </c>
    </row>
    <row r="4">
      <c r="A4" s="31" t="inlineStr">
        <is>
          <t>Identify</t>
        </is>
      </c>
      <c r="B4" s="3" t="inlineStr">
        <is>
          <t>15-20 min</t>
        </is>
      </c>
      <c r="C4" s="3" t="inlineStr">
        <is>
          <t>Jacob</t>
        </is>
      </c>
      <c r="D4" s="3" t="inlineStr">
        <is>
          <t>Confirmed: right size, right problem, right person. Move to Assess or disqualify.</t>
        </is>
      </c>
    </row>
    <row r="5">
      <c r="A5" s="28" t="inlineStr">
        <is>
          <t>Assess</t>
        </is>
      </c>
      <c r="B5" s="4" t="inlineStr">
        <is>
          <t>30 min</t>
        </is>
      </c>
      <c r="C5" s="4" t="inlineStr">
        <is>
          <t>Jacob</t>
        </is>
      </c>
      <c r="D5" s="4" t="inlineStr">
        <is>
          <t>Problem is real, quantified, and the owner admits it. Move to Map.</t>
        </is>
      </c>
    </row>
    <row r="6">
      <c r="A6" s="31" t="inlineStr">
        <is>
          <t>Map</t>
        </is>
      </c>
      <c r="B6" s="3" t="inlineStr">
        <is>
          <t>90-120 min</t>
        </is>
      </c>
      <c r="C6" s="3" t="inlineStr">
        <is>
          <t>Jacob + Client</t>
        </is>
      </c>
      <c r="D6" s="3" t="inlineStr">
        <is>
          <t>Full process mapped, gaps documented, solution scoped. Move to Chart.</t>
        </is>
      </c>
    </row>
    <row r="7">
      <c r="A7" s="28" t="inlineStr">
        <is>
          <t>Chart</t>
        </is>
      </c>
      <c r="B7" s="4" t="inlineStr">
        <is>
          <t>30-45 min</t>
        </is>
      </c>
      <c r="C7" s="4" t="inlineStr">
        <is>
          <t>Jacob</t>
        </is>
      </c>
      <c r="D7" s="4" t="inlineStr">
        <is>
          <t>Findings presented, proposal delivered, verbal interest confirmed. Move to Launch.</t>
        </is>
      </c>
    </row>
    <row r="8">
      <c r="A8" s="31" t="inlineStr">
        <is>
          <t>Launch</t>
        </is>
      </c>
      <c r="B8" s="3" t="inlineStr">
        <is>
          <t>Close + KO</t>
        </is>
      </c>
      <c r="C8" s="3" t="inlineStr">
        <is>
          <t>Jacob + Client</t>
        </is>
      </c>
      <c r="D8" s="3" t="inlineStr">
        <is>
          <t>Contract signed, kickoff scheduled, onboarding started.</t>
        </is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2026-03-28T14:09:26Z</dcterms:created>
  <dcterms:modified xmlns:dcterms="http://purl.org/dc/terms/" xmlns:xsi="http://www.w3.org/2001/XMLSchema-instance" xsi:type="dcterms:W3CDTF">2026-03-30T08:57:58Z</dcterms:modified>
  <cp:lastModifiedBy>truenorth</cp:lastModifiedBy>
</cp:coreProperties>
</file>